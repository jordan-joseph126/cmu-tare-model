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8_{7FFEB1DD-835E-415C-8666-F159CD88FD0F}" xr6:coauthVersionLast="47" xr6:coauthVersionMax="47" xr10:uidLastSave="{00000000-0000-0000-0000-000000000000}"/>
  <bookViews>
    <workbookView xWindow="28680" yWindow="-120" windowWidth="29040" windowHeight="15720" xr2:uid="{B48105E2-9EE2-4175-9A4A-582A0517E529}"/>
  </bookViews>
  <sheets>
    <sheet name="proc_Cambium22_coal_gea" sheetId="8" r:id="rId1"/>
    <sheet name="proc_Cambium22_Delta_gea" sheetId="7" r:id="rId2"/>
    <sheet name="proc_Cambium22_MidCase_gea" sheetId="5" r:id="rId3"/>
    <sheet name="proc_Cambium22_highElec_gea" sheetId="6" r:id="rId4"/>
    <sheet name="Cambium22_MidCase_annual_gea" sheetId="1" r:id="rId5"/>
    <sheet name="Cambium22_highElec_annual_gea" sheetId="3" r:id="rId6"/>
    <sheet name="Cambium22_annual_GEA" sheetId="2" r:id="rId7"/>
  </sheets>
  <externalReferences>
    <externalReference r:id="rId8"/>
  </externalReferences>
  <definedNames>
    <definedName name="_xlnm._FilterDatabase" localSheetId="0" hidden="1">proc_Cambium22_coal_gea!$D$1:$D$161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2" i="8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2" i="8"/>
  <c r="AM2" i="6"/>
  <c r="AL2" i="6"/>
  <c r="AK2" i="6"/>
  <c r="AJ2" i="6"/>
  <c r="AI2" i="6"/>
  <c r="AG2" i="6"/>
  <c r="AE2" i="6"/>
  <c r="AM161" i="6"/>
  <c r="AL161" i="6"/>
  <c r="AK161" i="6"/>
  <c r="AJ161" i="6"/>
  <c r="AI161" i="6"/>
  <c r="M161" i="7" s="1"/>
  <c r="AG161" i="6"/>
  <c r="AF161" i="6"/>
  <c r="J161" i="7" s="1"/>
  <c r="AE161" i="6"/>
  <c r="AM160" i="6"/>
  <c r="AL160" i="6"/>
  <c r="AK160" i="6"/>
  <c r="AJ160" i="6"/>
  <c r="AI160" i="6"/>
  <c r="AG160" i="6"/>
  <c r="AF160" i="6"/>
  <c r="AE160" i="6"/>
  <c r="AM159" i="6"/>
  <c r="AL159" i="6"/>
  <c r="AK159" i="6"/>
  <c r="O159" i="7" s="1"/>
  <c r="AJ159" i="6"/>
  <c r="N159" i="7" s="1"/>
  <c r="AI159" i="6"/>
  <c r="AG159" i="6"/>
  <c r="AF159" i="6"/>
  <c r="AE159" i="6"/>
  <c r="AM158" i="6"/>
  <c r="AL158" i="6"/>
  <c r="AK158" i="6"/>
  <c r="AJ158" i="6"/>
  <c r="AI158" i="6"/>
  <c r="AG158" i="6"/>
  <c r="AF158" i="6"/>
  <c r="AE158" i="6"/>
  <c r="AM157" i="6"/>
  <c r="Q157" i="7" s="1"/>
  <c r="AL157" i="6"/>
  <c r="AK157" i="6"/>
  <c r="O157" i="7" s="1"/>
  <c r="AJ157" i="6"/>
  <c r="AI157" i="6"/>
  <c r="AG157" i="6"/>
  <c r="AF157" i="6"/>
  <c r="AE157" i="6"/>
  <c r="AM156" i="6"/>
  <c r="AL156" i="6"/>
  <c r="AK156" i="6"/>
  <c r="AJ156" i="6"/>
  <c r="AI156" i="6"/>
  <c r="AG156" i="6"/>
  <c r="AF156" i="6"/>
  <c r="AE156" i="6"/>
  <c r="I156" i="7" s="1"/>
  <c r="AM155" i="6"/>
  <c r="AL155" i="6"/>
  <c r="AK155" i="6"/>
  <c r="AJ155" i="6"/>
  <c r="AI155" i="6"/>
  <c r="AG155" i="6"/>
  <c r="AF155" i="6"/>
  <c r="AE155" i="6"/>
  <c r="AM154" i="6"/>
  <c r="AL154" i="6"/>
  <c r="AK154" i="6"/>
  <c r="AJ154" i="6"/>
  <c r="AI154" i="6"/>
  <c r="AG154" i="6"/>
  <c r="K154" i="7" s="1"/>
  <c r="AF154" i="6"/>
  <c r="AE154" i="6"/>
  <c r="AM153" i="6"/>
  <c r="AL153" i="6"/>
  <c r="AK153" i="6"/>
  <c r="AJ153" i="6"/>
  <c r="AI153" i="6"/>
  <c r="AG153" i="6"/>
  <c r="AF153" i="6"/>
  <c r="AE153" i="6"/>
  <c r="AH153" i="6" s="1"/>
  <c r="AN153" i="6" s="1"/>
  <c r="AM152" i="6"/>
  <c r="AL152" i="6"/>
  <c r="AK152" i="6"/>
  <c r="O152" i="7" s="1"/>
  <c r="AJ152" i="6"/>
  <c r="N152" i="7" s="1"/>
  <c r="AI152" i="6"/>
  <c r="AG152" i="6"/>
  <c r="AF152" i="6"/>
  <c r="AE152" i="6"/>
  <c r="AM151" i="6"/>
  <c r="AL151" i="6"/>
  <c r="AK151" i="6"/>
  <c r="AJ151" i="6"/>
  <c r="AI151" i="6"/>
  <c r="AG151" i="6"/>
  <c r="AF151" i="6"/>
  <c r="AE151" i="6"/>
  <c r="AM150" i="6"/>
  <c r="Q150" i="7" s="1"/>
  <c r="AL150" i="6"/>
  <c r="P150" i="7" s="1"/>
  <c r="AK150" i="6"/>
  <c r="AJ150" i="6"/>
  <c r="AI150" i="6"/>
  <c r="AG150" i="6"/>
  <c r="AF150" i="6"/>
  <c r="AE150" i="6"/>
  <c r="AM149" i="6"/>
  <c r="AL149" i="6"/>
  <c r="AK149" i="6"/>
  <c r="AJ149" i="6"/>
  <c r="AI149" i="6"/>
  <c r="AG149" i="6"/>
  <c r="AF149" i="6"/>
  <c r="J149" i="7" s="1"/>
  <c r="AE149" i="6"/>
  <c r="I149" i="7" s="1"/>
  <c r="AM148" i="6"/>
  <c r="AL148" i="6"/>
  <c r="AK148" i="6"/>
  <c r="AJ148" i="6"/>
  <c r="AI148" i="6"/>
  <c r="AG148" i="6"/>
  <c r="AF148" i="6"/>
  <c r="AE148" i="6"/>
  <c r="AH148" i="6" s="1"/>
  <c r="AM147" i="6"/>
  <c r="AL147" i="6"/>
  <c r="AK147" i="6"/>
  <c r="AJ147" i="6"/>
  <c r="AI147" i="6"/>
  <c r="M147" i="7" s="1"/>
  <c r="AG147" i="6"/>
  <c r="AF147" i="6"/>
  <c r="AE147" i="6"/>
  <c r="AM146" i="6"/>
  <c r="AL146" i="6"/>
  <c r="AK146" i="6"/>
  <c r="AJ146" i="6"/>
  <c r="AI146" i="6"/>
  <c r="AG146" i="6"/>
  <c r="AF146" i="6"/>
  <c r="AE146" i="6"/>
  <c r="AM145" i="6"/>
  <c r="AL145" i="6"/>
  <c r="AK145" i="6"/>
  <c r="O145" i="7" s="1"/>
  <c r="AJ145" i="6"/>
  <c r="N145" i="7" s="1"/>
  <c r="AI145" i="6"/>
  <c r="AH145" i="6"/>
  <c r="AG145" i="6"/>
  <c r="AF145" i="6"/>
  <c r="AE145" i="6"/>
  <c r="AM144" i="6"/>
  <c r="AL144" i="6"/>
  <c r="AK144" i="6"/>
  <c r="AJ144" i="6"/>
  <c r="AI144" i="6"/>
  <c r="AG144" i="6"/>
  <c r="AF144" i="6"/>
  <c r="AE144" i="6"/>
  <c r="I144" i="7" s="1"/>
  <c r="AM143" i="6"/>
  <c r="Q143" i="7" s="1"/>
  <c r="AL143" i="6"/>
  <c r="AK143" i="6"/>
  <c r="AJ143" i="6"/>
  <c r="AI143" i="6"/>
  <c r="AG143" i="6"/>
  <c r="AF143" i="6"/>
  <c r="AE143" i="6"/>
  <c r="AH143" i="6" s="1"/>
  <c r="AM142" i="6"/>
  <c r="AL142" i="6"/>
  <c r="AK142" i="6"/>
  <c r="AJ142" i="6"/>
  <c r="AI142" i="6"/>
  <c r="AG142" i="6"/>
  <c r="K142" i="7" s="1"/>
  <c r="AF142" i="6"/>
  <c r="J142" i="7" s="1"/>
  <c r="AE142" i="6"/>
  <c r="AM141" i="6"/>
  <c r="AL141" i="6"/>
  <c r="AK141" i="6"/>
  <c r="AJ141" i="6"/>
  <c r="AI141" i="6"/>
  <c r="AG141" i="6"/>
  <c r="AF141" i="6"/>
  <c r="AE141" i="6"/>
  <c r="AM140" i="6"/>
  <c r="AL140" i="6"/>
  <c r="AK140" i="6"/>
  <c r="AJ140" i="6"/>
  <c r="AI140" i="6"/>
  <c r="AG140" i="6"/>
  <c r="AF140" i="6"/>
  <c r="AE140" i="6"/>
  <c r="AM139" i="6"/>
  <c r="AL139" i="6"/>
  <c r="AK139" i="6"/>
  <c r="AJ139" i="6"/>
  <c r="AI139" i="6"/>
  <c r="AG139" i="6"/>
  <c r="AF139" i="6"/>
  <c r="AE139" i="6"/>
  <c r="AM138" i="6"/>
  <c r="AL138" i="6"/>
  <c r="AK138" i="6"/>
  <c r="AJ138" i="6"/>
  <c r="AI138" i="6"/>
  <c r="AG138" i="6"/>
  <c r="AF138" i="6"/>
  <c r="AE138" i="6"/>
  <c r="AM137" i="6"/>
  <c r="AL137" i="6"/>
  <c r="AK137" i="6"/>
  <c r="AJ137" i="6"/>
  <c r="AI137" i="6"/>
  <c r="AG137" i="6"/>
  <c r="AF137" i="6"/>
  <c r="AE137" i="6"/>
  <c r="AM136" i="6"/>
  <c r="AL136" i="6"/>
  <c r="AK136" i="6"/>
  <c r="AJ136" i="6"/>
  <c r="AI136" i="6"/>
  <c r="AG136" i="6"/>
  <c r="AF136" i="6"/>
  <c r="AE136" i="6"/>
  <c r="AM135" i="6"/>
  <c r="AL135" i="6"/>
  <c r="AK135" i="6"/>
  <c r="AJ135" i="6"/>
  <c r="AI135" i="6"/>
  <c r="AG135" i="6"/>
  <c r="AF135" i="6"/>
  <c r="AE135" i="6"/>
  <c r="AM134" i="6"/>
  <c r="AL134" i="6"/>
  <c r="AK134" i="6"/>
  <c r="AJ134" i="6"/>
  <c r="AI134" i="6"/>
  <c r="AG134" i="6"/>
  <c r="AF134" i="6"/>
  <c r="AE134" i="6"/>
  <c r="AH134" i="6" s="1"/>
  <c r="AN134" i="6" s="1"/>
  <c r="AM133" i="6"/>
  <c r="AL133" i="6"/>
  <c r="AK133" i="6"/>
  <c r="AJ133" i="6"/>
  <c r="AI133" i="6"/>
  <c r="AG133" i="6"/>
  <c r="AF133" i="6"/>
  <c r="AE133" i="6"/>
  <c r="AM132" i="6"/>
  <c r="AL132" i="6"/>
  <c r="AK132" i="6"/>
  <c r="AJ132" i="6"/>
  <c r="AI132" i="6"/>
  <c r="AG132" i="6"/>
  <c r="AF132" i="6"/>
  <c r="AE132" i="6"/>
  <c r="AM131" i="6"/>
  <c r="AL131" i="6"/>
  <c r="AK131" i="6"/>
  <c r="AJ131" i="6"/>
  <c r="AI131" i="6"/>
  <c r="AG131" i="6"/>
  <c r="AF131" i="6"/>
  <c r="AE131" i="6"/>
  <c r="AM130" i="6"/>
  <c r="AL130" i="6"/>
  <c r="AK130" i="6"/>
  <c r="AJ130" i="6"/>
  <c r="AI130" i="6"/>
  <c r="AG130" i="6"/>
  <c r="AF130" i="6"/>
  <c r="AE130" i="6"/>
  <c r="AM129" i="6"/>
  <c r="AL129" i="6"/>
  <c r="AK129" i="6"/>
  <c r="AJ129" i="6"/>
  <c r="AI129" i="6"/>
  <c r="AG129" i="6"/>
  <c r="AF129" i="6"/>
  <c r="AE129" i="6"/>
  <c r="AM128" i="6"/>
  <c r="AL128" i="6"/>
  <c r="AK128" i="6"/>
  <c r="AJ128" i="6"/>
  <c r="AI128" i="6"/>
  <c r="AG128" i="6"/>
  <c r="AF128" i="6"/>
  <c r="AE128" i="6"/>
  <c r="AM127" i="6"/>
  <c r="AL127" i="6"/>
  <c r="AK127" i="6"/>
  <c r="AJ127" i="6"/>
  <c r="AI127" i="6"/>
  <c r="AG127" i="6"/>
  <c r="AF127" i="6"/>
  <c r="AE127" i="6"/>
  <c r="AM126" i="6"/>
  <c r="AL126" i="6"/>
  <c r="AK126" i="6"/>
  <c r="AJ126" i="6"/>
  <c r="AI126" i="6"/>
  <c r="AG126" i="6"/>
  <c r="AF126" i="6"/>
  <c r="AE126" i="6"/>
  <c r="AM125" i="6"/>
  <c r="AL125" i="6"/>
  <c r="AK125" i="6"/>
  <c r="AJ125" i="6"/>
  <c r="AI125" i="6"/>
  <c r="AG125" i="6"/>
  <c r="AF125" i="6"/>
  <c r="AE125" i="6"/>
  <c r="AM124" i="6"/>
  <c r="AL124" i="6"/>
  <c r="AK124" i="6"/>
  <c r="AJ124" i="6"/>
  <c r="AI124" i="6"/>
  <c r="AG124" i="6"/>
  <c r="AF124" i="6"/>
  <c r="AE124" i="6"/>
  <c r="AM123" i="6"/>
  <c r="AL123" i="6"/>
  <c r="AK123" i="6"/>
  <c r="AJ123" i="6"/>
  <c r="AI123" i="6"/>
  <c r="AG123" i="6"/>
  <c r="AF123" i="6"/>
  <c r="AE123" i="6"/>
  <c r="AM122" i="6"/>
  <c r="AL122" i="6"/>
  <c r="AK122" i="6"/>
  <c r="AJ122" i="6"/>
  <c r="AI122" i="6"/>
  <c r="AG122" i="6"/>
  <c r="AF122" i="6"/>
  <c r="AE122" i="6"/>
  <c r="AM121" i="6"/>
  <c r="AL121" i="6"/>
  <c r="AK121" i="6"/>
  <c r="AJ121" i="6"/>
  <c r="AI121" i="6"/>
  <c r="AG121" i="6"/>
  <c r="AF121" i="6"/>
  <c r="AE121" i="6"/>
  <c r="AM120" i="6"/>
  <c r="AL120" i="6"/>
  <c r="AK120" i="6"/>
  <c r="AJ120" i="6"/>
  <c r="AI120" i="6"/>
  <c r="AG120" i="6"/>
  <c r="AF120" i="6"/>
  <c r="AE120" i="6"/>
  <c r="AM119" i="6"/>
  <c r="AL119" i="6"/>
  <c r="AK119" i="6"/>
  <c r="AJ119" i="6"/>
  <c r="AI119" i="6"/>
  <c r="AG119" i="6"/>
  <c r="AF119" i="6"/>
  <c r="AE119" i="6"/>
  <c r="AM118" i="6"/>
  <c r="AL118" i="6"/>
  <c r="AK118" i="6"/>
  <c r="AJ118" i="6"/>
  <c r="AI118" i="6"/>
  <c r="AG118" i="6"/>
  <c r="AF118" i="6"/>
  <c r="AE118" i="6"/>
  <c r="AM117" i="6"/>
  <c r="AL117" i="6"/>
  <c r="AK117" i="6"/>
  <c r="AJ117" i="6"/>
  <c r="AI117" i="6"/>
  <c r="AG117" i="6"/>
  <c r="AF117" i="6"/>
  <c r="AE117" i="6"/>
  <c r="AM116" i="6"/>
  <c r="AL116" i="6"/>
  <c r="AK116" i="6"/>
  <c r="AJ116" i="6"/>
  <c r="AI116" i="6"/>
  <c r="AG116" i="6"/>
  <c r="AF116" i="6"/>
  <c r="AE116" i="6"/>
  <c r="AM115" i="6"/>
  <c r="AL115" i="6"/>
  <c r="AK115" i="6"/>
  <c r="AJ115" i="6"/>
  <c r="AI115" i="6"/>
  <c r="AG115" i="6"/>
  <c r="AF115" i="6"/>
  <c r="AE115" i="6"/>
  <c r="AM114" i="6"/>
  <c r="AL114" i="6"/>
  <c r="AK114" i="6"/>
  <c r="AJ114" i="6"/>
  <c r="AI114" i="6"/>
  <c r="AG114" i="6"/>
  <c r="AF114" i="6"/>
  <c r="AE114" i="6"/>
  <c r="AM113" i="6"/>
  <c r="AL113" i="6"/>
  <c r="AK113" i="6"/>
  <c r="AJ113" i="6"/>
  <c r="AI113" i="6"/>
  <c r="AG113" i="6"/>
  <c r="AF113" i="6"/>
  <c r="AE113" i="6"/>
  <c r="AM112" i="6"/>
  <c r="AL112" i="6"/>
  <c r="AK112" i="6"/>
  <c r="AJ112" i="6"/>
  <c r="AI112" i="6"/>
  <c r="AG112" i="6"/>
  <c r="AF112" i="6"/>
  <c r="AE112" i="6"/>
  <c r="AM111" i="6"/>
  <c r="AL111" i="6"/>
  <c r="AK111" i="6"/>
  <c r="AJ111" i="6"/>
  <c r="AI111" i="6"/>
  <c r="AG111" i="6"/>
  <c r="AF111" i="6"/>
  <c r="AE111" i="6"/>
  <c r="AM110" i="6"/>
  <c r="AL110" i="6"/>
  <c r="AK110" i="6"/>
  <c r="AJ110" i="6"/>
  <c r="AI110" i="6"/>
  <c r="AG110" i="6"/>
  <c r="AF110" i="6"/>
  <c r="AE110" i="6"/>
  <c r="AM109" i="6"/>
  <c r="AL109" i="6"/>
  <c r="AK109" i="6"/>
  <c r="AJ109" i="6"/>
  <c r="AI109" i="6"/>
  <c r="AG109" i="6"/>
  <c r="AF109" i="6"/>
  <c r="AE109" i="6"/>
  <c r="AM108" i="6"/>
  <c r="AL108" i="6"/>
  <c r="AK108" i="6"/>
  <c r="AJ108" i="6"/>
  <c r="AI108" i="6"/>
  <c r="AG108" i="6"/>
  <c r="AF108" i="6"/>
  <c r="AE108" i="6"/>
  <c r="AM107" i="6"/>
  <c r="AL107" i="6"/>
  <c r="AK107" i="6"/>
  <c r="AJ107" i="6"/>
  <c r="AI107" i="6"/>
  <c r="AG107" i="6"/>
  <c r="AF107" i="6"/>
  <c r="AE107" i="6"/>
  <c r="AM106" i="6"/>
  <c r="AL106" i="6"/>
  <c r="AK106" i="6"/>
  <c r="AJ106" i="6"/>
  <c r="AI106" i="6"/>
  <c r="AG106" i="6"/>
  <c r="AF106" i="6"/>
  <c r="AE106" i="6"/>
  <c r="AM105" i="6"/>
  <c r="AL105" i="6"/>
  <c r="P105" i="7" s="1"/>
  <c r="AK105" i="6"/>
  <c r="AJ105" i="6"/>
  <c r="AI105" i="6"/>
  <c r="AG105" i="6"/>
  <c r="AF105" i="6"/>
  <c r="AE105" i="6"/>
  <c r="AM104" i="6"/>
  <c r="AL104" i="6"/>
  <c r="AK104" i="6"/>
  <c r="AJ104" i="6"/>
  <c r="AI104" i="6"/>
  <c r="AG104" i="6"/>
  <c r="AF104" i="6"/>
  <c r="AE104" i="6"/>
  <c r="AM103" i="6"/>
  <c r="AL103" i="6"/>
  <c r="AK103" i="6"/>
  <c r="AJ103" i="6"/>
  <c r="AI103" i="6"/>
  <c r="AG103" i="6"/>
  <c r="AF103" i="6"/>
  <c r="AE103" i="6"/>
  <c r="AM102" i="6"/>
  <c r="AL102" i="6"/>
  <c r="AK102" i="6"/>
  <c r="AJ102" i="6"/>
  <c r="AI102" i="6"/>
  <c r="M102" i="7" s="1"/>
  <c r="AG102" i="6"/>
  <c r="K102" i="7" s="1"/>
  <c r="AF102" i="6"/>
  <c r="AE102" i="6"/>
  <c r="AM101" i="6"/>
  <c r="AL101" i="6"/>
  <c r="AK101" i="6"/>
  <c r="AJ101" i="6"/>
  <c r="AI101" i="6"/>
  <c r="AG101" i="6"/>
  <c r="AF101" i="6"/>
  <c r="AE101" i="6"/>
  <c r="AM100" i="6"/>
  <c r="AL100" i="6"/>
  <c r="AK100" i="6"/>
  <c r="O100" i="7" s="1"/>
  <c r="AJ100" i="6"/>
  <c r="AI100" i="6"/>
  <c r="M100" i="7" s="1"/>
  <c r="AG100" i="6"/>
  <c r="AF100" i="6"/>
  <c r="AE100" i="6"/>
  <c r="AM99" i="6"/>
  <c r="AL99" i="6"/>
  <c r="AK99" i="6"/>
  <c r="AJ99" i="6"/>
  <c r="AI99" i="6"/>
  <c r="AG99" i="6"/>
  <c r="AF99" i="6"/>
  <c r="AE99" i="6"/>
  <c r="AM98" i="6"/>
  <c r="Q98" i="7" s="1"/>
  <c r="AL98" i="6"/>
  <c r="AK98" i="6"/>
  <c r="O98" i="7" s="1"/>
  <c r="AJ98" i="6"/>
  <c r="AI98" i="6"/>
  <c r="AG98" i="6"/>
  <c r="AF98" i="6"/>
  <c r="AE98" i="6"/>
  <c r="AM97" i="6"/>
  <c r="AL97" i="6"/>
  <c r="AK97" i="6"/>
  <c r="AJ97" i="6"/>
  <c r="AI97" i="6"/>
  <c r="AG97" i="6"/>
  <c r="AF97" i="6"/>
  <c r="J97" i="7" s="1"/>
  <c r="AE97" i="6"/>
  <c r="AM96" i="6"/>
  <c r="AL96" i="6"/>
  <c r="AK96" i="6"/>
  <c r="AJ96" i="6"/>
  <c r="AI96" i="6"/>
  <c r="AG96" i="6"/>
  <c r="AF96" i="6"/>
  <c r="AE96" i="6"/>
  <c r="AM95" i="6"/>
  <c r="AL95" i="6"/>
  <c r="AK95" i="6"/>
  <c r="AJ95" i="6"/>
  <c r="N95" i="7" s="1"/>
  <c r="AI95" i="6"/>
  <c r="AG95" i="6"/>
  <c r="AF95" i="6"/>
  <c r="AE95" i="6"/>
  <c r="AM94" i="6"/>
  <c r="AL94" i="6"/>
  <c r="AK94" i="6"/>
  <c r="AJ94" i="6"/>
  <c r="AI94" i="6"/>
  <c r="AG94" i="6"/>
  <c r="AF94" i="6"/>
  <c r="AE94" i="6"/>
  <c r="AM93" i="6"/>
  <c r="AL93" i="6"/>
  <c r="P93" i="7" s="1"/>
  <c r="AK93" i="6"/>
  <c r="AJ93" i="6"/>
  <c r="AI93" i="6"/>
  <c r="AG93" i="6"/>
  <c r="AF93" i="6"/>
  <c r="AE93" i="6"/>
  <c r="AM92" i="6"/>
  <c r="AL92" i="6"/>
  <c r="AK92" i="6"/>
  <c r="AJ92" i="6"/>
  <c r="AI92" i="6"/>
  <c r="AG92" i="6"/>
  <c r="AF92" i="6"/>
  <c r="AE92" i="6"/>
  <c r="AM91" i="6"/>
  <c r="AL91" i="6"/>
  <c r="AK91" i="6"/>
  <c r="AJ91" i="6"/>
  <c r="AI91" i="6"/>
  <c r="AG91" i="6"/>
  <c r="AF91" i="6"/>
  <c r="AE91" i="6"/>
  <c r="AM90" i="6"/>
  <c r="AL90" i="6"/>
  <c r="P90" i="7" s="1"/>
  <c r="AK90" i="6"/>
  <c r="AJ90" i="6"/>
  <c r="AI90" i="6"/>
  <c r="AG90" i="6"/>
  <c r="AF90" i="6"/>
  <c r="AE90" i="6"/>
  <c r="AM89" i="6"/>
  <c r="AL89" i="6"/>
  <c r="AK89" i="6"/>
  <c r="AJ89" i="6"/>
  <c r="AI89" i="6"/>
  <c r="AG89" i="6"/>
  <c r="AF89" i="6"/>
  <c r="AE89" i="6"/>
  <c r="AP88" i="6"/>
  <c r="AM88" i="6"/>
  <c r="AL88" i="6"/>
  <c r="AK88" i="6"/>
  <c r="AJ88" i="6"/>
  <c r="AI88" i="6"/>
  <c r="AH88" i="6"/>
  <c r="AQ88" i="6" s="1"/>
  <c r="AG88" i="6"/>
  <c r="AF88" i="6"/>
  <c r="AE88" i="6"/>
  <c r="AM87" i="6"/>
  <c r="AL87" i="6"/>
  <c r="AK87" i="6"/>
  <c r="AJ87" i="6"/>
  <c r="AI87" i="6"/>
  <c r="AG87" i="6"/>
  <c r="AF87" i="6"/>
  <c r="AE87" i="6"/>
  <c r="AM86" i="6"/>
  <c r="AL86" i="6"/>
  <c r="AK86" i="6"/>
  <c r="AJ86" i="6"/>
  <c r="AI86" i="6"/>
  <c r="AG86" i="6"/>
  <c r="AF86" i="6"/>
  <c r="AE86" i="6"/>
  <c r="AM85" i="6"/>
  <c r="AL85" i="6"/>
  <c r="AK85" i="6"/>
  <c r="AJ85" i="6"/>
  <c r="AI85" i="6"/>
  <c r="M85" i="7" s="1"/>
  <c r="AG85" i="6"/>
  <c r="AF85" i="6"/>
  <c r="AE85" i="6"/>
  <c r="AM84" i="6"/>
  <c r="AL84" i="6"/>
  <c r="AK84" i="6"/>
  <c r="AJ84" i="6"/>
  <c r="AI84" i="6"/>
  <c r="AG84" i="6"/>
  <c r="AF84" i="6"/>
  <c r="AE84" i="6"/>
  <c r="AM83" i="6"/>
  <c r="AL83" i="6"/>
  <c r="AK83" i="6"/>
  <c r="O83" i="7" s="1"/>
  <c r="AJ83" i="6"/>
  <c r="AI83" i="6"/>
  <c r="AG83" i="6"/>
  <c r="AF83" i="6"/>
  <c r="AE83" i="6"/>
  <c r="AM82" i="6"/>
  <c r="AL82" i="6"/>
  <c r="AK82" i="6"/>
  <c r="AJ82" i="6"/>
  <c r="AI82" i="6"/>
  <c r="AG82" i="6"/>
  <c r="AF82" i="6"/>
  <c r="AE82" i="6"/>
  <c r="I82" i="7" s="1"/>
  <c r="AM81" i="6"/>
  <c r="AL81" i="6"/>
  <c r="AK81" i="6"/>
  <c r="AJ81" i="6"/>
  <c r="AI81" i="6"/>
  <c r="AG81" i="6"/>
  <c r="AF81" i="6"/>
  <c r="AE81" i="6"/>
  <c r="AM80" i="6"/>
  <c r="AL80" i="6"/>
  <c r="AK80" i="6"/>
  <c r="AJ80" i="6"/>
  <c r="AI80" i="6"/>
  <c r="AG80" i="6"/>
  <c r="AF80" i="6"/>
  <c r="AE80" i="6"/>
  <c r="AM79" i="6"/>
  <c r="AL79" i="6"/>
  <c r="AK79" i="6"/>
  <c r="AJ79" i="6"/>
  <c r="AI79" i="6"/>
  <c r="AG79" i="6"/>
  <c r="AF79" i="6"/>
  <c r="AE79" i="6"/>
  <c r="I79" i="7" s="1"/>
  <c r="AM78" i="6"/>
  <c r="AL78" i="6"/>
  <c r="AK78" i="6"/>
  <c r="AJ78" i="6"/>
  <c r="AI78" i="6"/>
  <c r="AG78" i="6"/>
  <c r="AF78" i="6"/>
  <c r="AE78" i="6"/>
  <c r="AM77" i="6"/>
  <c r="AL77" i="6"/>
  <c r="AK77" i="6"/>
  <c r="AJ77" i="6"/>
  <c r="AI77" i="6"/>
  <c r="AG77" i="6"/>
  <c r="AF77" i="6"/>
  <c r="AE77" i="6"/>
  <c r="AM76" i="6"/>
  <c r="AL76" i="6"/>
  <c r="AK76" i="6"/>
  <c r="AJ76" i="6"/>
  <c r="AI76" i="6"/>
  <c r="AG76" i="6"/>
  <c r="AF76" i="6"/>
  <c r="AE76" i="6"/>
  <c r="AM75" i="6"/>
  <c r="AL75" i="6"/>
  <c r="AK75" i="6"/>
  <c r="AJ75" i="6"/>
  <c r="AI75" i="6"/>
  <c r="AG75" i="6"/>
  <c r="AF75" i="6"/>
  <c r="AE75" i="6"/>
  <c r="AM74" i="6"/>
  <c r="AL74" i="6"/>
  <c r="AK74" i="6"/>
  <c r="AJ74" i="6"/>
  <c r="AI74" i="6"/>
  <c r="AG74" i="6"/>
  <c r="AF74" i="6"/>
  <c r="AE74" i="6"/>
  <c r="AM73" i="6"/>
  <c r="AL73" i="6"/>
  <c r="AK73" i="6"/>
  <c r="AJ73" i="6"/>
  <c r="AI73" i="6"/>
  <c r="M73" i="7" s="1"/>
  <c r="AH73" i="6"/>
  <c r="AN73" i="6" s="1"/>
  <c r="AG73" i="6"/>
  <c r="AF73" i="6"/>
  <c r="AE73" i="6"/>
  <c r="AM72" i="6"/>
  <c r="AL72" i="6"/>
  <c r="AK72" i="6"/>
  <c r="AJ72" i="6"/>
  <c r="AI72" i="6"/>
  <c r="AG72" i="6"/>
  <c r="AF72" i="6"/>
  <c r="AE72" i="6"/>
  <c r="AM71" i="6"/>
  <c r="AL71" i="6"/>
  <c r="AK71" i="6"/>
  <c r="AJ71" i="6"/>
  <c r="AI71" i="6"/>
  <c r="AG71" i="6"/>
  <c r="AF71" i="6"/>
  <c r="AE71" i="6"/>
  <c r="AM70" i="6"/>
  <c r="AL70" i="6"/>
  <c r="AK70" i="6"/>
  <c r="O70" i="7" s="1"/>
  <c r="AJ70" i="6"/>
  <c r="AI70" i="6"/>
  <c r="AG70" i="6"/>
  <c r="AF70" i="6"/>
  <c r="AE70" i="6"/>
  <c r="AM69" i="6"/>
  <c r="AL69" i="6"/>
  <c r="AK69" i="6"/>
  <c r="AJ69" i="6"/>
  <c r="AI69" i="6"/>
  <c r="AG69" i="6"/>
  <c r="AF69" i="6"/>
  <c r="AE69" i="6"/>
  <c r="AN68" i="6"/>
  <c r="AM68" i="6"/>
  <c r="Q68" i="7" s="1"/>
  <c r="AL68" i="6"/>
  <c r="AK68" i="6"/>
  <c r="AJ68" i="6"/>
  <c r="AI68" i="6"/>
  <c r="AH68" i="6"/>
  <c r="AG68" i="6"/>
  <c r="AF68" i="6"/>
  <c r="AE68" i="6"/>
  <c r="AM67" i="6"/>
  <c r="Q67" i="7" s="1"/>
  <c r="AL67" i="6"/>
  <c r="AK67" i="6"/>
  <c r="AJ67" i="6"/>
  <c r="AI67" i="6"/>
  <c r="AG67" i="6"/>
  <c r="AF67" i="6"/>
  <c r="AE67" i="6"/>
  <c r="AM66" i="6"/>
  <c r="AL66" i="6"/>
  <c r="AK66" i="6"/>
  <c r="AJ66" i="6"/>
  <c r="AI66" i="6"/>
  <c r="AG66" i="6"/>
  <c r="AF66" i="6"/>
  <c r="AE66" i="6"/>
  <c r="AM65" i="6"/>
  <c r="AL65" i="6"/>
  <c r="AK65" i="6"/>
  <c r="AJ65" i="6"/>
  <c r="N65" i="7" s="1"/>
  <c r="AI65" i="6"/>
  <c r="AG65" i="6"/>
  <c r="AF65" i="6"/>
  <c r="AE65" i="6"/>
  <c r="AM64" i="6"/>
  <c r="AL64" i="6"/>
  <c r="AK64" i="6"/>
  <c r="AJ64" i="6"/>
  <c r="N64" i="7" s="1"/>
  <c r="AI64" i="6"/>
  <c r="AG64" i="6"/>
  <c r="AF64" i="6"/>
  <c r="AE64" i="6"/>
  <c r="AM63" i="6"/>
  <c r="AL63" i="6"/>
  <c r="AK63" i="6"/>
  <c r="AJ63" i="6"/>
  <c r="AI63" i="6"/>
  <c r="AG63" i="6"/>
  <c r="AF63" i="6"/>
  <c r="AE63" i="6"/>
  <c r="AM62" i="6"/>
  <c r="AL62" i="6"/>
  <c r="P62" i="7" s="1"/>
  <c r="AK62" i="6"/>
  <c r="AJ62" i="6"/>
  <c r="AI62" i="6"/>
  <c r="AG62" i="6"/>
  <c r="K62" i="7" s="1"/>
  <c r="AF62" i="6"/>
  <c r="AE62" i="6"/>
  <c r="AM61" i="6"/>
  <c r="AL61" i="6"/>
  <c r="AK61" i="6"/>
  <c r="AJ61" i="6"/>
  <c r="AI61" i="6"/>
  <c r="AG61" i="6"/>
  <c r="AF61" i="6"/>
  <c r="AE61" i="6"/>
  <c r="AM60" i="6"/>
  <c r="AL60" i="6"/>
  <c r="AK60" i="6"/>
  <c r="AJ60" i="6"/>
  <c r="AI60" i="6"/>
  <c r="AG60" i="6"/>
  <c r="AF60" i="6"/>
  <c r="AE60" i="6"/>
  <c r="AM59" i="6"/>
  <c r="AL59" i="6"/>
  <c r="AK59" i="6"/>
  <c r="AJ59" i="6"/>
  <c r="AI59" i="6"/>
  <c r="AG59" i="6"/>
  <c r="AF59" i="6"/>
  <c r="AE59" i="6"/>
  <c r="AM58" i="6"/>
  <c r="AL58" i="6"/>
  <c r="AK58" i="6"/>
  <c r="AJ58" i="6"/>
  <c r="AI58" i="6"/>
  <c r="AG58" i="6"/>
  <c r="AF58" i="6"/>
  <c r="AE58" i="6"/>
  <c r="AM57" i="6"/>
  <c r="AL57" i="6"/>
  <c r="AK57" i="6"/>
  <c r="AJ57" i="6"/>
  <c r="AI57" i="6"/>
  <c r="AG57" i="6"/>
  <c r="AF57" i="6"/>
  <c r="AE57" i="6"/>
  <c r="AM56" i="6"/>
  <c r="AL56" i="6"/>
  <c r="AK56" i="6"/>
  <c r="AJ56" i="6"/>
  <c r="AI56" i="6"/>
  <c r="AG56" i="6"/>
  <c r="AF56" i="6"/>
  <c r="AE56" i="6"/>
  <c r="AM55" i="6"/>
  <c r="AL55" i="6"/>
  <c r="AK55" i="6"/>
  <c r="AJ55" i="6"/>
  <c r="AI55" i="6"/>
  <c r="AG55" i="6"/>
  <c r="AF55" i="6"/>
  <c r="AE55" i="6"/>
  <c r="AM54" i="6"/>
  <c r="AL54" i="6"/>
  <c r="AK54" i="6"/>
  <c r="AJ54" i="6"/>
  <c r="AI54" i="6"/>
  <c r="AG54" i="6"/>
  <c r="AF54" i="6"/>
  <c r="AE54" i="6"/>
  <c r="AM53" i="6"/>
  <c r="AL53" i="6"/>
  <c r="AK53" i="6"/>
  <c r="AJ53" i="6"/>
  <c r="AI53" i="6"/>
  <c r="AG53" i="6"/>
  <c r="AF53" i="6"/>
  <c r="AE53" i="6"/>
  <c r="AM52" i="6"/>
  <c r="Q52" i="7" s="1"/>
  <c r="AL52" i="6"/>
  <c r="AK52" i="6"/>
  <c r="AJ52" i="6"/>
  <c r="AI52" i="6"/>
  <c r="AG52" i="6"/>
  <c r="AF52" i="6"/>
  <c r="AE52" i="6"/>
  <c r="AM51" i="6"/>
  <c r="AL51" i="6"/>
  <c r="AK51" i="6"/>
  <c r="AJ51" i="6"/>
  <c r="AI51" i="6"/>
  <c r="AG51" i="6"/>
  <c r="AF51" i="6"/>
  <c r="AE51" i="6"/>
  <c r="AM50" i="6"/>
  <c r="AL50" i="6"/>
  <c r="AK50" i="6"/>
  <c r="AJ50" i="6"/>
  <c r="AI50" i="6"/>
  <c r="AG50" i="6"/>
  <c r="AF50" i="6"/>
  <c r="AE50" i="6"/>
  <c r="AM49" i="6"/>
  <c r="AL49" i="6"/>
  <c r="AK49" i="6"/>
  <c r="AJ49" i="6"/>
  <c r="AI49" i="6"/>
  <c r="AG49" i="6"/>
  <c r="AF49" i="6"/>
  <c r="AE49" i="6"/>
  <c r="AM48" i="6"/>
  <c r="AL48" i="6"/>
  <c r="AK48" i="6"/>
  <c r="AJ48" i="6"/>
  <c r="AI48" i="6"/>
  <c r="AG48" i="6"/>
  <c r="AF48" i="6"/>
  <c r="AE48" i="6"/>
  <c r="AN47" i="6"/>
  <c r="AM47" i="6"/>
  <c r="AL47" i="6"/>
  <c r="AK47" i="6"/>
  <c r="AJ47" i="6"/>
  <c r="AI47" i="6"/>
  <c r="AH47" i="6"/>
  <c r="AG47" i="6"/>
  <c r="AF47" i="6"/>
  <c r="AE47" i="6"/>
  <c r="AM46" i="6"/>
  <c r="AL46" i="6"/>
  <c r="AK46" i="6"/>
  <c r="AJ46" i="6"/>
  <c r="AI46" i="6"/>
  <c r="M46" i="7" s="1"/>
  <c r="AG46" i="6"/>
  <c r="K46" i="7" s="1"/>
  <c r="AF46" i="6"/>
  <c r="AE46" i="6"/>
  <c r="AM45" i="6"/>
  <c r="AL45" i="6"/>
  <c r="AK45" i="6"/>
  <c r="AJ45" i="6"/>
  <c r="AI45" i="6"/>
  <c r="AG45" i="6"/>
  <c r="AF45" i="6"/>
  <c r="AE45" i="6"/>
  <c r="AM44" i="6"/>
  <c r="AL44" i="6"/>
  <c r="AK44" i="6"/>
  <c r="AJ44" i="6"/>
  <c r="AI44" i="6"/>
  <c r="M44" i="7" s="1"/>
  <c r="AG44" i="6"/>
  <c r="AF44" i="6"/>
  <c r="AE44" i="6"/>
  <c r="AM43" i="6"/>
  <c r="AL43" i="6"/>
  <c r="AK43" i="6"/>
  <c r="AJ43" i="6"/>
  <c r="AI43" i="6"/>
  <c r="AG43" i="6"/>
  <c r="AF43" i="6"/>
  <c r="AE43" i="6"/>
  <c r="AM42" i="6"/>
  <c r="Q42" i="7" s="1"/>
  <c r="AL42" i="6"/>
  <c r="AK42" i="6"/>
  <c r="O42" i="7" s="1"/>
  <c r="AJ42" i="6"/>
  <c r="AI42" i="6"/>
  <c r="AG42" i="6"/>
  <c r="AF42" i="6"/>
  <c r="AE42" i="6"/>
  <c r="AM41" i="6"/>
  <c r="AL41" i="6"/>
  <c r="AK41" i="6"/>
  <c r="AJ41" i="6"/>
  <c r="AI41" i="6"/>
  <c r="AG41" i="6"/>
  <c r="AF41" i="6"/>
  <c r="J41" i="7" s="1"/>
  <c r="AE41" i="6"/>
  <c r="AM40" i="6"/>
  <c r="Q40" i="7" s="1"/>
  <c r="AL40" i="6"/>
  <c r="AK40" i="6"/>
  <c r="AJ40" i="6"/>
  <c r="AI40" i="6"/>
  <c r="AH40" i="6"/>
  <c r="AG40" i="6"/>
  <c r="AF40" i="6"/>
  <c r="AE40" i="6"/>
  <c r="AM39" i="6"/>
  <c r="AL39" i="6"/>
  <c r="P39" i="7" s="1"/>
  <c r="AK39" i="6"/>
  <c r="AJ39" i="6"/>
  <c r="AI39" i="6"/>
  <c r="AG39" i="6"/>
  <c r="AF39" i="6"/>
  <c r="AE39" i="6"/>
  <c r="AM38" i="6"/>
  <c r="AL38" i="6"/>
  <c r="AK38" i="6"/>
  <c r="AJ38" i="6"/>
  <c r="AI38" i="6"/>
  <c r="AG38" i="6"/>
  <c r="AF38" i="6"/>
  <c r="AE38" i="6"/>
  <c r="I38" i="7" s="1"/>
  <c r="AM37" i="6"/>
  <c r="AL37" i="6"/>
  <c r="AK37" i="6"/>
  <c r="AJ37" i="6"/>
  <c r="AI37" i="6"/>
  <c r="AG37" i="6"/>
  <c r="AF37" i="6"/>
  <c r="AE37" i="6"/>
  <c r="AM36" i="6"/>
  <c r="AL36" i="6"/>
  <c r="AK36" i="6"/>
  <c r="AJ36" i="6"/>
  <c r="N36" i="7" s="1"/>
  <c r="AI36" i="6"/>
  <c r="AG36" i="6"/>
  <c r="K36" i="7" s="1"/>
  <c r="AF36" i="6"/>
  <c r="AE36" i="6"/>
  <c r="AM35" i="6"/>
  <c r="AL35" i="6"/>
  <c r="AK35" i="6"/>
  <c r="AJ35" i="6"/>
  <c r="AI35" i="6"/>
  <c r="AH35" i="6"/>
  <c r="AG35" i="6"/>
  <c r="AF35" i="6"/>
  <c r="AE35" i="6"/>
  <c r="AM34" i="6"/>
  <c r="AL34" i="6"/>
  <c r="P34" i="7" s="1"/>
  <c r="AK34" i="6"/>
  <c r="AJ34" i="6"/>
  <c r="AI34" i="6"/>
  <c r="AG34" i="6"/>
  <c r="K34" i="7" s="1"/>
  <c r="AF34" i="6"/>
  <c r="AE34" i="6"/>
  <c r="AM33" i="6"/>
  <c r="AL33" i="6"/>
  <c r="AK33" i="6"/>
  <c r="AJ33" i="6"/>
  <c r="AI33" i="6"/>
  <c r="AG33" i="6"/>
  <c r="AF33" i="6"/>
  <c r="AE33" i="6"/>
  <c r="AM32" i="6"/>
  <c r="AL32" i="6"/>
  <c r="AK32" i="6"/>
  <c r="AJ32" i="6"/>
  <c r="AI32" i="6"/>
  <c r="AG32" i="6"/>
  <c r="AF32" i="6"/>
  <c r="AE32" i="6"/>
  <c r="AM31" i="6"/>
  <c r="AL31" i="6"/>
  <c r="P31" i="7" s="1"/>
  <c r="AK31" i="6"/>
  <c r="O31" i="7" s="1"/>
  <c r="AJ31" i="6"/>
  <c r="AI31" i="6"/>
  <c r="M31" i="7" s="1"/>
  <c r="AG31" i="6"/>
  <c r="AF31" i="6"/>
  <c r="AE31" i="6"/>
  <c r="AM30" i="6"/>
  <c r="AL30" i="6"/>
  <c r="AK30" i="6"/>
  <c r="AJ30" i="6"/>
  <c r="AI30" i="6"/>
  <c r="AG30" i="6"/>
  <c r="AF30" i="6"/>
  <c r="AE30" i="6"/>
  <c r="AM29" i="6"/>
  <c r="AL29" i="6"/>
  <c r="AK29" i="6"/>
  <c r="O29" i="7" s="1"/>
  <c r="AJ29" i="6"/>
  <c r="AI29" i="6"/>
  <c r="AG29" i="6"/>
  <c r="AF29" i="6"/>
  <c r="J29" i="7" s="1"/>
  <c r="AE29" i="6"/>
  <c r="AM28" i="6"/>
  <c r="AL28" i="6"/>
  <c r="AK28" i="6"/>
  <c r="O28" i="7" s="1"/>
  <c r="AJ28" i="6"/>
  <c r="AI28" i="6"/>
  <c r="AG28" i="6"/>
  <c r="AF28" i="6"/>
  <c r="AE28" i="6"/>
  <c r="AM27" i="6"/>
  <c r="AL27" i="6"/>
  <c r="AK27" i="6"/>
  <c r="AJ27" i="6"/>
  <c r="AI27" i="6"/>
  <c r="AG27" i="6"/>
  <c r="AF27" i="6"/>
  <c r="AE27" i="6"/>
  <c r="AM26" i="6"/>
  <c r="Q26" i="7" s="1"/>
  <c r="AL26" i="6"/>
  <c r="AK26" i="6"/>
  <c r="AJ26" i="6"/>
  <c r="AI26" i="6"/>
  <c r="AG26" i="6"/>
  <c r="K26" i="7" s="1"/>
  <c r="AF26" i="6"/>
  <c r="AE26" i="6"/>
  <c r="AM25" i="6"/>
  <c r="AL25" i="6"/>
  <c r="AK25" i="6"/>
  <c r="AJ25" i="6"/>
  <c r="AI25" i="6"/>
  <c r="AG25" i="6"/>
  <c r="AF25" i="6"/>
  <c r="AE25" i="6"/>
  <c r="AM24" i="6"/>
  <c r="Q24" i="7" s="1"/>
  <c r="AL24" i="6"/>
  <c r="AK24" i="6"/>
  <c r="AJ24" i="6"/>
  <c r="AI24" i="6"/>
  <c r="AG24" i="6"/>
  <c r="AF24" i="6"/>
  <c r="AE24" i="6"/>
  <c r="AM23" i="6"/>
  <c r="AL23" i="6"/>
  <c r="AK23" i="6"/>
  <c r="AJ23" i="6"/>
  <c r="AI23" i="6"/>
  <c r="AH23" i="6"/>
  <c r="AG23" i="6"/>
  <c r="AF23" i="6"/>
  <c r="AE23" i="6"/>
  <c r="AM22" i="6"/>
  <c r="AL22" i="6"/>
  <c r="AK22" i="6"/>
  <c r="AJ22" i="6"/>
  <c r="N22" i="7" s="1"/>
  <c r="AI22" i="6"/>
  <c r="AG22" i="6"/>
  <c r="AF22" i="6"/>
  <c r="AE22" i="6"/>
  <c r="AM21" i="6"/>
  <c r="AL21" i="6"/>
  <c r="AK21" i="6"/>
  <c r="AJ21" i="6"/>
  <c r="AI21" i="6"/>
  <c r="AG21" i="6"/>
  <c r="AF21" i="6"/>
  <c r="AE21" i="6"/>
  <c r="AM20" i="6"/>
  <c r="AL20" i="6"/>
  <c r="P20" i="7" s="1"/>
  <c r="AK20" i="6"/>
  <c r="AJ20" i="6"/>
  <c r="AI20" i="6"/>
  <c r="AG20" i="6"/>
  <c r="AF20" i="6"/>
  <c r="AE20" i="6"/>
  <c r="AM19" i="6"/>
  <c r="AL19" i="6"/>
  <c r="AK19" i="6"/>
  <c r="AJ19" i="6"/>
  <c r="AI19" i="6"/>
  <c r="AG19" i="6"/>
  <c r="AF19" i="6"/>
  <c r="AE19" i="6"/>
  <c r="AM18" i="6"/>
  <c r="AL18" i="6"/>
  <c r="AK18" i="6"/>
  <c r="AJ18" i="6"/>
  <c r="AI18" i="6"/>
  <c r="M18" i="7" s="1"/>
  <c r="AG18" i="6"/>
  <c r="K18" i="7" s="1"/>
  <c r="AF18" i="6"/>
  <c r="AE18" i="6"/>
  <c r="AM17" i="6"/>
  <c r="Q17" i="7" s="1"/>
  <c r="AL17" i="6"/>
  <c r="AK17" i="6"/>
  <c r="AJ17" i="6"/>
  <c r="AI17" i="6"/>
  <c r="AG17" i="6"/>
  <c r="AF17" i="6"/>
  <c r="AE17" i="6"/>
  <c r="AM16" i="6"/>
  <c r="Q16" i="7" s="1"/>
  <c r="AL16" i="6"/>
  <c r="AK16" i="6"/>
  <c r="AJ16" i="6"/>
  <c r="AI16" i="6"/>
  <c r="AG16" i="6"/>
  <c r="AF16" i="6"/>
  <c r="AE16" i="6"/>
  <c r="AM15" i="6"/>
  <c r="AL15" i="6"/>
  <c r="AK15" i="6"/>
  <c r="AJ15" i="6"/>
  <c r="AI15" i="6"/>
  <c r="AG15" i="6"/>
  <c r="AF15" i="6"/>
  <c r="J15" i="7" s="1"/>
  <c r="AE15" i="6"/>
  <c r="AM14" i="6"/>
  <c r="AL14" i="6"/>
  <c r="AK14" i="6"/>
  <c r="AJ14" i="6"/>
  <c r="AI14" i="6"/>
  <c r="AG14" i="6"/>
  <c r="AF14" i="6"/>
  <c r="AE14" i="6"/>
  <c r="AM13" i="6"/>
  <c r="AL13" i="6"/>
  <c r="AK13" i="6"/>
  <c r="O13" i="7" s="1"/>
  <c r="AJ13" i="6"/>
  <c r="AI13" i="6"/>
  <c r="AG13" i="6"/>
  <c r="AF13" i="6"/>
  <c r="J13" i="7" s="1"/>
  <c r="AE13" i="6"/>
  <c r="AM12" i="6"/>
  <c r="Q12" i="7" s="1"/>
  <c r="AL12" i="6"/>
  <c r="AK12" i="6"/>
  <c r="AJ12" i="6"/>
  <c r="AI12" i="6"/>
  <c r="AG12" i="6"/>
  <c r="AF12" i="6"/>
  <c r="AE12" i="6"/>
  <c r="AM11" i="6"/>
  <c r="AL11" i="6"/>
  <c r="AK11" i="6"/>
  <c r="AJ11" i="6"/>
  <c r="AI11" i="6"/>
  <c r="AG11" i="6"/>
  <c r="AF11" i="6"/>
  <c r="AE11" i="6"/>
  <c r="AM10" i="6"/>
  <c r="AL10" i="6"/>
  <c r="AK10" i="6"/>
  <c r="AJ10" i="6"/>
  <c r="AI10" i="6"/>
  <c r="AG10" i="6"/>
  <c r="AF10" i="6"/>
  <c r="AE10" i="6"/>
  <c r="AM9" i="6"/>
  <c r="AL9" i="6"/>
  <c r="AK9" i="6"/>
  <c r="AJ9" i="6"/>
  <c r="AI9" i="6"/>
  <c r="AG9" i="6"/>
  <c r="AF9" i="6"/>
  <c r="AE9" i="6"/>
  <c r="I9" i="7" s="1"/>
  <c r="AM8" i="6"/>
  <c r="AL8" i="6"/>
  <c r="P8" i="7" s="1"/>
  <c r="AK8" i="6"/>
  <c r="AJ8" i="6"/>
  <c r="N8" i="7" s="1"/>
  <c r="AI8" i="6"/>
  <c r="AG8" i="6"/>
  <c r="AF8" i="6"/>
  <c r="AE8" i="6"/>
  <c r="AM7" i="6"/>
  <c r="AL7" i="6"/>
  <c r="AK7" i="6"/>
  <c r="AJ7" i="6"/>
  <c r="N7" i="7" s="1"/>
  <c r="AI7" i="6"/>
  <c r="AG7" i="6"/>
  <c r="K7" i="7" s="1"/>
  <c r="AF7" i="6"/>
  <c r="J7" i="7" s="1"/>
  <c r="AE7" i="6"/>
  <c r="AM6" i="6"/>
  <c r="Q6" i="7" s="1"/>
  <c r="AL6" i="6"/>
  <c r="AK6" i="6"/>
  <c r="AJ6" i="6"/>
  <c r="AI6" i="6"/>
  <c r="AG6" i="6"/>
  <c r="K6" i="7" s="1"/>
  <c r="AF6" i="6"/>
  <c r="AE6" i="6"/>
  <c r="AM5" i="6"/>
  <c r="AL5" i="6"/>
  <c r="AK5" i="6"/>
  <c r="AJ5" i="6"/>
  <c r="AI5" i="6"/>
  <c r="M5" i="7" s="1"/>
  <c r="AG5" i="6"/>
  <c r="AF5" i="6"/>
  <c r="AE5" i="6"/>
  <c r="AM4" i="6"/>
  <c r="AL4" i="6"/>
  <c r="AK4" i="6"/>
  <c r="AJ4" i="6"/>
  <c r="AI4" i="6"/>
  <c r="AG4" i="6"/>
  <c r="K4" i="7" s="1"/>
  <c r="AF4" i="6"/>
  <c r="J4" i="7" s="1"/>
  <c r="AE4" i="6"/>
  <c r="AM3" i="6"/>
  <c r="AL3" i="6"/>
  <c r="AK3" i="6"/>
  <c r="O3" i="7" s="1"/>
  <c r="AJ3" i="6"/>
  <c r="AI3" i="6"/>
  <c r="M3" i="7" s="1"/>
  <c r="AG3" i="6"/>
  <c r="AF3" i="6"/>
  <c r="AE3" i="6"/>
  <c r="AF2" i="6"/>
  <c r="AR27" i="5"/>
  <c r="AR43" i="5"/>
  <c r="AQ32" i="5"/>
  <c r="AQ82" i="5"/>
  <c r="AQ83" i="5"/>
  <c r="AQ133" i="5"/>
  <c r="AQ134" i="5"/>
  <c r="AQ145" i="5"/>
  <c r="AP37" i="5"/>
  <c r="AO27" i="5"/>
  <c r="AO39" i="5"/>
  <c r="AO82" i="5"/>
  <c r="AO132" i="5"/>
  <c r="AN27" i="5"/>
  <c r="AN36" i="5"/>
  <c r="AG2" i="5"/>
  <c r="AM2" i="5"/>
  <c r="AG3" i="5"/>
  <c r="AM3" i="5"/>
  <c r="AM4" i="5"/>
  <c r="AM5" i="5"/>
  <c r="AM6" i="5"/>
  <c r="AM7" i="5"/>
  <c r="AR7" i="5" s="1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R21" i="5" s="1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R35" i="5" s="1"/>
  <c r="AM36" i="5"/>
  <c r="AM37" i="5"/>
  <c r="AM38" i="5"/>
  <c r="AM39" i="5"/>
  <c r="AM40" i="5"/>
  <c r="AM41" i="5"/>
  <c r="AM42" i="5"/>
  <c r="AM43" i="5"/>
  <c r="AM44" i="5"/>
  <c r="AM45" i="5"/>
  <c r="AM46" i="5"/>
  <c r="AM47" i="5"/>
  <c r="AR47" i="5" s="1"/>
  <c r="AM48" i="5"/>
  <c r="AR48" i="5" s="1"/>
  <c r="AM49" i="5"/>
  <c r="AR49" i="5" s="1"/>
  <c r="AM50" i="5"/>
  <c r="AM51" i="5"/>
  <c r="AM52" i="5"/>
  <c r="AM53" i="5"/>
  <c r="AM54" i="5"/>
  <c r="AM55" i="5"/>
  <c r="AM56" i="5"/>
  <c r="AM57" i="5"/>
  <c r="AM58" i="5"/>
  <c r="AM59" i="5"/>
  <c r="AM60" i="5"/>
  <c r="AR60" i="5" s="1"/>
  <c r="AM61" i="5"/>
  <c r="AM62" i="5"/>
  <c r="AM63" i="5"/>
  <c r="AR63" i="5" s="1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R76" i="5" s="1"/>
  <c r="AM77" i="5"/>
  <c r="AR77" i="5" s="1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R102" i="5" s="1"/>
  <c r="AM103" i="5"/>
  <c r="AR103" i="5" s="1"/>
  <c r="AM104" i="5"/>
  <c r="AR104" i="5" s="1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R117" i="5" s="1"/>
  <c r="AM118" i="5"/>
  <c r="AR118" i="5" s="1"/>
  <c r="AM119" i="5"/>
  <c r="AR119" i="5" s="1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R132" i="5" s="1"/>
  <c r="AM133" i="5"/>
  <c r="AR133" i="5" s="1"/>
  <c r="AM134" i="5"/>
  <c r="AM135" i="5"/>
  <c r="AM136" i="5"/>
  <c r="AM137" i="5"/>
  <c r="AM138" i="5"/>
  <c r="AM139" i="5"/>
  <c r="AM140" i="5"/>
  <c r="AM141" i="5"/>
  <c r="AR141" i="5" s="1"/>
  <c r="AM142" i="5"/>
  <c r="AM143" i="5"/>
  <c r="AM144" i="5"/>
  <c r="AM145" i="5"/>
  <c r="AM146" i="5"/>
  <c r="AM147" i="5"/>
  <c r="AR147" i="5" s="1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R160" i="5" s="1"/>
  <c r="AM161" i="5"/>
  <c r="AL3" i="5"/>
  <c r="AL4" i="5"/>
  <c r="AL5" i="5"/>
  <c r="AL6" i="5"/>
  <c r="AL7" i="5"/>
  <c r="AL8" i="5"/>
  <c r="AL9" i="5"/>
  <c r="AL10" i="5"/>
  <c r="AL11" i="5"/>
  <c r="AL12" i="5"/>
  <c r="AL13" i="5"/>
  <c r="AQ13" i="5" s="1"/>
  <c r="AL14" i="5"/>
  <c r="AL15" i="5"/>
  <c r="AQ15" i="5" s="1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Q29" i="5" s="1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Q43" i="5" s="1"/>
  <c r="AL44" i="5"/>
  <c r="AQ44" i="5" s="1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Q57" i="5" s="1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Q71" i="5" s="1"/>
  <c r="AL72" i="5"/>
  <c r="AL73" i="5"/>
  <c r="AQ73" i="5" s="1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Q86" i="5" s="1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Q99" i="5" s="1"/>
  <c r="AL100" i="5"/>
  <c r="AL101" i="5"/>
  <c r="AQ101" i="5" s="1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Q114" i="5" s="1"/>
  <c r="AL115" i="5"/>
  <c r="AL116" i="5"/>
  <c r="AL117" i="5"/>
  <c r="AL118" i="5"/>
  <c r="AL119" i="5"/>
  <c r="AL120" i="5"/>
  <c r="AL121" i="5"/>
  <c r="AL122" i="5"/>
  <c r="AL123" i="5"/>
  <c r="AL124" i="5"/>
  <c r="AL125" i="5"/>
  <c r="AL126" i="5"/>
  <c r="AL127" i="5"/>
  <c r="AL128" i="5"/>
  <c r="AQ128" i="5" s="1"/>
  <c r="AL129" i="5"/>
  <c r="AL130" i="5"/>
  <c r="AL131" i="5"/>
  <c r="AL132" i="5"/>
  <c r="AL133" i="5"/>
  <c r="AL134" i="5"/>
  <c r="AL135" i="5"/>
  <c r="AL136" i="5"/>
  <c r="AL137" i="5"/>
  <c r="AL138" i="5"/>
  <c r="AL139" i="5"/>
  <c r="AL140" i="5"/>
  <c r="AL141" i="5"/>
  <c r="AQ141" i="5" s="1"/>
  <c r="AL142" i="5"/>
  <c r="AQ142" i="5" s="1"/>
  <c r="AL143" i="5"/>
  <c r="AL144" i="5"/>
  <c r="AL145" i="5"/>
  <c r="AL146" i="5"/>
  <c r="AL147" i="5"/>
  <c r="AL148" i="5"/>
  <c r="AL149" i="5"/>
  <c r="AL150" i="5"/>
  <c r="AL151" i="5"/>
  <c r="AL152" i="5"/>
  <c r="AL153" i="5"/>
  <c r="AQ153" i="5" s="1"/>
  <c r="AL154" i="5"/>
  <c r="AL155" i="5"/>
  <c r="AL156" i="5"/>
  <c r="AQ156" i="5" s="1"/>
  <c r="AL157" i="5"/>
  <c r="AL158" i="5"/>
  <c r="AL159" i="5"/>
  <c r="AL160" i="5"/>
  <c r="AL161" i="5"/>
  <c r="AL2" i="5"/>
  <c r="AK3" i="5"/>
  <c r="AK4" i="5"/>
  <c r="AK5" i="5"/>
  <c r="AK6" i="5"/>
  <c r="AK7" i="5"/>
  <c r="AP7" i="5" s="1"/>
  <c r="AK8" i="5"/>
  <c r="AK9" i="5"/>
  <c r="AP9" i="5" s="1"/>
  <c r="AK10" i="5"/>
  <c r="AK11" i="5"/>
  <c r="AK12" i="5"/>
  <c r="AK13" i="5"/>
  <c r="AK14" i="5"/>
  <c r="AK15" i="5"/>
  <c r="AK16" i="5"/>
  <c r="AK17" i="5"/>
  <c r="AK18" i="5"/>
  <c r="AP18" i="5" s="1"/>
  <c r="AK19" i="5"/>
  <c r="AK20" i="5"/>
  <c r="AK21" i="5"/>
  <c r="AK22" i="5"/>
  <c r="AK23" i="5"/>
  <c r="AP23" i="5" s="1"/>
  <c r="AK24" i="5"/>
  <c r="AK25" i="5"/>
  <c r="AK26" i="5"/>
  <c r="AK27" i="5"/>
  <c r="AK28" i="5"/>
  <c r="AK29" i="5"/>
  <c r="AK30" i="5"/>
  <c r="AK31" i="5"/>
  <c r="AK32" i="5"/>
  <c r="AK33" i="5"/>
  <c r="AK34" i="5"/>
  <c r="AK35" i="5"/>
  <c r="AP35" i="5" s="1"/>
  <c r="AK36" i="5"/>
  <c r="AK37" i="5"/>
  <c r="AK38" i="5"/>
  <c r="AK39" i="5"/>
  <c r="AK40" i="5"/>
  <c r="AK41" i="5"/>
  <c r="AK42" i="5"/>
  <c r="AK43" i="5"/>
  <c r="AK44" i="5"/>
  <c r="AK45" i="5"/>
  <c r="AK46" i="5"/>
  <c r="AK47" i="5"/>
  <c r="AP47" i="5" s="1"/>
  <c r="AK48" i="5"/>
  <c r="AP48" i="5" s="1"/>
  <c r="AK49" i="5"/>
  <c r="AP49" i="5" s="1"/>
  <c r="AK50" i="5"/>
  <c r="AK51" i="5"/>
  <c r="AP51" i="5" s="1"/>
  <c r="AK52" i="5"/>
  <c r="AK53" i="5"/>
  <c r="AK54" i="5"/>
  <c r="AP54" i="5" s="1"/>
  <c r="AK55" i="5"/>
  <c r="AK56" i="5"/>
  <c r="AK57" i="5"/>
  <c r="AK58" i="5"/>
  <c r="AK59" i="5"/>
  <c r="AK60" i="5"/>
  <c r="AK61" i="5"/>
  <c r="AK62" i="5"/>
  <c r="AK63" i="5"/>
  <c r="AP63" i="5" s="1"/>
  <c r="AK64" i="5"/>
  <c r="AP64" i="5" s="1"/>
  <c r="AK65" i="5"/>
  <c r="AP65" i="5" s="1"/>
  <c r="AK66" i="5"/>
  <c r="AK67" i="5"/>
  <c r="AK68" i="5"/>
  <c r="AK69" i="5"/>
  <c r="AK70" i="5"/>
  <c r="AK71" i="5"/>
  <c r="AK72" i="5"/>
  <c r="AK73" i="5"/>
  <c r="AK74" i="5"/>
  <c r="AP74" i="5" s="1"/>
  <c r="AK75" i="5"/>
  <c r="AK76" i="5"/>
  <c r="AK77" i="5"/>
  <c r="AK78" i="5"/>
  <c r="AP78" i="5" s="1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P107" i="5" s="1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P119" i="5" s="1"/>
  <c r="AK120" i="5"/>
  <c r="AK121" i="5"/>
  <c r="AP121" i="5" s="1"/>
  <c r="AK122" i="5"/>
  <c r="AK123" i="5"/>
  <c r="AK124" i="5"/>
  <c r="AP124" i="5" s="1"/>
  <c r="AK125" i="5"/>
  <c r="AK126" i="5"/>
  <c r="AK127" i="5"/>
  <c r="AK128" i="5"/>
  <c r="AK129" i="5"/>
  <c r="AK130" i="5"/>
  <c r="AP130" i="5" s="1"/>
  <c r="AK131" i="5"/>
  <c r="AK132" i="5"/>
  <c r="AK133" i="5"/>
  <c r="AP133" i="5" s="1"/>
  <c r="AK134" i="5"/>
  <c r="AP134" i="5" s="1"/>
  <c r="AK135" i="5"/>
  <c r="AP135" i="5" s="1"/>
  <c r="AK136" i="5"/>
  <c r="AK137" i="5"/>
  <c r="AK138" i="5"/>
  <c r="AK139" i="5"/>
  <c r="AK140" i="5"/>
  <c r="AK141" i="5"/>
  <c r="AK142" i="5"/>
  <c r="AK143" i="5"/>
  <c r="AK144" i="5"/>
  <c r="AK145" i="5"/>
  <c r="AK146" i="5"/>
  <c r="AK147" i="5"/>
  <c r="AK148" i="5"/>
  <c r="AK149" i="5"/>
  <c r="AP149" i="5" s="1"/>
  <c r="AK150" i="5"/>
  <c r="AK151" i="5"/>
  <c r="AK152" i="5"/>
  <c r="AP152" i="5" s="1"/>
  <c r="AK153" i="5"/>
  <c r="AK154" i="5"/>
  <c r="AK155" i="5"/>
  <c r="AK156" i="5"/>
  <c r="AK157" i="5"/>
  <c r="AK158" i="5"/>
  <c r="AP158" i="5" s="1"/>
  <c r="AK159" i="5"/>
  <c r="AK160" i="5"/>
  <c r="AP160" i="5" s="1"/>
  <c r="AK161" i="5"/>
  <c r="AK2" i="5"/>
  <c r="AJ3" i="5"/>
  <c r="AO3" i="5" s="1"/>
  <c r="AJ4" i="5"/>
  <c r="AO4" i="5" s="1"/>
  <c r="AJ5" i="5"/>
  <c r="AJ6" i="5"/>
  <c r="AJ7" i="5"/>
  <c r="AJ8" i="5"/>
  <c r="AJ9" i="5"/>
  <c r="AJ10" i="5"/>
  <c r="AJ11" i="5"/>
  <c r="AJ12" i="5"/>
  <c r="AJ13" i="5"/>
  <c r="AJ14" i="5"/>
  <c r="AJ15" i="5"/>
  <c r="AO15" i="5" s="1"/>
  <c r="AJ16" i="5"/>
  <c r="AJ17" i="5"/>
  <c r="AO17" i="5" s="1"/>
  <c r="AJ18" i="5"/>
  <c r="AJ19" i="5"/>
  <c r="AJ20" i="5"/>
  <c r="AJ21" i="5"/>
  <c r="AJ22" i="5"/>
  <c r="AJ23" i="5"/>
  <c r="AJ24" i="5"/>
  <c r="AJ25" i="5"/>
  <c r="AJ26" i="5"/>
  <c r="AJ27" i="5"/>
  <c r="AJ28" i="5"/>
  <c r="AJ29" i="5"/>
  <c r="AO29" i="5" s="1"/>
  <c r="AJ30" i="5"/>
  <c r="AJ31" i="5"/>
  <c r="AO31" i="5" s="1"/>
  <c r="AJ32" i="5"/>
  <c r="AO32" i="5" s="1"/>
  <c r="AJ33" i="5"/>
  <c r="AJ34" i="5"/>
  <c r="AJ35" i="5"/>
  <c r="AJ36" i="5"/>
  <c r="AJ37" i="5"/>
  <c r="AJ38" i="5"/>
  <c r="AJ39" i="5"/>
  <c r="AJ40" i="5"/>
  <c r="AJ41" i="5"/>
  <c r="AJ42" i="5"/>
  <c r="AJ43" i="5"/>
  <c r="AO43" i="5" s="1"/>
  <c r="AJ44" i="5"/>
  <c r="AO44" i="5" s="1"/>
  <c r="AJ45" i="5"/>
  <c r="AO45" i="5" s="1"/>
  <c r="AJ46" i="5"/>
  <c r="AO46" i="5" s="1"/>
  <c r="AJ47" i="5"/>
  <c r="AJ48" i="5"/>
  <c r="AJ49" i="5"/>
  <c r="AJ50" i="5"/>
  <c r="AJ51" i="5"/>
  <c r="AJ52" i="5"/>
  <c r="AJ53" i="5"/>
  <c r="AJ54" i="5"/>
  <c r="AO54" i="5" s="1"/>
  <c r="AJ55" i="5"/>
  <c r="AJ56" i="5"/>
  <c r="AJ57" i="5"/>
  <c r="AO57" i="5" s="1"/>
  <c r="AJ58" i="5"/>
  <c r="AJ59" i="5"/>
  <c r="AO59" i="5" s="1"/>
  <c r="AJ60" i="5"/>
  <c r="AO60" i="5" s="1"/>
  <c r="AJ61" i="5"/>
  <c r="AJ62" i="5"/>
  <c r="AJ63" i="5"/>
  <c r="AJ64" i="5"/>
  <c r="AJ65" i="5"/>
  <c r="AJ66" i="5"/>
  <c r="AJ67" i="5"/>
  <c r="AJ68" i="5"/>
  <c r="AJ69" i="5"/>
  <c r="AJ70" i="5"/>
  <c r="AJ71" i="5"/>
  <c r="AO71" i="5" s="1"/>
  <c r="AJ72" i="5"/>
  <c r="AJ73" i="5"/>
  <c r="AO73" i="5" s="1"/>
  <c r="AJ74" i="5"/>
  <c r="AJ75" i="5"/>
  <c r="AJ76" i="5"/>
  <c r="AO76" i="5" s="1"/>
  <c r="AJ77" i="5"/>
  <c r="AJ78" i="5"/>
  <c r="AJ79" i="5"/>
  <c r="AJ80" i="5"/>
  <c r="AJ81" i="5"/>
  <c r="AJ82" i="5"/>
  <c r="AJ83" i="5"/>
  <c r="AJ84" i="5"/>
  <c r="AJ85" i="5"/>
  <c r="AJ86" i="5"/>
  <c r="AJ87" i="5"/>
  <c r="AO87" i="5" s="1"/>
  <c r="AJ88" i="5"/>
  <c r="AO88" i="5" s="1"/>
  <c r="AJ89" i="5"/>
  <c r="AJ90" i="5"/>
  <c r="AJ91" i="5"/>
  <c r="AJ92" i="5"/>
  <c r="AJ93" i="5"/>
  <c r="AJ94" i="5"/>
  <c r="AJ95" i="5"/>
  <c r="AJ96" i="5"/>
  <c r="AJ97" i="5"/>
  <c r="AJ98" i="5"/>
  <c r="AJ99" i="5"/>
  <c r="AO99" i="5" s="1"/>
  <c r="AJ100" i="5"/>
  <c r="AJ101" i="5"/>
  <c r="AO101" i="5" s="1"/>
  <c r="AJ102" i="5"/>
  <c r="AO102" i="5" s="1"/>
  <c r="AJ103" i="5"/>
  <c r="AJ104" i="5"/>
  <c r="AO104" i="5" s="1"/>
  <c r="AJ105" i="5"/>
  <c r="AJ106" i="5"/>
  <c r="AJ107" i="5"/>
  <c r="AJ108" i="5"/>
  <c r="AJ109" i="5"/>
  <c r="AJ110" i="5"/>
  <c r="AJ111" i="5"/>
  <c r="AJ112" i="5"/>
  <c r="AJ113" i="5"/>
  <c r="AJ114" i="5"/>
  <c r="AJ115" i="5"/>
  <c r="AO115" i="5" s="1"/>
  <c r="AJ116" i="5"/>
  <c r="AO116" i="5" s="1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O129" i="5" s="1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O143" i="5" s="1"/>
  <c r="AJ144" i="5"/>
  <c r="AO144" i="5" s="1"/>
  <c r="AJ145" i="5"/>
  <c r="AJ146" i="5"/>
  <c r="AJ147" i="5"/>
  <c r="AJ148" i="5"/>
  <c r="AJ149" i="5"/>
  <c r="AJ150" i="5"/>
  <c r="AJ151" i="5"/>
  <c r="AJ152" i="5"/>
  <c r="AO152" i="5" s="1"/>
  <c r="AJ153" i="5"/>
  <c r="AJ154" i="5"/>
  <c r="AJ155" i="5"/>
  <c r="AJ156" i="5"/>
  <c r="AJ157" i="5"/>
  <c r="AO157" i="5" s="1"/>
  <c r="AJ158" i="5"/>
  <c r="AJ159" i="5"/>
  <c r="AJ160" i="5"/>
  <c r="AO160" i="5" s="1"/>
  <c r="AJ161" i="5"/>
  <c r="AJ2" i="5"/>
  <c r="AI3" i="5"/>
  <c r="AI4" i="5"/>
  <c r="AI5" i="5"/>
  <c r="AI6" i="5"/>
  <c r="AI7" i="5"/>
  <c r="AI8" i="5"/>
  <c r="AI9" i="5"/>
  <c r="AN9" i="5" s="1"/>
  <c r="AI10" i="5"/>
  <c r="AI11" i="5"/>
  <c r="AN11" i="5" s="1"/>
  <c r="AI12" i="5"/>
  <c r="AI13" i="5"/>
  <c r="AI14" i="5"/>
  <c r="AI15" i="5"/>
  <c r="AI16" i="5"/>
  <c r="AI17" i="5"/>
  <c r="AI18" i="5"/>
  <c r="AI19" i="5"/>
  <c r="AI20" i="5"/>
  <c r="AI21" i="5"/>
  <c r="AI22" i="5"/>
  <c r="AI23" i="5"/>
  <c r="AN23" i="5" s="1"/>
  <c r="AI24" i="5"/>
  <c r="AI25" i="5"/>
  <c r="AN25" i="5" s="1"/>
  <c r="AI26" i="5"/>
  <c r="AN26" i="5" s="1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N39" i="5" s="1"/>
  <c r="AI40" i="5"/>
  <c r="AI41" i="5"/>
  <c r="AI42" i="5"/>
  <c r="AI43" i="5"/>
  <c r="AI44" i="5"/>
  <c r="AI45" i="5"/>
  <c r="AI46" i="5"/>
  <c r="AI47" i="5"/>
  <c r="AI48" i="5"/>
  <c r="AN48" i="5" s="1"/>
  <c r="AI49" i="5"/>
  <c r="AN49" i="5" s="1"/>
  <c r="AI50" i="5"/>
  <c r="AI51" i="5"/>
  <c r="AN51" i="5" s="1"/>
  <c r="AI52" i="5"/>
  <c r="AI53" i="5"/>
  <c r="AN53" i="5" s="1"/>
  <c r="AI54" i="5"/>
  <c r="AN54" i="5" s="1"/>
  <c r="AI55" i="5"/>
  <c r="AI56" i="5"/>
  <c r="AI57" i="5"/>
  <c r="AI58" i="5"/>
  <c r="AI59" i="5"/>
  <c r="AI60" i="5"/>
  <c r="AI61" i="5"/>
  <c r="AI62" i="5"/>
  <c r="AI63" i="5"/>
  <c r="AN63" i="5" s="1"/>
  <c r="AI64" i="5"/>
  <c r="AI65" i="5"/>
  <c r="AN65" i="5" s="1"/>
  <c r="AI66" i="5"/>
  <c r="AI67" i="5"/>
  <c r="AN67" i="5" s="1"/>
  <c r="AI68" i="5"/>
  <c r="AI69" i="5"/>
  <c r="AI70" i="5"/>
  <c r="AI71" i="5"/>
  <c r="AI72" i="5"/>
  <c r="AI73" i="5"/>
  <c r="AI74" i="5"/>
  <c r="AI75" i="5"/>
  <c r="AI76" i="5"/>
  <c r="AI77" i="5"/>
  <c r="AN77" i="5" s="1"/>
  <c r="AI78" i="5"/>
  <c r="AI79" i="5"/>
  <c r="AI80" i="5"/>
  <c r="AI81" i="5"/>
  <c r="AN81" i="5" s="1"/>
  <c r="AI82" i="5"/>
  <c r="AN82" i="5" s="1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N95" i="5" s="1"/>
  <c r="AI96" i="5"/>
  <c r="AI97" i="5"/>
  <c r="AI98" i="5"/>
  <c r="AI99" i="5"/>
  <c r="AI100" i="5"/>
  <c r="AI101" i="5"/>
  <c r="AI102" i="5"/>
  <c r="AI103" i="5"/>
  <c r="AI104" i="5"/>
  <c r="AN104" i="5" s="1"/>
  <c r="AI105" i="5"/>
  <c r="AI106" i="5"/>
  <c r="AI107" i="5"/>
  <c r="AN107" i="5" s="1"/>
  <c r="AI108" i="5"/>
  <c r="AI109" i="5"/>
  <c r="AN109" i="5" s="1"/>
  <c r="AI110" i="5"/>
  <c r="AI111" i="5"/>
  <c r="AI112" i="5"/>
  <c r="AI113" i="5"/>
  <c r="AI114" i="5"/>
  <c r="AI115" i="5"/>
  <c r="AI116" i="5"/>
  <c r="AI117" i="5"/>
  <c r="AI118" i="5"/>
  <c r="AN118" i="5" s="1"/>
  <c r="AI119" i="5"/>
  <c r="AI120" i="5"/>
  <c r="AI121" i="5"/>
  <c r="AN121" i="5" s="1"/>
  <c r="AI122" i="5"/>
  <c r="AI123" i="5"/>
  <c r="AN123" i="5" s="1"/>
  <c r="AI124" i="5"/>
  <c r="AN124" i="5" s="1"/>
  <c r="AI125" i="5"/>
  <c r="AI126" i="5"/>
  <c r="AN126" i="5" s="1"/>
  <c r="AI127" i="5"/>
  <c r="AI128" i="5"/>
  <c r="AI129" i="5"/>
  <c r="AI130" i="5"/>
  <c r="AI131" i="5"/>
  <c r="AI132" i="5"/>
  <c r="AN132" i="5" s="1"/>
  <c r="AI133" i="5"/>
  <c r="AI134" i="5"/>
  <c r="AI135" i="5"/>
  <c r="AN135" i="5" s="1"/>
  <c r="AI136" i="5"/>
  <c r="AI137" i="5"/>
  <c r="AN137" i="5" s="1"/>
  <c r="AI138" i="5"/>
  <c r="AN138" i="5" s="1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N151" i="5" s="1"/>
  <c r="AI152" i="5"/>
  <c r="AN152" i="5" s="1"/>
  <c r="AI153" i="5"/>
  <c r="AN153" i="5" s="1"/>
  <c r="AI154" i="5"/>
  <c r="AI155" i="5"/>
  <c r="AI156" i="5"/>
  <c r="AI157" i="5"/>
  <c r="AI158" i="5"/>
  <c r="AI159" i="5"/>
  <c r="AI160" i="5"/>
  <c r="AI161" i="5"/>
  <c r="AI2" i="5"/>
  <c r="AH3" i="5"/>
  <c r="AN3" i="5" s="1"/>
  <c r="AH4" i="5"/>
  <c r="AH5" i="5"/>
  <c r="AH6" i="5"/>
  <c r="AH7" i="5"/>
  <c r="AQ7" i="5" s="1"/>
  <c r="AH21" i="5"/>
  <c r="AQ21" i="5" s="1"/>
  <c r="AH23" i="5"/>
  <c r="AH26" i="5"/>
  <c r="AO26" i="5" s="1"/>
  <c r="AH33" i="5"/>
  <c r="AH34" i="5"/>
  <c r="AH35" i="5"/>
  <c r="AQ35" i="5" s="1"/>
  <c r="AH45" i="5"/>
  <c r="AQ45" i="5" s="1"/>
  <c r="AH51" i="5"/>
  <c r="AO51" i="5" s="1"/>
  <c r="AH54" i="5"/>
  <c r="AR54" i="5" s="1"/>
  <c r="AH55" i="5"/>
  <c r="AR55" i="5" s="1"/>
  <c r="AH56" i="5"/>
  <c r="AP56" i="5" s="1"/>
  <c r="AH60" i="5"/>
  <c r="AN60" i="5" s="1"/>
  <c r="AH71" i="5"/>
  <c r="AH76" i="5"/>
  <c r="AH77" i="5"/>
  <c r="AQ77" i="5" s="1"/>
  <c r="AH78" i="5"/>
  <c r="AH79" i="5"/>
  <c r="AH101" i="5"/>
  <c r="AN101" i="5" s="1"/>
  <c r="AH104" i="5"/>
  <c r="AH105" i="5"/>
  <c r="AQ105" i="5" s="1"/>
  <c r="AH106" i="5"/>
  <c r="AH124" i="5"/>
  <c r="AR124" i="5" s="1"/>
  <c r="AH125" i="5"/>
  <c r="AR125" i="5" s="1"/>
  <c r="AH126" i="5"/>
  <c r="AH127" i="5"/>
  <c r="AN127" i="5" s="1"/>
  <c r="AH141" i="5"/>
  <c r="AN141" i="5" s="1"/>
  <c r="AH144" i="5"/>
  <c r="AH145" i="5"/>
  <c r="AH146" i="5"/>
  <c r="AH148" i="5"/>
  <c r="AH160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H44" i="5" s="1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H86" i="5" s="1"/>
  <c r="AN86" i="5" s="1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H114" i="5" s="1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H128" i="5" s="1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H142" i="5" s="1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H156" i="5" s="1"/>
  <c r="AG157" i="5"/>
  <c r="AG158" i="5"/>
  <c r="AG159" i="5"/>
  <c r="AG160" i="5"/>
  <c r="AG161" i="5"/>
  <c r="AF3" i="5"/>
  <c r="AF4" i="5"/>
  <c r="AF5" i="5"/>
  <c r="AF6" i="5"/>
  <c r="AF7" i="5"/>
  <c r="AF8" i="5"/>
  <c r="AF9" i="5"/>
  <c r="AH9" i="5" s="1"/>
  <c r="AO9" i="5" s="1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H25" i="5" s="1"/>
  <c r="AO25" i="5" s="1"/>
  <c r="AF26" i="5"/>
  <c r="AF27" i="5"/>
  <c r="AF28" i="5"/>
  <c r="AF29" i="5"/>
  <c r="AF30" i="5"/>
  <c r="AF31" i="5"/>
  <c r="AF32" i="5"/>
  <c r="AF33" i="5"/>
  <c r="AF34" i="5"/>
  <c r="AF35" i="5"/>
  <c r="AF36" i="5"/>
  <c r="AF37" i="5"/>
  <c r="AH37" i="5" s="1"/>
  <c r="AF38" i="5"/>
  <c r="AF39" i="5"/>
  <c r="AH39" i="5" s="1"/>
  <c r="AF40" i="5"/>
  <c r="AH40" i="5" s="1"/>
  <c r="AR40" i="5" s="1"/>
  <c r="AF41" i="5"/>
  <c r="AF42" i="5"/>
  <c r="AF43" i="5"/>
  <c r="AF44" i="5"/>
  <c r="AF45" i="5"/>
  <c r="AF46" i="5"/>
  <c r="AF47" i="5"/>
  <c r="AF48" i="5"/>
  <c r="AF49" i="5"/>
  <c r="AH49" i="5" s="1"/>
  <c r="AF50" i="5"/>
  <c r="AF51" i="5"/>
  <c r="AF52" i="5"/>
  <c r="AF53" i="5"/>
  <c r="AH53" i="5" s="1"/>
  <c r="AF54" i="5"/>
  <c r="AF55" i="5"/>
  <c r="AF56" i="5"/>
  <c r="AF57" i="5"/>
  <c r="AF58" i="5"/>
  <c r="AF59" i="5"/>
  <c r="AF60" i="5"/>
  <c r="AF61" i="5"/>
  <c r="AF62" i="5"/>
  <c r="AF63" i="5"/>
  <c r="AH63" i="5" s="1"/>
  <c r="AQ63" i="5" s="1"/>
  <c r="AF64" i="5"/>
  <c r="AF65" i="5"/>
  <c r="AH65" i="5" s="1"/>
  <c r="AO65" i="5" s="1"/>
  <c r="AF66" i="5"/>
  <c r="AF67" i="5"/>
  <c r="AH67" i="5" s="1"/>
  <c r="AO67" i="5" s="1"/>
  <c r="AF68" i="5"/>
  <c r="AH68" i="5" s="1"/>
  <c r="AR68" i="5" s="1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H82" i="5" s="1"/>
  <c r="AR82" i="5" s="1"/>
  <c r="AF83" i="5"/>
  <c r="AF84" i="5"/>
  <c r="AF85" i="5"/>
  <c r="AF86" i="5"/>
  <c r="AF87" i="5"/>
  <c r="AF88" i="5"/>
  <c r="AF89" i="5"/>
  <c r="AF90" i="5"/>
  <c r="AF91" i="5"/>
  <c r="AH91" i="5" s="1"/>
  <c r="AO91" i="5" s="1"/>
  <c r="AF92" i="5"/>
  <c r="AF93" i="5"/>
  <c r="AH93" i="5" s="1"/>
  <c r="AF94" i="5"/>
  <c r="AF95" i="5"/>
  <c r="AH95" i="5" s="1"/>
  <c r="AF96" i="5"/>
  <c r="AH96" i="5" s="1"/>
  <c r="AR96" i="5" s="1"/>
  <c r="AF97" i="5"/>
  <c r="AF98" i="5"/>
  <c r="AF99" i="5"/>
  <c r="AF100" i="5"/>
  <c r="AF101" i="5"/>
  <c r="AF102" i="5"/>
  <c r="AF103" i="5"/>
  <c r="AF104" i="5"/>
  <c r="AF105" i="5"/>
  <c r="AF106" i="5"/>
  <c r="AF107" i="5"/>
  <c r="AH107" i="5" s="1"/>
  <c r="AF108" i="5"/>
  <c r="AF109" i="5"/>
  <c r="AH109" i="5" s="1"/>
  <c r="AF110" i="5"/>
  <c r="AH110" i="5" s="1"/>
  <c r="AR110" i="5" s="1"/>
  <c r="AF111" i="5"/>
  <c r="AF112" i="5"/>
  <c r="AF113" i="5"/>
  <c r="AF114" i="5"/>
  <c r="AF115" i="5"/>
  <c r="AF116" i="5"/>
  <c r="AF117" i="5"/>
  <c r="AF118" i="5"/>
  <c r="AF119" i="5"/>
  <c r="AH119" i="5" s="1"/>
  <c r="AF120" i="5"/>
  <c r="AF121" i="5"/>
  <c r="AH121" i="5" s="1"/>
  <c r="AF122" i="5"/>
  <c r="AF123" i="5"/>
  <c r="AH123" i="5" s="1"/>
  <c r="AF124" i="5"/>
  <c r="AF125" i="5"/>
  <c r="AF126" i="5"/>
  <c r="AF127" i="5"/>
  <c r="AF128" i="5"/>
  <c r="AF129" i="5"/>
  <c r="AF130" i="5"/>
  <c r="AF131" i="5"/>
  <c r="AF132" i="5"/>
  <c r="AF133" i="5"/>
  <c r="AH133" i="5" s="1"/>
  <c r="AF134" i="5"/>
  <c r="AF135" i="5"/>
  <c r="AH135" i="5" s="1"/>
  <c r="AO135" i="5" s="1"/>
  <c r="AF136" i="5"/>
  <c r="AF137" i="5"/>
  <c r="AF138" i="5"/>
  <c r="AH138" i="5" s="1"/>
  <c r="AR138" i="5" s="1"/>
  <c r="AF139" i="5"/>
  <c r="AF140" i="5"/>
  <c r="AF141" i="5"/>
  <c r="AF142" i="5"/>
  <c r="AF143" i="5"/>
  <c r="AF144" i="5"/>
  <c r="AF145" i="5"/>
  <c r="AF146" i="5"/>
  <c r="AF147" i="5"/>
  <c r="AF148" i="5"/>
  <c r="AF149" i="5"/>
  <c r="AH149" i="5" s="1"/>
  <c r="AF150" i="5"/>
  <c r="AF151" i="5"/>
  <c r="AF152" i="5"/>
  <c r="AH152" i="5" s="1"/>
  <c r="AR152" i="5" s="1"/>
  <c r="AF153" i="5"/>
  <c r="AF154" i="5"/>
  <c r="AH154" i="5" s="1"/>
  <c r="AF155" i="5"/>
  <c r="AF156" i="5"/>
  <c r="AF157" i="5"/>
  <c r="AF158" i="5"/>
  <c r="AF159" i="5"/>
  <c r="AF160" i="5"/>
  <c r="AF161" i="5"/>
  <c r="AH161" i="5" s="1"/>
  <c r="AQ161" i="5" s="1"/>
  <c r="AF2" i="5"/>
  <c r="AE3" i="5"/>
  <c r="AE4" i="5"/>
  <c r="AE5" i="5"/>
  <c r="AE6" i="5"/>
  <c r="AE7" i="5"/>
  <c r="AE8" i="5"/>
  <c r="AH8" i="5" s="1"/>
  <c r="AE9" i="5"/>
  <c r="AE10" i="5"/>
  <c r="AE11" i="5"/>
  <c r="AH11" i="5" s="1"/>
  <c r="AE12" i="5"/>
  <c r="AE13" i="5"/>
  <c r="AH13" i="5" s="1"/>
  <c r="AR13" i="5" s="1"/>
  <c r="AE14" i="5"/>
  <c r="AE15" i="5"/>
  <c r="AH15" i="5" s="1"/>
  <c r="AN15" i="5" s="1"/>
  <c r="AE16" i="5"/>
  <c r="AH16" i="5" s="1"/>
  <c r="AE17" i="5"/>
  <c r="AH17" i="5" s="1"/>
  <c r="AE18" i="5"/>
  <c r="AH18" i="5" s="1"/>
  <c r="AN18" i="5" s="1"/>
  <c r="AE19" i="5"/>
  <c r="AH19" i="5" s="1"/>
  <c r="AE20" i="5"/>
  <c r="AH20" i="5" s="1"/>
  <c r="AR20" i="5" s="1"/>
  <c r="AE21" i="5"/>
  <c r="AE22" i="5"/>
  <c r="AH22" i="5" s="1"/>
  <c r="AE23" i="5"/>
  <c r="AE24" i="5"/>
  <c r="AE25" i="5"/>
  <c r="AE26" i="5"/>
  <c r="AE27" i="5"/>
  <c r="AH27" i="5" s="1"/>
  <c r="AE28" i="5"/>
  <c r="AE29" i="5"/>
  <c r="AH29" i="5" s="1"/>
  <c r="AE30" i="5"/>
  <c r="AE31" i="5"/>
  <c r="AH31" i="5" s="1"/>
  <c r="AN31" i="5" s="1"/>
  <c r="AE32" i="5"/>
  <c r="AH32" i="5" s="1"/>
  <c r="AN32" i="5" s="1"/>
  <c r="AE33" i="5"/>
  <c r="AE34" i="5"/>
  <c r="AE35" i="5"/>
  <c r="AE36" i="5"/>
  <c r="AH36" i="5" s="1"/>
  <c r="AE37" i="5"/>
  <c r="AE38" i="5"/>
  <c r="AE39" i="5"/>
  <c r="AE40" i="5"/>
  <c r="AE41" i="5"/>
  <c r="AH41" i="5" s="1"/>
  <c r="AR41" i="5" s="1"/>
  <c r="AE42" i="5"/>
  <c r="AE43" i="5"/>
  <c r="AH43" i="5" s="1"/>
  <c r="AN43" i="5" s="1"/>
  <c r="AE44" i="5"/>
  <c r="AE45" i="5"/>
  <c r="AE46" i="5"/>
  <c r="AH46" i="5" s="1"/>
  <c r="AN46" i="5" s="1"/>
  <c r="AE47" i="5"/>
  <c r="AH47" i="5" s="1"/>
  <c r="AQ47" i="5" s="1"/>
  <c r="AE48" i="5"/>
  <c r="AH48" i="5" s="1"/>
  <c r="AE49" i="5"/>
  <c r="AE50" i="5"/>
  <c r="AH50" i="5" s="1"/>
  <c r="AO50" i="5" s="1"/>
  <c r="AE51" i="5"/>
  <c r="AE52" i="5"/>
  <c r="AE53" i="5"/>
  <c r="AE54" i="5"/>
  <c r="AE55" i="5"/>
  <c r="AE56" i="5"/>
  <c r="AE57" i="5"/>
  <c r="AH57" i="5" s="1"/>
  <c r="AR57" i="5" s="1"/>
  <c r="AE58" i="5"/>
  <c r="AE59" i="5"/>
  <c r="AH59" i="5" s="1"/>
  <c r="AE60" i="5"/>
  <c r="AE61" i="5"/>
  <c r="AH61" i="5" s="1"/>
  <c r="AE62" i="5"/>
  <c r="AH62" i="5" s="1"/>
  <c r="AE63" i="5"/>
  <c r="AE64" i="5"/>
  <c r="AH64" i="5" s="1"/>
  <c r="AO64" i="5" s="1"/>
  <c r="AE65" i="5"/>
  <c r="AE66" i="5"/>
  <c r="AE67" i="5"/>
  <c r="AE68" i="5"/>
  <c r="AE69" i="5"/>
  <c r="AH69" i="5" s="1"/>
  <c r="AP69" i="5" s="1"/>
  <c r="AE70" i="5"/>
  <c r="AH70" i="5" s="1"/>
  <c r="AE71" i="5"/>
  <c r="AE72" i="5"/>
  <c r="AE73" i="5"/>
  <c r="AH73" i="5" s="1"/>
  <c r="AR73" i="5" s="1"/>
  <c r="AE74" i="5"/>
  <c r="AH74" i="5" s="1"/>
  <c r="AE75" i="5"/>
  <c r="AH75" i="5" s="1"/>
  <c r="AQ75" i="5" s="1"/>
  <c r="AE76" i="5"/>
  <c r="AE77" i="5"/>
  <c r="AE78" i="5"/>
  <c r="AE79" i="5"/>
  <c r="AE80" i="5"/>
  <c r="AE81" i="5"/>
  <c r="AH81" i="5" s="1"/>
  <c r="AO81" i="5" s="1"/>
  <c r="AE82" i="5"/>
  <c r="AE83" i="5"/>
  <c r="AH83" i="5" s="1"/>
  <c r="AE84" i="5"/>
  <c r="AE85" i="5"/>
  <c r="AH85" i="5" s="1"/>
  <c r="AE86" i="5"/>
  <c r="AE87" i="5"/>
  <c r="AH87" i="5" s="1"/>
  <c r="AN87" i="5" s="1"/>
  <c r="AE88" i="5"/>
  <c r="AH88" i="5" s="1"/>
  <c r="AN88" i="5" s="1"/>
  <c r="AE89" i="5"/>
  <c r="AH89" i="5" s="1"/>
  <c r="AO89" i="5" s="1"/>
  <c r="AE90" i="5"/>
  <c r="AH90" i="5" s="1"/>
  <c r="AE91" i="5"/>
  <c r="AE92" i="5"/>
  <c r="AH92" i="5" s="1"/>
  <c r="AE93" i="5"/>
  <c r="AE94" i="5"/>
  <c r="AE95" i="5"/>
  <c r="AE96" i="5"/>
  <c r="AE97" i="5"/>
  <c r="AH97" i="5" s="1"/>
  <c r="AE98" i="5"/>
  <c r="AE99" i="5"/>
  <c r="AH99" i="5" s="1"/>
  <c r="AE100" i="5"/>
  <c r="AE101" i="5"/>
  <c r="AE102" i="5"/>
  <c r="AH102" i="5" s="1"/>
  <c r="AN102" i="5" s="1"/>
  <c r="AE103" i="5"/>
  <c r="AH103" i="5" s="1"/>
  <c r="AQ103" i="5" s="1"/>
  <c r="AE104" i="5"/>
  <c r="AE105" i="5"/>
  <c r="AE106" i="5"/>
  <c r="AE107" i="5"/>
  <c r="AE108" i="5"/>
  <c r="AE109" i="5"/>
  <c r="AE110" i="5"/>
  <c r="AE111" i="5"/>
  <c r="AH111" i="5" s="1"/>
  <c r="AE112" i="5"/>
  <c r="AH112" i="5" s="1"/>
  <c r="AE113" i="5"/>
  <c r="AH113" i="5" s="1"/>
  <c r="AN113" i="5" s="1"/>
  <c r="AE114" i="5"/>
  <c r="AE115" i="5"/>
  <c r="AH115" i="5" s="1"/>
  <c r="AE116" i="5"/>
  <c r="AH116" i="5" s="1"/>
  <c r="AE117" i="5"/>
  <c r="AH117" i="5" s="1"/>
  <c r="AQ117" i="5" s="1"/>
  <c r="AE118" i="5"/>
  <c r="AH118" i="5" s="1"/>
  <c r="AE119" i="5"/>
  <c r="AE120" i="5"/>
  <c r="AH120" i="5" s="1"/>
  <c r="AO120" i="5" s="1"/>
  <c r="AE121" i="5"/>
  <c r="AE122" i="5"/>
  <c r="AE123" i="5"/>
  <c r="AE124" i="5"/>
  <c r="AE125" i="5"/>
  <c r="AE126" i="5"/>
  <c r="AE127" i="5"/>
  <c r="AE128" i="5"/>
  <c r="AE129" i="5"/>
  <c r="AH129" i="5" s="1"/>
  <c r="AE130" i="5"/>
  <c r="AH130" i="5" s="1"/>
  <c r="AE131" i="5"/>
  <c r="AH131" i="5" s="1"/>
  <c r="AE132" i="5"/>
  <c r="AH132" i="5" s="1"/>
  <c r="AE133" i="5"/>
  <c r="AE134" i="5"/>
  <c r="AH134" i="5" s="1"/>
  <c r="AO134" i="5" s="1"/>
  <c r="AE135" i="5"/>
  <c r="AE136" i="5"/>
  <c r="AE137" i="5"/>
  <c r="AH137" i="5" s="1"/>
  <c r="AO137" i="5" s="1"/>
  <c r="AE138" i="5"/>
  <c r="AE139" i="5"/>
  <c r="AH139" i="5" s="1"/>
  <c r="AR139" i="5" s="1"/>
  <c r="AE140" i="5"/>
  <c r="AH140" i="5" s="1"/>
  <c r="AE141" i="5"/>
  <c r="AE142" i="5"/>
  <c r="AE143" i="5"/>
  <c r="AH143" i="5" s="1"/>
  <c r="AN143" i="5" s="1"/>
  <c r="AE144" i="5"/>
  <c r="AE145" i="5"/>
  <c r="AE146" i="5"/>
  <c r="AE147" i="5"/>
  <c r="AH147" i="5" s="1"/>
  <c r="AQ147" i="5" s="1"/>
  <c r="AE148" i="5"/>
  <c r="AE149" i="5"/>
  <c r="AE150" i="5"/>
  <c r="AE151" i="5"/>
  <c r="AH151" i="5" s="1"/>
  <c r="AE152" i="5"/>
  <c r="AE153" i="5"/>
  <c r="AH153" i="5" s="1"/>
  <c r="AR153" i="5" s="1"/>
  <c r="AE154" i="5"/>
  <c r="AE155" i="5"/>
  <c r="AH155" i="5" s="1"/>
  <c r="AE156" i="5"/>
  <c r="AE157" i="5"/>
  <c r="AH157" i="5" s="1"/>
  <c r="AN157" i="5" s="1"/>
  <c r="AE158" i="5"/>
  <c r="AH158" i="5" s="1"/>
  <c r="AN158" i="5" s="1"/>
  <c r="AE159" i="5"/>
  <c r="AH159" i="5" s="1"/>
  <c r="AE160" i="5"/>
  <c r="AE161" i="5"/>
  <c r="AE2" i="5"/>
  <c r="Q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7" i="2"/>
  <c r="N8" i="2"/>
  <c r="N9" i="2"/>
  <c r="U9" i="2" s="1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7" i="2"/>
  <c r="L11" i="2"/>
  <c r="L13" i="2"/>
  <c r="L17" i="2"/>
  <c r="L18" i="2"/>
  <c r="L36" i="2"/>
  <c r="L75" i="2"/>
  <c r="L76" i="2"/>
  <c r="L101" i="2"/>
  <c r="L109" i="2"/>
  <c r="L117" i="2"/>
  <c r="L118" i="2"/>
  <c r="L134" i="2"/>
  <c r="L135" i="2"/>
  <c r="L145" i="2"/>
  <c r="L151" i="2"/>
  <c r="L152" i="2"/>
  <c r="L165" i="2"/>
  <c r="L166" i="2"/>
  <c r="L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L35" i="2" s="1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L53" i="2" s="1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L77" i="2" s="1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L90" i="2" s="1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L103" i="2" s="1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L119" i="2" s="1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L133" i="2" s="1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L161" i="2" s="1"/>
  <c r="K162" i="2"/>
  <c r="K163" i="2"/>
  <c r="K164" i="2"/>
  <c r="K165" i="2"/>
  <c r="K166" i="2"/>
  <c r="K7" i="2"/>
  <c r="J8" i="2"/>
  <c r="J9" i="2"/>
  <c r="R9" i="2" s="1"/>
  <c r="J10" i="2"/>
  <c r="J11" i="2"/>
  <c r="J12" i="2"/>
  <c r="J13" i="2"/>
  <c r="J14" i="2"/>
  <c r="J15" i="2"/>
  <c r="J16" i="2"/>
  <c r="L16" i="2" s="1"/>
  <c r="J17" i="2"/>
  <c r="J18" i="2"/>
  <c r="J19" i="2"/>
  <c r="J20" i="2"/>
  <c r="L20" i="2" s="1"/>
  <c r="J21" i="2"/>
  <c r="J22" i="2"/>
  <c r="J23" i="2"/>
  <c r="J24" i="2"/>
  <c r="J25" i="2"/>
  <c r="J26" i="2"/>
  <c r="J27" i="2"/>
  <c r="J28" i="2"/>
  <c r="L28" i="2" s="1"/>
  <c r="J29" i="2"/>
  <c r="J30" i="2"/>
  <c r="L30" i="2" s="1"/>
  <c r="J31" i="2"/>
  <c r="J32" i="2"/>
  <c r="J33" i="2"/>
  <c r="J34" i="2"/>
  <c r="L34" i="2" s="1"/>
  <c r="J35" i="2"/>
  <c r="J36" i="2"/>
  <c r="J37" i="2"/>
  <c r="J38" i="2"/>
  <c r="J39" i="2"/>
  <c r="J40" i="2"/>
  <c r="J41" i="2"/>
  <c r="L41" i="2" s="1"/>
  <c r="J42" i="2"/>
  <c r="J43" i="2"/>
  <c r="L43" i="2" s="1"/>
  <c r="J44" i="2"/>
  <c r="L44" i="2" s="1"/>
  <c r="J45" i="2"/>
  <c r="J46" i="2"/>
  <c r="J47" i="2"/>
  <c r="J48" i="2"/>
  <c r="J49" i="2"/>
  <c r="J50" i="2"/>
  <c r="J51" i="2"/>
  <c r="J52" i="2"/>
  <c r="J53" i="2"/>
  <c r="J54" i="2"/>
  <c r="J55" i="2"/>
  <c r="L55" i="2" s="1"/>
  <c r="J56" i="2"/>
  <c r="L56" i="2" s="1"/>
  <c r="J57" i="2"/>
  <c r="L57" i="2" s="1"/>
  <c r="J58" i="2"/>
  <c r="L58" i="2" s="1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L71" i="2" s="1"/>
  <c r="J72" i="2"/>
  <c r="L72" i="2" s="1"/>
  <c r="J73" i="2"/>
  <c r="J74" i="2"/>
  <c r="J75" i="2"/>
  <c r="J76" i="2"/>
  <c r="J77" i="2"/>
  <c r="J78" i="2"/>
  <c r="J79" i="2"/>
  <c r="J80" i="2"/>
  <c r="J81" i="2"/>
  <c r="J82" i="2"/>
  <c r="J83" i="2"/>
  <c r="L83" i="2" s="1"/>
  <c r="J84" i="2"/>
  <c r="J85" i="2"/>
  <c r="L85" i="2" s="1"/>
  <c r="J86" i="2"/>
  <c r="L86" i="2" s="1"/>
  <c r="J87" i="2"/>
  <c r="J88" i="2"/>
  <c r="J89" i="2"/>
  <c r="J90" i="2"/>
  <c r="J91" i="2"/>
  <c r="J92" i="2"/>
  <c r="J93" i="2"/>
  <c r="J94" i="2"/>
  <c r="J95" i="2"/>
  <c r="J96" i="2"/>
  <c r="J97" i="2"/>
  <c r="J98" i="2"/>
  <c r="L98" i="2" s="1"/>
  <c r="J99" i="2"/>
  <c r="J100" i="2"/>
  <c r="L100" i="2" s="1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L127" i="2" s="1"/>
  <c r="J128" i="2"/>
  <c r="L128" i="2" s="1"/>
  <c r="J129" i="2"/>
  <c r="J130" i="2"/>
  <c r="J131" i="2"/>
  <c r="J132" i="2"/>
  <c r="L132" i="2" s="1"/>
  <c r="J133" i="2"/>
  <c r="J134" i="2"/>
  <c r="J135" i="2"/>
  <c r="J136" i="2"/>
  <c r="J137" i="2"/>
  <c r="J138" i="2"/>
  <c r="J139" i="2"/>
  <c r="J140" i="2"/>
  <c r="J141" i="2"/>
  <c r="J142" i="2"/>
  <c r="L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L155" i="2" s="1"/>
  <c r="J156" i="2"/>
  <c r="L156" i="2" s="1"/>
  <c r="J157" i="2"/>
  <c r="J158" i="2"/>
  <c r="J159" i="2"/>
  <c r="J160" i="2"/>
  <c r="J161" i="2"/>
  <c r="J162" i="2"/>
  <c r="J163" i="2"/>
  <c r="J164" i="2"/>
  <c r="J165" i="2"/>
  <c r="J166" i="2"/>
  <c r="J7" i="2"/>
  <c r="R7" i="2" s="1"/>
  <c r="I8" i="2"/>
  <c r="I9" i="2"/>
  <c r="L9" i="2" s="1"/>
  <c r="I10" i="2"/>
  <c r="L10" i="2" s="1"/>
  <c r="I11" i="2"/>
  <c r="I12" i="2"/>
  <c r="L12" i="2" s="1"/>
  <c r="I13" i="2"/>
  <c r="I14" i="2"/>
  <c r="I15" i="2"/>
  <c r="I16" i="2"/>
  <c r="I17" i="2"/>
  <c r="I18" i="2"/>
  <c r="I19" i="2"/>
  <c r="L19" i="2" s="1"/>
  <c r="I20" i="2"/>
  <c r="I21" i="2"/>
  <c r="I22" i="2"/>
  <c r="L22" i="2" s="1"/>
  <c r="I23" i="2"/>
  <c r="L23" i="2" s="1"/>
  <c r="I24" i="2"/>
  <c r="L24" i="2" s="1"/>
  <c r="I25" i="2"/>
  <c r="L25" i="2" s="1"/>
  <c r="I26" i="2"/>
  <c r="L26" i="2" s="1"/>
  <c r="I27" i="2"/>
  <c r="L27" i="2" s="1"/>
  <c r="I28" i="2"/>
  <c r="I29" i="2"/>
  <c r="I30" i="2"/>
  <c r="I31" i="2"/>
  <c r="L31" i="2" s="1"/>
  <c r="I32" i="2"/>
  <c r="L32" i="2" s="1"/>
  <c r="I33" i="2"/>
  <c r="L33" i="2" s="1"/>
  <c r="I34" i="2"/>
  <c r="I35" i="2"/>
  <c r="I36" i="2"/>
  <c r="I37" i="2"/>
  <c r="L37" i="2" s="1"/>
  <c r="I38" i="2"/>
  <c r="L38" i="2" s="1"/>
  <c r="I39" i="2"/>
  <c r="I40" i="2"/>
  <c r="L40" i="2" s="1"/>
  <c r="I41" i="2"/>
  <c r="I42" i="2"/>
  <c r="L42" i="2" s="1"/>
  <c r="I43" i="2"/>
  <c r="I44" i="2"/>
  <c r="I45" i="2"/>
  <c r="L45" i="2" s="1"/>
  <c r="I46" i="2"/>
  <c r="L46" i="2" s="1"/>
  <c r="I47" i="2"/>
  <c r="I48" i="2"/>
  <c r="I49" i="2"/>
  <c r="I50" i="2"/>
  <c r="L50" i="2" s="1"/>
  <c r="I51" i="2"/>
  <c r="L51" i="2" s="1"/>
  <c r="I52" i="2"/>
  <c r="L52" i="2" s="1"/>
  <c r="I53" i="2"/>
  <c r="I54" i="2"/>
  <c r="L54" i="2" s="1"/>
  <c r="I55" i="2"/>
  <c r="I56" i="2"/>
  <c r="I57" i="2"/>
  <c r="I58" i="2"/>
  <c r="I59" i="2"/>
  <c r="L59" i="2" s="1"/>
  <c r="I60" i="2"/>
  <c r="L60" i="2" s="1"/>
  <c r="I61" i="2"/>
  <c r="L61" i="2" s="1"/>
  <c r="I62" i="2"/>
  <c r="I63" i="2"/>
  <c r="I64" i="2"/>
  <c r="I65" i="2"/>
  <c r="L65" i="2" s="1"/>
  <c r="I66" i="2"/>
  <c r="L66" i="2" s="1"/>
  <c r="I67" i="2"/>
  <c r="L67" i="2" s="1"/>
  <c r="I68" i="2"/>
  <c r="L68" i="2" s="1"/>
  <c r="I69" i="2"/>
  <c r="I70" i="2"/>
  <c r="L70" i="2" s="1"/>
  <c r="I71" i="2"/>
  <c r="I72" i="2"/>
  <c r="I73" i="2"/>
  <c r="L73" i="2" s="1"/>
  <c r="I74" i="2"/>
  <c r="L74" i="2" s="1"/>
  <c r="I75" i="2"/>
  <c r="I76" i="2"/>
  <c r="I77" i="2"/>
  <c r="I78" i="2"/>
  <c r="I79" i="2"/>
  <c r="L79" i="2" s="1"/>
  <c r="I80" i="2"/>
  <c r="L80" i="2" s="1"/>
  <c r="I81" i="2"/>
  <c r="I82" i="2"/>
  <c r="L82" i="2" s="1"/>
  <c r="I83" i="2"/>
  <c r="I84" i="2"/>
  <c r="I85" i="2"/>
  <c r="I86" i="2"/>
  <c r="I87" i="2"/>
  <c r="L87" i="2" s="1"/>
  <c r="I88" i="2"/>
  <c r="L88" i="2" s="1"/>
  <c r="I89" i="2"/>
  <c r="L89" i="2" s="1"/>
  <c r="I90" i="2"/>
  <c r="I91" i="2"/>
  <c r="I92" i="2"/>
  <c r="L92" i="2" s="1"/>
  <c r="I93" i="2"/>
  <c r="L93" i="2" s="1"/>
  <c r="I94" i="2"/>
  <c r="L94" i="2" s="1"/>
  <c r="I95" i="2"/>
  <c r="I96" i="2"/>
  <c r="L96" i="2" s="1"/>
  <c r="I97" i="2"/>
  <c r="I98" i="2"/>
  <c r="I99" i="2"/>
  <c r="I100" i="2"/>
  <c r="I101" i="2"/>
  <c r="I102" i="2"/>
  <c r="L102" i="2" s="1"/>
  <c r="I103" i="2"/>
  <c r="I104" i="2"/>
  <c r="L104" i="2" s="1"/>
  <c r="I105" i="2"/>
  <c r="I106" i="2"/>
  <c r="L106" i="2" s="1"/>
  <c r="I107" i="2"/>
  <c r="L107" i="2" s="1"/>
  <c r="I108" i="2"/>
  <c r="L108" i="2" s="1"/>
  <c r="I109" i="2"/>
  <c r="I110" i="2"/>
  <c r="L110" i="2" s="1"/>
  <c r="I111" i="2"/>
  <c r="L111" i="2" s="1"/>
  <c r="I112" i="2"/>
  <c r="I113" i="2"/>
  <c r="I114" i="2"/>
  <c r="I115" i="2"/>
  <c r="L115" i="2" s="1"/>
  <c r="I116" i="2"/>
  <c r="L116" i="2" s="1"/>
  <c r="I117" i="2"/>
  <c r="I118" i="2"/>
  <c r="I119" i="2"/>
  <c r="I120" i="2"/>
  <c r="L120" i="2" s="1"/>
  <c r="I121" i="2"/>
  <c r="L121" i="2" s="1"/>
  <c r="I122" i="2"/>
  <c r="L122" i="2" s="1"/>
  <c r="I123" i="2"/>
  <c r="L123" i="2" s="1"/>
  <c r="I124" i="2"/>
  <c r="L124" i="2" s="1"/>
  <c r="I125" i="2"/>
  <c r="L125" i="2" s="1"/>
  <c r="I126" i="2"/>
  <c r="L126" i="2" s="1"/>
  <c r="I127" i="2"/>
  <c r="I128" i="2"/>
  <c r="I129" i="2"/>
  <c r="L129" i="2" s="1"/>
  <c r="I130" i="2"/>
  <c r="L130" i="2" s="1"/>
  <c r="I131" i="2"/>
  <c r="L131" i="2" s="1"/>
  <c r="I132" i="2"/>
  <c r="I133" i="2"/>
  <c r="I134" i="2"/>
  <c r="I135" i="2"/>
  <c r="I136" i="2"/>
  <c r="L136" i="2" s="1"/>
  <c r="I137" i="2"/>
  <c r="L137" i="2" s="1"/>
  <c r="I138" i="2"/>
  <c r="L138" i="2" s="1"/>
  <c r="I139" i="2"/>
  <c r="L139" i="2" s="1"/>
  <c r="I140" i="2"/>
  <c r="L140" i="2" s="1"/>
  <c r="I141" i="2"/>
  <c r="I142" i="2"/>
  <c r="I143" i="2"/>
  <c r="L143" i="2" s="1"/>
  <c r="I144" i="2"/>
  <c r="L144" i="2" s="1"/>
  <c r="I145" i="2"/>
  <c r="I146" i="2"/>
  <c r="L146" i="2" s="1"/>
  <c r="I147" i="2"/>
  <c r="I148" i="2"/>
  <c r="L148" i="2" s="1"/>
  <c r="I149" i="2"/>
  <c r="L149" i="2" s="1"/>
  <c r="I150" i="2"/>
  <c r="L150" i="2" s="1"/>
  <c r="I151" i="2"/>
  <c r="I152" i="2"/>
  <c r="I153" i="2"/>
  <c r="L153" i="2" s="1"/>
  <c r="I154" i="2"/>
  <c r="L154" i="2" s="1"/>
  <c r="I155" i="2"/>
  <c r="I156" i="2"/>
  <c r="I157" i="2"/>
  <c r="L157" i="2" s="1"/>
  <c r="I158" i="2"/>
  <c r="L158" i="2" s="1"/>
  <c r="I159" i="2"/>
  <c r="I160" i="2"/>
  <c r="L160" i="2" s="1"/>
  <c r="I161" i="2"/>
  <c r="I162" i="2"/>
  <c r="L162" i="2" s="1"/>
  <c r="I163" i="2"/>
  <c r="L163" i="2" s="1"/>
  <c r="I164" i="2"/>
  <c r="L164" i="2" s="1"/>
  <c r="I165" i="2"/>
  <c r="I166" i="2"/>
  <c r="I7" i="2"/>
  <c r="Q9" i="2"/>
  <c r="Q8" i="2"/>
  <c r="V7" i="2"/>
  <c r="AQ106" i="5" l="1"/>
  <c r="AR106" i="5"/>
  <c r="AO106" i="5"/>
  <c r="L141" i="2"/>
  <c r="L29" i="2"/>
  <c r="AQ92" i="5"/>
  <c r="AO92" i="5"/>
  <c r="AR92" i="5"/>
  <c r="AR36" i="5"/>
  <c r="AO36" i="5"/>
  <c r="AO22" i="5"/>
  <c r="AQ22" i="5"/>
  <c r="AQ8" i="5"/>
  <c r="AO8" i="5"/>
  <c r="AR8" i="5"/>
  <c r="AR154" i="5"/>
  <c r="AP154" i="5"/>
  <c r="AN91" i="5"/>
  <c r="AO79" i="5"/>
  <c r="AN79" i="5"/>
  <c r="AQ91" i="5"/>
  <c r="AO131" i="5"/>
  <c r="AQ131" i="5"/>
  <c r="AN156" i="5"/>
  <c r="AP156" i="5"/>
  <c r="AR156" i="5"/>
  <c r="AN142" i="5"/>
  <c r="AR142" i="5"/>
  <c r="AP128" i="5"/>
  <c r="AN128" i="5"/>
  <c r="AP114" i="5"/>
  <c r="AN114" i="5"/>
  <c r="AN44" i="5"/>
  <c r="AP44" i="5"/>
  <c r="AO148" i="5"/>
  <c r="AQ148" i="5"/>
  <c r="AR78" i="5"/>
  <c r="AO78" i="5"/>
  <c r="AN78" i="5"/>
  <c r="AQ78" i="5"/>
  <c r="AO20" i="5"/>
  <c r="AQ158" i="5"/>
  <c r="AN59" i="5"/>
  <c r="AP59" i="5"/>
  <c r="AR59" i="5"/>
  <c r="AP17" i="5"/>
  <c r="AQ17" i="5"/>
  <c r="AN17" i="5"/>
  <c r="AQ149" i="5"/>
  <c r="AO149" i="5"/>
  <c r="AQ121" i="5"/>
  <c r="AO121" i="5"/>
  <c r="AO93" i="5"/>
  <c r="AQ93" i="5"/>
  <c r="AO37" i="5"/>
  <c r="AQ37" i="5"/>
  <c r="AO159" i="5"/>
  <c r="AP123" i="5"/>
  <c r="AP95" i="5"/>
  <c r="AP16" i="5"/>
  <c r="AN16" i="5"/>
  <c r="AR16" i="5"/>
  <c r="AN110" i="5"/>
  <c r="AN96" i="5"/>
  <c r="AN68" i="5"/>
  <c r="AN40" i="5"/>
  <c r="AO158" i="5"/>
  <c r="AO130" i="5"/>
  <c r="AO74" i="5"/>
  <c r="AO18" i="5"/>
  <c r="AP136" i="5"/>
  <c r="AP94" i="5"/>
  <c r="AP66" i="5"/>
  <c r="AP52" i="5"/>
  <c r="AP38" i="5"/>
  <c r="AQ16" i="5"/>
  <c r="AR161" i="5"/>
  <c r="AR105" i="5"/>
  <c r="AR91" i="5"/>
  <c r="AP79" i="5"/>
  <c r="AQ127" i="5"/>
  <c r="AQ85" i="5"/>
  <c r="AR90" i="5"/>
  <c r="AO16" i="5"/>
  <c r="AP50" i="5"/>
  <c r="L21" i="2"/>
  <c r="AN148" i="5"/>
  <c r="AN106" i="5"/>
  <c r="AO126" i="5"/>
  <c r="AO70" i="5"/>
  <c r="AO42" i="5"/>
  <c r="AP20" i="5"/>
  <c r="AP143" i="5"/>
  <c r="L147" i="2"/>
  <c r="L105" i="2"/>
  <c r="L91" i="2"/>
  <c r="L49" i="2"/>
  <c r="AP140" i="5"/>
  <c r="AR140" i="5"/>
  <c r="AR112" i="5"/>
  <c r="AP112" i="5"/>
  <c r="AP70" i="5"/>
  <c r="AR70" i="5"/>
  <c r="AO72" i="5"/>
  <c r="AR97" i="5"/>
  <c r="AP97" i="5"/>
  <c r="AP126" i="5"/>
  <c r="AR126" i="5"/>
  <c r="AO127" i="5"/>
  <c r="AP105" i="5"/>
  <c r="AQ55" i="5"/>
  <c r="AQ41" i="5"/>
  <c r="AR130" i="5"/>
  <c r="AO11" i="5"/>
  <c r="AQ11" i="5"/>
  <c r="AO97" i="5"/>
  <c r="AO55" i="5"/>
  <c r="AP75" i="5"/>
  <c r="AP19" i="5"/>
  <c r="AQ151" i="5"/>
  <c r="AQ123" i="5"/>
  <c r="AP92" i="5"/>
  <c r="L78" i="2"/>
  <c r="AR33" i="5"/>
  <c r="AN149" i="5"/>
  <c r="AN93" i="5"/>
  <c r="AN37" i="5"/>
  <c r="AO155" i="5"/>
  <c r="AO141" i="5"/>
  <c r="AO113" i="5"/>
  <c r="AO85" i="5"/>
  <c r="AP161" i="5"/>
  <c r="AP147" i="5"/>
  <c r="AP91" i="5"/>
  <c r="AP77" i="5"/>
  <c r="AP21" i="5"/>
  <c r="AQ139" i="5"/>
  <c r="AQ125" i="5"/>
  <c r="AQ111" i="5"/>
  <c r="AQ97" i="5"/>
  <c r="AQ69" i="5"/>
  <c r="AQ27" i="5"/>
  <c r="AR158" i="5"/>
  <c r="AR144" i="5"/>
  <c r="AR116" i="5"/>
  <c r="AR88" i="5"/>
  <c r="AR74" i="5"/>
  <c r="AR46" i="5"/>
  <c r="AR32" i="5"/>
  <c r="AR18" i="5"/>
  <c r="AR4" i="5"/>
  <c r="AR26" i="5"/>
  <c r="AP93" i="5"/>
  <c r="AR62" i="5"/>
  <c r="AO142" i="5"/>
  <c r="AO58" i="5"/>
  <c r="AP106" i="5"/>
  <c r="AP22" i="5"/>
  <c r="AR159" i="5"/>
  <c r="AR19" i="5"/>
  <c r="L62" i="2"/>
  <c r="AQ23" i="5"/>
  <c r="AO23" i="5"/>
  <c r="AN134" i="5"/>
  <c r="AN120" i="5"/>
  <c r="AN92" i="5"/>
  <c r="AN64" i="5"/>
  <c r="AN50" i="5"/>
  <c r="AN22" i="5"/>
  <c r="AN8" i="5"/>
  <c r="AO154" i="5"/>
  <c r="AO140" i="5"/>
  <c r="AO112" i="5"/>
  <c r="AO98" i="5"/>
  <c r="AO56" i="5"/>
  <c r="AO28" i="5"/>
  <c r="AP146" i="5"/>
  <c r="AP132" i="5"/>
  <c r="AP118" i="5"/>
  <c r="AP104" i="5"/>
  <c r="AP90" i="5"/>
  <c r="AP76" i="5"/>
  <c r="AP62" i="5"/>
  <c r="AP34" i="5"/>
  <c r="AP6" i="5"/>
  <c r="AQ152" i="5"/>
  <c r="AQ138" i="5"/>
  <c r="AQ124" i="5"/>
  <c r="AQ110" i="5"/>
  <c r="AQ96" i="5"/>
  <c r="AQ68" i="5"/>
  <c r="AQ54" i="5"/>
  <c r="AQ40" i="5"/>
  <c r="AQ26" i="5"/>
  <c r="AR157" i="5"/>
  <c r="AR143" i="5"/>
  <c r="AR129" i="5"/>
  <c r="AR115" i="5"/>
  <c r="AR101" i="5"/>
  <c r="AR87" i="5"/>
  <c r="AR45" i="5"/>
  <c r="AR31" i="5"/>
  <c r="AR17" i="5"/>
  <c r="AR3" i="5"/>
  <c r="AN73" i="5"/>
  <c r="AO21" i="5"/>
  <c r="AP125" i="5"/>
  <c r="P24" i="7"/>
  <c r="AR146" i="5"/>
  <c r="L64" i="2"/>
  <c r="AN136" i="5"/>
  <c r="AN80" i="5"/>
  <c r="AO156" i="5"/>
  <c r="AO114" i="5"/>
  <c r="AP36" i="5"/>
  <c r="AQ154" i="5"/>
  <c r="AQ140" i="5"/>
  <c r="AQ70" i="5"/>
  <c r="AR75" i="5"/>
  <c r="L63" i="2"/>
  <c r="L48" i="2"/>
  <c r="L159" i="2"/>
  <c r="L47" i="2"/>
  <c r="AN161" i="5"/>
  <c r="AN147" i="5"/>
  <c r="AN133" i="5"/>
  <c r="AN119" i="5"/>
  <c r="AN105" i="5"/>
  <c r="AN35" i="5"/>
  <c r="AN21" i="5"/>
  <c r="AN7" i="5"/>
  <c r="AO153" i="5"/>
  <c r="AO139" i="5"/>
  <c r="AO125" i="5"/>
  <c r="AO111" i="5"/>
  <c r="AO83" i="5"/>
  <c r="AO69" i="5"/>
  <c r="AO41" i="5"/>
  <c r="AO13" i="5"/>
  <c r="AP159" i="5"/>
  <c r="AP145" i="5"/>
  <c r="AP131" i="5"/>
  <c r="AP117" i="5"/>
  <c r="AP103" i="5"/>
  <c r="AP89" i="5"/>
  <c r="AP61" i="5"/>
  <c r="AP33" i="5"/>
  <c r="AP5" i="5"/>
  <c r="AQ137" i="5"/>
  <c r="AQ109" i="5"/>
  <c r="AQ95" i="5"/>
  <c r="AQ81" i="5"/>
  <c r="AQ67" i="5"/>
  <c r="AQ53" i="5"/>
  <c r="AQ25" i="5"/>
  <c r="AR114" i="5"/>
  <c r="AR86" i="5"/>
  <c r="AR44" i="5"/>
  <c r="L8" i="2"/>
  <c r="AQ112" i="5"/>
  <c r="AN160" i="5"/>
  <c r="AN146" i="5"/>
  <c r="AN90" i="5"/>
  <c r="AN76" i="5"/>
  <c r="AN62" i="5"/>
  <c r="AN34" i="5"/>
  <c r="AN20" i="5"/>
  <c r="AN6" i="5"/>
  <c r="AO138" i="5"/>
  <c r="AO124" i="5"/>
  <c r="AO110" i="5"/>
  <c r="AO96" i="5"/>
  <c r="AO68" i="5"/>
  <c r="AO40" i="5"/>
  <c r="AP144" i="5"/>
  <c r="AP116" i="5"/>
  <c r="AP102" i="5"/>
  <c r="AP88" i="5"/>
  <c r="AP60" i="5"/>
  <c r="AP46" i="5"/>
  <c r="AP32" i="5"/>
  <c r="AP4" i="5"/>
  <c r="AQ136" i="5"/>
  <c r="AQ38" i="5"/>
  <c r="AR155" i="5"/>
  <c r="AR127" i="5"/>
  <c r="AR113" i="5"/>
  <c r="AR99" i="5"/>
  <c r="AR85" i="5"/>
  <c r="AR71" i="5"/>
  <c r="AR131" i="5"/>
  <c r="AN159" i="5"/>
  <c r="AN145" i="5"/>
  <c r="AN131" i="5"/>
  <c r="AN117" i="5"/>
  <c r="AN103" i="5"/>
  <c r="AN89" i="5"/>
  <c r="AN75" i="5"/>
  <c r="AN61" i="5"/>
  <c r="AN47" i="5"/>
  <c r="AN33" i="5"/>
  <c r="AN19" i="5"/>
  <c r="AN5" i="5"/>
  <c r="AO151" i="5"/>
  <c r="AO123" i="5"/>
  <c r="AO109" i="5"/>
  <c r="AO95" i="5"/>
  <c r="AO53" i="5"/>
  <c r="AP157" i="5"/>
  <c r="AP129" i="5"/>
  <c r="AP101" i="5"/>
  <c r="AP87" i="5"/>
  <c r="AP73" i="5"/>
  <c r="AP31" i="5"/>
  <c r="AQ135" i="5"/>
  <c r="AQ107" i="5"/>
  <c r="AQ79" i="5"/>
  <c r="AQ65" i="5"/>
  <c r="AQ51" i="5"/>
  <c r="AQ9" i="5"/>
  <c r="AR56" i="5"/>
  <c r="AP13" i="5"/>
  <c r="AR61" i="5"/>
  <c r="AN154" i="6"/>
  <c r="V9" i="2"/>
  <c r="AN115" i="5"/>
  <c r="AP115" i="5"/>
  <c r="AP3" i="5"/>
  <c r="I75" i="7"/>
  <c r="AH75" i="6"/>
  <c r="K80" i="7"/>
  <c r="P83" i="7"/>
  <c r="K87" i="7"/>
  <c r="AQ155" i="5"/>
  <c r="AQ113" i="5"/>
  <c r="AN52" i="5"/>
  <c r="AO128" i="5"/>
  <c r="AO86" i="5"/>
  <c r="AP148" i="5"/>
  <c r="AP120" i="5"/>
  <c r="AP8" i="5"/>
  <c r="AQ126" i="5"/>
  <c r="AQ56" i="5"/>
  <c r="AQ28" i="5"/>
  <c r="AR145" i="5"/>
  <c r="AR89" i="5"/>
  <c r="AR5" i="5"/>
  <c r="Q3" i="7"/>
  <c r="AR3" i="6"/>
  <c r="J33" i="7"/>
  <c r="AH33" i="6"/>
  <c r="AP33" i="6" s="1"/>
  <c r="L114" i="2"/>
  <c r="L113" i="2"/>
  <c r="L99" i="2"/>
  <c r="L15" i="2"/>
  <c r="AH100" i="5"/>
  <c r="AH72" i="5"/>
  <c r="AN72" i="5" s="1"/>
  <c r="AH58" i="5"/>
  <c r="AH30" i="5"/>
  <c r="AR64" i="5"/>
  <c r="I15" i="7"/>
  <c r="P16" i="7"/>
  <c r="N18" i="7"/>
  <c r="AH20" i="6"/>
  <c r="AO20" i="6" s="1"/>
  <c r="K20" i="7"/>
  <c r="I22" i="7"/>
  <c r="L22" i="7" s="1"/>
  <c r="AH22" i="6"/>
  <c r="AN22" i="6" s="1"/>
  <c r="O23" i="7"/>
  <c r="N54" i="7"/>
  <c r="L112" i="2"/>
  <c r="T9" i="2"/>
  <c r="AQ119" i="5"/>
  <c r="AO119" i="5"/>
  <c r="M13" i="7"/>
  <c r="O18" i="7"/>
  <c r="M20" i="7"/>
  <c r="J22" i="7"/>
  <c r="AQ14" i="5"/>
  <c r="L84" i="2"/>
  <c r="L14" i="2"/>
  <c r="L97" i="2"/>
  <c r="L69" i="2"/>
  <c r="AH98" i="5"/>
  <c r="AQ98" i="5" s="1"/>
  <c r="AH84" i="5"/>
  <c r="AP84" i="5" s="1"/>
  <c r="AH42" i="5"/>
  <c r="AQ42" i="5" s="1"/>
  <c r="AH28" i="5"/>
  <c r="AH14" i="5"/>
  <c r="AN57" i="5"/>
  <c r="AO161" i="5"/>
  <c r="AO35" i="5"/>
  <c r="AP139" i="5"/>
  <c r="AR108" i="5"/>
  <c r="AP153" i="5"/>
  <c r="AR134" i="5"/>
  <c r="J10" i="7"/>
  <c r="Q11" i="7"/>
  <c r="N13" i="7"/>
  <c r="AH15" i="6"/>
  <c r="K15" i="7"/>
  <c r="AH17" i="6"/>
  <c r="AR17" i="6" s="1"/>
  <c r="I17" i="7"/>
  <c r="P18" i="7"/>
  <c r="AN154" i="5"/>
  <c r="AN140" i="5"/>
  <c r="AN112" i="5"/>
  <c r="AN84" i="5"/>
  <c r="AN70" i="5"/>
  <c r="AN56" i="5"/>
  <c r="AN42" i="5"/>
  <c r="AN14" i="5"/>
  <c r="AO146" i="5"/>
  <c r="AO118" i="5"/>
  <c r="AO90" i="5"/>
  <c r="AO62" i="5"/>
  <c r="AO48" i="5"/>
  <c r="AO34" i="5"/>
  <c r="AO6" i="5"/>
  <c r="AP138" i="5"/>
  <c r="AP110" i="5"/>
  <c r="AP96" i="5"/>
  <c r="AP82" i="5"/>
  <c r="AP68" i="5"/>
  <c r="AP40" i="5"/>
  <c r="AP26" i="5"/>
  <c r="AQ144" i="5"/>
  <c r="AQ130" i="5"/>
  <c r="AQ116" i="5"/>
  <c r="AQ102" i="5"/>
  <c r="AQ88" i="5"/>
  <c r="AQ74" i="5"/>
  <c r="AQ60" i="5"/>
  <c r="AQ46" i="5"/>
  <c r="AQ18" i="5"/>
  <c r="AQ4" i="5"/>
  <c r="AR149" i="5"/>
  <c r="AR135" i="5"/>
  <c r="AR121" i="5"/>
  <c r="AR107" i="5"/>
  <c r="AR93" i="5"/>
  <c r="AR79" i="5"/>
  <c r="AR65" i="5"/>
  <c r="AR51" i="5"/>
  <c r="AR37" i="5"/>
  <c r="AR23" i="5"/>
  <c r="AR9" i="5"/>
  <c r="AN45" i="5"/>
  <c r="K10" i="7"/>
  <c r="AQ84" i="5"/>
  <c r="L95" i="2"/>
  <c r="L81" i="2"/>
  <c r="L39" i="2"/>
  <c r="AN139" i="5"/>
  <c r="AN125" i="5"/>
  <c r="AN111" i="5"/>
  <c r="AN97" i="5"/>
  <c r="AN83" i="5"/>
  <c r="AN69" i="5"/>
  <c r="AN55" i="5"/>
  <c r="AN41" i="5"/>
  <c r="AN13" i="5"/>
  <c r="AO145" i="5"/>
  <c r="AO117" i="5"/>
  <c r="AO103" i="5"/>
  <c r="AO75" i="5"/>
  <c r="AO61" i="5"/>
  <c r="AO47" i="5"/>
  <c r="AO33" i="5"/>
  <c r="AO19" i="5"/>
  <c r="AO5" i="5"/>
  <c r="AP151" i="5"/>
  <c r="AP137" i="5"/>
  <c r="AP109" i="5"/>
  <c r="AP81" i="5"/>
  <c r="AP67" i="5"/>
  <c r="AP53" i="5"/>
  <c r="AP39" i="5"/>
  <c r="AP25" i="5"/>
  <c r="AP11" i="5"/>
  <c r="AQ157" i="5"/>
  <c r="AQ143" i="5"/>
  <c r="AQ129" i="5"/>
  <c r="AQ115" i="5"/>
  <c r="AQ87" i="5"/>
  <c r="AQ59" i="5"/>
  <c r="AQ31" i="5"/>
  <c r="AQ3" i="5"/>
  <c r="AR148" i="5"/>
  <c r="AR120" i="5"/>
  <c r="AR50" i="5"/>
  <c r="AR22" i="5"/>
  <c r="AO147" i="5"/>
  <c r="AP45" i="5"/>
  <c r="AH5" i="6"/>
  <c r="AO5" i="6" s="1"/>
  <c r="J5" i="7"/>
  <c r="K41" i="7"/>
  <c r="AR34" i="5"/>
  <c r="AR6" i="5"/>
  <c r="I7" i="7"/>
  <c r="L7" i="7" s="1"/>
  <c r="AH7" i="6"/>
  <c r="AR7" i="6" s="1"/>
  <c r="O8" i="7"/>
  <c r="M10" i="7"/>
  <c r="K95" i="7"/>
  <c r="AH102" i="6"/>
  <c r="AO102" i="6" s="1"/>
  <c r="J102" i="7"/>
  <c r="Q103" i="7"/>
  <c r="O105" i="7"/>
  <c r="M107" i="7"/>
  <c r="I92" i="7"/>
  <c r="M95" i="7"/>
  <c r="AH97" i="6"/>
  <c r="AO97" i="6" s="1"/>
  <c r="I97" i="7"/>
  <c r="P98" i="7"/>
  <c r="N100" i="7"/>
  <c r="I104" i="7"/>
  <c r="L104" i="7" s="1"/>
  <c r="R104" i="7" s="1"/>
  <c r="N5" i="7"/>
  <c r="O76" i="7"/>
  <c r="M78" i="7"/>
  <c r="J80" i="7"/>
  <c r="Q81" i="7"/>
  <c r="J92" i="7"/>
  <c r="Q93" i="7"/>
  <c r="J104" i="7"/>
  <c r="Q88" i="7"/>
  <c r="N90" i="7"/>
  <c r="K92" i="7"/>
  <c r="AQ39" i="5"/>
  <c r="AR128" i="5"/>
  <c r="AR100" i="5"/>
  <c r="AR72" i="5"/>
  <c r="AR30" i="5"/>
  <c r="J9" i="7"/>
  <c r="AH46" i="6"/>
  <c r="AP46" i="6" s="1"/>
  <c r="J46" i="7"/>
  <c r="AQ47" i="6"/>
  <c r="P47" i="7"/>
  <c r="M49" i="7"/>
  <c r="J51" i="7"/>
  <c r="O54" i="7"/>
  <c r="M56" i="7"/>
  <c r="AN56" i="6"/>
  <c r="Q71" i="7"/>
  <c r="AR71" i="6"/>
  <c r="J75" i="7"/>
  <c r="L75" i="7" s="1"/>
  <c r="V75" i="7" s="1"/>
  <c r="AR29" i="5"/>
  <c r="AR15" i="5"/>
  <c r="Q5" i="7"/>
  <c r="O34" i="7"/>
  <c r="AH36" i="6"/>
  <c r="J36" i="7"/>
  <c r="Q37" i="7"/>
  <c r="O39" i="7"/>
  <c r="N44" i="7"/>
  <c r="Q47" i="7"/>
  <c r="N49" i="7"/>
  <c r="K51" i="7"/>
  <c r="I53" i="7"/>
  <c r="AP44" i="6"/>
  <c r="O44" i="7"/>
  <c r="O49" i="7"/>
  <c r="M51" i="7"/>
  <c r="AH53" i="6"/>
  <c r="AP53" i="6" s="1"/>
  <c r="J53" i="7"/>
  <c r="AN144" i="5"/>
  <c r="AN130" i="5"/>
  <c r="AN116" i="5"/>
  <c r="AN74" i="5"/>
  <c r="AN4" i="5"/>
  <c r="AP142" i="5"/>
  <c r="AP86" i="5"/>
  <c r="AP72" i="5"/>
  <c r="AP58" i="5"/>
  <c r="AQ120" i="5"/>
  <c r="AQ64" i="5"/>
  <c r="AQ50" i="5"/>
  <c r="AQ36" i="5"/>
  <c r="AR111" i="5"/>
  <c r="AR83" i="5"/>
  <c r="AR69" i="5"/>
  <c r="N9" i="7"/>
  <c r="K11" i="7"/>
  <c r="P12" i="7"/>
  <c r="M26" i="7"/>
  <c r="I28" i="7"/>
  <c r="P29" i="7"/>
  <c r="N31" i="7"/>
  <c r="K33" i="7"/>
  <c r="Q34" i="7"/>
  <c r="M36" i="7"/>
  <c r="AN36" i="6"/>
  <c r="J38" i="7"/>
  <c r="Q39" i="7"/>
  <c r="M41" i="7"/>
  <c r="I43" i="7"/>
  <c r="AH12" i="5"/>
  <c r="AR12" i="5" s="1"/>
  <c r="AN129" i="5"/>
  <c r="AO107" i="5"/>
  <c r="AQ49" i="5"/>
  <c r="N26" i="7"/>
  <c r="AH28" i="6"/>
  <c r="J28" i="7"/>
  <c r="Q29" i="7"/>
  <c r="K38" i="7"/>
  <c r="AQ160" i="5"/>
  <c r="AQ146" i="5"/>
  <c r="AQ132" i="5"/>
  <c r="AQ118" i="5"/>
  <c r="AQ104" i="5"/>
  <c r="AQ90" i="5"/>
  <c r="AQ76" i="5"/>
  <c r="AQ62" i="5"/>
  <c r="AQ48" i="5"/>
  <c r="AQ34" i="5"/>
  <c r="AQ20" i="5"/>
  <c r="AQ6" i="5"/>
  <c r="AR151" i="5"/>
  <c r="AR137" i="5"/>
  <c r="AR123" i="5"/>
  <c r="AR109" i="5"/>
  <c r="AR95" i="5"/>
  <c r="AR81" i="5"/>
  <c r="AR67" i="5"/>
  <c r="AR53" i="5"/>
  <c r="AR39" i="5"/>
  <c r="AR25" i="5"/>
  <c r="AR11" i="5"/>
  <c r="O4" i="7"/>
  <c r="I20" i="7"/>
  <c r="P21" i="7"/>
  <c r="M23" i="7"/>
  <c r="AN23" i="6"/>
  <c r="O26" i="7"/>
  <c r="K28" i="7"/>
  <c r="I30" i="7"/>
  <c r="M33" i="7"/>
  <c r="AN33" i="6"/>
  <c r="AH150" i="5"/>
  <c r="AR150" i="5" s="1"/>
  <c r="AH136" i="5"/>
  <c r="AH122" i="5"/>
  <c r="AR122" i="5" s="1"/>
  <c r="AH108" i="5"/>
  <c r="AQ108" i="5" s="1"/>
  <c r="AH94" i="5"/>
  <c r="AN94" i="5" s="1"/>
  <c r="AH80" i="5"/>
  <c r="AQ80" i="5" s="1"/>
  <c r="AH66" i="5"/>
  <c r="AN66" i="5" s="1"/>
  <c r="AH52" i="5"/>
  <c r="AQ52" i="5" s="1"/>
  <c r="AH38" i="5"/>
  <c r="AN38" i="5" s="1"/>
  <c r="AH24" i="5"/>
  <c r="AR24" i="5" s="1"/>
  <c r="AH10" i="5"/>
  <c r="AR10" i="5" s="1"/>
  <c r="AN155" i="5"/>
  <c r="AN99" i="5"/>
  <c r="AN85" i="5"/>
  <c r="AN71" i="5"/>
  <c r="AN29" i="5"/>
  <c r="AO133" i="5"/>
  <c r="AO105" i="5"/>
  <c r="AO77" i="5"/>
  <c r="AO63" i="5"/>
  <c r="AO49" i="5"/>
  <c r="AO7" i="5"/>
  <c r="AP111" i="5"/>
  <c r="AP83" i="5"/>
  <c r="AP55" i="5"/>
  <c r="AP41" i="5"/>
  <c r="AP27" i="5"/>
  <c r="AQ159" i="5"/>
  <c r="AQ89" i="5"/>
  <c r="AQ61" i="5"/>
  <c r="AQ33" i="5"/>
  <c r="AQ19" i="5"/>
  <c r="AQ5" i="5"/>
  <c r="AR136" i="5"/>
  <c r="AR94" i="5"/>
  <c r="AR80" i="5"/>
  <c r="AR66" i="5"/>
  <c r="AR52" i="5"/>
  <c r="AR38" i="5"/>
  <c r="AH3" i="6"/>
  <c r="AP3" i="6" s="1"/>
  <c r="J3" i="7"/>
  <c r="J20" i="7"/>
  <c r="L20" i="7" s="1"/>
  <c r="Q21" i="7"/>
  <c r="N23" i="7"/>
  <c r="AO23" i="6"/>
  <c r="N128" i="7"/>
  <c r="I132" i="7"/>
  <c r="M135" i="7"/>
  <c r="O140" i="7"/>
  <c r="J144" i="7"/>
  <c r="P145" i="7"/>
  <c r="N147" i="7"/>
  <c r="K149" i="7"/>
  <c r="I151" i="7"/>
  <c r="N154" i="7"/>
  <c r="AO154" i="6"/>
  <c r="K156" i="7"/>
  <c r="O5" i="7"/>
  <c r="Q8" i="7"/>
  <c r="N10" i="7"/>
  <c r="I12" i="7"/>
  <c r="P13" i="7"/>
  <c r="AN15" i="6"/>
  <c r="M15" i="7"/>
  <c r="J17" i="7"/>
  <c r="Q18" i="7"/>
  <c r="N20" i="7"/>
  <c r="K22" i="7"/>
  <c r="P23" i="7"/>
  <c r="AH25" i="6"/>
  <c r="AN25" i="6" s="1"/>
  <c r="I25" i="7"/>
  <c r="P26" i="7"/>
  <c r="M28" i="7"/>
  <c r="AH30" i="6"/>
  <c r="J30" i="7"/>
  <c r="Q31" i="7"/>
  <c r="N33" i="7"/>
  <c r="I35" i="7"/>
  <c r="L35" i="7" s="1"/>
  <c r="S35" i="7" s="1"/>
  <c r="O36" i="7"/>
  <c r="P68" i="7"/>
  <c r="M70" i="7"/>
  <c r="R70" i="7" s="1"/>
  <c r="AO73" i="6"/>
  <c r="N73" i="7"/>
  <c r="K75" i="7"/>
  <c r="O78" i="7"/>
  <c r="J82" i="7"/>
  <c r="M87" i="7"/>
  <c r="O90" i="7"/>
  <c r="J132" i="7"/>
  <c r="Q133" i="7"/>
  <c r="K137" i="7"/>
  <c r="I139" i="7"/>
  <c r="AH4" i="6"/>
  <c r="AN4" i="6" s="1"/>
  <c r="I4" i="7"/>
  <c r="L4" i="7" s="1"/>
  <c r="R4" i="7" s="1"/>
  <c r="P5" i="7"/>
  <c r="M7" i="7"/>
  <c r="O10" i="7"/>
  <c r="J12" i="7"/>
  <c r="Q13" i="7"/>
  <c r="N15" i="7"/>
  <c r="K17" i="7"/>
  <c r="O20" i="7"/>
  <c r="Q23" i="7"/>
  <c r="J25" i="7"/>
  <c r="N28" i="7"/>
  <c r="K30" i="7"/>
  <c r="I32" i="7"/>
  <c r="L32" i="7" s="1"/>
  <c r="V32" i="7" s="1"/>
  <c r="AH32" i="6"/>
  <c r="O33" i="7"/>
  <c r="K67" i="7"/>
  <c r="N70" i="7"/>
  <c r="I72" i="7"/>
  <c r="AP73" i="6"/>
  <c r="O73" i="7"/>
  <c r="I77" i="7"/>
  <c r="P78" i="7"/>
  <c r="AO123" i="6"/>
  <c r="N123" i="7"/>
  <c r="K125" i="7"/>
  <c r="I127" i="7"/>
  <c r="L127" i="7" s="1"/>
  <c r="R127" i="7" s="1"/>
  <c r="N130" i="7"/>
  <c r="AH132" i="6"/>
  <c r="K132" i="7"/>
  <c r="O135" i="7"/>
  <c r="M137" i="7"/>
  <c r="J139" i="7"/>
  <c r="P10" i="7"/>
  <c r="K12" i="7"/>
  <c r="O15" i="7"/>
  <c r="M17" i="7"/>
  <c r="AH19" i="6"/>
  <c r="I19" i="7"/>
  <c r="M22" i="7"/>
  <c r="K25" i="7"/>
  <c r="AH27" i="6"/>
  <c r="AO27" i="6" s="1"/>
  <c r="I27" i="7"/>
  <c r="AN30" i="6"/>
  <c r="M30" i="7"/>
  <c r="J32" i="7"/>
  <c r="J62" i="7"/>
  <c r="Q63" i="7"/>
  <c r="O65" i="7"/>
  <c r="M67" i="7"/>
  <c r="AP123" i="6"/>
  <c r="O123" i="7"/>
  <c r="M125" i="7"/>
  <c r="AH127" i="6"/>
  <c r="AO127" i="6" s="1"/>
  <c r="J127" i="7"/>
  <c r="AH6" i="6"/>
  <c r="I6" i="7"/>
  <c r="O7" i="7"/>
  <c r="K9" i="7"/>
  <c r="Q10" i="7"/>
  <c r="M12" i="7"/>
  <c r="I14" i="7"/>
  <c r="P15" i="7"/>
  <c r="AO17" i="6"/>
  <c r="N17" i="7"/>
  <c r="J19" i="7"/>
  <c r="Q20" i="7"/>
  <c r="M25" i="7"/>
  <c r="J27" i="7"/>
  <c r="P28" i="7"/>
  <c r="AO30" i="6"/>
  <c r="N30" i="7"/>
  <c r="AR35" i="6"/>
  <c r="N60" i="7"/>
  <c r="I64" i="7"/>
  <c r="P65" i="7"/>
  <c r="N67" i="7"/>
  <c r="AH69" i="6"/>
  <c r="AR69" i="6" s="1"/>
  <c r="I69" i="7"/>
  <c r="P70" i="7"/>
  <c r="M120" i="7"/>
  <c r="J122" i="7"/>
  <c r="L122" i="7" s="1"/>
  <c r="S122" i="7" s="1"/>
  <c r="P123" i="7"/>
  <c r="AQ123" i="6"/>
  <c r="N125" i="7"/>
  <c r="K127" i="7"/>
  <c r="AO136" i="5"/>
  <c r="AO108" i="5"/>
  <c r="AO94" i="5"/>
  <c r="AO80" i="5"/>
  <c r="AO66" i="5"/>
  <c r="AO38" i="5"/>
  <c r="AO24" i="5"/>
  <c r="AO10" i="5"/>
  <c r="J2" i="7"/>
  <c r="M4" i="7"/>
  <c r="J6" i="7"/>
  <c r="P7" i="7"/>
  <c r="AH9" i="6"/>
  <c r="AP9" i="6" s="1"/>
  <c r="AH11" i="6"/>
  <c r="AN11" i="6" s="1"/>
  <c r="I11" i="7"/>
  <c r="N12" i="7"/>
  <c r="J14" i="7"/>
  <c r="Q15" i="7"/>
  <c r="AP17" i="6"/>
  <c r="O17" i="7"/>
  <c r="AN32" i="6"/>
  <c r="M32" i="7"/>
  <c r="K57" i="7"/>
  <c r="O60" i="7"/>
  <c r="M62" i="7"/>
  <c r="J64" i="7"/>
  <c r="Q65" i="7"/>
  <c r="O67" i="7"/>
  <c r="I117" i="7"/>
  <c r="N120" i="7"/>
  <c r="K122" i="7"/>
  <c r="AO150" i="5"/>
  <c r="AP155" i="5"/>
  <c r="AP141" i="5"/>
  <c r="AP127" i="5"/>
  <c r="AP113" i="5"/>
  <c r="AP99" i="5"/>
  <c r="AP85" i="5"/>
  <c r="AP71" i="5"/>
  <c r="AP57" i="5"/>
  <c r="AP43" i="5"/>
  <c r="AP29" i="5"/>
  <c r="AP15" i="5"/>
  <c r="I3" i="7"/>
  <c r="N4" i="7"/>
  <c r="M19" i="7"/>
  <c r="M57" i="7"/>
  <c r="AH59" i="6"/>
  <c r="AN59" i="6" s="1"/>
  <c r="I59" i="7"/>
  <c r="P60" i="7"/>
  <c r="N62" i="7"/>
  <c r="K64" i="7"/>
  <c r="I112" i="7"/>
  <c r="P113" i="7"/>
  <c r="J117" i="7"/>
  <c r="Q118" i="7"/>
  <c r="O120" i="7"/>
  <c r="AH122" i="6"/>
  <c r="M14" i="7"/>
  <c r="R14" i="7" s="1"/>
  <c r="J16" i="7"/>
  <c r="N19" i="7"/>
  <c r="K21" i="7"/>
  <c r="Q22" i="7"/>
  <c r="K24" i="7"/>
  <c r="P25" i="7"/>
  <c r="N27" i="7"/>
  <c r="Q30" i="7"/>
  <c r="AR30" i="6"/>
  <c r="AP40" i="6"/>
  <c r="O40" i="7"/>
  <c r="M42" i="7"/>
  <c r="I44" i="7"/>
  <c r="O45" i="7"/>
  <c r="Q48" i="7"/>
  <c r="O50" i="7"/>
  <c r="M52" i="7"/>
  <c r="J54" i="7"/>
  <c r="P55" i="7"/>
  <c r="N57" i="7"/>
  <c r="J59" i="7"/>
  <c r="AR60" i="6"/>
  <c r="Q60" i="7"/>
  <c r="N115" i="7"/>
  <c r="K117" i="7"/>
  <c r="L117" i="7" s="1"/>
  <c r="U117" i="7" s="1"/>
  <c r="I119" i="7"/>
  <c r="K3" i="7"/>
  <c r="P4" i="7"/>
  <c r="N6" i="7"/>
  <c r="AO6" i="6"/>
  <c r="I8" i="7"/>
  <c r="O9" i="7"/>
  <c r="M11" i="7"/>
  <c r="N14" i="7"/>
  <c r="K16" i="7"/>
  <c r="I18" i="7"/>
  <c r="AH18" i="6"/>
  <c r="AR18" i="6" s="1"/>
  <c r="P35" i="7"/>
  <c r="N37" i="7"/>
  <c r="K39" i="7"/>
  <c r="AQ40" i="6"/>
  <c r="P40" i="7"/>
  <c r="N42" i="7"/>
  <c r="J44" i="7"/>
  <c r="P45" i="7"/>
  <c r="M47" i="7"/>
  <c r="AH49" i="6"/>
  <c r="AR49" i="6" s="1"/>
  <c r="I49" i="7"/>
  <c r="P50" i="7"/>
  <c r="N52" i="7"/>
  <c r="K54" i="7"/>
  <c r="AR55" i="6"/>
  <c r="Q55" i="7"/>
  <c r="O57" i="7"/>
  <c r="K59" i="7"/>
  <c r="L59" i="7" s="1"/>
  <c r="V59" i="7" s="1"/>
  <c r="P108" i="7"/>
  <c r="N110" i="7"/>
  <c r="K112" i="7"/>
  <c r="Q4" i="7"/>
  <c r="AP6" i="6"/>
  <c r="O6" i="7"/>
  <c r="P19" i="7"/>
  <c r="AO21" i="6"/>
  <c r="N21" i="7"/>
  <c r="J23" i="7"/>
  <c r="AO24" i="6"/>
  <c r="N24" i="7"/>
  <c r="S24" i="7" s="1"/>
  <c r="I26" i="7"/>
  <c r="L26" i="7" s="1"/>
  <c r="V26" i="7" s="1"/>
  <c r="Q32" i="7"/>
  <c r="M34" i="7"/>
  <c r="Q35" i="7"/>
  <c r="O37" i="7"/>
  <c r="M39" i="7"/>
  <c r="K44" i="7"/>
  <c r="Q45" i="7"/>
  <c r="N47" i="7"/>
  <c r="J49" i="7"/>
  <c r="L49" i="7" s="1"/>
  <c r="Q50" i="7"/>
  <c r="O52" i="7"/>
  <c r="AH54" i="6"/>
  <c r="AR54" i="6" s="1"/>
  <c r="I56" i="7"/>
  <c r="L56" i="7" s="1"/>
  <c r="V56" i="7" s="1"/>
  <c r="J61" i="7"/>
  <c r="L61" i="7" s="1"/>
  <c r="AH107" i="6"/>
  <c r="AP107" i="6" s="1"/>
  <c r="J107" i="7"/>
  <c r="Q108" i="7"/>
  <c r="AH8" i="6"/>
  <c r="K8" i="7"/>
  <c r="Q9" i="7"/>
  <c r="O11" i="7"/>
  <c r="P14" i="7"/>
  <c r="N16" i="7"/>
  <c r="K31" i="7"/>
  <c r="I33" i="7"/>
  <c r="N34" i="7"/>
  <c r="I36" i="7"/>
  <c r="L36" i="7" s="1"/>
  <c r="R36" i="7" s="1"/>
  <c r="P37" i="7"/>
  <c r="N39" i="7"/>
  <c r="I41" i="7"/>
  <c r="P42" i="7"/>
  <c r="AH44" i="6"/>
  <c r="AR44" i="6" s="1"/>
  <c r="I46" i="7"/>
  <c r="O47" i="7"/>
  <c r="K49" i="7"/>
  <c r="AH51" i="6"/>
  <c r="AR51" i="6" s="1"/>
  <c r="I51" i="7"/>
  <c r="P52" i="7"/>
  <c r="M54" i="7"/>
  <c r="J56" i="7"/>
  <c r="Q57" i="7"/>
  <c r="N59" i="7"/>
  <c r="N105" i="7"/>
  <c r="K107" i="7"/>
  <c r="I109" i="7"/>
  <c r="AH109" i="6"/>
  <c r="AO109" i="6" s="1"/>
  <c r="N80" i="7"/>
  <c r="K82" i="7"/>
  <c r="I84" i="7"/>
  <c r="L84" i="7" s="1"/>
  <c r="P85" i="7"/>
  <c r="AO87" i="6"/>
  <c r="N87" i="7"/>
  <c r="I89" i="7"/>
  <c r="M92" i="7"/>
  <c r="O95" i="7"/>
  <c r="K97" i="7"/>
  <c r="I99" i="7"/>
  <c r="AH99" i="6"/>
  <c r="AP99" i="6" s="1"/>
  <c r="P100" i="7"/>
  <c r="N102" i="7"/>
  <c r="AH104" i="6"/>
  <c r="K104" i="7"/>
  <c r="Q105" i="7"/>
  <c r="N107" i="7"/>
  <c r="J109" i="7"/>
  <c r="L109" i="7" s="1"/>
  <c r="R109" i="7" s="1"/>
  <c r="Q110" i="7"/>
  <c r="M112" i="7"/>
  <c r="AH114" i="6"/>
  <c r="I114" i="7"/>
  <c r="O115" i="7"/>
  <c r="M117" i="7"/>
  <c r="AH119" i="6"/>
  <c r="J119" i="7"/>
  <c r="P120" i="7"/>
  <c r="M122" i="7"/>
  <c r="Q128" i="7"/>
  <c r="O130" i="7"/>
  <c r="T130" i="7" s="1"/>
  <c r="P135" i="7"/>
  <c r="N142" i="7"/>
  <c r="K144" i="7"/>
  <c r="Q145" i="7"/>
  <c r="O147" i="7"/>
  <c r="M149" i="7"/>
  <c r="Q152" i="7"/>
  <c r="AH56" i="6"/>
  <c r="K56" i="7"/>
  <c r="P57" i="7"/>
  <c r="M59" i="7"/>
  <c r="I61" i="7"/>
  <c r="O62" i="7"/>
  <c r="M64" i="7"/>
  <c r="I66" i="7"/>
  <c r="P67" i="7"/>
  <c r="J69" i="7"/>
  <c r="Q70" i="7"/>
  <c r="AH72" i="6"/>
  <c r="AR72" i="6" s="1"/>
  <c r="J72" i="7"/>
  <c r="P73" i="7"/>
  <c r="AN75" i="6"/>
  <c r="M75" i="7"/>
  <c r="J77" i="7"/>
  <c r="Q78" i="7"/>
  <c r="O80" i="7"/>
  <c r="M82" i="7"/>
  <c r="J84" i="7"/>
  <c r="Q85" i="7"/>
  <c r="O87" i="7"/>
  <c r="J89" i="7"/>
  <c r="Q90" i="7"/>
  <c r="N92" i="7"/>
  <c r="I94" i="7"/>
  <c r="AH94" i="6"/>
  <c r="AO94" i="6" s="1"/>
  <c r="P95" i="7"/>
  <c r="M97" i="7"/>
  <c r="J99" i="7"/>
  <c r="Q100" i="7"/>
  <c r="O102" i="7"/>
  <c r="I106" i="7"/>
  <c r="O107" i="7"/>
  <c r="K109" i="7"/>
  <c r="N112" i="7"/>
  <c r="J114" i="7"/>
  <c r="P115" i="7"/>
  <c r="N117" i="7"/>
  <c r="K119" i="7"/>
  <c r="Q120" i="7"/>
  <c r="N122" i="7"/>
  <c r="I124" i="7"/>
  <c r="P125" i="7"/>
  <c r="I129" i="7"/>
  <c r="P130" i="7"/>
  <c r="J134" i="7"/>
  <c r="L134" i="7" s="1"/>
  <c r="V134" i="7" s="1"/>
  <c r="Q135" i="7"/>
  <c r="M139" i="7"/>
  <c r="O142" i="7"/>
  <c r="I146" i="7"/>
  <c r="N149" i="7"/>
  <c r="K151" i="7"/>
  <c r="P154" i="7"/>
  <c r="J66" i="7"/>
  <c r="K69" i="7"/>
  <c r="K72" i="7"/>
  <c r="Q73" i="7"/>
  <c r="N75" i="7"/>
  <c r="AH77" i="6"/>
  <c r="AO77" i="6" s="1"/>
  <c r="K77" i="7"/>
  <c r="P80" i="7"/>
  <c r="U80" i="7" s="1"/>
  <c r="N82" i="7"/>
  <c r="K84" i="7"/>
  <c r="I86" i="7"/>
  <c r="L86" i="7" s="1"/>
  <c r="T86" i="7" s="1"/>
  <c r="AH86" i="6"/>
  <c r="AQ86" i="6" s="1"/>
  <c r="P87" i="7"/>
  <c r="K89" i="7"/>
  <c r="I91" i="7"/>
  <c r="O92" i="7"/>
  <c r="J94" i="7"/>
  <c r="N97" i="7"/>
  <c r="K99" i="7"/>
  <c r="J106" i="7"/>
  <c r="P107" i="7"/>
  <c r="M109" i="7"/>
  <c r="O112" i="7"/>
  <c r="K114" i="7"/>
  <c r="L114" i="7" s="1"/>
  <c r="U114" i="7" s="1"/>
  <c r="Q115" i="7"/>
  <c r="O117" i="7"/>
  <c r="M119" i="7"/>
  <c r="I121" i="7"/>
  <c r="O122" i="7"/>
  <c r="T122" i="7" s="1"/>
  <c r="J124" i="7"/>
  <c r="Q130" i="7"/>
  <c r="O132" i="7"/>
  <c r="K134" i="7"/>
  <c r="P137" i="7"/>
  <c r="N139" i="7"/>
  <c r="I141" i="7"/>
  <c r="N144" i="7"/>
  <c r="J146" i="7"/>
  <c r="Q147" i="7"/>
  <c r="O149" i="7"/>
  <c r="K158" i="7"/>
  <c r="I160" i="7"/>
  <c r="L160" i="7" s="1"/>
  <c r="U160" i="7" s="1"/>
  <c r="M6" i="7"/>
  <c r="Q7" i="7"/>
  <c r="AN9" i="6"/>
  <c r="M9" i="7"/>
  <c r="J11" i="7"/>
  <c r="L11" i="7" s="1"/>
  <c r="T11" i="7" s="1"/>
  <c r="O12" i="7"/>
  <c r="AH14" i="6"/>
  <c r="K14" i="7"/>
  <c r="AH16" i="6"/>
  <c r="I16" i="7"/>
  <c r="AQ17" i="6"/>
  <c r="P17" i="7"/>
  <c r="K19" i="7"/>
  <c r="I21" i="7"/>
  <c r="O22" i="7"/>
  <c r="AH24" i="6"/>
  <c r="AP24" i="6" s="1"/>
  <c r="I24" i="7"/>
  <c r="L24" i="7" s="1"/>
  <c r="T24" i="7" s="1"/>
  <c r="N25" i="7"/>
  <c r="K27" i="7"/>
  <c r="L27" i="7" s="1"/>
  <c r="R27" i="7" s="1"/>
  <c r="AR28" i="6"/>
  <c r="Q28" i="7"/>
  <c r="O30" i="7"/>
  <c r="K32" i="7"/>
  <c r="AQ33" i="6"/>
  <c r="P33" i="7"/>
  <c r="J35" i="7"/>
  <c r="P36" i="7"/>
  <c r="M38" i="7"/>
  <c r="N41" i="7"/>
  <c r="J43" i="7"/>
  <c r="P44" i="7"/>
  <c r="N46" i="7"/>
  <c r="AH48" i="6"/>
  <c r="AN48" i="6" s="1"/>
  <c r="I48" i="7"/>
  <c r="P49" i="7"/>
  <c r="N51" i="7"/>
  <c r="K53" i="7"/>
  <c r="P54" i="7"/>
  <c r="N56" i="7"/>
  <c r="AH58" i="6"/>
  <c r="AR58" i="6" s="1"/>
  <c r="I58" i="7"/>
  <c r="AP59" i="6"/>
  <c r="O59" i="7"/>
  <c r="K61" i="7"/>
  <c r="Q62" i="7"/>
  <c r="O64" i="7"/>
  <c r="K66" i="7"/>
  <c r="AR67" i="6"/>
  <c r="M69" i="7"/>
  <c r="M72" i="7"/>
  <c r="I74" i="7"/>
  <c r="O75" i="7"/>
  <c r="M77" i="7"/>
  <c r="AH79" i="6"/>
  <c r="J79" i="7"/>
  <c r="L79" i="7" s="1"/>
  <c r="Q80" i="7"/>
  <c r="O82" i="7"/>
  <c r="M84" i="7"/>
  <c r="J86" i="7"/>
  <c r="Q87" i="7"/>
  <c r="J91" i="7"/>
  <c r="K94" i="7"/>
  <c r="M99" i="7"/>
  <c r="J101" i="7"/>
  <c r="Q102" i="7"/>
  <c r="O104" i="7"/>
  <c r="K106" i="7"/>
  <c r="AR107" i="6"/>
  <c r="Q107" i="7"/>
  <c r="N109" i="7"/>
  <c r="AH111" i="6"/>
  <c r="AN111" i="6" s="1"/>
  <c r="I111" i="7"/>
  <c r="P112" i="7"/>
  <c r="AN114" i="6"/>
  <c r="M114" i="7"/>
  <c r="I116" i="7"/>
  <c r="J121" i="7"/>
  <c r="P122" i="7"/>
  <c r="K124" i="7"/>
  <c r="L124" i="7" s="1"/>
  <c r="AH126" i="6"/>
  <c r="I126" i="7"/>
  <c r="P127" i="7"/>
  <c r="K129" i="7"/>
  <c r="M134" i="7"/>
  <c r="J136" i="7"/>
  <c r="L136" i="7" s="1"/>
  <c r="R136" i="7" s="1"/>
  <c r="Q137" i="7"/>
  <c r="J141" i="7"/>
  <c r="L141" i="7" s="1"/>
  <c r="R141" i="7" s="1"/>
  <c r="Q142" i="7"/>
  <c r="O144" i="7"/>
  <c r="P149" i="7"/>
  <c r="I155" i="7"/>
  <c r="Q161" i="7"/>
  <c r="AH21" i="6"/>
  <c r="AN21" i="6" s="1"/>
  <c r="J21" i="7"/>
  <c r="P22" i="7"/>
  <c r="J24" i="7"/>
  <c r="O25" i="7"/>
  <c r="M27" i="7"/>
  <c r="I29" i="7"/>
  <c r="L29" i="7" s="1"/>
  <c r="R29" i="7" s="1"/>
  <c r="P30" i="7"/>
  <c r="Q33" i="7"/>
  <c r="K35" i="7"/>
  <c r="Q36" i="7"/>
  <c r="N38" i="7"/>
  <c r="I40" i="7"/>
  <c r="O41" i="7"/>
  <c r="K43" i="7"/>
  <c r="Q44" i="7"/>
  <c r="O46" i="7"/>
  <c r="J48" i="7"/>
  <c r="Q49" i="7"/>
  <c r="AP51" i="6"/>
  <c r="O51" i="7"/>
  <c r="M53" i="7"/>
  <c r="Q54" i="7"/>
  <c r="O56" i="7"/>
  <c r="J58" i="7"/>
  <c r="P59" i="7"/>
  <c r="AH61" i="6"/>
  <c r="AH63" i="6"/>
  <c r="AR63" i="6" s="1"/>
  <c r="I63" i="7"/>
  <c r="P64" i="7"/>
  <c r="M66" i="7"/>
  <c r="I68" i="7"/>
  <c r="N69" i="7"/>
  <c r="I71" i="7"/>
  <c r="N72" i="7"/>
  <c r="AH74" i="6"/>
  <c r="AR74" i="6" s="1"/>
  <c r="J74" i="7"/>
  <c r="P75" i="7"/>
  <c r="N77" i="7"/>
  <c r="K79" i="7"/>
  <c r="I81" i="7"/>
  <c r="P82" i="7"/>
  <c r="N84" i="7"/>
  <c r="K86" i="7"/>
  <c r="I88" i="7"/>
  <c r="N89" i="7"/>
  <c r="Q92" i="7"/>
  <c r="M94" i="7"/>
  <c r="J96" i="7"/>
  <c r="P97" i="7"/>
  <c r="N99" i="7"/>
  <c r="K101" i="7"/>
  <c r="I103" i="7"/>
  <c r="P104" i="7"/>
  <c r="AH106" i="6"/>
  <c r="AQ106" i="6" s="1"/>
  <c r="O109" i="7"/>
  <c r="J111" i="7"/>
  <c r="M124" i="7"/>
  <c r="M129" i="7"/>
  <c r="J131" i="7"/>
  <c r="N134" i="7"/>
  <c r="K136" i="7"/>
  <c r="P139" i="7"/>
  <c r="K141" i="7"/>
  <c r="J148" i="7"/>
  <c r="Q149" i="7"/>
  <c r="M153" i="7"/>
  <c r="Q156" i="7"/>
  <c r="AH2" i="6"/>
  <c r="O38" i="7"/>
  <c r="J40" i="7"/>
  <c r="P41" i="7"/>
  <c r="M43" i="7"/>
  <c r="I45" i="7"/>
  <c r="L45" i="7" s="1"/>
  <c r="V45" i="7" s="1"/>
  <c r="P46" i="7"/>
  <c r="K48" i="7"/>
  <c r="L48" i="7" s="1"/>
  <c r="U48" i="7" s="1"/>
  <c r="I50" i="7"/>
  <c r="P51" i="7"/>
  <c r="N53" i="7"/>
  <c r="AH55" i="6"/>
  <c r="AN55" i="6" s="1"/>
  <c r="I55" i="7"/>
  <c r="P56" i="7"/>
  <c r="K58" i="7"/>
  <c r="Q59" i="7"/>
  <c r="M61" i="7"/>
  <c r="J63" i="7"/>
  <c r="Q64" i="7"/>
  <c r="N66" i="7"/>
  <c r="J68" i="7"/>
  <c r="AP69" i="6"/>
  <c r="O69" i="7"/>
  <c r="AH71" i="6"/>
  <c r="AP71" i="6" s="1"/>
  <c r="J71" i="7"/>
  <c r="O72" i="7"/>
  <c r="K74" i="7"/>
  <c r="Q75" i="7"/>
  <c r="O77" i="7"/>
  <c r="AN79" i="6"/>
  <c r="M79" i="7"/>
  <c r="AH81" i="6"/>
  <c r="AP81" i="6" s="1"/>
  <c r="J81" i="7"/>
  <c r="J88" i="7"/>
  <c r="L88" i="7" s="1"/>
  <c r="U88" i="7" s="1"/>
  <c r="O89" i="7"/>
  <c r="AH91" i="6"/>
  <c r="AP91" i="6" s="1"/>
  <c r="I93" i="7"/>
  <c r="N94" i="7"/>
  <c r="K96" i="7"/>
  <c r="Q97" i="7"/>
  <c r="O99" i="7"/>
  <c r="M101" i="7"/>
  <c r="AH103" i="6"/>
  <c r="J103" i="7"/>
  <c r="Q104" i="7"/>
  <c r="AN106" i="6"/>
  <c r="M106" i="7"/>
  <c r="I108" i="7"/>
  <c r="L108" i="7" s="1"/>
  <c r="V108" i="7" s="1"/>
  <c r="AQ109" i="6"/>
  <c r="P109" i="7"/>
  <c r="I113" i="7"/>
  <c r="I118" i="7"/>
  <c r="M121" i="7"/>
  <c r="AN122" i="6"/>
  <c r="N124" i="7"/>
  <c r="AH133" i="6"/>
  <c r="AN133" i="6" s="1"/>
  <c r="I133" i="7"/>
  <c r="O134" i="7"/>
  <c r="J138" i="7"/>
  <c r="Q144" i="7"/>
  <c r="I150" i="7"/>
  <c r="L150" i="7" s="1"/>
  <c r="R150" i="7" s="1"/>
  <c r="K155" i="7"/>
  <c r="I157" i="7"/>
  <c r="L157" i="7" s="1"/>
  <c r="V157" i="7" s="1"/>
  <c r="AP158" i="6"/>
  <c r="O158" i="7"/>
  <c r="M160" i="7"/>
  <c r="K2" i="7"/>
  <c r="N3" i="7"/>
  <c r="I5" i="7"/>
  <c r="P6" i="7"/>
  <c r="J8" i="7"/>
  <c r="P9" i="7"/>
  <c r="AO11" i="6"/>
  <c r="N11" i="7"/>
  <c r="AH13" i="6"/>
  <c r="AP13" i="6" s="1"/>
  <c r="I13" i="7"/>
  <c r="L13" i="7" s="1"/>
  <c r="S13" i="7" s="1"/>
  <c r="O14" i="7"/>
  <c r="M16" i="7"/>
  <c r="J18" i="7"/>
  <c r="O19" i="7"/>
  <c r="M21" i="7"/>
  <c r="I23" i="7"/>
  <c r="L23" i="7" s="1"/>
  <c r="M24" i="7"/>
  <c r="Q25" i="7"/>
  <c r="O27" i="7"/>
  <c r="AH29" i="6"/>
  <c r="K29" i="7"/>
  <c r="AO32" i="6"/>
  <c r="N32" i="7"/>
  <c r="AR33" i="6"/>
  <c r="M35" i="7"/>
  <c r="I37" i="7"/>
  <c r="P38" i="7"/>
  <c r="K40" i="7"/>
  <c r="Q41" i="7"/>
  <c r="N43" i="7"/>
  <c r="J45" i="7"/>
  <c r="Q46" i="7"/>
  <c r="M48" i="7"/>
  <c r="J50" i="7"/>
  <c r="Q51" i="7"/>
  <c r="O53" i="7"/>
  <c r="J55" i="7"/>
  <c r="Q56" i="7"/>
  <c r="I60" i="7"/>
  <c r="N61" i="7"/>
  <c r="I65" i="7"/>
  <c r="O66" i="7"/>
  <c r="K68" i="7"/>
  <c r="K71" i="7"/>
  <c r="I76" i="7"/>
  <c r="K81" i="7"/>
  <c r="P84" i="7"/>
  <c r="N86" i="7"/>
  <c r="K88" i="7"/>
  <c r="P89" i="7"/>
  <c r="M91" i="7"/>
  <c r="AH93" i="6"/>
  <c r="J93" i="7"/>
  <c r="O94" i="7"/>
  <c r="M96" i="7"/>
  <c r="I98" i="7"/>
  <c r="AQ99" i="6"/>
  <c r="P99" i="7"/>
  <c r="AO101" i="6"/>
  <c r="N101" i="7"/>
  <c r="K103" i="7"/>
  <c r="AQ104" i="6"/>
  <c r="N106" i="7"/>
  <c r="J108" i="7"/>
  <c r="Q109" i="7"/>
  <c r="M111" i="7"/>
  <c r="J118" i="7"/>
  <c r="Q119" i="7"/>
  <c r="N121" i="7"/>
  <c r="O124" i="7"/>
  <c r="M126" i="7"/>
  <c r="I128" i="7"/>
  <c r="O129" i="7"/>
  <c r="J133" i="7"/>
  <c r="N136" i="7"/>
  <c r="K138" i="7"/>
  <c r="I140" i="7"/>
  <c r="L140" i="7" s="1"/>
  <c r="S140" i="7" s="1"/>
  <c r="K143" i="7"/>
  <c r="I145" i="7"/>
  <c r="M148" i="7"/>
  <c r="J150" i="7"/>
  <c r="P158" i="7"/>
  <c r="N160" i="7"/>
  <c r="M2" i="7"/>
  <c r="P27" i="7"/>
  <c r="M29" i="7"/>
  <c r="I31" i="7"/>
  <c r="O32" i="7"/>
  <c r="AH34" i="6"/>
  <c r="AN34" i="6" s="1"/>
  <c r="I34" i="7"/>
  <c r="N35" i="7"/>
  <c r="AH37" i="6"/>
  <c r="AR37" i="6" s="1"/>
  <c r="J37" i="7"/>
  <c r="Q38" i="7"/>
  <c r="AR40" i="6"/>
  <c r="AH42" i="6"/>
  <c r="AR42" i="6" s="1"/>
  <c r="I42" i="7"/>
  <c r="L42" i="7" s="1"/>
  <c r="V42" i="7" s="1"/>
  <c r="O43" i="7"/>
  <c r="K45" i="7"/>
  <c r="I47" i="7"/>
  <c r="N48" i="7"/>
  <c r="K50" i="7"/>
  <c r="I52" i="7"/>
  <c r="L52" i="7" s="1"/>
  <c r="N58" i="7"/>
  <c r="J60" i="7"/>
  <c r="L60" i="7" s="1"/>
  <c r="R60" i="7" s="1"/>
  <c r="O61" i="7"/>
  <c r="M63" i="7"/>
  <c r="R63" i="7" s="1"/>
  <c r="J65" i="7"/>
  <c r="P66" i="7"/>
  <c r="Q69" i="7"/>
  <c r="M71" i="7"/>
  <c r="Q72" i="7"/>
  <c r="N74" i="7"/>
  <c r="J76" i="7"/>
  <c r="Q77" i="7"/>
  <c r="AP79" i="6"/>
  <c r="O79" i="7"/>
  <c r="M81" i="7"/>
  <c r="J83" i="7"/>
  <c r="Q84" i="7"/>
  <c r="O86" i="7"/>
  <c r="Q89" i="7"/>
  <c r="N91" i="7"/>
  <c r="K93" i="7"/>
  <c r="P94" i="7"/>
  <c r="AO96" i="6"/>
  <c r="N96" i="7"/>
  <c r="J98" i="7"/>
  <c r="Q99" i="7"/>
  <c r="O101" i="7"/>
  <c r="T101" i="7" s="1"/>
  <c r="M103" i="7"/>
  <c r="AH105" i="6"/>
  <c r="AN105" i="6" s="1"/>
  <c r="I105" i="7"/>
  <c r="O106" i="7"/>
  <c r="K108" i="7"/>
  <c r="I110" i="7"/>
  <c r="N111" i="7"/>
  <c r="K113" i="7"/>
  <c r="Q114" i="7"/>
  <c r="N116" i="7"/>
  <c r="K118" i="7"/>
  <c r="I123" i="7"/>
  <c r="N126" i="7"/>
  <c r="P129" i="7"/>
  <c r="N131" i="7"/>
  <c r="K133" i="7"/>
  <c r="L133" i="7" s="1"/>
  <c r="U133" i="7" s="1"/>
  <c r="AR134" i="6"/>
  <c r="Q134" i="7"/>
  <c r="O136" i="7"/>
  <c r="M138" i="7"/>
  <c r="J145" i="7"/>
  <c r="K150" i="7"/>
  <c r="I152" i="7"/>
  <c r="P153" i="7"/>
  <c r="N155" i="7"/>
  <c r="K157" i="7"/>
  <c r="Q158" i="7"/>
  <c r="AO2" i="6"/>
  <c r="P3" i="7"/>
  <c r="K5" i="7"/>
  <c r="L5" i="7" s="1"/>
  <c r="R5" i="7" s="1"/>
  <c r="AN8" i="6"/>
  <c r="M8" i="7"/>
  <c r="I10" i="7"/>
  <c r="L10" i="7" s="1"/>
  <c r="U10" i="7" s="1"/>
  <c r="AQ11" i="6"/>
  <c r="P11" i="7"/>
  <c r="K13" i="7"/>
  <c r="Q14" i="7"/>
  <c r="O16" i="7"/>
  <c r="Q19" i="7"/>
  <c r="O21" i="7"/>
  <c r="K23" i="7"/>
  <c r="O24" i="7"/>
  <c r="J26" i="7"/>
  <c r="Q27" i="7"/>
  <c r="N29" i="7"/>
  <c r="J31" i="7"/>
  <c r="L31" i="7" s="1"/>
  <c r="V31" i="7" s="1"/>
  <c r="P32" i="7"/>
  <c r="J34" i="7"/>
  <c r="O35" i="7"/>
  <c r="K37" i="7"/>
  <c r="I39" i="7"/>
  <c r="AN40" i="6"/>
  <c r="M40" i="7"/>
  <c r="J42" i="7"/>
  <c r="P43" i="7"/>
  <c r="M45" i="7"/>
  <c r="J47" i="7"/>
  <c r="L47" i="7" s="1"/>
  <c r="AP48" i="6"/>
  <c r="O48" i="7"/>
  <c r="M50" i="7"/>
  <c r="AH52" i="6"/>
  <c r="AN52" i="6" s="1"/>
  <c r="J52" i="7"/>
  <c r="AR53" i="6"/>
  <c r="Q53" i="7"/>
  <c r="M55" i="7"/>
  <c r="AP58" i="6"/>
  <c r="O58" i="7"/>
  <c r="K60" i="7"/>
  <c r="P61" i="7"/>
  <c r="N63" i="7"/>
  <c r="S63" i="7" s="1"/>
  <c r="K65" i="7"/>
  <c r="Q66" i="7"/>
  <c r="M68" i="7"/>
  <c r="AH70" i="6"/>
  <c r="AP70" i="6" s="1"/>
  <c r="I70" i="7"/>
  <c r="AO71" i="6"/>
  <c r="N71" i="7"/>
  <c r="I73" i="7"/>
  <c r="O74" i="7"/>
  <c r="K76" i="7"/>
  <c r="I78" i="7"/>
  <c r="AQ79" i="6"/>
  <c r="P79" i="7"/>
  <c r="AO81" i="6"/>
  <c r="N81" i="7"/>
  <c r="K83" i="7"/>
  <c r="AH85" i="6"/>
  <c r="AN85" i="6" s="1"/>
  <c r="I85" i="7"/>
  <c r="L85" i="7" s="1"/>
  <c r="P86" i="7"/>
  <c r="M88" i="7"/>
  <c r="I90" i="7"/>
  <c r="O91" i="7"/>
  <c r="M93" i="7"/>
  <c r="Q94" i="7"/>
  <c r="O96" i="7"/>
  <c r="K98" i="7"/>
  <c r="I100" i="7"/>
  <c r="N103" i="7"/>
  <c r="J105" i="7"/>
  <c r="J110" i="7"/>
  <c r="L110" i="7" s="1"/>
  <c r="V110" i="7" s="1"/>
  <c r="O111" i="7"/>
  <c r="M113" i="7"/>
  <c r="O116" i="7"/>
  <c r="AH120" i="6"/>
  <c r="AO120" i="6" s="1"/>
  <c r="I120" i="7"/>
  <c r="AQ121" i="6"/>
  <c r="P121" i="7"/>
  <c r="J123" i="7"/>
  <c r="K128" i="7"/>
  <c r="Q129" i="7"/>
  <c r="O131" i="7"/>
  <c r="M133" i="7"/>
  <c r="I135" i="7"/>
  <c r="L135" i="7" s="1"/>
  <c r="T135" i="7" s="1"/>
  <c r="P136" i="7"/>
  <c r="N138" i="7"/>
  <c r="K140" i="7"/>
  <c r="P141" i="7"/>
  <c r="N143" i="7"/>
  <c r="J152" i="7"/>
  <c r="Q153" i="7"/>
  <c r="O155" i="7"/>
  <c r="AH157" i="6"/>
  <c r="AO157" i="6" s="1"/>
  <c r="I159" i="7"/>
  <c r="P160" i="7"/>
  <c r="O2" i="7"/>
  <c r="M37" i="7"/>
  <c r="R37" i="7" s="1"/>
  <c r="AH39" i="6"/>
  <c r="AO39" i="6" s="1"/>
  <c r="J39" i="7"/>
  <c r="AO40" i="6"/>
  <c r="N40" i="7"/>
  <c r="K42" i="7"/>
  <c r="Q43" i="7"/>
  <c r="N45" i="7"/>
  <c r="K47" i="7"/>
  <c r="P48" i="7"/>
  <c r="N50" i="7"/>
  <c r="K52" i="7"/>
  <c r="N55" i="7"/>
  <c r="I57" i="7"/>
  <c r="L57" i="7" s="1"/>
  <c r="R57" i="7" s="1"/>
  <c r="P58" i="7"/>
  <c r="AH60" i="6"/>
  <c r="AP60" i="6" s="1"/>
  <c r="Q61" i="7"/>
  <c r="O63" i="7"/>
  <c r="AH65" i="6"/>
  <c r="AR65" i="6" s="1"/>
  <c r="I67" i="7"/>
  <c r="N68" i="7"/>
  <c r="J70" i="7"/>
  <c r="O71" i="7"/>
  <c r="J73" i="7"/>
  <c r="P74" i="7"/>
  <c r="M76" i="7"/>
  <c r="J78" i="7"/>
  <c r="AR79" i="6"/>
  <c r="Q79" i="7"/>
  <c r="O81" i="7"/>
  <c r="M83" i="7"/>
  <c r="J85" i="7"/>
  <c r="Q86" i="7"/>
  <c r="N88" i="7"/>
  <c r="J90" i="7"/>
  <c r="P91" i="7"/>
  <c r="N93" i="7"/>
  <c r="I95" i="7"/>
  <c r="M98" i="7"/>
  <c r="Q101" i="7"/>
  <c r="O103" i="7"/>
  <c r="Q106" i="7"/>
  <c r="K110" i="7"/>
  <c r="P111" i="7"/>
  <c r="I115" i="7"/>
  <c r="N118" i="7"/>
  <c r="J120" i="7"/>
  <c r="Q121" i="7"/>
  <c r="K123" i="7"/>
  <c r="I125" i="7"/>
  <c r="P126" i="7"/>
  <c r="AH128" i="6"/>
  <c r="I130" i="7"/>
  <c r="L130" i="7" s="1"/>
  <c r="V130" i="7" s="1"/>
  <c r="P131" i="7"/>
  <c r="J135" i="7"/>
  <c r="O143" i="7"/>
  <c r="I147" i="7"/>
  <c r="N150" i="7"/>
  <c r="K152" i="7"/>
  <c r="P155" i="7"/>
  <c r="J159" i="7"/>
  <c r="P2" i="7"/>
  <c r="I54" i="7"/>
  <c r="AP55" i="6"/>
  <c r="O55" i="7"/>
  <c r="AH57" i="6"/>
  <c r="AR57" i="6" s="1"/>
  <c r="J57" i="7"/>
  <c r="Q58" i="7"/>
  <c r="V58" i="7" s="1"/>
  <c r="M60" i="7"/>
  <c r="I62" i="7"/>
  <c r="P63" i="7"/>
  <c r="M65" i="7"/>
  <c r="AH67" i="6"/>
  <c r="AP67" i="6" s="1"/>
  <c r="J67" i="7"/>
  <c r="O68" i="7"/>
  <c r="K70" i="7"/>
  <c r="P71" i="7"/>
  <c r="K73" i="7"/>
  <c r="Q74" i="7"/>
  <c r="N76" i="7"/>
  <c r="K78" i="7"/>
  <c r="I80" i="7"/>
  <c r="L80" i="7" s="1"/>
  <c r="V80" i="7" s="1"/>
  <c r="P81" i="7"/>
  <c r="N83" i="7"/>
  <c r="K85" i="7"/>
  <c r="I87" i="7"/>
  <c r="O88" i="7"/>
  <c r="Q91" i="7"/>
  <c r="O93" i="7"/>
  <c r="J95" i="7"/>
  <c r="N98" i="7"/>
  <c r="K100" i="7"/>
  <c r="I102" i="7"/>
  <c r="L102" i="7" s="1"/>
  <c r="U102" i="7" s="1"/>
  <c r="M105" i="7"/>
  <c r="I107" i="7"/>
  <c r="L107" i="7" s="1"/>
  <c r="R107" i="7" s="1"/>
  <c r="O108" i="7"/>
  <c r="AN110" i="6"/>
  <c r="M110" i="7"/>
  <c r="Q111" i="7"/>
  <c r="O113" i="7"/>
  <c r="J115" i="7"/>
  <c r="Q116" i="7"/>
  <c r="I122" i="7"/>
  <c r="M123" i="7"/>
  <c r="AH125" i="6"/>
  <c r="AQ125" i="6" s="1"/>
  <c r="J125" i="7"/>
  <c r="Q126" i="7"/>
  <c r="M128" i="7"/>
  <c r="J130" i="7"/>
  <c r="Q131" i="7"/>
  <c r="I137" i="7"/>
  <c r="P138" i="7"/>
  <c r="N140" i="7"/>
  <c r="I142" i="7"/>
  <c r="AQ143" i="6"/>
  <c r="P143" i="7"/>
  <c r="M145" i="7"/>
  <c r="AH147" i="6"/>
  <c r="AP147" i="6" s="1"/>
  <c r="J147" i="7"/>
  <c r="L147" i="7" s="1"/>
  <c r="T147" i="7" s="1"/>
  <c r="Q148" i="7"/>
  <c r="O150" i="7"/>
  <c r="M152" i="7"/>
  <c r="R152" i="7" s="1"/>
  <c r="J154" i="7"/>
  <c r="Q155" i="7"/>
  <c r="N157" i="7"/>
  <c r="S157" i="7" s="1"/>
  <c r="I161" i="7"/>
  <c r="Q2" i="7"/>
  <c r="M143" i="7"/>
  <c r="P146" i="7"/>
  <c r="AO148" i="6"/>
  <c r="N148" i="7"/>
  <c r="Q151" i="7"/>
  <c r="AO153" i="6"/>
  <c r="N156" i="7"/>
  <c r="AH161" i="6"/>
  <c r="AN161" i="6" s="1"/>
  <c r="AN2" i="6"/>
  <c r="N2" i="7"/>
  <c r="I148" i="7"/>
  <c r="L148" i="7" s="1"/>
  <c r="R148" i="7" s="1"/>
  <c r="I134" i="7"/>
  <c r="J126" i="7"/>
  <c r="L126" i="7" s="1"/>
  <c r="T126" i="7" s="1"/>
  <c r="Q127" i="7"/>
  <c r="AH129" i="6"/>
  <c r="AQ129" i="6" s="1"/>
  <c r="J129" i="7"/>
  <c r="M132" i="7"/>
  <c r="N135" i="7"/>
  <c r="AH137" i="6"/>
  <c r="AN137" i="6" s="1"/>
  <c r="Q138" i="7"/>
  <c r="Q141" i="7"/>
  <c r="K145" i="7"/>
  <c r="L145" i="7" s="1"/>
  <c r="T145" i="7" s="1"/>
  <c r="Q146" i="7"/>
  <c r="V146" i="7" s="1"/>
  <c r="AP148" i="6"/>
  <c r="O153" i="7"/>
  <c r="O156" i="7"/>
  <c r="AH158" i="6"/>
  <c r="AQ158" i="6" s="1"/>
  <c r="P159" i="7"/>
  <c r="N113" i="7"/>
  <c r="P116" i="7"/>
  <c r="M118" i="7"/>
  <c r="R118" i="7" s="1"/>
  <c r="AP121" i="6"/>
  <c r="K126" i="7"/>
  <c r="AH131" i="6"/>
  <c r="AN131" i="6" s="1"/>
  <c r="N132" i="7"/>
  <c r="AQ145" i="6"/>
  <c r="P148" i="7"/>
  <c r="M150" i="7"/>
  <c r="J155" i="7"/>
  <c r="P156" i="7"/>
  <c r="J158" i="7"/>
  <c r="Q159" i="7"/>
  <c r="N161" i="7"/>
  <c r="AP2" i="6"/>
  <c r="O161" i="7"/>
  <c r="AQ2" i="6"/>
  <c r="I131" i="7"/>
  <c r="Q82" i="7"/>
  <c r="V82" i="7" s="1"/>
  <c r="O84" i="7"/>
  <c r="M89" i="7"/>
  <c r="P92" i="7"/>
  <c r="Q95" i="7"/>
  <c r="M104" i="7"/>
  <c r="O110" i="7"/>
  <c r="AH115" i="6"/>
  <c r="AO115" i="6" s="1"/>
  <c r="O118" i="7"/>
  <c r="P124" i="7"/>
  <c r="U124" i="7" s="1"/>
  <c r="AO129" i="6"/>
  <c r="K131" i="7"/>
  <c r="P132" i="7"/>
  <c r="AO137" i="6"/>
  <c r="N137" i="7"/>
  <c r="K139" i="7"/>
  <c r="K147" i="7"/>
  <c r="AQ148" i="6"/>
  <c r="AQ153" i="6"/>
  <c r="AH155" i="6"/>
  <c r="AO155" i="6" s="1"/>
  <c r="AN158" i="6"/>
  <c r="M158" i="7"/>
  <c r="R158" i="7" s="1"/>
  <c r="AH160" i="6"/>
  <c r="AN160" i="6" s="1"/>
  <c r="P161" i="7"/>
  <c r="AR2" i="6"/>
  <c r="I2" i="7"/>
  <c r="I158" i="7"/>
  <c r="L158" i="7" s="1"/>
  <c r="T158" i="7" s="1"/>
  <c r="K115" i="7"/>
  <c r="L115" i="7" s="1"/>
  <c r="T115" i="7" s="1"/>
  <c r="M140" i="7"/>
  <c r="P53" i="7"/>
  <c r="K55" i="7"/>
  <c r="M58" i="7"/>
  <c r="K63" i="7"/>
  <c r="L63" i="7" s="1"/>
  <c r="V63" i="7" s="1"/>
  <c r="P72" i="7"/>
  <c r="M74" i="7"/>
  <c r="P77" i="7"/>
  <c r="U77" i="7" s="1"/>
  <c r="AO79" i="6"/>
  <c r="N79" i="7"/>
  <c r="AH83" i="6"/>
  <c r="AO83" i="6" s="1"/>
  <c r="M86" i="7"/>
  <c r="K91" i="7"/>
  <c r="L91" i="7" s="1"/>
  <c r="V91" i="7" s="1"/>
  <c r="AH96" i="6"/>
  <c r="AN96" i="6" s="1"/>
  <c r="O97" i="7"/>
  <c r="AH101" i="6"/>
  <c r="AP101" i="6" s="1"/>
  <c r="P102" i="7"/>
  <c r="N104" i="7"/>
  <c r="P110" i="7"/>
  <c r="J112" i="7"/>
  <c r="Q113" i="7"/>
  <c r="M115" i="7"/>
  <c r="AH117" i="6"/>
  <c r="AQ117" i="6" s="1"/>
  <c r="AQ118" i="6"/>
  <c r="P118" i="7"/>
  <c r="K120" i="7"/>
  <c r="AH123" i="6"/>
  <c r="AN123" i="6" s="1"/>
  <c r="Q124" i="7"/>
  <c r="V124" i="7" s="1"/>
  <c r="O126" i="7"/>
  <c r="J128" i="7"/>
  <c r="L128" i="7" s="1"/>
  <c r="T128" i="7" s="1"/>
  <c r="M131" i="7"/>
  <c r="AR132" i="6"/>
  <c r="Q132" i="7"/>
  <c r="AH136" i="6"/>
  <c r="AQ136" i="6" s="1"/>
  <c r="AP137" i="6"/>
  <c r="O137" i="7"/>
  <c r="AH139" i="6"/>
  <c r="AQ139" i="6" s="1"/>
  <c r="Q140" i="7"/>
  <c r="M142" i="7"/>
  <c r="AH154" i="6"/>
  <c r="M155" i="7"/>
  <c r="J157" i="7"/>
  <c r="AO158" i="6"/>
  <c r="K160" i="7"/>
  <c r="I143" i="7"/>
  <c r="I101" i="7"/>
  <c r="L101" i="7" s="1"/>
  <c r="J137" i="7"/>
  <c r="P134" i="7"/>
  <c r="M136" i="7"/>
  <c r="AH138" i="6"/>
  <c r="AP138" i="6" s="1"/>
  <c r="O139" i="7"/>
  <c r="AH141" i="6"/>
  <c r="AQ141" i="6" s="1"/>
  <c r="P142" i="7"/>
  <c r="M144" i="7"/>
  <c r="P147" i="7"/>
  <c r="AH151" i="6"/>
  <c r="AO151" i="6" s="1"/>
  <c r="P152" i="7"/>
  <c r="M157" i="7"/>
  <c r="O160" i="7"/>
  <c r="I154" i="7"/>
  <c r="L154" i="7" s="1"/>
  <c r="R154" i="7" s="1"/>
  <c r="J160" i="7"/>
  <c r="N129" i="7"/>
  <c r="I153" i="7"/>
  <c r="L153" i="7" s="1"/>
  <c r="U153" i="7" s="1"/>
  <c r="I83" i="7"/>
  <c r="L83" i="7" s="1"/>
  <c r="S83" i="7" s="1"/>
  <c r="N158" i="7"/>
  <c r="S158" i="7" s="1"/>
  <c r="O121" i="7"/>
  <c r="Q123" i="7"/>
  <c r="O128" i="7"/>
  <c r="K130" i="7"/>
  <c r="AO133" i="6"/>
  <c r="N133" i="7"/>
  <c r="Q139" i="7"/>
  <c r="K146" i="7"/>
  <c r="M151" i="7"/>
  <c r="AP154" i="6"/>
  <c r="O154" i="7"/>
  <c r="AH159" i="6"/>
  <c r="AN159" i="6" s="1"/>
  <c r="Q160" i="7"/>
  <c r="I138" i="7"/>
  <c r="I96" i="7"/>
  <c r="L96" i="7" s="1"/>
  <c r="S96" i="7" s="1"/>
  <c r="P69" i="7"/>
  <c r="P76" i="7"/>
  <c r="N78" i="7"/>
  <c r="N85" i="7"/>
  <c r="AH87" i="6"/>
  <c r="AQ87" i="6" s="1"/>
  <c r="J87" i="7"/>
  <c r="K90" i="7"/>
  <c r="P96" i="7"/>
  <c r="AH100" i="6"/>
  <c r="AQ100" i="6" s="1"/>
  <c r="AQ101" i="6"/>
  <c r="P101" i="7"/>
  <c r="P106" i="7"/>
  <c r="M108" i="7"/>
  <c r="K111" i="7"/>
  <c r="Q112" i="7"/>
  <c r="N114" i="7"/>
  <c r="J116" i="7"/>
  <c r="P117" i="7"/>
  <c r="AO119" i="6"/>
  <c r="N119" i="7"/>
  <c r="O125" i="7"/>
  <c r="M127" i="7"/>
  <c r="P128" i="7"/>
  <c r="M130" i="7"/>
  <c r="R130" i="7" s="1"/>
  <c r="AP133" i="6"/>
  <c r="O133" i="7"/>
  <c r="M141" i="7"/>
  <c r="J143" i="7"/>
  <c r="P144" i="7"/>
  <c r="M146" i="7"/>
  <c r="N151" i="7"/>
  <c r="J153" i="7"/>
  <c r="J156" i="7"/>
  <c r="L156" i="7" s="1"/>
  <c r="V156" i="7" s="1"/>
  <c r="P157" i="7"/>
  <c r="U157" i="7" s="1"/>
  <c r="K159" i="7"/>
  <c r="L159" i="7" s="1"/>
  <c r="S159" i="7" s="1"/>
  <c r="J151" i="7"/>
  <c r="Q76" i="7"/>
  <c r="M80" i="7"/>
  <c r="Q83" i="7"/>
  <c r="O85" i="7"/>
  <c r="P88" i="7"/>
  <c r="M90" i="7"/>
  <c r="AH95" i="6"/>
  <c r="AR95" i="6" s="1"/>
  <c r="Q96" i="7"/>
  <c r="J100" i="7"/>
  <c r="K105" i="7"/>
  <c r="N108" i="7"/>
  <c r="AH113" i="6"/>
  <c r="AP114" i="6"/>
  <c r="O114" i="7"/>
  <c r="AH116" i="6"/>
  <c r="AO116" i="6" s="1"/>
  <c r="K116" i="7"/>
  <c r="Q117" i="7"/>
  <c r="O119" i="7"/>
  <c r="AH121" i="6"/>
  <c r="AO121" i="6" s="1"/>
  <c r="AH124" i="6"/>
  <c r="AN124" i="6" s="1"/>
  <c r="N127" i="7"/>
  <c r="AQ133" i="6"/>
  <c r="P133" i="7"/>
  <c r="Q136" i="7"/>
  <c r="AH140" i="6"/>
  <c r="AO140" i="6" s="1"/>
  <c r="N141" i="7"/>
  <c r="N146" i="7"/>
  <c r="S146" i="7" s="1"/>
  <c r="K148" i="7"/>
  <c r="O151" i="7"/>
  <c r="K153" i="7"/>
  <c r="Q154" i="7"/>
  <c r="AH156" i="6"/>
  <c r="AR156" i="6" s="1"/>
  <c r="M159" i="7"/>
  <c r="I136" i="7"/>
  <c r="M154" i="7"/>
  <c r="N153" i="7"/>
  <c r="O148" i="7"/>
  <c r="P140" i="7"/>
  <c r="P103" i="7"/>
  <c r="AH110" i="6"/>
  <c r="J113" i="7"/>
  <c r="L113" i="7" s="1"/>
  <c r="R113" i="7" s="1"/>
  <c r="P114" i="7"/>
  <c r="M116" i="7"/>
  <c r="AH118" i="6"/>
  <c r="AO118" i="6" s="1"/>
  <c r="P119" i="7"/>
  <c r="K121" i="7"/>
  <c r="AR122" i="6"/>
  <c r="Q122" i="7"/>
  <c r="Q125" i="7"/>
  <c r="O127" i="7"/>
  <c r="AH135" i="6"/>
  <c r="AP135" i="6" s="1"/>
  <c r="K135" i="7"/>
  <c r="O138" i="7"/>
  <c r="J140" i="7"/>
  <c r="O141" i="7"/>
  <c r="O146" i="7"/>
  <c r="AN148" i="6"/>
  <c r="AH150" i="6"/>
  <c r="P151" i="7"/>
  <c r="M156" i="7"/>
  <c r="K161" i="7"/>
  <c r="L146" i="7"/>
  <c r="R146" i="7" s="1"/>
  <c r="L132" i="7"/>
  <c r="R132" i="7" s="1"/>
  <c r="L90" i="7"/>
  <c r="R90" i="7" s="1"/>
  <c r="L77" i="7"/>
  <c r="S77" i="7" s="1"/>
  <c r="L118" i="7"/>
  <c r="V118" i="7" s="1"/>
  <c r="L142" i="7"/>
  <c r="T142" i="7" s="1"/>
  <c r="L100" i="7"/>
  <c r="V100" i="7" s="1"/>
  <c r="L58" i="7"/>
  <c r="S58" i="7" s="1"/>
  <c r="L99" i="7"/>
  <c r="R99" i="7" s="1"/>
  <c r="L15" i="7"/>
  <c r="T15" i="7" s="1"/>
  <c r="L98" i="7"/>
  <c r="V98" i="7" s="1"/>
  <c r="L28" i="7"/>
  <c r="V28" i="7" s="1"/>
  <c r="L14" i="7"/>
  <c r="S14" i="7" s="1"/>
  <c r="L139" i="7"/>
  <c r="R139" i="7" s="1"/>
  <c r="L97" i="7"/>
  <c r="R97" i="7" s="1"/>
  <c r="L152" i="7"/>
  <c r="V152" i="7" s="1"/>
  <c r="L54" i="7"/>
  <c r="L40" i="7"/>
  <c r="R40" i="7" s="1"/>
  <c r="L38" i="7"/>
  <c r="L144" i="7"/>
  <c r="S144" i="7" s="1"/>
  <c r="L112" i="7"/>
  <c r="R112" i="7" s="1"/>
  <c r="L155" i="7"/>
  <c r="R155" i="7" s="1"/>
  <c r="S101" i="7"/>
  <c r="L70" i="7"/>
  <c r="V70" i="7" s="1"/>
  <c r="L93" i="7"/>
  <c r="U93" i="7" s="1"/>
  <c r="L119" i="7"/>
  <c r="S119" i="7" s="1"/>
  <c r="S98" i="7"/>
  <c r="V122" i="7"/>
  <c r="R124" i="7"/>
  <c r="L37" i="7"/>
  <c r="L66" i="7"/>
  <c r="V66" i="7" s="1"/>
  <c r="L68" i="7"/>
  <c r="V68" i="7" s="1"/>
  <c r="L78" i="7"/>
  <c r="S78" i="7" s="1"/>
  <c r="L105" i="7"/>
  <c r="S105" i="7" s="1"/>
  <c r="L121" i="7"/>
  <c r="V121" i="7" s="1"/>
  <c r="S124" i="7"/>
  <c r="L44" i="7"/>
  <c r="S44" i="7" s="1"/>
  <c r="L73" i="7"/>
  <c r="R73" i="7" s="1"/>
  <c r="T124" i="7"/>
  <c r="L12" i="7"/>
  <c r="V12" i="7" s="1"/>
  <c r="L17" i="7"/>
  <c r="S17" i="7" s="1"/>
  <c r="L39" i="7"/>
  <c r="V39" i="7" s="1"/>
  <c r="L51" i="7"/>
  <c r="S51" i="7" s="1"/>
  <c r="L123" i="7"/>
  <c r="T123" i="7" s="1"/>
  <c r="L53" i="7"/>
  <c r="V53" i="7" s="1"/>
  <c r="L65" i="7"/>
  <c r="S65" i="7" s="1"/>
  <c r="R80" i="7"/>
  <c r="R122" i="7"/>
  <c r="S7" i="7"/>
  <c r="L16" i="7"/>
  <c r="S16" i="7" s="1"/>
  <c r="L72" i="7"/>
  <c r="V72" i="7" s="1"/>
  <c r="S80" i="7"/>
  <c r="R93" i="7"/>
  <c r="L82" i="7"/>
  <c r="T82" i="7" s="1"/>
  <c r="T63" i="7"/>
  <c r="R101" i="7"/>
  <c r="T150" i="7"/>
  <c r="L111" i="7"/>
  <c r="L18" i="7"/>
  <c r="R18" i="7" s="1"/>
  <c r="L33" i="7"/>
  <c r="R33" i="7" s="1"/>
  <c r="T77" i="7"/>
  <c r="L95" i="7"/>
  <c r="R95" i="7" s="1"/>
  <c r="L149" i="7"/>
  <c r="V149" i="7" s="1"/>
  <c r="L30" i="7"/>
  <c r="S30" i="7" s="1"/>
  <c r="V15" i="7"/>
  <c r="U15" i="7"/>
  <c r="U58" i="7"/>
  <c r="L19" i="7"/>
  <c r="L92" i="7"/>
  <c r="V92" i="7" s="1"/>
  <c r="T7" i="7"/>
  <c r="L9" i="7"/>
  <c r="L125" i="7"/>
  <c r="S125" i="7" s="1"/>
  <c r="U7" i="7"/>
  <c r="L34" i="7"/>
  <c r="R34" i="7" s="1"/>
  <c r="L41" i="7"/>
  <c r="U41" i="7" s="1"/>
  <c r="L55" i="7"/>
  <c r="R55" i="7" s="1"/>
  <c r="L62" i="7"/>
  <c r="T62" i="7" s="1"/>
  <c r="L69" i="7"/>
  <c r="R69" i="7" s="1"/>
  <c r="L76" i="7"/>
  <c r="T76" i="7" s="1"/>
  <c r="L87" i="7"/>
  <c r="U87" i="7" s="1"/>
  <c r="T132" i="7"/>
  <c r="L120" i="7"/>
  <c r="U120" i="7" s="1"/>
  <c r="L6" i="7"/>
  <c r="S6" i="7" s="1"/>
  <c r="R7" i="7"/>
  <c r="L43" i="7"/>
  <c r="R43" i="7" s="1"/>
  <c r="L50" i="7"/>
  <c r="L64" i="7"/>
  <c r="U64" i="7" s="1"/>
  <c r="L71" i="7"/>
  <c r="U71" i="7" s="1"/>
  <c r="V77" i="7"/>
  <c r="L138" i="7"/>
  <c r="V138" i="7" s="1"/>
  <c r="L161" i="7"/>
  <c r="R161" i="7" s="1"/>
  <c r="L103" i="7"/>
  <c r="R103" i="7" s="1"/>
  <c r="U38" i="7"/>
  <c r="L89" i="7"/>
  <c r="R89" i="7" s="1"/>
  <c r="T37" i="7"/>
  <c r="T58" i="7"/>
  <c r="U122" i="7"/>
  <c r="U132" i="7"/>
  <c r="U146" i="7"/>
  <c r="U101" i="7"/>
  <c r="AR15" i="6"/>
  <c r="AP15" i="6"/>
  <c r="AP14" i="6"/>
  <c r="AO14" i="6"/>
  <c r="AR16" i="6"/>
  <c r="AP16" i="6"/>
  <c r="AO16" i="6"/>
  <c r="AP29" i="6"/>
  <c r="AR29" i="6"/>
  <c r="AN29" i="6"/>
  <c r="AP115" i="6"/>
  <c r="AP8" i="6"/>
  <c r="AO8" i="6"/>
  <c r="AR20" i="6"/>
  <c r="AR86" i="6"/>
  <c r="AQ147" i="6"/>
  <c r="AN18" i="6"/>
  <c r="AP108" i="6"/>
  <c r="AR147" i="6"/>
  <c r="AN97" i="6"/>
  <c r="AO38" i="6"/>
  <c r="AQ8" i="6"/>
  <c r="AR19" i="6"/>
  <c r="AR25" i="6"/>
  <c r="AP49" i="6"/>
  <c r="AQ134" i="6"/>
  <c r="AO134" i="6"/>
  <c r="AR36" i="6"/>
  <c r="AP36" i="6"/>
  <c r="AQ108" i="6"/>
  <c r="AN125" i="6"/>
  <c r="AO125" i="6"/>
  <c r="AN3" i="6"/>
  <c r="AP7" i="6"/>
  <c r="AQ51" i="6"/>
  <c r="AR120" i="6"/>
  <c r="AO3" i="6"/>
  <c r="AN6" i="6"/>
  <c r="AQ7" i="6"/>
  <c r="AP21" i="6"/>
  <c r="AP23" i="6"/>
  <c r="AR23" i="6"/>
  <c r="AO53" i="6"/>
  <c r="AQ68" i="6"/>
  <c r="AP129" i="6"/>
  <c r="AN7" i="6"/>
  <c r="AO7" i="6"/>
  <c r="AO15" i="6"/>
  <c r="AN49" i="6"/>
  <c r="AR68" i="6"/>
  <c r="AP68" i="6"/>
  <c r="AQ102" i="6"/>
  <c r="AR8" i="6"/>
  <c r="AR46" i="6"/>
  <c r="AQ4" i="6"/>
  <c r="AN14" i="6"/>
  <c r="AN39" i="6"/>
  <c r="AR126" i="6"/>
  <c r="AO143" i="6"/>
  <c r="AP143" i="6"/>
  <c r="AN143" i="6"/>
  <c r="AR4" i="6"/>
  <c r="AN20" i="6"/>
  <c r="AR32" i="6"/>
  <c r="AP32" i="6"/>
  <c r="AO36" i="6"/>
  <c r="AH38" i="6"/>
  <c r="AN38" i="6" s="1"/>
  <c r="AR47" i="6"/>
  <c r="AP47" i="6"/>
  <c r="AN67" i="6"/>
  <c r="AH78" i="6"/>
  <c r="AR78" i="6" s="1"/>
  <c r="AO104" i="6"/>
  <c r="AO113" i="6"/>
  <c r="AR14" i="6"/>
  <c r="AR61" i="6"/>
  <c r="AP61" i="6"/>
  <c r="AQ150" i="6"/>
  <c r="AP150" i="6"/>
  <c r="AO150" i="6"/>
  <c r="AO156" i="6"/>
  <c r="AQ156" i="6"/>
  <c r="AP156" i="6"/>
  <c r="AN156" i="6"/>
  <c r="AH12" i="6"/>
  <c r="AR12" i="6" s="1"/>
  <c r="AH31" i="6"/>
  <c r="AN31" i="6" s="1"/>
  <c r="AN61" i="6"/>
  <c r="AP63" i="6"/>
  <c r="AN63" i="6"/>
  <c r="AH66" i="6"/>
  <c r="AN66" i="6" s="1"/>
  <c r="AP22" i="6"/>
  <c r="AO22" i="6"/>
  <c r="AP28" i="6"/>
  <c r="AO28" i="6"/>
  <c r="AN28" i="6"/>
  <c r="AP35" i="6"/>
  <c r="AN35" i="6"/>
  <c r="AQ76" i="6"/>
  <c r="AN83" i="6"/>
  <c r="AQ103" i="6"/>
  <c r="AP103" i="6"/>
  <c r="AN103" i="6"/>
  <c r="AH144" i="6"/>
  <c r="AN144" i="6" s="1"/>
  <c r="AN145" i="6"/>
  <c r="AN5" i="6"/>
  <c r="AO52" i="6"/>
  <c r="AR75" i="6"/>
  <c r="AP75" i="6"/>
  <c r="AP86" i="6"/>
  <c r="AO86" i="6"/>
  <c r="AO95" i="6"/>
  <c r="AP126" i="6"/>
  <c r="AQ126" i="6"/>
  <c r="AO126" i="6"/>
  <c r="AN126" i="6"/>
  <c r="AO145" i="6"/>
  <c r="AN150" i="6"/>
  <c r="AN19" i="6"/>
  <c r="AN46" i="6"/>
  <c r="AQ61" i="6"/>
  <c r="AP92" i="6"/>
  <c r="AP95" i="6"/>
  <c r="AO124" i="6"/>
  <c r="AR9" i="6"/>
  <c r="AN16" i="6"/>
  <c r="AO31" i="6"/>
  <c r="AO46" i="6"/>
  <c r="AO75" i="6"/>
  <c r="AO85" i="6"/>
  <c r="AP85" i="6"/>
  <c r="AQ95" i="6"/>
  <c r="AP124" i="6"/>
  <c r="AQ132" i="6"/>
  <c r="AO132" i="6"/>
  <c r="AN147" i="6"/>
  <c r="AQ5" i="6"/>
  <c r="AO25" i="6"/>
  <c r="AP27" i="6"/>
  <c r="AN27" i="6"/>
  <c r="AQ35" i="6"/>
  <c r="AP42" i="6"/>
  <c r="AN42" i="6"/>
  <c r="AH45" i="6"/>
  <c r="AN45" i="6" s="1"/>
  <c r="AH62" i="6"/>
  <c r="AO62" i="6" s="1"/>
  <c r="AP66" i="6"/>
  <c r="AP72" i="6"/>
  <c r="AQ94" i="6"/>
  <c r="AP94" i="6"/>
  <c r="AN101" i="6"/>
  <c r="AQ115" i="6"/>
  <c r="AN132" i="6"/>
  <c r="AO141" i="6"/>
  <c r="AQ160" i="6"/>
  <c r="AN60" i="6"/>
  <c r="AN86" i="6"/>
  <c r="AN155" i="6"/>
  <c r="AP155" i="6"/>
  <c r="AR5" i="6"/>
  <c r="AQ19" i="6"/>
  <c r="AR22" i="6"/>
  <c r="AP25" i="6"/>
  <c r="AQ72" i="6"/>
  <c r="AP83" i="6"/>
  <c r="AN94" i="6"/>
  <c r="AP97" i="6"/>
  <c r="AP145" i="6"/>
  <c r="AH149" i="6"/>
  <c r="AR149" i="6" s="1"/>
  <c r="AR150" i="6"/>
  <c r="AP90" i="6"/>
  <c r="AN99" i="6"/>
  <c r="AP106" i="6"/>
  <c r="AQ6" i="6"/>
  <c r="AQ27" i="6"/>
  <c r="AO54" i="6"/>
  <c r="AQ67" i="6"/>
  <c r="AN91" i="6"/>
  <c r="AR6" i="6"/>
  <c r="AP20" i="6"/>
  <c r="AP26" i="6"/>
  <c r="AQ32" i="6"/>
  <c r="AN58" i="6"/>
  <c r="AR59" i="6"/>
  <c r="AQ75" i="6"/>
  <c r="AN87" i="6"/>
  <c r="AH89" i="6"/>
  <c r="AR89" i="6" s="1"/>
  <c r="AO99" i="6"/>
  <c r="AH108" i="6"/>
  <c r="AR118" i="6"/>
  <c r="AN121" i="6"/>
  <c r="AP125" i="6"/>
  <c r="AQ155" i="6"/>
  <c r="AR21" i="6"/>
  <c r="AQ46" i="6"/>
  <c r="AQ63" i="6"/>
  <c r="AP5" i="6"/>
  <c r="AH10" i="6"/>
  <c r="AN10" i="6" s="1"/>
  <c r="AQ20" i="6"/>
  <c r="AN53" i="6"/>
  <c r="AO66" i="6"/>
  <c r="AH80" i="6"/>
  <c r="AO80" i="6" s="1"/>
  <c r="AN81" i="6"/>
  <c r="AH84" i="6"/>
  <c r="AH92" i="6"/>
  <c r="AR92" i="6" s="1"/>
  <c r="AR106" i="6"/>
  <c r="AO117" i="6"/>
  <c r="AN120" i="6"/>
  <c r="AR155" i="6"/>
  <c r="AO19" i="6"/>
  <c r="AP31" i="6"/>
  <c r="AQ49" i="6"/>
  <c r="AQ58" i="6"/>
  <c r="AQ74" i="6"/>
  <c r="AN89" i="6"/>
  <c r="AQ97" i="6"/>
  <c r="AQ154" i="6"/>
  <c r="AP4" i="6"/>
  <c r="AP19" i="6"/>
  <c r="AQ25" i="6"/>
  <c r="AQ31" i="6"/>
  <c r="AH43" i="6"/>
  <c r="AN44" i="6"/>
  <c r="AQ53" i="6"/>
  <c r="AO61" i="6"/>
  <c r="AH64" i="6"/>
  <c r="AQ64" i="6" s="1"/>
  <c r="AN65" i="6"/>
  <c r="AR66" i="6"/>
  <c r="AH76" i="6"/>
  <c r="AO76" i="6" s="1"/>
  <c r="AQ81" i="6"/>
  <c r="AQ85" i="6"/>
  <c r="AR109" i="6"/>
  <c r="AQ120" i="6"/>
  <c r="AP132" i="6"/>
  <c r="AN135" i="6"/>
  <c r="AR136" i="6"/>
  <c r="AH142" i="6"/>
  <c r="AR142" i="6" s="1"/>
  <c r="AH146" i="6"/>
  <c r="AQ146" i="6" s="1"/>
  <c r="AO18" i="6"/>
  <c r="AP30" i="6"/>
  <c r="AO34" i="6"/>
  <c r="AQ44" i="6"/>
  <c r="AP52" i="6"/>
  <c r="AO60" i="6"/>
  <c r="AQ80" i="6"/>
  <c r="AQ92" i="6"/>
  <c r="AP96" i="6"/>
  <c r="AP104" i="6"/>
  <c r="AN107" i="6"/>
  <c r="AR108" i="6"/>
  <c r="AO122" i="6"/>
  <c r="AP153" i="6"/>
  <c r="AQ3" i="6"/>
  <c r="AP18" i="6"/>
  <c r="AO29" i="6"/>
  <c r="AQ30" i="6"/>
  <c r="AP34" i="6"/>
  <c r="AQ39" i="6"/>
  <c r="AO47" i="6"/>
  <c r="AQ56" i="6"/>
  <c r="AP57" i="6"/>
  <c r="AO68" i="6"/>
  <c r="AN72" i="6"/>
  <c r="AR73" i="6"/>
  <c r="AO88" i="6"/>
  <c r="AH90" i="6"/>
  <c r="AR90" i="6" s="1"/>
  <c r="AQ96" i="6"/>
  <c r="AH130" i="6"/>
  <c r="AQ130" i="6" s="1"/>
  <c r="AQ138" i="6"/>
  <c r="AQ9" i="6"/>
  <c r="AN17" i="6"/>
  <c r="AQ18" i="6"/>
  <c r="AQ23" i="6"/>
  <c r="AH26" i="6"/>
  <c r="AR26" i="6" s="1"/>
  <c r="AH41" i="6"/>
  <c r="AN41" i="6" s="1"/>
  <c r="AH50" i="6"/>
  <c r="AQ50" i="6" s="1"/>
  <c r="AN51" i="6"/>
  <c r="AR52" i="6"/>
  <c r="AO55" i="6"/>
  <c r="AQ60" i="6"/>
  <c r="AP76" i="6"/>
  <c r="AN95" i="6"/>
  <c r="AR96" i="6"/>
  <c r="AN152" i="6"/>
  <c r="AR153" i="6"/>
  <c r="AQ107" i="6"/>
  <c r="AH112" i="6"/>
  <c r="AP112" i="6" s="1"/>
  <c r="AR124" i="6"/>
  <c r="AR133" i="6"/>
  <c r="AR141" i="6"/>
  <c r="AO147" i="6"/>
  <c r="AR148" i="6"/>
  <c r="AH152" i="6"/>
  <c r="AQ152" i="6" s="1"/>
  <c r="AR158" i="6"/>
  <c r="AQ22" i="6"/>
  <c r="AR99" i="6"/>
  <c r="AR123" i="6"/>
  <c r="AQ38" i="6"/>
  <c r="AO44" i="6"/>
  <c r="AO51" i="6"/>
  <c r="AQ52" i="6"/>
  <c r="AO58" i="6"/>
  <c r="AQ59" i="6"/>
  <c r="AQ66" i="6"/>
  <c r="AQ73" i="6"/>
  <c r="AN88" i="6"/>
  <c r="AR97" i="6"/>
  <c r="AN104" i="6"/>
  <c r="AR114" i="6"/>
  <c r="AP120" i="6"/>
  <c r="AR121" i="6"/>
  <c r="AR154" i="6"/>
  <c r="AQ16" i="6"/>
  <c r="AO103" i="6"/>
  <c r="AQ135" i="6"/>
  <c r="AQ15" i="6"/>
  <c r="AQ29" i="6"/>
  <c r="AO35" i="6"/>
  <c r="AQ36" i="6"/>
  <c r="AO42" i="6"/>
  <c r="AO49" i="6"/>
  <c r="AO56" i="6"/>
  <c r="AQ57" i="6"/>
  <c r="AO63" i="6"/>
  <c r="AQ71" i="6"/>
  <c r="AH82" i="6"/>
  <c r="AP82" i="6" s="1"/>
  <c r="AR88" i="6"/>
  <c r="AR94" i="6"/>
  <c r="AR104" i="6"/>
  <c r="AQ119" i="6"/>
  <c r="AP134" i="6"/>
  <c r="AQ14" i="6"/>
  <c r="AQ28" i="6"/>
  <c r="AH98" i="6"/>
  <c r="AR110" i="6"/>
  <c r="AR119" i="6"/>
  <c r="AR127" i="6"/>
  <c r="AR151" i="6"/>
  <c r="AO159" i="6"/>
  <c r="AR103" i="6"/>
  <c r="AR145" i="6"/>
  <c r="AR101" i="6"/>
  <c r="AR115" i="6"/>
  <c r="AR129" i="6"/>
  <c r="AR143" i="6"/>
  <c r="AR157" i="6"/>
  <c r="AH2" i="5"/>
  <c r="R8" i="2"/>
  <c r="S9" i="2"/>
  <c r="S8" i="2"/>
  <c r="T8" i="2"/>
  <c r="U8" i="2"/>
  <c r="V8" i="2"/>
  <c r="T7" i="2"/>
  <c r="U7" i="2"/>
  <c r="S7" i="2"/>
  <c r="R47" i="7" l="1"/>
  <c r="V47" i="7"/>
  <c r="S47" i="7"/>
  <c r="V52" i="7"/>
  <c r="T52" i="7"/>
  <c r="R129" i="7"/>
  <c r="V85" i="7"/>
  <c r="R85" i="7"/>
  <c r="S84" i="7"/>
  <c r="U84" i="7"/>
  <c r="U129" i="7"/>
  <c r="U137" i="7"/>
  <c r="S49" i="7"/>
  <c r="U151" i="7"/>
  <c r="T110" i="7"/>
  <c r="V129" i="7"/>
  <c r="S129" i="7"/>
  <c r="V131" i="7"/>
  <c r="U74" i="7"/>
  <c r="V137" i="7"/>
  <c r="S154" i="7"/>
  <c r="R61" i="7"/>
  <c r="T61" i="7"/>
  <c r="S61" i="7"/>
  <c r="V61" i="7"/>
  <c r="V151" i="7"/>
  <c r="R8" i="7"/>
  <c r="U67" i="7"/>
  <c r="V49" i="7"/>
  <c r="U49" i="7"/>
  <c r="T49" i="7"/>
  <c r="V126" i="7"/>
  <c r="T84" i="7"/>
  <c r="T79" i="7"/>
  <c r="U79" i="7"/>
  <c r="AP93" i="6"/>
  <c r="AO93" i="6"/>
  <c r="AN93" i="6"/>
  <c r="AN139" i="6"/>
  <c r="AN102" i="6"/>
  <c r="AQ131" i="6"/>
  <c r="AQ111" i="6"/>
  <c r="AN100" i="6"/>
  <c r="V107" i="7"/>
  <c r="R54" i="7"/>
  <c r="AQ110" i="6"/>
  <c r="AP110" i="6"/>
  <c r="AP139" i="6"/>
  <c r="AR140" i="6"/>
  <c r="AP111" i="6"/>
  <c r="AN54" i="6"/>
  <c r="AR48" i="6"/>
  <c r="AN57" i="6"/>
  <c r="AN70" i="6"/>
  <c r="U155" i="7"/>
  <c r="AR116" i="6"/>
  <c r="AQ70" i="6"/>
  <c r="AN78" i="6"/>
  <c r="AN37" i="6"/>
  <c r="AO160" i="6"/>
  <c r="AO100" i="6"/>
  <c r="U107" i="7"/>
  <c r="R50" i="7"/>
  <c r="S37" i="7"/>
  <c r="AP113" i="6"/>
  <c r="AN113" i="6"/>
  <c r="AN140" i="6"/>
  <c r="AO128" i="6"/>
  <c r="AQ128" i="6"/>
  <c r="AP131" i="6"/>
  <c r="AQ122" i="6"/>
  <c r="AP122" i="6"/>
  <c r="L151" i="7"/>
  <c r="AO69" i="6"/>
  <c r="L129" i="7"/>
  <c r="T129" i="7" s="1"/>
  <c r="AO4" i="6"/>
  <c r="AO52" i="5"/>
  <c r="AN10" i="5"/>
  <c r="AQ24" i="5"/>
  <c r="AP80" i="5"/>
  <c r="AO131" i="6"/>
  <c r="S150" i="7"/>
  <c r="AP161" i="6"/>
  <c r="AQ48" i="6"/>
  <c r="L3" i="7"/>
  <c r="AR161" i="6"/>
  <c r="AQ89" i="6"/>
  <c r="T107" i="7"/>
  <c r="U150" i="7"/>
  <c r="R100" i="7"/>
  <c r="U24" i="7"/>
  <c r="AR139" i="6"/>
  <c r="AR113" i="6"/>
  <c r="AQ93" i="6"/>
  <c r="AQ77" i="6"/>
  <c r="AN116" i="6"/>
  <c r="AQ137" i="6"/>
  <c r="AN77" i="6"/>
  <c r="AN138" i="6"/>
  <c r="S99" i="7"/>
  <c r="T157" i="7"/>
  <c r="AP136" i="6"/>
  <c r="AQ91" i="6"/>
  <c r="AP109" i="6"/>
  <c r="L106" i="7"/>
  <c r="S106" i="7" s="1"/>
  <c r="AN108" i="5"/>
  <c r="AQ66" i="5"/>
  <c r="AO12" i="5"/>
  <c r="AQ24" i="6"/>
  <c r="AQ12" i="5"/>
  <c r="AP108" i="5"/>
  <c r="AQ105" i="6"/>
  <c r="AO135" i="6"/>
  <c r="AN141" i="6"/>
  <c r="R77" i="7"/>
  <c r="S130" i="7"/>
  <c r="AR125" i="6"/>
  <c r="V101" i="7"/>
  <c r="AP118" i="6"/>
  <c r="AO70" i="6"/>
  <c r="AQ65" i="6"/>
  <c r="AQ113" i="6"/>
  <c r="AO74" i="6"/>
  <c r="AR137" i="6"/>
  <c r="AP130" i="6"/>
  <c r="AP77" i="6"/>
  <c r="AP141" i="6"/>
  <c r="AR105" i="6"/>
  <c r="AO138" i="6"/>
  <c r="V24" i="7"/>
  <c r="AN157" i="6"/>
  <c r="L143" i="7"/>
  <c r="AQ69" i="6"/>
  <c r="AQ116" i="6"/>
  <c r="AO48" i="6"/>
  <c r="L2" i="7"/>
  <c r="V2" i="7" s="1"/>
  <c r="AP119" i="6"/>
  <c r="AN119" i="6"/>
  <c r="L46" i="7"/>
  <c r="S46" i="7" s="1"/>
  <c r="AP11" i="6"/>
  <c r="AO67" i="6"/>
  <c r="AO33" i="6"/>
  <c r="AR24" i="6"/>
  <c r="AR39" i="6"/>
  <c r="V7" i="7"/>
  <c r="AN13" i="6"/>
  <c r="AN150" i="5"/>
  <c r="AN24" i="5"/>
  <c r="AP122" i="5"/>
  <c r="U90" i="7"/>
  <c r="AQ127" i="6"/>
  <c r="AN127" i="6"/>
  <c r="AP127" i="6"/>
  <c r="AN74" i="6"/>
  <c r="AQ34" i="6"/>
  <c r="AR87" i="6"/>
  <c r="AR80" i="6"/>
  <c r="AR91" i="6"/>
  <c r="AR138" i="6"/>
  <c r="AR77" i="6"/>
  <c r="AP159" i="6"/>
  <c r="AN136" i="6"/>
  <c r="AO37" i="6"/>
  <c r="AO111" i="6"/>
  <c r="AQ124" i="6"/>
  <c r="AN130" i="6"/>
  <c r="AQ157" i="6"/>
  <c r="AQ149" i="6"/>
  <c r="AP100" i="6"/>
  <c r="AR83" i="6"/>
  <c r="T152" i="7"/>
  <c r="L67" i="7"/>
  <c r="AN24" i="6"/>
  <c r="AO107" i="6"/>
  <c r="AR56" i="6"/>
  <c r="AP56" i="6"/>
  <c r="AO57" i="6"/>
  <c r="AP65" i="6"/>
  <c r="AP140" i="6"/>
  <c r="AO9" i="6"/>
  <c r="AP54" i="6"/>
  <c r="AR14" i="5"/>
  <c r="AP14" i="5"/>
  <c r="AQ94" i="5"/>
  <c r="AQ10" i="5"/>
  <c r="T40" i="7"/>
  <c r="V158" i="7"/>
  <c r="U70" i="7"/>
  <c r="R24" i="7"/>
  <c r="U158" i="7"/>
  <c r="R98" i="7"/>
  <c r="AQ151" i="6"/>
  <c r="AP151" i="6"/>
  <c r="L81" i="7"/>
  <c r="AR102" i="6"/>
  <c r="L74" i="7"/>
  <c r="V74" i="7" s="1"/>
  <c r="AP117" i="6"/>
  <c r="L94" i="7"/>
  <c r="R94" i="7" s="1"/>
  <c r="AO105" i="6"/>
  <c r="AO122" i="5"/>
  <c r="AQ13" i="6"/>
  <c r="AP39" i="6"/>
  <c r="AP28" i="5"/>
  <c r="AN28" i="5"/>
  <c r="AR28" i="5"/>
  <c r="AN30" i="5"/>
  <c r="AP30" i="5"/>
  <c r="AR84" i="5"/>
  <c r="AQ122" i="5"/>
  <c r="AQ30" i="5"/>
  <c r="AP150" i="5"/>
  <c r="S107" i="7"/>
  <c r="AR159" i="6"/>
  <c r="AR135" i="6"/>
  <c r="AP160" i="6"/>
  <c r="AR82" i="6"/>
  <c r="AR100" i="6"/>
  <c r="AR93" i="6"/>
  <c r="AQ54" i="6"/>
  <c r="AO13" i="6"/>
  <c r="AO50" i="6"/>
  <c r="AP157" i="6"/>
  <c r="U130" i="7"/>
  <c r="AQ159" i="6"/>
  <c r="AR128" i="6"/>
  <c r="AO72" i="6"/>
  <c r="AN146" i="6"/>
  <c r="AO89" i="6"/>
  <c r="AO136" i="6"/>
  <c r="AR27" i="6"/>
  <c r="AN151" i="6"/>
  <c r="AR85" i="6"/>
  <c r="R157" i="7"/>
  <c r="U63" i="7"/>
  <c r="T146" i="7"/>
  <c r="AN71" i="6"/>
  <c r="AQ42" i="6"/>
  <c r="L8" i="7"/>
  <c r="AQ55" i="6"/>
  <c r="AP42" i="5"/>
  <c r="AR42" i="5"/>
  <c r="AN58" i="5"/>
  <c r="AR58" i="5"/>
  <c r="AQ58" i="5"/>
  <c r="AP146" i="6"/>
  <c r="T99" i="7"/>
  <c r="L131" i="7"/>
  <c r="V150" i="7"/>
  <c r="AQ114" i="6"/>
  <c r="AO114" i="6"/>
  <c r="AO59" i="6"/>
  <c r="AO110" i="6"/>
  <c r="AR13" i="6"/>
  <c r="AQ21" i="6"/>
  <c r="AP12" i="5"/>
  <c r="AQ150" i="5"/>
  <c r="AO30" i="5"/>
  <c r="AO14" i="5"/>
  <c r="AQ72" i="5"/>
  <c r="S19" i="7"/>
  <c r="AR131" i="6"/>
  <c r="AR130" i="6"/>
  <c r="AQ41" i="6"/>
  <c r="AQ10" i="6"/>
  <c r="AO82" i="6"/>
  <c r="AP74" i="6"/>
  <c r="AQ83" i="6"/>
  <c r="R58" i="7"/>
  <c r="V90" i="7"/>
  <c r="T90" i="7"/>
  <c r="T111" i="7"/>
  <c r="AP128" i="6"/>
  <c r="AQ140" i="6"/>
  <c r="L116" i="7"/>
  <c r="AR70" i="6"/>
  <c r="AR117" i="6"/>
  <c r="AN118" i="6"/>
  <c r="AO161" i="6"/>
  <c r="AO65" i="6"/>
  <c r="AO91" i="6"/>
  <c r="AQ161" i="6"/>
  <c r="AN69" i="6"/>
  <c r="AN115" i="6"/>
  <c r="AN128" i="6"/>
  <c r="AN129" i="6"/>
  <c r="AP37" i="6"/>
  <c r="AN117" i="6"/>
  <c r="AO106" i="6"/>
  <c r="AP45" i="6"/>
  <c r="AP102" i="6"/>
  <c r="AP80" i="6"/>
  <c r="U9" i="7"/>
  <c r="T80" i="7"/>
  <c r="V38" i="7"/>
  <c r="AR160" i="6"/>
  <c r="AP116" i="6"/>
  <c r="AR11" i="6"/>
  <c r="AP98" i="5"/>
  <c r="AR98" i="5"/>
  <c r="AN100" i="5"/>
  <c r="AP100" i="5"/>
  <c r="AO100" i="5"/>
  <c r="AQ100" i="5"/>
  <c r="AR111" i="6"/>
  <c r="AP105" i="6"/>
  <c r="AQ37" i="6"/>
  <c r="S132" i="7"/>
  <c r="T70" i="7"/>
  <c r="V132" i="7"/>
  <c r="V99" i="7"/>
  <c r="L137" i="7"/>
  <c r="R137" i="7" s="1"/>
  <c r="AO139" i="6"/>
  <c r="AN109" i="6"/>
  <c r="AP87" i="6"/>
  <c r="L21" i="7"/>
  <c r="L25" i="7"/>
  <c r="AR34" i="6"/>
  <c r="AP10" i="5"/>
  <c r="AN98" i="5"/>
  <c r="AR81" i="6"/>
  <c r="AO84" i="5"/>
  <c r="AN122" i="5"/>
  <c r="AP24" i="5"/>
  <c r="AN12" i="5"/>
  <c r="U144" i="7"/>
  <c r="T113" i="7"/>
  <c r="S102" i="7"/>
  <c r="U142" i="7"/>
  <c r="U35" i="7"/>
  <c r="S113" i="7"/>
  <c r="U154" i="7"/>
  <c r="V102" i="7"/>
  <c r="V14" i="7"/>
  <c r="R110" i="7"/>
  <c r="U100" i="7"/>
  <c r="R102" i="7"/>
  <c r="T102" i="7"/>
  <c r="S142" i="7"/>
  <c r="T118" i="7"/>
  <c r="S139" i="7"/>
  <c r="R49" i="7"/>
  <c r="S15" i="7"/>
  <c r="V142" i="7"/>
  <c r="U113" i="7"/>
  <c r="T47" i="7"/>
  <c r="T85" i="7"/>
  <c r="T154" i="7"/>
  <c r="S79" i="7"/>
  <c r="T14" i="7"/>
  <c r="S100" i="7"/>
  <c r="U61" i="7"/>
  <c r="T100" i="7"/>
  <c r="R144" i="7"/>
  <c r="T83" i="7"/>
  <c r="R35" i="7"/>
  <c r="U14" i="7"/>
  <c r="T139" i="7"/>
  <c r="S110" i="7"/>
  <c r="V35" i="7"/>
  <c r="V97" i="7"/>
  <c r="U47" i="7"/>
  <c r="S85" i="7"/>
  <c r="T97" i="7"/>
  <c r="V139" i="7"/>
  <c r="U110" i="7"/>
  <c r="U97" i="7"/>
  <c r="U139" i="7"/>
  <c r="V154" i="7"/>
  <c r="S97" i="7"/>
  <c r="V115" i="7"/>
  <c r="V113" i="7"/>
  <c r="T35" i="7"/>
  <c r="U118" i="7"/>
  <c r="S90" i="7"/>
  <c r="R84" i="7"/>
  <c r="R38" i="7"/>
  <c r="R142" i="7"/>
  <c r="V84" i="7"/>
  <c r="S118" i="7"/>
  <c r="U56" i="7"/>
  <c r="T98" i="7"/>
  <c r="V155" i="7"/>
  <c r="U127" i="7"/>
  <c r="U42" i="7"/>
  <c r="R15" i="7"/>
  <c r="S66" i="7"/>
  <c r="S28" i="7"/>
  <c r="U99" i="7"/>
  <c r="S127" i="7"/>
  <c r="S60" i="7"/>
  <c r="S45" i="7"/>
  <c r="T127" i="7"/>
  <c r="R56" i="7"/>
  <c r="S54" i="7"/>
  <c r="T54" i="7"/>
  <c r="T119" i="7"/>
  <c r="S155" i="7"/>
  <c r="T38" i="7"/>
  <c r="U98" i="7"/>
  <c r="S40" i="7"/>
  <c r="S38" i="7"/>
  <c r="S42" i="7"/>
  <c r="R28" i="7"/>
  <c r="U28" i="7"/>
  <c r="U108" i="7"/>
  <c r="R126" i="7"/>
  <c r="V40" i="7"/>
  <c r="U40" i="7"/>
  <c r="S152" i="7"/>
  <c r="S56" i="7"/>
  <c r="V127" i="7"/>
  <c r="T28" i="7"/>
  <c r="V54" i="7"/>
  <c r="U54" i="7"/>
  <c r="T42" i="7"/>
  <c r="U152" i="7"/>
  <c r="S126" i="7"/>
  <c r="S70" i="7"/>
  <c r="U85" i="7"/>
  <c r="R42" i="7"/>
  <c r="U126" i="7"/>
  <c r="T16" i="7"/>
  <c r="T56" i="7"/>
  <c r="U62" i="7"/>
  <c r="U140" i="7"/>
  <c r="R82" i="7"/>
  <c r="T140" i="7"/>
  <c r="V37" i="7"/>
  <c r="T144" i="7"/>
  <c r="U121" i="7"/>
  <c r="R72" i="7"/>
  <c r="T66" i="7"/>
  <c r="V144" i="7"/>
  <c r="R52" i="7"/>
  <c r="U32" i="7"/>
  <c r="T160" i="7"/>
  <c r="T60" i="7"/>
  <c r="U37" i="7"/>
  <c r="U82" i="7"/>
  <c r="S18" i="7"/>
  <c r="U136" i="7"/>
  <c r="U66" i="7"/>
  <c r="S26" i="7"/>
  <c r="V135" i="7"/>
  <c r="U52" i="7"/>
  <c r="T155" i="7"/>
  <c r="T32" i="7"/>
  <c r="R135" i="7"/>
  <c r="S82" i="7"/>
  <c r="U135" i="7"/>
  <c r="R30" i="7"/>
  <c r="V17" i="7"/>
  <c r="V112" i="7"/>
  <c r="T112" i="7"/>
  <c r="U119" i="7"/>
  <c r="T73" i="7"/>
  <c r="V119" i="7"/>
  <c r="T105" i="7"/>
  <c r="R26" i="7"/>
  <c r="R68" i="7"/>
  <c r="S68" i="7"/>
  <c r="S149" i="7"/>
  <c r="U17" i="7"/>
  <c r="R119" i="7"/>
  <c r="U112" i="7"/>
  <c r="R78" i="7"/>
  <c r="U65" i="7"/>
  <c r="T17" i="7"/>
  <c r="U128" i="7"/>
  <c r="U105" i="7"/>
  <c r="S112" i="7"/>
  <c r="U148" i="7"/>
  <c r="S57" i="7"/>
  <c r="V65" i="7"/>
  <c r="V148" i="7"/>
  <c r="V123" i="7"/>
  <c r="S50" i="7"/>
  <c r="V160" i="7"/>
  <c r="V30" i="7"/>
  <c r="R17" i="7"/>
  <c r="T12" i="7"/>
  <c r="U68" i="7"/>
  <c r="R31" i="7"/>
  <c r="T44" i="7"/>
  <c r="U31" i="7"/>
  <c r="U19" i="7"/>
  <c r="S135" i="7"/>
  <c r="S111" i="7"/>
  <c r="S91" i="7"/>
  <c r="V105" i="7"/>
  <c r="U36" i="7"/>
  <c r="R65" i="7"/>
  <c r="U60" i="7"/>
  <c r="S32" i="7"/>
  <c r="R66" i="7"/>
  <c r="U138" i="7"/>
  <c r="R120" i="7"/>
  <c r="R115" i="7"/>
  <c r="S5" i="7"/>
  <c r="U149" i="7"/>
  <c r="T109" i="7"/>
  <c r="U51" i="7"/>
  <c r="T104" i="7"/>
  <c r="U45" i="7"/>
  <c r="R145" i="7"/>
  <c r="R45" i="7"/>
  <c r="V145" i="7"/>
  <c r="U145" i="7"/>
  <c r="U141" i="7"/>
  <c r="S36" i="7"/>
  <c r="S141" i="7"/>
  <c r="R149" i="7"/>
  <c r="V86" i="7"/>
  <c r="U26" i="7"/>
  <c r="U86" i="7"/>
  <c r="R51" i="7"/>
  <c r="R32" i="7"/>
  <c r="T141" i="7"/>
  <c r="V33" i="7"/>
  <c r="V51" i="7"/>
  <c r="T149" i="7"/>
  <c r="U12" i="7"/>
  <c r="V141" i="7"/>
  <c r="T59" i="7"/>
  <c r="S109" i="7"/>
  <c r="U34" i="7"/>
  <c r="S145" i="7"/>
  <c r="U109" i="7"/>
  <c r="U16" i="7"/>
  <c r="V93" i="7"/>
  <c r="T93" i="7"/>
  <c r="T51" i="7"/>
  <c r="T43" i="7"/>
  <c r="U115" i="7"/>
  <c r="T136" i="7"/>
  <c r="U33" i="7"/>
  <c r="R79" i="7"/>
  <c r="T78" i="7"/>
  <c r="V11" i="7"/>
  <c r="T33" i="7"/>
  <c r="T72" i="7"/>
  <c r="S93" i="7"/>
  <c r="U111" i="7"/>
  <c r="V109" i="7"/>
  <c r="T45" i="7"/>
  <c r="V43" i="7"/>
  <c r="T50" i="7"/>
  <c r="S73" i="7"/>
  <c r="S86" i="7"/>
  <c r="T68" i="7"/>
  <c r="S31" i="7"/>
  <c r="V16" i="7"/>
  <c r="T65" i="7"/>
  <c r="U96" i="7"/>
  <c r="V78" i="7"/>
  <c r="V73" i="7"/>
  <c r="R59" i="7"/>
  <c r="S115" i="7"/>
  <c r="T31" i="7"/>
  <c r="V95" i="7"/>
  <c r="T91" i="7"/>
  <c r="R138" i="7"/>
  <c r="T159" i="7"/>
  <c r="R83" i="7"/>
  <c r="V79" i="7"/>
  <c r="V88" i="7"/>
  <c r="S52" i="7"/>
  <c r="S136" i="7"/>
  <c r="V136" i="7"/>
  <c r="S95" i="7"/>
  <c r="T39" i="7"/>
  <c r="S88" i="7"/>
  <c r="R160" i="7"/>
  <c r="T88" i="7"/>
  <c r="T153" i="7"/>
  <c r="U103" i="7"/>
  <c r="U69" i="7"/>
  <c r="T138" i="7"/>
  <c r="V64" i="7"/>
  <c r="U39" i="7"/>
  <c r="V159" i="7"/>
  <c r="S53" i="7"/>
  <c r="R10" i="7"/>
  <c r="U75" i="7"/>
  <c r="R91" i="7"/>
  <c r="V83" i="7"/>
  <c r="T75" i="7"/>
  <c r="R159" i="7"/>
  <c r="R105" i="7"/>
  <c r="R88" i="7"/>
  <c r="R13" i="7"/>
  <c r="S123" i="7"/>
  <c r="R128" i="7"/>
  <c r="V36" i="7"/>
  <c r="S10" i="7"/>
  <c r="S156" i="7"/>
  <c r="U72" i="7"/>
  <c r="R156" i="7"/>
  <c r="U159" i="7"/>
  <c r="U95" i="7"/>
  <c r="R111" i="7"/>
  <c r="T156" i="7"/>
  <c r="U30" i="7"/>
  <c r="T4" i="7"/>
  <c r="V4" i="7"/>
  <c r="T53" i="7"/>
  <c r="T30" i="7"/>
  <c r="U91" i="7"/>
  <c r="S117" i="7"/>
  <c r="V111" i="7"/>
  <c r="S104" i="7"/>
  <c r="S4" i="7"/>
  <c r="S160" i="7"/>
  <c r="T57" i="7"/>
  <c r="V147" i="7"/>
  <c r="T69" i="7"/>
  <c r="V128" i="7"/>
  <c r="S121" i="7"/>
  <c r="S72" i="7"/>
  <c r="T95" i="7"/>
  <c r="T34" i="7"/>
  <c r="T108" i="7"/>
  <c r="R75" i="7"/>
  <c r="R53" i="7"/>
  <c r="U44" i="7"/>
  <c r="S59" i="7"/>
  <c r="R121" i="7"/>
  <c r="R62" i="7"/>
  <c r="R11" i="7"/>
  <c r="V60" i="7"/>
  <c r="U11" i="7"/>
  <c r="U73" i="7"/>
  <c r="U57" i="7"/>
  <c r="S12" i="7"/>
  <c r="R12" i="7"/>
  <c r="U53" i="7"/>
  <c r="S39" i="7"/>
  <c r="T121" i="7"/>
  <c r="R108" i="7"/>
  <c r="R16" i="7"/>
  <c r="V104" i="7"/>
  <c r="U4" i="7"/>
  <c r="U156" i="7"/>
  <c r="U123" i="7"/>
  <c r="U50" i="7"/>
  <c r="R44" i="7"/>
  <c r="R140" i="7"/>
  <c r="V50" i="7"/>
  <c r="U78" i="7"/>
  <c r="R86" i="7"/>
  <c r="T36" i="7"/>
  <c r="R39" i="7"/>
  <c r="V44" i="7"/>
  <c r="S108" i="7"/>
  <c r="T18" i="7"/>
  <c r="U18" i="7"/>
  <c r="V18" i="7"/>
  <c r="S11" i="7"/>
  <c r="S138" i="7"/>
  <c r="V10" i="7"/>
  <c r="T10" i="7"/>
  <c r="R123" i="7"/>
  <c r="U104" i="7"/>
  <c r="U59" i="7"/>
  <c r="V140" i="7"/>
  <c r="U43" i="7"/>
  <c r="U83" i="7"/>
  <c r="S128" i="7"/>
  <c r="S75" i="7"/>
  <c r="S33" i="7"/>
  <c r="T26" i="7"/>
  <c r="V22" i="7"/>
  <c r="U22" i="7"/>
  <c r="T22" i="7"/>
  <c r="U55" i="7"/>
  <c r="V27" i="7"/>
  <c r="U27" i="7"/>
  <c r="T27" i="7"/>
  <c r="V20" i="7"/>
  <c r="T20" i="7"/>
  <c r="U20" i="7"/>
  <c r="U161" i="7"/>
  <c r="V76" i="7"/>
  <c r="S76" i="7"/>
  <c r="R125" i="7"/>
  <c r="V125" i="7"/>
  <c r="T92" i="7"/>
  <c r="S92" i="7"/>
  <c r="T23" i="7"/>
  <c r="V23" i="7"/>
  <c r="R133" i="7"/>
  <c r="S133" i="7"/>
  <c r="V48" i="7"/>
  <c r="S48" i="7"/>
  <c r="T87" i="7"/>
  <c r="R153" i="7"/>
  <c r="V153" i="7"/>
  <c r="V13" i="7"/>
  <c r="U13" i="7"/>
  <c r="T13" i="7"/>
  <c r="T9" i="7"/>
  <c r="V9" i="7"/>
  <c r="R9" i="7"/>
  <c r="S9" i="7"/>
  <c r="R147" i="7"/>
  <c r="S147" i="7"/>
  <c r="V6" i="7"/>
  <c r="U6" i="7"/>
  <c r="T6" i="7"/>
  <c r="S27" i="7"/>
  <c r="V69" i="7"/>
  <c r="S69" i="7"/>
  <c r="R23" i="7"/>
  <c r="U29" i="7"/>
  <c r="R22" i="7"/>
  <c r="T120" i="7"/>
  <c r="S120" i="7"/>
  <c r="T117" i="7"/>
  <c r="V117" i="7"/>
  <c r="V71" i="7"/>
  <c r="S71" i="7"/>
  <c r="R71" i="7"/>
  <c r="R117" i="7"/>
  <c r="V41" i="7"/>
  <c r="S41" i="7"/>
  <c r="T133" i="7"/>
  <c r="S23" i="7"/>
  <c r="T89" i="7"/>
  <c r="V89" i="7"/>
  <c r="V55" i="7"/>
  <c r="S55" i="7"/>
  <c r="U89" i="7"/>
  <c r="S134" i="7"/>
  <c r="T134" i="7"/>
  <c r="S64" i="7"/>
  <c r="R64" i="7"/>
  <c r="S43" i="7"/>
  <c r="R20" i="7"/>
  <c r="R76" i="7"/>
  <c r="V133" i="7"/>
  <c r="T161" i="7"/>
  <c r="T103" i="7"/>
  <c r="V103" i="7"/>
  <c r="U147" i="7"/>
  <c r="T55" i="7"/>
  <c r="V120" i="7"/>
  <c r="S22" i="7"/>
  <c r="U92" i="7"/>
  <c r="V62" i="7"/>
  <c r="S62" i="7"/>
  <c r="T71" i="7"/>
  <c r="T19" i="7"/>
  <c r="V19" i="7"/>
  <c r="R48" i="7"/>
  <c r="V87" i="7"/>
  <c r="S87" i="7"/>
  <c r="R87" i="7"/>
  <c r="V29" i="7"/>
  <c r="T125" i="7"/>
  <c r="V161" i="7"/>
  <c r="S161" i="7"/>
  <c r="V96" i="7"/>
  <c r="T96" i="7"/>
  <c r="R96" i="7"/>
  <c r="T48" i="7"/>
  <c r="U134" i="7"/>
  <c r="R19" i="7"/>
  <c r="R6" i="7"/>
  <c r="R41" i="7"/>
  <c r="T114" i="7"/>
  <c r="V114" i="7"/>
  <c r="S114" i="7"/>
  <c r="R114" i="7"/>
  <c r="S153" i="7"/>
  <c r="R92" i="7"/>
  <c r="T41" i="7"/>
  <c r="V57" i="7"/>
  <c r="V34" i="7"/>
  <c r="S34" i="7"/>
  <c r="S29" i="7"/>
  <c r="T64" i="7"/>
  <c r="T5" i="7"/>
  <c r="V5" i="7"/>
  <c r="U5" i="7"/>
  <c r="U76" i="7"/>
  <c r="R134" i="7"/>
  <c r="S89" i="7"/>
  <c r="U125" i="7"/>
  <c r="S103" i="7"/>
  <c r="T29" i="7"/>
  <c r="S20" i="7"/>
  <c r="S148" i="7"/>
  <c r="T148" i="7"/>
  <c r="U23" i="7"/>
  <c r="AO98" i="6"/>
  <c r="AQ98" i="6"/>
  <c r="AN84" i="6"/>
  <c r="AO84" i="6"/>
  <c r="AQ84" i="6"/>
  <c r="AR43" i="6"/>
  <c r="AP43" i="6"/>
  <c r="AR98" i="6"/>
  <c r="AN43" i="6"/>
  <c r="AR152" i="6"/>
  <c r="AQ45" i="6"/>
  <c r="AO146" i="6"/>
  <c r="AR38" i="6"/>
  <c r="AR41" i="6"/>
  <c r="AN90" i="6"/>
  <c r="AP142" i="6"/>
  <c r="AO43" i="6"/>
  <c r="AO41" i="6"/>
  <c r="AO152" i="6"/>
  <c r="AP12" i="6"/>
  <c r="AQ12" i="6"/>
  <c r="AP62" i="6"/>
  <c r="AO149" i="6"/>
  <c r="AN149" i="6"/>
  <c r="AP89" i="6"/>
  <c r="AP152" i="6"/>
  <c r="AR31" i="6"/>
  <c r="AR50" i="6"/>
  <c r="AP50" i="6"/>
  <c r="AN50" i="6"/>
  <c r="AN80" i="6"/>
  <c r="AO130" i="6"/>
  <c r="AQ144" i="6"/>
  <c r="AO144" i="6"/>
  <c r="AP144" i="6"/>
  <c r="AQ62" i="6"/>
  <c r="AR76" i="6"/>
  <c r="AN76" i="6"/>
  <c r="AO78" i="6"/>
  <c r="AQ78" i="6"/>
  <c r="AP98" i="6"/>
  <c r="AO112" i="6"/>
  <c r="AQ112" i="6"/>
  <c r="AP149" i="6"/>
  <c r="AR144" i="6"/>
  <c r="AO45" i="6"/>
  <c r="AP38" i="6"/>
  <c r="AQ43" i="6"/>
  <c r="AO26" i="6"/>
  <c r="AN26" i="6"/>
  <c r="AN142" i="6"/>
  <c r="AQ142" i="6"/>
  <c r="AO142" i="6"/>
  <c r="AN62" i="6"/>
  <c r="AR62" i="6"/>
  <c r="AR112" i="6"/>
  <c r="AQ90" i="6"/>
  <c r="AO90" i="6"/>
  <c r="AR64" i="6"/>
  <c r="AP64" i="6"/>
  <c r="AN64" i="6"/>
  <c r="AP41" i="6"/>
  <c r="AR146" i="6"/>
  <c r="AQ26" i="6"/>
  <c r="AN112" i="6"/>
  <c r="AN98" i="6"/>
  <c r="AO12" i="6"/>
  <c r="AN12" i="6"/>
  <c r="AR84" i="6"/>
  <c r="AP84" i="6"/>
  <c r="AQ82" i="6"/>
  <c r="AN82" i="6"/>
  <c r="AO64" i="6"/>
  <c r="AR45" i="6"/>
  <c r="AN92" i="6"/>
  <c r="AO92" i="6"/>
  <c r="AR10" i="6"/>
  <c r="AO10" i="6"/>
  <c r="AP10" i="6"/>
  <c r="AN108" i="6"/>
  <c r="AO108" i="6"/>
  <c r="AP78" i="6"/>
  <c r="AP2" i="5"/>
  <c r="AO2" i="5"/>
  <c r="AR2" i="5"/>
  <c r="AQ2" i="5"/>
  <c r="AN2" i="5"/>
  <c r="T81" i="7" l="1"/>
  <c r="U81" i="7"/>
  <c r="V81" i="7"/>
  <c r="S81" i="7"/>
  <c r="T131" i="7"/>
  <c r="U131" i="7"/>
  <c r="S131" i="7"/>
  <c r="R131" i="7"/>
  <c r="R106" i="7"/>
  <c r="V25" i="7"/>
  <c r="T25" i="7"/>
  <c r="U25" i="7"/>
  <c r="S25" i="7"/>
  <c r="V116" i="7"/>
  <c r="S116" i="7"/>
  <c r="U116" i="7"/>
  <c r="R116" i="7"/>
  <c r="T116" i="7"/>
  <c r="V21" i="7"/>
  <c r="T21" i="7"/>
  <c r="S21" i="7"/>
  <c r="U21" i="7"/>
  <c r="R21" i="7"/>
  <c r="T46" i="7"/>
  <c r="U46" i="7"/>
  <c r="V46" i="7"/>
  <c r="R46" i="7"/>
  <c r="S143" i="7"/>
  <c r="U143" i="7"/>
  <c r="V143" i="7"/>
  <c r="R143" i="7"/>
  <c r="S137" i="7"/>
  <c r="R2" i="7"/>
  <c r="S2" i="7"/>
  <c r="R67" i="7"/>
  <c r="V67" i="7"/>
  <c r="S67" i="7"/>
  <c r="T67" i="7"/>
  <c r="V106" i="7"/>
  <c r="U2" i="7"/>
  <c r="T151" i="7"/>
  <c r="S151" i="7"/>
  <c r="T143" i="7"/>
  <c r="T2" i="7"/>
  <c r="T94" i="7"/>
  <c r="V94" i="7"/>
  <c r="S94" i="7"/>
  <c r="T137" i="7"/>
  <c r="V3" i="7"/>
  <c r="S3" i="7"/>
  <c r="T3" i="7"/>
  <c r="U3" i="7"/>
  <c r="R3" i="7"/>
  <c r="R25" i="7"/>
  <c r="U94" i="7"/>
  <c r="U106" i="7"/>
  <c r="R81" i="7"/>
  <c r="S8" i="7"/>
  <c r="V8" i="7"/>
  <c r="U8" i="7"/>
  <c r="T8" i="7"/>
  <c r="R74" i="7"/>
  <c r="S74" i="7"/>
  <c r="T74" i="7"/>
  <c r="R151" i="7"/>
  <c r="T106" i="7"/>
</calcChain>
</file>

<file path=xl/sharedStrings.xml><?xml version="1.0" encoding="utf-8"?>
<sst xmlns="http://schemas.openxmlformats.org/spreadsheetml/2006/main" count="4470" uniqueCount="198">
  <si>
    <t>Project</t>
  </si>
  <si>
    <t>Scenario</t>
  </si>
  <si>
    <t>Dollar_year</t>
  </si>
  <si>
    <t>Weather_year</t>
  </si>
  <si>
    <t>Start_day</t>
  </si>
  <si>
    <t>country</t>
  </si>
  <si>
    <t>Cambium_2022</t>
  </si>
  <si>
    <t>MidCase</t>
  </si>
  <si>
    <t>2021$</t>
  </si>
  <si>
    <t>Sunday</t>
  </si>
  <si>
    <t>usa</t>
  </si>
  <si>
    <t>Metric definitions and scenario descriptions: 2022 Cambium Documentation (https://www.nrel.gov/docs/fy23osti/84916.pdf)</t>
  </si>
  <si>
    <t>Geography</t>
  </si>
  <si>
    <t>Time</t>
  </si>
  <si>
    <t>Load</t>
  </si>
  <si>
    <t>Transmission</t>
  </si>
  <si>
    <t>Operational</t>
  </si>
  <si>
    <t>Clean Energy Fraction</t>
  </si>
  <si>
    <t>Emissions</t>
  </si>
  <si>
    <t>Busbar costs</t>
  </si>
  <si>
    <t>End use cost</t>
  </si>
  <si>
    <t>Generation</t>
  </si>
  <si>
    <t>Capacity</t>
  </si>
  <si>
    <t>Energy Capacity</t>
  </si>
  <si>
    <t>Policy</t>
  </si>
  <si>
    <t>unitless</t>
  </si>
  <si>
    <t>MWh</t>
  </si>
  <si>
    <t>MWh/MWh</t>
  </si>
  <si>
    <t>MW/MW</t>
  </si>
  <si>
    <t>$/MW</t>
  </si>
  <si>
    <t>MW</t>
  </si>
  <si>
    <t>fraction</t>
  </si>
  <si>
    <t>kg/MWh</t>
  </si>
  <si>
    <t>g/MWh</t>
  </si>
  <si>
    <t>metric tons</t>
  </si>
  <si>
    <t>$/MWh</t>
  </si>
  <si>
    <t>$/ton</t>
  </si>
  <si>
    <t>gea</t>
  </si>
  <si>
    <t>t</t>
  </si>
  <si>
    <t>busbar_load_for_enduse</t>
  </si>
  <si>
    <t>battery_charging</t>
  </si>
  <si>
    <t>phs_charging</t>
  </si>
  <si>
    <t>trans_losses</t>
  </si>
  <si>
    <t>busbar_load</t>
  </si>
  <si>
    <t>enduse_load</t>
  </si>
  <si>
    <t>net_load_busbar</t>
  </si>
  <si>
    <t>imports</t>
  </si>
  <si>
    <t>exports</t>
  </si>
  <si>
    <t>distloss_rate_avg</t>
  </si>
  <si>
    <t>distloss_rate_marg</t>
  </si>
  <si>
    <t>prm</t>
  </si>
  <si>
    <t>capacity_shadow_price</t>
  </si>
  <si>
    <t>planning_capacity_MW</t>
  </si>
  <si>
    <t>cef_gen</t>
  </si>
  <si>
    <t>cef_load</t>
  </si>
  <si>
    <t>aer_gen_co2_c</t>
  </si>
  <si>
    <t>aer_gen_ch4_c</t>
  </si>
  <si>
    <t>aer_gen_n2o_c</t>
  </si>
  <si>
    <t>aer_gen_co2_p</t>
  </si>
  <si>
    <t>aer_gen_ch4_p</t>
  </si>
  <si>
    <t>aer_gen_n2o_p</t>
  </si>
  <si>
    <t>aer_gen_co2e_c</t>
  </si>
  <si>
    <t>aer_gen_co2e_p</t>
  </si>
  <si>
    <t>aer_gen_co2e</t>
  </si>
  <si>
    <t>aer_load_co2_c</t>
  </si>
  <si>
    <t>aer_load_ch4_c</t>
  </si>
  <si>
    <t>aer_load_n2o_c</t>
  </si>
  <si>
    <t>aer_load_co2_p</t>
  </si>
  <si>
    <t>aer_load_ch4_p</t>
  </si>
  <si>
    <t>aer_load_n2o_p</t>
  </si>
  <si>
    <t>aer_load_co2e_c</t>
  </si>
  <si>
    <t>aer_load_co2e_p</t>
  </si>
  <si>
    <t>aer_load_co2e</t>
  </si>
  <si>
    <t>lrmer_co2_c</t>
  </si>
  <si>
    <t>lrmer_ch4_c</t>
  </si>
  <si>
    <t>lrmer_n2o_c</t>
  </si>
  <si>
    <t>lrmer_co2_p</t>
  </si>
  <si>
    <t>lrmer_ch4_p</t>
  </si>
  <si>
    <t>lrmer_n2o_p</t>
  </si>
  <si>
    <t>lrmer_co2e_c</t>
  </si>
  <si>
    <t>lrmer_co2e_p</t>
  </si>
  <si>
    <t>lrmer_co2e</t>
  </si>
  <si>
    <t>srmer_co2_c</t>
  </si>
  <si>
    <t>srmer_ch4_c</t>
  </si>
  <si>
    <t>srmer_n2o_c</t>
  </si>
  <si>
    <t>srmer_co2_p</t>
  </si>
  <si>
    <t>srmer_ch4_p</t>
  </si>
  <si>
    <t>srmer_n2o_p</t>
  </si>
  <si>
    <t>srmer_co2e_c</t>
  </si>
  <si>
    <t>srmer_co2e_p</t>
  </si>
  <si>
    <t>srmer_co2e</t>
  </si>
  <si>
    <t>total_gen_co2_c</t>
  </si>
  <si>
    <t>total_gen_ch4_c</t>
  </si>
  <si>
    <t>total_gen_n2o_c</t>
  </si>
  <si>
    <t>total_gen_co2_p</t>
  </si>
  <si>
    <t>total_gen_ch4_p</t>
  </si>
  <si>
    <t>total_gen_n2o_p</t>
  </si>
  <si>
    <t>total_gen_co2e_c</t>
  </si>
  <si>
    <t>total_gen_co2e_p</t>
  </si>
  <si>
    <t>total_gen_co2e</t>
  </si>
  <si>
    <t>co2_captured_ccs</t>
  </si>
  <si>
    <t>energy_cost_busbar</t>
  </si>
  <si>
    <t>capacity_cost_busbar</t>
  </si>
  <si>
    <t>portfolio_cost_busbar</t>
  </si>
  <si>
    <t>total_cost_busbar</t>
  </si>
  <si>
    <t>energy_cost_enduse</t>
  </si>
  <si>
    <t>capacity_cost_enduse</t>
  </si>
  <si>
    <t>portfolio_cost_enduse</t>
  </si>
  <si>
    <t>total_cost_enduse</t>
  </si>
  <si>
    <t>generation</t>
  </si>
  <si>
    <t>variable_generation</t>
  </si>
  <si>
    <t>battery_MWh</t>
  </si>
  <si>
    <t>biomass_MWh</t>
  </si>
  <si>
    <t>beccs_MWh</t>
  </si>
  <si>
    <t>canada_MWh</t>
  </si>
  <si>
    <t>coal_MWh</t>
  </si>
  <si>
    <t>coal-ccs_MWh</t>
  </si>
  <si>
    <t>csp_MWh</t>
  </si>
  <si>
    <t>distpv_MWh</t>
  </si>
  <si>
    <t>gas-cc_MWh</t>
  </si>
  <si>
    <t>gas-cc-ccs_MWh</t>
  </si>
  <si>
    <t>gas-ct_MWh</t>
  </si>
  <si>
    <t>geothermal_MWh</t>
  </si>
  <si>
    <t>hydro_MWh</t>
  </si>
  <si>
    <t>nuclear_MWh</t>
  </si>
  <si>
    <t>o-g-s_MWh</t>
  </si>
  <si>
    <t>phs_MWh</t>
  </si>
  <si>
    <t>re-ct_MWh</t>
  </si>
  <si>
    <t>upv_MWh</t>
  </si>
  <si>
    <t>wind-ons_MWh</t>
  </si>
  <si>
    <t>wind-ofs_MWh</t>
  </si>
  <si>
    <t>battery_MW</t>
  </si>
  <si>
    <t>biomass_MW</t>
  </si>
  <si>
    <t>beccs_MW</t>
  </si>
  <si>
    <t>coal_MW</t>
  </si>
  <si>
    <t>coal-ccs_MW</t>
  </si>
  <si>
    <t>csp_MW</t>
  </si>
  <si>
    <t>distpv_MW</t>
  </si>
  <si>
    <t>gas-cc_MW</t>
  </si>
  <si>
    <t>gas-cc-ccs_MW</t>
  </si>
  <si>
    <t>gas-ct_MW</t>
  </si>
  <si>
    <t>geothermal_MW</t>
  </si>
  <si>
    <t>hydro_MW</t>
  </si>
  <si>
    <t>nuclear_MW</t>
  </si>
  <si>
    <t>o-g-s_MW</t>
  </si>
  <si>
    <t>phs_MW</t>
  </si>
  <si>
    <t>re-ct_MW</t>
  </si>
  <si>
    <t>upv_MW</t>
  </si>
  <si>
    <t>wind-ofs_MW</t>
  </si>
  <si>
    <t>wind-ons_MW</t>
  </si>
  <si>
    <t>battery_energy_cap_MWh</t>
  </si>
  <si>
    <t>phs_energy_cap_MWh</t>
  </si>
  <si>
    <t>csp_energy_cap_MWh</t>
  </si>
  <si>
    <t>co2_shadow_price</t>
  </si>
  <si>
    <t>AZNMc</t>
  </si>
  <si>
    <t>CAMXc</t>
  </si>
  <si>
    <t>ERCTc</t>
  </si>
  <si>
    <t>FRCCc</t>
  </si>
  <si>
    <t>MROEc</t>
  </si>
  <si>
    <t>MROWc</t>
  </si>
  <si>
    <t>NEWEc</t>
  </si>
  <si>
    <t>NWPPc</t>
  </si>
  <si>
    <t>NYSTc</t>
  </si>
  <si>
    <t>RFCEc</t>
  </si>
  <si>
    <t>RFCMc</t>
  </si>
  <si>
    <t>RFCWc</t>
  </si>
  <si>
    <t>RMPAc</t>
  </si>
  <si>
    <t>SPNOc</t>
  </si>
  <si>
    <t>SPSOc</t>
  </si>
  <si>
    <t>SRMVc</t>
  </si>
  <si>
    <t>SRMWc</t>
  </si>
  <si>
    <t>SRSOc</t>
  </si>
  <si>
    <t>SRTVc</t>
  </si>
  <si>
    <t>SRVCc</t>
  </si>
  <si>
    <t>gea_region</t>
  </si>
  <si>
    <t>year</t>
  </si>
  <si>
    <t>dataset</t>
  </si>
  <si>
    <t>scenario</t>
  </si>
  <si>
    <t>Electrification</t>
  </si>
  <si>
    <t>Delta_Joseph</t>
  </si>
  <si>
    <t>total_generation</t>
  </si>
  <si>
    <t>canada_generation</t>
  </si>
  <si>
    <t>biomass</t>
  </si>
  <si>
    <t>total_generation_adjusted</t>
  </si>
  <si>
    <t>total_coal</t>
  </si>
  <si>
    <t>total_natural_gas</t>
  </si>
  <si>
    <t>total_oil</t>
  </si>
  <si>
    <t>total_nuclear</t>
  </si>
  <si>
    <t>total_renewable</t>
  </si>
  <si>
    <t>fraction_coal</t>
  </si>
  <si>
    <t>fraction_natural_gas</t>
  </si>
  <si>
    <t>fraction_oil</t>
  </si>
  <si>
    <t>fraction_nuclear</t>
  </si>
  <si>
    <t>fraction_renewable</t>
  </si>
  <si>
    <t>lrmer_co2e_kg_per_MWh</t>
  </si>
  <si>
    <t>srmer_co2e_kg_per_MWh</t>
  </si>
  <si>
    <t>aer_co2e_kg_per_MWh</t>
  </si>
  <si>
    <t>data_source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</si>
</sst>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 applyAlignment="1">
      <alignment wrapText="1"/>
    </xf>
    <xf numFmtId="0" fontId="16" fillId="33" borderId="0" xfId="0" applyFont="1" applyFill="1" applyAlignment="1">
      <alignment wrapText="1"/>
    </xf>
    <xf numFmtId="164" fontId="0" fillId="33" borderId="0" xfId="0" applyNumberFormat="1" applyFill="1"/>
    <xf numFmtId="0" fontId="0" fillId="0" borderId="0" xfId="0" applyAlignment="1">
      <alignment wrapText="1"/>
    </xf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49" fontId="16" fillId="0" borderId="0" xfId="0" applyNumberFormat="1" applyFont="1" applyAlignment="1">
      <alignment wrapText="1"/>
    </xf>
    <xf numFmtId="49" fontId="16" fillId="33" borderId="0" xfId="0" applyNumberFormat="1" applyFont="1" applyFill="1" applyAlignment="1">
      <alignment wrapText="1"/>
    </xf>
    <xf numFmtId="164" fontId="0" fillId="33" borderId="0" xfId="1" applyNumberFormat="1" applyFont="1" applyFill="1"/>
    <xf numFmtId="165" fontId="0" fillId="33" borderId="0" xfId="1" applyNumberFormat="1" applyFont="1" applyFill="1"/>
    <xf numFmtId="0" fontId="16" fillId="0" borderId="0" xfId="0" applyFont="1"/>
    <xf numFmtId="49" fontId="16" fillId="0" borderId="0" xfId="0" applyNumberFormat="1" applyFont="1"/>
    <xf numFmtId="0" fontId="16" fillId="33" borderId="0" xfId="0" applyFont="1" applyFill="1"/>
    <xf numFmtId="2" fontId="0" fillId="33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4128\Research\cmu-tare-model\projections\cambium23_allScenarios_annual_balancingArea_GENERATION.xlsx" TargetMode="External"/><Relationship Id="rId1" Type="http://schemas.openxmlformats.org/officeDocument/2006/relationships/externalLinkPath" Target="cambium23_allScenarios_annual_balancingArea_GENE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bium23_allScenarios_annual_b"/>
      <sheetName val="generation_fraction_allScenario"/>
      <sheetName val="Sheet2"/>
    </sheetNames>
    <sheetDataSet>
      <sheetData sheetId="0">
        <row r="5640">
          <cell r="CF5640">
            <v>0</v>
          </cell>
          <cell r="CL5640">
            <v>840195.1</v>
          </cell>
          <cell r="CM5640">
            <v>0</v>
          </cell>
          <cell r="CQ5640">
            <v>0</v>
          </cell>
          <cell r="CR5640">
            <v>0</v>
          </cell>
          <cell r="CU5640">
            <v>32761.599999999999</v>
          </cell>
          <cell r="CV5640">
            <v>6687255.5</v>
          </cell>
          <cell r="CW5640">
            <v>0</v>
          </cell>
          <cell r="CX5640">
            <v>0</v>
          </cell>
          <cell r="CY5640">
            <v>9.9</v>
          </cell>
        </row>
        <row r="5641">
          <cell r="CF5641">
            <v>0</v>
          </cell>
          <cell r="CL5641">
            <v>31234852</v>
          </cell>
          <cell r="CM5641">
            <v>0</v>
          </cell>
          <cell r="CQ5641">
            <v>0</v>
          </cell>
          <cell r="CR5641">
            <v>236582.6</v>
          </cell>
          <cell r="CU5641">
            <v>58965850</v>
          </cell>
          <cell r="CV5641">
            <v>11806426</v>
          </cell>
          <cell r="CW5641">
            <v>0</v>
          </cell>
          <cell r="CX5641">
            <v>5145.1000000000004</v>
          </cell>
          <cell r="CY5641">
            <v>300.7</v>
          </cell>
        </row>
        <row r="5642">
          <cell r="CF5642">
            <v>0</v>
          </cell>
          <cell r="CL5642">
            <v>26476512</v>
          </cell>
          <cell r="CM5642">
            <v>0</v>
          </cell>
          <cell r="CQ5642">
            <v>0</v>
          </cell>
          <cell r="CR5642">
            <v>54766.9</v>
          </cell>
          <cell r="CU5642">
            <v>59255276</v>
          </cell>
          <cell r="CV5642">
            <v>11866192</v>
          </cell>
          <cell r="CW5642">
            <v>0</v>
          </cell>
          <cell r="CX5642">
            <v>5144.1000000000004</v>
          </cell>
          <cell r="CY5642">
            <v>289.2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568-0CB0-4024-AA73-6513B93EB56C}">
  <dimension ref="A1:E161"/>
  <sheetViews>
    <sheetView tabSelected="1" workbookViewId="0">
      <selection activeCell="G12" sqref="G12"/>
    </sheetView>
  </sheetViews>
  <sheetFormatPr defaultColWidth="15.77734375" defaultRowHeight="14.4" x14ac:dyDescent="0.3"/>
  <cols>
    <col min="5" max="5" width="19.88671875" customWidth="1"/>
  </cols>
  <sheetData>
    <row r="1" spans="1:5" x14ac:dyDescent="0.3">
      <c r="A1" s="13" t="s">
        <v>197</v>
      </c>
      <c r="B1" s="13" t="s">
        <v>177</v>
      </c>
      <c r="C1" s="8" t="s">
        <v>174</v>
      </c>
      <c r="D1" s="8" t="s">
        <v>175</v>
      </c>
      <c r="E1" s="8" t="s">
        <v>115</v>
      </c>
    </row>
    <row r="2" spans="1:5" x14ac:dyDescent="0.3">
      <c r="A2" t="s">
        <v>6</v>
      </c>
      <c r="B2" t="s">
        <v>7</v>
      </c>
      <c r="C2" t="str">
        <f>Cambium22_MidCase_annual_gea!A7</f>
        <v>AZNMc</v>
      </c>
      <c r="D2" s="7">
        <f>Cambium22_MidCase_annual_gea!B7</f>
        <v>2024</v>
      </c>
      <c r="E2" s="7">
        <f>Cambium22_MidCase_annual_gea!CA7</f>
        <v>22849070</v>
      </c>
    </row>
    <row r="3" spans="1:5" x14ac:dyDescent="0.3">
      <c r="A3" t="s">
        <v>6</v>
      </c>
      <c r="B3" t="s">
        <v>7</v>
      </c>
      <c r="C3" t="str">
        <f>Cambium22_MidCase_annual_gea!A8</f>
        <v>AZNMc</v>
      </c>
      <c r="D3" s="7">
        <f>Cambium22_MidCase_annual_gea!B8</f>
        <v>2026</v>
      </c>
      <c r="E3" s="7">
        <f>Cambium22_MidCase_annual_gea!CA8</f>
        <v>21009922</v>
      </c>
    </row>
    <row r="4" spans="1:5" x14ac:dyDescent="0.3">
      <c r="A4" t="s">
        <v>6</v>
      </c>
      <c r="B4" t="s">
        <v>7</v>
      </c>
      <c r="C4" t="str">
        <f>Cambium22_MidCase_annual_gea!A9</f>
        <v>AZNMc</v>
      </c>
      <c r="D4" s="7">
        <f>Cambium22_MidCase_annual_gea!B9</f>
        <v>2028</v>
      </c>
      <c r="E4" s="7">
        <f>Cambium22_MidCase_annual_gea!CA9</f>
        <v>14483350</v>
      </c>
    </row>
    <row r="5" spans="1:5" x14ac:dyDescent="0.3">
      <c r="A5" t="s">
        <v>6</v>
      </c>
      <c r="B5" t="s">
        <v>7</v>
      </c>
      <c r="C5" t="str">
        <f>Cambium22_MidCase_annual_gea!A10</f>
        <v>AZNMc</v>
      </c>
      <c r="D5" s="7">
        <f>Cambium22_MidCase_annual_gea!B10</f>
        <v>2030</v>
      </c>
      <c r="E5" s="7">
        <f>Cambium22_MidCase_annual_gea!CA10</f>
        <v>13433882</v>
      </c>
    </row>
    <row r="6" spans="1:5" x14ac:dyDescent="0.3">
      <c r="A6" t="s">
        <v>6</v>
      </c>
      <c r="B6" t="s">
        <v>7</v>
      </c>
      <c r="C6" t="str">
        <f>Cambium22_MidCase_annual_gea!A11</f>
        <v>AZNMc</v>
      </c>
      <c r="D6" s="7">
        <f>Cambium22_MidCase_annual_gea!B11</f>
        <v>2035</v>
      </c>
      <c r="E6" s="7">
        <f>Cambium22_MidCase_annual_gea!CA11</f>
        <v>8231337.5</v>
      </c>
    </row>
    <row r="7" spans="1:5" x14ac:dyDescent="0.3">
      <c r="A7" t="s">
        <v>6</v>
      </c>
      <c r="B7" t="s">
        <v>7</v>
      </c>
      <c r="C7" t="str">
        <f>Cambium22_MidCase_annual_gea!A12</f>
        <v>AZNMc</v>
      </c>
      <c r="D7" s="7">
        <f>Cambium22_MidCase_annual_gea!B12</f>
        <v>2040</v>
      </c>
      <c r="E7" s="7">
        <f>Cambium22_MidCase_annual_gea!CA12</f>
        <v>6037824</v>
      </c>
    </row>
    <row r="8" spans="1:5" x14ac:dyDescent="0.3">
      <c r="A8" t="s">
        <v>6</v>
      </c>
      <c r="B8" t="s">
        <v>7</v>
      </c>
      <c r="C8" t="str">
        <f>Cambium22_MidCase_annual_gea!A13</f>
        <v>AZNMc</v>
      </c>
      <c r="D8" s="7">
        <f>Cambium22_MidCase_annual_gea!B13</f>
        <v>2045</v>
      </c>
      <c r="E8" s="7">
        <f>Cambium22_MidCase_annual_gea!CA13</f>
        <v>5122842.5</v>
      </c>
    </row>
    <row r="9" spans="1:5" x14ac:dyDescent="0.3">
      <c r="A9" t="s">
        <v>6</v>
      </c>
      <c r="B9" t="s">
        <v>7</v>
      </c>
      <c r="C9" t="str">
        <f>Cambium22_MidCase_annual_gea!A14</f>
        <v>AZNMc</v>
      </c>
      <c r="D9" s="7">
        <f>Cambium22_MidCase_annual_gea!B14</f>
        <v>2050</v>
      </c>
      <c r="E9" s="7">
        <f>Cambium22_MidCase_annual_gea!CA14</f>
        <v>5555184</v>
      </c>
    </row>
    <row r="10" spans="1:5" x14ac:dyDescent="0.3">
      <c r="A10" t="s">
        <v>6</v>
      </c>
      <c r="B10" t="s">
        <v>7</v>
      </c>
      <c r="C10" t="str">
        <f>Cambium22_MidCase_annual_gea!A15</f>
        <v>CAMXc</v>
      </c>
      <c r="D10" s="7">
        <f>Cambium22_MidCase_annual_gea!B15</f>
        <v>2024</v>
      </c>
      <c r="E10" s="7">
        <f>Cambium22_MidCase_annual_gea!CA15</f>
        <v>0</v>
      </c>
    </row>
    <row r="11" spans="1:5" x14ac:dyDescent="0.3">
      <c r="A11" t="s">
        <v>6</v>
      </c>
      <c r="B11" t="s">
        <v>7</v>
      </c>
      <c r="C11" t="str">
        <f>Cambium22_MidCase_annual_gea!A16</f>
        <v>CAMXc</v>
      </c>
      <c r="D11" s="7">
        <f>Cambium22_MidCase_annual_gea!B16</f>
        <v>2026</v>
      </c>
      <c r="E11" s="7">
        <f>Cambium22_MidCase_annual_gea!CA16</f>
        <v>0</v>
      </c>
    </row>
    <row r="12" spans="1:5" x14ac:dyDescent="0.3">
      <c r="A12" t="s">
        <v>6</v>
      </c>
      <c r="B12" t="s">
        <v>7</v>
      </c>
      <c r="C12" t="str">
        <f>Cambium22_MidCase_annual_gea!A17</f>
        <v>CAMXc</v>
      </c>
      <c r="D12" s="7">
        <f>Cambium22_MidCase_annual_gea!B17</f>
        <v>2028</v>
      </c>
      <c r="E12" s="7">
        <f>Cambium22_MidCase_annual_gea!CA17</f>
        <v>0</v>
      </c>
    </row>
    <row r="13" spans="1:5" x14ac:dyDescent="0.3">
      <c r="A13" t="s">
        <v>6</v>
      </c>
      <c r="B13" t="s">
        <v>7</v>
      </c>
      <c r="C13" t="str">
        <f>Cambium22_MidCase_annual_gea!A18</f>
        <v>CAMXc</v>
      </c>
      <c r="D13" s="7">
        <f>Cambium22_MidCase_annual_gea!B18</f>
        <v>2030</v>
      </c>
      <c r="E13" s="7">
        <f>Cambium22_MidCase_annual_gea!CA18</f>
        <v>0</v>
      </c>
    </row>
    <row r="14" spans="1:5" x14ac:dyDescent="0.3">
      <c r="A14" t="s">
        <v>6</v>
      </c>
      <c r="B14" t="s">
        <v>7</v>
      </c>
      <c r="C14" t="str">
        <f>Cambium22_MidCase_annual_gea!A19</f>
        <v>CAMXc</v>
      </c>
      <c r="D14" s="7">
        <f>Cambium22_MidCase_annual_gea!B19</f>
        <v>2035</v>
      </c>
      <c r="E14" s="7">
        <f>Cambium22_MidCase_annual_gea!CA19</f>
        <v>0</v>
      </c>
    </row>
    <row r="15" spans="1:5" x14ac:dyDescent="0.3">
      <c r="A15" t="s">
        <v>6</v>
      </c>
      <c r="B15" t="s">
        <v>7</v>
      </c>
      <c r="C15" t="str">
        <f>Cambium22_MidCase_annual_gea!A20</f>
        <v>CAMXc</v>
      </c>
      <c r="D15" s="7">
        <f>Cambium22_MidCase_annual_gea!B20</f>
        <v>2040</v>
      </c>
      <c r="E15" s="7">
        <f>Cambium22_MidCase_annual_gea!CA20</f>
        <v>0</v>
      </c>
    </row>
    <row r="16" spans="1:5" x14ac:dyDescent="0.3">
      <c r="A16" t="s">
        <v>6</v>
      </c>
      <c r="B16" t="s">
        <v>7</v>
      </c>
      <c r="C16" t="str">
        <f>Cambium22_MidCase_annual_gea!A21</f>
        <v>CAMXc</v>
      </c>
      <c r="D16" s="7">
        <f>Cambium22_MidCase_annual_gea!B21</f>
        <v>2045</v>
      </c>
      <c r="E16" s="7">
        <f>Cambium22_MidCase_annual_gea!CA21</f>
        <v>0</v>
      </c>
    </row>
    <row r="17" spans="1:5" x14ac:dyDescent="0.3">
      <c r="A17" t="s">
        <v>6</v>
      </c>
      <c r="B17" t="s">
        <v>7</v>
      </c>
      <c r="C17" t="str">
        <f>Cambium22_MidCase_annual_gea!A22</f>
        <v>CAMXc</v>
      </c>
      <c r="D17" s="7">
        <f>Cambium22_MidCase_annual_gea!B22</f>
        <v>2050</v>
      </c>
      <c r="E17" s="7">
        <f>Cambium22_MidCase_annual_gea!CA22</f>
        <v>0</v>
      </c>
    </row>
    <row r="18" spans="1:5" x14ac:dyDescent="0.3">
      <c r="A18" t="s">
        <v>6</v>
      </c>
      <c r="B18" t="s">
        <v>7</v>
      </c>
      <c r="C18" t="str">
        <f>Cambium22_MidCase_annual_gea!A23</f>
        <v>ERCTc</v>
      </c>
      <c r="D18" s="7">
        <f>Cambium22_MidCase_annual_gea!B23</f>
        <v>2024</v>
      </c>
      <c r="E18" s="7">
        <f>Cambium22_MidCase_annual_gea!CA23</f>
        <v>39003504</v>
      </c>
    </row>
    <row r="19" spans="1:5" x14ac:dyDescent="0.3">
      <c r="A19" t="s">
        <v>6</v>
      </c>
      <c r="B19" t="s">
        <v>7</v>
      </c>
      <c r="C19" t="str">
        <f>Cambium22_MidCase_annual_gea!A24</f>
        <v>ERCTc</v>
      </c>
      <c r="D19" s="7">
        <f>Cambium22_MidCase_annual_gea!B24</f>
        <v>2026</v>
      </c>
      <c r="E19" s="7">
        <f>Cambium22_MidCase_annual_gea!CA24</f>
        <v>23904080</v>
      </c>
    </row>
    <row r="20" spans="1:5" x14ac:dyDescent="0.3">
      <c r="A20" t="s">
        <v>6</v>
      </c>
      <c r="B20" t="s">
        <v>7</v>
      </c>
      <c r="C20" t="str">
        <f>Cambium22_MidCase_annual_gea!A25</f>
        <v>ERCTc</v>
      </c>
      <c r="D20" s="7">
        <f>Cambium22_MidCase_annual_gea!B25</f>
        <v>2028</v>
      </c>
      <c r="E20" s="7">
        <f>Cambium22_MidCase_annual_gea!CA25</f>
        <v>10449178</v>
      </c>
    </row>
    <row r="21" spans="1:5" x14ac:dyDescent="0.3">
      <c r="A21" t="s">
        <v>6</v>
      </c>
      <c r="B21" t="s">
        <v>7</v>
      </c>
      <c r="C21" t="str">
        <f>Cambium22_MidCase_annual_gea!A26</f>
        <v>ERCTc</v>
      </c>
      <c r="D21" s="7">
        <f>Cambium22_MidCase_annual_gea!B26</f>
        <v>2030</v>
      </c>
      <c r="E21" s="7">
        <f>Cambium22_MidCase_annual_gea!CA26</f>
        <v>8955824</v>
      </c>
    </row>
    <row r="22" spans="1:5" x14ac:dyDescent="0.3">
      <c r="A22" t="s">
        <v>6</v>
      </c>
      <c r="B22" t="s">
        <v>7</v>
      </c>
      <c r="C22" t="str">
        <f>Cambium22_MidCase_annual_gea!A27</f>
        <v>ERCTc</v>
      </c>
      <c r="D22" s="7">
        <f>Cambium22_MidCase_annual_gea!B27</f>
        <v>2035</v>
      </c>
      <c r="E22" s="7">
        <f>Cambium22_MidCase_annual_gea!CA27</f>
        <v>7533997</v>
      </c>
    </row>
    <row r="23" spans="1:5" x14ac:dyDescent="0.3">
      <c r="A23" t="s">
        <v>6</v>
      </c>
      <c r="B23" t="s">
        <v>7</v>
      </c>
      <c r="C23" t="str">
        <f>Cambium22_MidCase_annual_gea!A28</f>
        <v>ERCTc</v>
      </c>
      <c r="D23" s="7">
        <f>Cambium22_MidCase_annual_gea!B28</f>
        <v>2040</v>
      </c>
      <c r="E23" s="7">
        <f>Cambium22_MidCase_annual_gea!CA28</f>
        <v>6937382.5</v>
      </c>
    </row>
    <row r="24" spans="1:5" x14ac:dyDescent="0.3">
      <c r="A24" t="s">
        <v>6</v>
      </c>
      <c r="B24" t="s">
        <v>7</v>
      </c>
      <c r="C24" t="str">
        <f>Cambium22_MidCase_annual_gea!A29</f>
        <v>ERCTc</v>
      </c>
      <c r="D24" s="7">
        <f>Cambium22_MidCase_annual_gea!B29</f>
        <v>2045</v>
      </c>
      <c r="E24" s="7">
        <f>Cambium22_MidCase_annual_gea!CA29</f>
        <v>6006679.5</v>
      </c>
    </row>
    <row r="25" spans="1:5" x14ac:dyDescent="0.3">
      <c r="A25" t="s">
        <v>6</v>
      </c>
      <c r="B25" t="s">
        <v>7</v>
      </c>
      <c r="C25" t="str">
        <f>Cambium22_MidCase_annual_gea!A30</f>
        <v>ERCTc</v>
      </c>
      <c r="D25" s="7">
        <f>Cambium22_MidCase_annual_gea!B30</f>
        <v>2050</v>
      </c>
      <c r="E25" s="7">
        <f>Cambium22_MidCase_annual_gea!CA30</f>
        <v>6688204</v>
      </c>
    </row>
    <row r="26" spans="1:5" x14ac:dyDescent="0.3">
      <c r="A26" t="s">
        <v>6</v>
      </c>
      <c r="B26" t="s">
        <v>7</v>
      </c>
      <c r="C26" t="str">
        <f>Cambium22_MidCase_annual_gea!A31</f>
        <v>FRCCc</v>
      </c>
      <c r="D26" s="7">
        <f>Cambium22_MidCase_annual_gea!B31</f>
        <v>2024</v>
      </c>
      <c r="E26" s="7">
        <f>Cambium22_MidCase_annual_gea!CA31</f>
        <v>14605453</v>
      </c>
    </row>
    <row r="27" spans="1:5" x14ac:dyDescent="0.3">
      <c r="A27" t="s">
        <v>6</v>
      </c>
      <c r="B27" t="s">
        <v>7</v>
      </c>
      <c r="C27" t="str">
        <f>Cambium22_MidCase_annual_gea!A32</f>
        <v>FRCCc</v>
      </c>
      <c r="D27" s="7">
        <f>Cambium22_MidCase_annual_gea!B32</f>
        <v>2026</v>
      </c>
      <c r="E27" s="7">
        <f>Cambium22_MidCase_annual_gea!CA32</f>
        <v>12232729</v>
      </c>
    </row>
    <row r="28" spans="1:5" x14ac:dyDescent="0.3">
      <c r="A28" t="s">
        <v>6</v>
      </c>
      <c r="B28" t="s">
        <v>7</v>
      </c>
      <c r="C28" t="str">
        <f>Cambium22_MidCase_annual_gea!A33</f>
        <v>FRCCc</v>
      </c>
      <c r="D28" s="7">
        <f>Cambium22_MidCase_annual_gea!B33</f>
        <v>2028</v>
      </c>
      <c r="E28" s="7">
        <f>Cambium22_MidCase_annual_gea!CA33</f>
        <v>7408961.5</v>
      </c>
    </row>
    <row r="29" spans="1:5" x14ac:dyDescent="0.3">
      <c r="A29" t="s">
        <v>6</v>
      </c>
      <c r="B29" t="s">
        <v>7</v>
      </c>
      <c r="C29" t="str">
        <f>Cambium22_MidCase_annual_gea!A34</f>
        <v>FRCCc</v>
      </c>
      <c r="D29" s="7">
        <f>Cambium22_MidCase_annual_gea!B34</f>
        <v>2030</v>
      </c>
      <c r="E29" s="7">
        <f>Cambium22_MidCase_annual_gea!CA34</f>
        <v>6065688</v>
      </c>
    </row>
    <row r="30" spans="1:5" x14ac:dyDescent="0.3">
      <c r="A30" t="s">
        <v>6</v>
      </c>
      <c r="B30" t="s">
        <v>7</v>
      </c>
      <c r="C30" t="str">
        <f>Cambium22_MidCase_annual_gea!A35</f>
        <v>FRCCc</v>
      </c>
      <c r="D30" s="7">
        <f>Cambium22_MidCase_annual_gea!B35</f>
        <v>2035</v>
      </c>
      <c r="E30" s="7">
        <f>Cambium22_MidCase_annual_gea!CA35</f>
        <v>1850455.8</v>
      </c>
    </row>
    <row r="31" spans="1:5" x14ac:dyDescent="0.3">
      <c r="A31" t="s">
        <v>6</v>
      </c>
      <c r="B31" t="s">
        <v>7</v>
      </c>
      <c r="C31" t="str">
        <f>Cambium22_MidCase_annual_gea!A36</f>
        <v>FRCCc</v>
      </c>
      <c r="D31" s="7">
        <f>Cambium22_MidCase_annual_gea!B36</f>
        <v>2040</v>
      </c>
      <c r="E31" s="7">
        <f>Cambium22_MidCase_annual_gea!CA36</f>
        <v>1368786.4</v>
      </c>
    </row>
    <row r="32" spans="1:5" x14ac:dyDescent="0.3">
      <c r="A32" t="s">
        <v>6</v>
      </c>
      <c r="B32" t="s">
        <v>7</v>
      </c>
      <c r="C32" t="str">
        <f>Cambium22_MidCase_annual_gea!A37</f>
        <v>FRCCc</v>
      </c>
      <c r="D32" s="7">
        <f>Cambium22_MidCase_annual_gea!B37</f>
        <v>2045</v>
      </c>
      <c r="E32" s="7">
        <f>Cambium22_MidCase_annual_gea!CA37</f>
        <v>876720.5</v>
      </c>
    </row>
    <row r="33" spans="1:5" x14ac:dyDescent="0.3">
      <c r="A33" t="s">
        <v>6</v>
      </c>
      <c r="B33" t="s">
        <v>7</v>
      </c>
      <c r="C33" t="str">
        <f>Cambium22_MidCase_annual_gea!A38</f>
        <v>FRCCc</v>
      </c>
      <c r="D33" s="7">
        <f>Cambium22_MidCase_annual_gea!B38</f>
        <v>2050</v>
      </c>
      <c r="E33" s="7">
        <f>Cambium22_MidCase_annual_gea!CA38</f>
        <v>1245260.6000000001</v>
      </c>
    </row>
    <row r="34" spans="1:5" x14ac:dyDescent="0.3">
      <c r="A34" t="s">
        <v>6</v>
      </c>
      <c r="B34" t="s">
        <v>7</v>
      </c>
      <c r="C34" t="str">
        <f>Cambium22_MidCase_annual_gea!A39</f>
        <v>MROEc</v>
      </c>
      <c r="D34" s="7">
        <f>Cambium22_MidCase_annual_gea!B39</f>
        <v>2024</v>
      </c>
      <c r="E34" s="7">
        <f>Cambium22_MidCase_annual_gea!CA39</f>
        <v>3032180.2</v>
      </c>
    </row>
    <row r="35" spans="1:5" x14ac:dyDescent="0.3">
      <c r="A35" t="s">
        <v>6</v>
      </c>
      <c r="B35" t="s">
        <v>7</v>
      </c>
      <c r="C35" t="str">
        <f>Cambium22_MidCase_annual_gea!A40</f>
        <v>MROEc</v>
      </c>
      <c r="D35" s="7">
        <f>Cambium22_MidCase_annual_gea!B40</f>
        <v>2026</v>
      </c>
      <c r="E35" s="7">
        <f>Cambium22_MidCase_annual_gea!CA40</f>
        <v>2598254.7999999998</v>
      </c>
    </row>
    <row r="36" spans="1:5" x14ac:dyDescent="0.3">
      <c r="A36" t="s">
        <v>6</v>
      </c>
      <c r="B36" t="s">
        <v>7</v>
      </c>
      <c r="C36" t="str">
        <f>Cambium22_MidCase_annual_gea!A41</f>
        <v>MROEc</v>
      </c>
      <c r="D36" s="7">
        <f>Cambium22_MidCase_annual_gea!B41</f>
        <v>2028</v>
      </c>
      <c r="E36" s="7">
        <f>Cambium22_MidCase_annual_gea!CA41</f>
        <v>1197605.3999999999</v>
      </c>
    </row>
    <row r="37" spans="1:5" x14ac:dyDescent="0.3">
      <c r="A37" t="s">
        <v>6</v>
      </c>
      <c r="B37" t="s">
        <v>7</v>
      </c>
      <c r="C37" t="str">
        <f>Cambium22_MidCase_annual_gea!A42</f>
        <v>MROEc</v>
      </c>
      <c r="D37" s="7">
        <f>Cambium22_MidCase_annual_gea!B42</f>
        <v>2030</v>
      </c>
      <c r="E37" s="7">
        <f>Cambium22_MidCase_annual_gea!CA42</f>
        <v>925301.2</v>
      </c>
    </row>
    <row r="38" spans="1:5" x14ac:dyDescent="0.3">
      <c r="A38" t="s">
        <v>6</v>
      </c>
      <c r="B38" t="s">
        <v>7</v>
      </c>
      <c r="C38" t="str">
        <f>Cambium22_MidCase_annual_gea!A43</f>
        <v>MROEc</v>
      </c>
      <c r="D38" s="7">
        <f>Cambium22_MidCase_annual_gea!B43</f>
        <v>2035</v>
      </c>
      <c r="E38" s="7">
        <f>Cambium22_MidCase_annual_gea!CA43</f>
        <v>757514.8</v>
      </c>
    </row>
    <row r="39" spans="1:5" x14ac:dyDescent="0.3">
      <c r="A39" t="s">
        <v>6</v>
      </c>
      <c r="B39" t="s">
        <v>7</v>
      </c>
      <c r="C39" t="str">
        <f>Cambium22_MidCase_annual_gea!A44</f>
        <v>MROEc</v>
      </c>
      <c r="D39" s="7">
        <f>Cambium22_MidCase_annual_gea!B44</f>
        <v>2040</v>
      </c>
      <c r="E39" s="7">
        <f>Cambium22_MidCase_annual_gea!CA44</f>
        <v>512263.4</v>
      </c>
    </row>
    <row r="40" spans="1:5" x14ac:dyDescent="0.3">
      <c r="A40" t="s">
        <v>6</v>
      </c>
      <c r="B40" t="s">
        <v>7</v>
      </c>
      <c r="C40" t="str">
        <f>Cambium22_MidCase_annual_gea!A45</f>
        <v>MROEc</v>
      </c>
      <c r="D40" s="7">
        <f>Cambium22_MidCase_annual_gea!B45</f>
        <v>2045</v>
      </c>
      <c r="E40" s="7">
        <f>Cambium22_MidCase_annual_gea!CA45</f>
        <v>667454</v>
      </c>
    </row>
    <row r="41" spans="1:5" x14ac:dyDescent="0.3">
      <c r="A41" t="s">
        <v>6</v>
      </c>
      <c r="B41" t="s">
        <v>7</v>
      </c>
      <c r="C41" t="str">
        <f>Cambium22_MidCase_annual_gea!A46</f>
        <v>MROEc</v>
      </c>
      <c r="D41" s="7">
        <f>Cambium22_MidCase_annual_gea!B46</f>
        <v>2050</v>
      </c>
      <c r="E41" s="7">
        <f>Cambium22_MidCase_annual_gea!CA46</f>
        <v>1010865.9</v>
      </c>
    </row>
    <row r="42" spans="1:5" x14ac:dyDescent="0.3">
      <c r="A42" t="s">
        <v>6</v>
      </c>
      <c r="B42" t="s">
        <v>7</v>
      </c>
      <c r="C42" t="str">
        <f>Cambium22_MidCase_annual_gea!A47</f>
        <v>MROWc</v>
      </c>
      <c r="D42" s="7">
        <f>Cambium22_MidCase_annual_gea!B47</f>
        <v>2024</v>
      </c>
      <c r="E42" s="7">
        <f>Cambium22_MidCase_annual_gea!CA47</f>
        <v>58913292</v>
      </c>
    </row>
    <row r="43" spans="1:5" x14ac:dyDescent="0.3">
      <c r="A43" t="s">
        <v>6</v>
      </c>
      <c r="B43" t="s">
        <v>7</v>
      </c>
      <c r="C43" t="str">
        <f>Cambium22_MidCase_annual_gea!A48</f>
        <v>MROWc</v>
      </c>
      <c r="D43" s="7">
        <f>Cambium22_MidCase_annual_gea!B48</f>
        <v>2026</v>
      </c>
      <c r="E43" s="7">
        <f>Cambium22_MidCase_annual_gea!CA48</f>
        <v>40523730</v>
      </c>
    </row>
    <row r="44" spans="1:5" x14ac:dyDescent="0.3">
      <c r="A44" t="s">
        <v>6</v>
      </c>
      <c r="B44" t="s">
        <v>7</v>
      </c>
      <c r="C44" t="str">
        <f>Cambium22_MidCase_annual_gea!A49</f>
        <v>MROWc</v>
      </c>
      <c r="D44" s="7">
        <f>Cambium22_MidCase_annual_gea!B49</f>
        <v>2028</v>
      </c>
      <c r="E44" s="7">
        <f>Cambium22_MidCase_annual_gea!CA49</f>
        <v>24343110</v>
      </c>
    </row>
    <row r="45" spans="1:5" x14ac:dyDescent="0.3">
      <c r="A45" t="s">
        <v>6</v>
      </c>
      <c r="B45" t="s">
        <v>7</v>
      </c>
      <c r="C45" t="str">
        <f>Cambium22_MidCase_annual_gea!A50</f>
        <v>MROWc</v>
      </c>
      <c r="D45" s="7">
        <f>Cambium22_MidCase_annual_gea!B50</f>
        <v>2030</v>
      </c>
      <c r="E45" s="7">
        <f>Cambium22_MidCase_annual_gea!CA50</f>
        <v>17980714</v>
      </c>
    </row>
    <row r="46" spans="1:5" x14ac:dyDescent="0.3">
      <c r="A46" t="s">
        <v>6</v>
      </c>
      <c r="B46" t="s">
        <v>7</v>
      </c>
      <c r="C46" t="str">
        <f>Cambium22_MidCase_annual_gea!A51</f>
        <v>MROWc</v>
      </c>
      <c r="D46" s="7">
        <f>Cambium22_MidCase_annual_gea!B51</f>
        <v>2035</v>
      </c>
      <c r="E46" s="7">
        <f>Cambium22_MidCase_annual_gea!CA51</f>
        <v>13734346</v>
      </c>
    </row>
    <row r="47" spans="1:5" x14ac:dyDescent="0.3">
      <c r="A47" t="s">
        <v>6</v>
      </c>
      <c r="B47" t="s">
        <v>7</v>
      </c>
      <c r="C47" t="str">
        <f>Cambium22_MidCase_annual_gea!A52</f>
        <v>MROWc</v>
      </c>
      <c r="D47" s="7">
        <f>Cambium22_MidCase_annual_gea!B52</f>
        <v>2040</v>
      </c>
      <c r="E47" s="7">
        <f>Cambium22_MidCase_annual_gea!CA52</f>
        <v>9696122</v>
      </c>
    </row>
    <row r="48" spans="1:5" x14ac:dyDescent="0.3">
      <c r="A48" t="s">
        <v>6</v>
      </c>
      <c r="B48" t="s">
        <v>7</v>
      </c>
      <c r="C48" t="str">
        <f>Cambium22_MidCase_annual_gea!A53</f>
        <v>MROWc</v>
      </c>
      <c r="D48" s="7">
        <f>Cambium22_MidCase_annual_gea!B53</f>
        <v>2045</v>
      </c>
      <c r="E48" s="7">
        <f>Cambium22_MidCase_annual_gea!CA53</f>
        <v>8908457</v>
      </c>
    </row>
    <row r="49" spans="1:5" x14ac:dyDescent="0.3">
      <c r="A49" t="s">
        <v>6</v>
      </c>
      <c r="B49" t="s">
        <v>7</v>
      </c>
      <c r="C49" t="str">
        <f>Cambium22_MidCase_annual_gea!A54</f>
        <v>MROWc</v>
      </c>
      <c r="D49" s="7">
        <f>Cambium22_MidCase_annual_gea!B54</f>
        <v>2050</v>
      </c>
      <c r="E49" s="7">
        <f>Cambium22_MidCase_annual_gea!CA54</f>
        <v>7199694.5</v>
      </c>
    </row>
    <row r="50" spans="1:5" x14ac:dyDescent="0.3">
      <c r="A50" t="s">
        <v>6</v>
      </c>
      <c r="B50" t="s">
        <v>7</v>
      </c>
      <c r="C50" t="str">
        <f>Cambium22_MidCase_annual_gea!A55</f>
        <v>NEWEc</v>
      </c>
      <c r="D50" s="7">
        <f>Cambium22_MidCase_annual_gea!B55</f>
        <v>2024</v>
      </c>
      <c r="E50" s="7">
        <f>Cambium22_MidCase_annual_gea!CA55</f>
        <v>308564.2</v>
      </c>
    </row>
    <row r="51" spans="1:5" x14ac:dyDescent="0.3">
      <c r="A51" t="s">
        <v>6</v>
      </c>
      <c r="B51" t="s">
        <v>7</v>
      </c>
      <c r="C51" t="str">
        <f>Cambium22_MidCase_annual_gea!A56</f>
        <v>NEWEc</v>
      </c>
      <c r="D51" s="7">
        <f>Cambium22_MidCase_annual_gea!B56</f>
        <v>2026</v>
      </c>
      <c r="E51" s="7">
        <f>Cambium22_MidCase_annual_gea!CA56</f>
        <v>155105.4</v>
      </c>
    </row>
    <row r="52" spans="1:5" x14ac:dyDescent="0.3">
      <c r="A52" t="s">
        <v>6</v>
      </c>
      <c r="B52" t="s">
        <v>7</v>
      </c>
      <c r="C52" t="str">
        <f>Cambium22_MidCase_annual_gea!A57</f>
        <v>NEWEc</v>
      </c>
      <c r="D52" s="7">
        <f>Cambium22_MidCase_annual_gea!B57</f>
        <v>2028</v>
      </c>
      <c r="E52" s="7">
        <f>Cambium22_MidCase_annual_gea!CA57</f>
        <v>1853.7</v>
      </c>
    </row>
    <row r="53" spans="1:5" x14ac:dyDescent="0.3">
      <c r="A53" t="s">
        <v>6</v>
      </c>
      <c r="B53" t="s">
        <v>7</v>
      </c>
      <c r="C53" t="str">
        <f>Cambium22_MidCase_annual_gea!A58</f>
        <v>NEWEc</v>
      </c>
      <c r="D53" s="7">
        <f>Cambium22_MidCase_annual_gea!B58</f>
        <v>2030</v>
      </c>
      <c r="E53" s="7">
        <f>Cambium22_MidCase_annual_gea!CA58</f>
        <v>0</v>
      </c>
    </row>
    <row r="54" spans="1:5" x14ac:dyDescent="0.3">
      <c r="A54" t="s">
        <v>6</v>
      </c>
      <c r="B54" t="s">
        <v>7</v>
      </c>
      <c r="C54" t="str">
        <f>Cambium22_MidCase_annual_gea!A59</f>
        <v>NEWEc</v>
      </c>
      <c r="D54" s="7">
        <f>Cambium22_MidCase_annual_gea!B59</f>
        <v>2035</v>
      </c>
      <c r="E54" s="7">
        <f>Cambium22_MidCase_annual_gea!CA59</f>
        <v>1853.7</v>
      </c>
    </row>
    <row r="55" spans="1:5" x14ac:dyDescent="0.3">
      <c r="A55" t="s">
        <v>6</v>
      </c>
      <c r="B55" t="s">
        <v>7</v>
      </c>
      <c r="C55" t="str">
        <f>Cambium22_MidCase_annual_gea!A60</f>
        <v>NEWEc</v>
      </c>
      <c r="D55" s="7">
        <f>Cambium22_MidCase_annual_gea!B60</f>
        <v>2040</v>
      </c>
      <c r="E55" s="7">
        <f>Cambium22_MidCase_annual_gea!CA60</f>
        <v>0</v>
      </c>
    </row>
    <row r="56" spans="1:5" x14ac:dyDescent="0.3">
      <c r="A56" t="s">
        <v>6</v>
      </c>
      <c r="B56" t="s">
        <v>7</v>
      </c>
      <c r="C56" t="str">
        <f>Cambium22_MidCase_annual_gea!A61</f>
        <v>NEWEc</v>
      </c>
      <c r="D56" s="7">
        <f>Cambium22_MidCase_annual_gea!B61</f>
        <v>2045</v>
      </c>
      <c r="E56" s="7">
        <f>Cambium22_MidCase_annual_gea!CA61</f>
        <v>0</v>
      </c>
    </row>
    <row r="57" spans="1:5" x14ac:dyDescent="0.3">
      <c r="A57" t="s">
        <v>6</v>
      </c>
      <c r="B57" t="s">
        <v>7</v>
      </c>
      <c r="C57" t="str">
        <f>Cambium22_MidCase_annual_gea!A62</f>
        <v>NEWEc</v>
      </c>
      <c r="D57" s="7">
        <f>Cambium22_MidCase_annual_gea!B62</f>
        <v>2050</v>
      </c>
      <c r="E57" s="7">
        <f>Cambium22_MidCase_annual_gea!CA62</f>
        <v>0</v>
      </c>
    </row>
    <row r="58" spans="1:5" x14ac:dyDescent="0.3">
      <c r="A58" t="s">
        <v>6</v>
      </c>
      <c r="B58" t="s">
        <v>7</v>
      </c>
      <c r="C58" t="str">
        <f>Cambium22_MidCase_annual_gea!A63</f>
        <v>NWPPc</v>
      </c>
      <c r="D58" s="7">
        <f>Cambium22_MidCase_annual_gea!B63</f>
        <v>2024</v>
      </c>
      <c r="E58" s="7">
        <f>Cambium22_MidCase_annual_gea!CA63</f>
        <v>39999676</v>
      </c>
    </row>
    <row r="59" spans="1:5" x14ac:dyDescent="0.3">
      <c r="A59" t="s">
        <v>6</v>
      </c>
      <c r="B59" t="s">
        <v>7</v>
      </c>
      <c r="C59" t="str">
        <f>Cambium22_MidCase_annual_gea!A64</f>
        <v>NWPPc</v>
      </c>
      <c r="D59" s="7">
        <f>Cambium22_MidCase_annual_gea!B64</f>
        <v>2026</v>
      </c>
      <c r="E59" s="7">
        <f>Cambium22_MidCase_annual_gea!CA64</f>
        <v>29347580</v>
      </c>
    </row>
    <row r="60" spans="1:5" x14ac:dyDescent="0.3">
      <c r="A60" t="s">
        <v>6</v>
      </c>
      <c r="B60" t="s">
        <v>7</v>
      </c>
      <c r="C60" t="str">
        <f>Cambium22_MidCase_annual_gea!A65</f>
        <v>NWPPc</v>
      </c>
      <c r="D60" s="7">
        <f>Cambium22_MidCase_annual_gea!B65</f>
        <v>2028</v>
      </c>
      <c r="E60" s="7">
        <f>Cambium22_MidCase_annual_gea!CA65</f>
        <v>22426418</v>
      </c>
    </row>
    <row r="61" spans="1:5" x14ac:dyDescent="0.3">
      <c r="A61" t="s">
        <v>6</v>
      </c>
      <c r="B61" t="s">
        <v>7</v>
      </c>
      <c r="C61" t="str">
        <f>Cambium22_MidCase_annual_gea!A66</f>
        <v>NWPPc</v>
      </c>
      <c r="D61" s="7">
        <f>Cambium22_MidCase_annual_gea!B66</f>
        <v>2030</v>
      </c>
      <c r="E61" s="7">
        <f>Cambium22_MidCase_annual_gea!CA66</f>
        <v>20060306</v>
      </c>
    </row>
    <row r="62" spans="1:5" x14ac:dyDescent="0.3">
      <c r="A62" t="s">
        <v>6</v>
      </c>
      <c r="B62" t="s">
        <v>7</v>
      </c>
      <c r="C62" t="str">
        <f>Cambium22_MidCase_annual_gea!A67</f>
        <v>NWPPc</v>
      </c>
      <c r="D62" s="7">
        <f>Cambium22_MidCase_annual_gea!B67</f>
        <v>2035</v>
      </c>
      <c r="E62" s="7">
        <f>Cambium22_MidCase_annual_gea!CA67</f>
        <v>16421213</v>
      </c>
    </row>
    <row r="63" spans="1:5" x14ac:dyDescent="0.3">
      <c r="A63" t="s">
        <v>6</v>
      </c>
      <c r="B63" t="s">
        <v>7</v>
      </c>
      <c r="C63" t="str">
        <f>Cambium22_MidCase_annual_gea!A68</f>
        <v>NWPPc</v>
      </c>
      <c r="D63" s="7">
        <f>Cambium22_MidCase_annual_gea!B68</f>
        <v>2040</v>
      </c>
      <c r="E63" s="7">
        <f>Cambium22_MidCase_annual_gea!CA68</f>
        <v>13228244</v>
      </c>
    </row>
    <row r="64" spans="1:5" x14ac:dyDescent="0.3">
      <c r="A64" t="s">
        <v>6</v>
      </c>
      <c r="B64" t="s">
        <v>7</v>
      </c>
      <c r="C64" t="str">
        <f>Cambium22_MidCase_annual_gea!A69</f>
        <v>NWPPc</v>
      </c>
      <c r="D64" s="7">
        <f>Cambium22_MidCase_annual_gea!B69</f>
        <v>2045</v>
      </c>
      <c r="E64" s="7">
        <f>Cambium22_MidCase_annual_gea!CA69</f>
        <v>10247970</v>
      </c>
    </row>
    <row r="65" spans="1:5" x14ac:dyDescent="0.3">
      <c r="A65" t="s">
        <v>6</v>
      </c>
      <c r="B65" t="s">
        <v>7</v>
      </c>
      <c r="C65" t="str">
        <f>Cambium22_MidCase_annual_gea!A70</f>
        <v>NWPPc</v>
      </c>
      <c r="D65" s="7">
        <f>Cambium22_MidCase_annual_gea!B70</f>
        <v>2050</v>
      </c>
      <c r="E65" s="7">
        <f>Cambium22_MidCase_annual_gea!CA70</f>
        <v>8156198.5</v>
      </c>
    </row>
    <row r="66" spans="1:5" x14ac:dyDescent="0.3">
      <c r="A66" t="s">
        <v>6</v>
      </c>
      <c r="B66" t="s">
        <v>7</v>
      </c>
      <c r="C66" t="str">
        <f>Cambium22_MidCase_annual_gea!A71</f>
        <v>NYSTc</v>
      </c>
      <c r="D66" s="7">
        <f>Cambium22_MidCase_annual_gea!B71</f>
        <v>2024</v>
      </c>
      <c r="E66" s="7">
        <f>Cambium22_MidCase_annual_gea!CA71</f>
        <v>1649607.2</v>
      </c>
    </row>
    <row r="67" spans="1:5" x14ac:dyDescent="0.3">
      <c r="A67" t="s">
        <v>6</v>
      </c>
      <c r="B67" t="s">
        <v>7</v>
      </c>
      <c r="C67" t="str">
        <f>Cambium22_MidCase_annual_gea!A72</f>
        <v>NYSTc</v>
      </c>
      <c r="D67" s="7">
        <f>Cambium22_MidCase_annual_gea!B72</f>
        <v>2026</v>
      </c>
      <c r="E67" s="7">
        <f>Cambium22_MidCase_annual_gea!CA72</f>
        <v>927272.9</v>
      </c>
    </row>
    <row r="68" spans="1:5" x14ac:dyDescent="0.3">
      <c r="A68" t="s">
        <v>6</v>
      </c>
      <c r="B68" t="s">
        <v>7</v>
      </c>
      <c r="C68" t="str">
        <f>Cambium22_MidCase_annual_gea!A73</f>
        <v>NYSTc</v>
      </c>
      <c r="D68" s="7">
        <f>Cambium22_MidCase_annual_gea!B73</f>
        <v>2028</v>
      </c>
      <c r="E68" s="7">
        <f>Cambium22_MidCase_annual_gea!CA73</f>
        <v>551808.19999999995</v>
      </c>
    </row>
    <row r="69" spans="1:5" x14ac:dyDescent="0.3">
      <c r="A69" t="s">
        <v>6</v>
      </c>
      <c r="B69" t="s">
        <v>7</v>
      </c>
      <c r="C69" t="str">
        <f>Cambium22_MidCase_annual_gea!A74</f>
        <v>NYSTc</v>
      </c>
      <c r="D69" s="7">
        <f>Cambium22_MidCase_annual_gea!B74</f>
        <v>2030</v>
      </c>
      <c r="E69" s="7">
        <f>Cambium22_MidCase_annual_gea!CA74</f>
        <v>371687</v>
      </c>
    </row>
    <row r="70" spans="1:5" x14ac:dyDescent="0.3">
      <c r="A70" t="s">
        <v>6</v>
      </c>
      <c r="B70" t="s">
        <v>7</v>
      </c>
      <c r="C70" t="str">
        <f>Cambium22_MidCase_annual_gea!A75</f>
        <v>NYSTc</v>
      </c>
      <c r="D70" s="7">
        <f>Cambium22_MidCase_annual_gea!B75</f>
        <v>2035</v>
      </c>
      <c r="E70" s="7">
        <f>Cambium22_MidCase_annual_gea!CA75</f>
        <v>0</v>
      </c>
    </row>
    <row r="71" spans="1:5" x14ac:dyDescent="0.3">
      <c r="A71" t="s">
        <v>6</v>
      </c>
      <c r="B71" t="s">
        <v>7</v>
      </c>
      <c r="C71" t="str">
        <f>Cambium22_MidCase_annual_gea!A76</f>
        <v>NYSTc</v>
      </c>
      <c r="D71" s="7">
        <f>Cambium22_MidCase_annual_gea!B76</f>
        <v>2040</v>
      </c>
      <c r="E71" s="7">
        <f>Cambium22_MidCase_annual_gea!CA76</f>
        <v>0</v>
      </c>
    </row>
    <row r="72" spans="1:5" x14ac:dyDescent="0.3">
      <c r="A72" t="s">
        <v>6</v>
      </c>
      <c r="B72" t="s">
        <v>7</v>
      </c>
      <c r="C72" t="str">
        <f>Cambium22_MidCase_annual_gea!A77</f>
        <v>NYSTc</v>
      </c>
      <c r="D72" s="7">
        <f>Cambium22_MidCase_annual_gea!B77</f>
        <v>2045</v>
      </c>
      <c r="E72" s="7">
        <f>Cambium22_MidCase_annual_gea!CA77</f>
        <v>0</v>
      </c>
    </row>
    <row r="73" spans="1:5" x14ac:dyDescent="0.3">
      <c r="A73" t="s">
        <v>6</v>
      </c>
      <c r="B73" t="s">
        <v>7</v>
      </c>
      <c r="C73" t="str">
        <f>Cambium22_MidCase_annual_gea!A78</f>
        <v>NYSTc</v>
      </c>
      <c r="D73" s="7">
        <f>Cambium22_MidCase_annual_gea!B78</f>
        <v>2050</v>
      </c>
      <c r="E73" s="7">
        <f>Cambium22_MidCase_annual_gea!CA78</f>
        <v>0</v>
      </c>
    </row>
    <row r="74" spans="1:5" x14ac:dyDescent="0.3">
      <c r="A74" t="s">
        <v>6</v>
      </c>
      <c r="B74" t="s">
        <v>7</v>
      </c>
      <c r="C74" t="str">
        <f>Cambium22_MidCase_annual_gea!A79</f>
        <v>RFCEc</v>
      </c>
      <c r="D74" s="7">
        <f>Cambium22_MidCase_annual_gea!B79</f>
        <v>2024</v>
      </c>
      <c r="E74" s="7">
        <f>Cambium22_MidCase_annual_gea!CA79</f>
        <v>14348781</v>
      </c>
    </row>
    <row r="75" spans="1:5" x14ac:dyDescent="0.3">
      <c r="A75" t="s">
        <v>6</v>
      </c>
      <c r="B75" t="s">
        <v>7</v>
      </c>
      <c r="C75" t="str">
        <f>Cambium22_MidCase_annual_gea!A80</f>
        <v>RFCEc</v>
      </c>
      <c r="D75" s="7">
        <f>Cambium22_MidCase_annual_gea!B80</f>
        <v>2026</v>
      </c>
      <c r="E75" s="7">
        <f>Cambium22_MidCase_annual_gea!CA80</f>
        <v>10881668</v>
      </c>
    </row>
    <row r="76" spans="1:5" x14ac:dyDescent="0.3">
      <c r="A76" t="s">
        <v>6</v>
      </c>
      <c r="B76" t="s">
        <v>7</v>
      </c>
      <c r="C76" t="str">
        <f>Cambium22_MidCase_annual_gea!A81</f>
        <v>RFCEc</v>
      </c>
      <c r="D76" s="7">
        <f>Cambium22_MidCase_annual_gea!B81</f>
        <v>2028</v>
      </c>
      <c r="E76" s="7">
        <f>Cambium22_MidCase_annual_gea!CA81</f>
        <v>7203283</v>
      </c>
    </row>
    <row r="77" spans="1:5" x14ac:dyDescent="0.3">
      <c r="A77" t="s">
        <v>6</v>
      </c>
      <c r="B77" t="s">
        <v>7</v>
      </c>
      <c r="C77" t="str">
        <f>Cambium22_MidCase_annual_gea!A82</f>
        <v>RFCEc</v>
      </c>
      <c r="D77" s="7">
        <f>Cambium22_MidCase_annual_gea!B82</f>
        <v>2030</v>
      </c>
      <c r="E77" s="7">
        <f>Cambium22_MidCase_annual_gea!CA82</f>
        <v>6499398.5</v>
      </c>
    </row>
    <row r="78" spans="1:5" x14ac:dyDescent="0.3">
      <c r="A78" t="s">
        <v>6</v>
      </c>
      <c r="B78" t="s">
        <v>7</v>
      </c>
      <c r="C78" t="str">
        <f>Cambium22_MidCase_annual_gea!A83</f>
        <v>RFCEc</v>
      </c>
      <c r="D78" s="7">
        <f>Cambium22_MidCase_annual_gea!B83</f>
        <v>2035</v>
      </c>
      <c r="E78" s="7">
        <f>Cambium22_MidCase_annual_gea!CA83</f>
        <v>6038583.5</v>
      </c>
    </row>
    <row r="79" spans="1:5" x14ac:dyDescent="0.3">
      <c r="A79" t="s">
        <v>6</v>
      </c>
      <c r="B79" t="s">
        <v>7</v>
      </c>
      <c r="C79" t="str">
        <f>Cambium22_MidCase_annual_gea!A84</f>
        <v>RFCEc</v>
      </c>
      <c r="D79" s="7">
        <f>Cambium22_MidCase_annual_gea!B84</f>
        <v>2040</v>
      </c>
      <c r="E79" s="7">
        <f>Cambium22_MidCase_annual_gea!CA84</f>
        <v>3703305.5</v>
      </c>
    </row>
    <row r="80" spans="1:5" x14ac:dyDescent="0.3">
      <c r="A80" t="s">
        <v>6</v>
      </c>
      <c r="B80" t="s">
        <v>7</v>
      </c>
      <c r="C80" t="str">
        <f>Cambium22_MidCase_annual_gea!A85</f>
        <v>RFCEc</v>
      </c>
      <c r="D80" s="7">
        <f>Cambium22_MidCase_annual_gea!B85</f>
        <v>2045</v>
      </c>
      <c r="E80" s="7">
        <f>Cambium22_MidCase_annual_gea!CA85</f>
        <v>2880144.8</v>
      </c>
    </row>
    <row r="81" spans="1:5" x14ac:dyDescent="0.3">
      <c r="A81" t="s">
        <v>6</v>
      </c>
      <c r="B81" t="s">
        <v>7</v>
      </c>
      <c r="C81" t="str">
        <f>Cambium22_MidCase_annual_gea!A86</f>
        <v>RFCEc</v>
      </c>
      <c r="D81" s="7">
        <f>Cambium22_MidCase_annual_gea!B86</f>
        <v>2050</v>
      </c>
      <c r="E81" s="7">
        <f>Cambium22_MidCase_annual_gea!CA86</f>
        <v>896330.1</v>
      </c>
    </row>
    <row r="82" spans="1:5" x14ac:dyDescent="0.3">
      <c r="A82" t="s">
        <v>6</v>
      </c>
      <c r="B82" t="s">
        <v>7</v>
      </c>
      <c r="C82" t="str">
        <f>Cambium22_MidCase_annual_gea!A87</f>
        <v>RFCMc</v>
      </c>
      <c r="D82" s="7">
        <f>Cambium22_MidCase_annual_gea!B87</f>
        <v>2024</v>
      </c>
      <c r="E82" s="7">
        <f>Cambium22_MidCase_annual_gea!CA87</f>
        <v>33172444</v>
      </c>
    </row>
    <row r="83" spans="1:5" x14ac:dyDescent="0.3">
      <c r="A83" t="s">
        <v>6</v>
      </c>
      <c r="B83" t="s">
        <v>7</v>
      </c>
      <c r="C83" t="str">
        <f>Cambium22_MidCase_annual_gea!A88</f>
        <v>RFCMc</v>
      </c>
      <c r="D83" s="7">
        <f>Cambium22_MidCase_annual_gea!B88</f>
        <v>2026</v>
      </c>
      <c r="E83" s="7">
        <f>Cambium22_MidCase_annual_gea!CA88</f>
        <v>21679692</v>
      </c>
    </row>
    <row r="84" spans="1:5" x14ac:dyDescent="0.3">
      <c r="A84" t="s">
        <v>6</v>
      </c>
      <c r="B84" t="s">
        <v>7</v>
      </c>
      <c r="C84" t="str">
        <f>Cambium22_MidCase_annual_gea!A89</f>
        <v>RFCMc</v>
      </c>
      <c r="D84" s="7">
        <f>Cambium22_MidCase_annual_gea!B89</f>
        <v>2028</v>
      </c>
      <c r="E84" s="7">
        <f>Cambium22_MidCase_annual_gea!CA89</f>
        <v>16185565</v>
      </c>
    </row>
    <row r="85" spans="1:5" x14ac:dyDescent="0.3">
      <c r="A85" t="s">
        <v>6</v>
      </c>
      <c r="B85" t="s">
        <v>7</v>
      </c>
      <c r="C85" t="str">
        <f>Cambium22_MidCase_annual_gea!A90</f>
        <v>RFCMc</v>
      </c>
      <c r="D85" s="7">
        <f>Cambium22_MidCase_annual_gea!B90</f>
        <v>2030</v>
      </c>
      <c r="E85" s="7">
        <f>Cambium22_MidCase_annual_gea!CA90</f>
        <v>10532470</v>
      </c>
    </row>
    <row r="86" spans="1:5" x14ac:dyDescent="0.3">
      <c r="A86" t="s">
        <v>6</v>
      </c>
      <c r="B86" t="s">
        <v>7</v>
      </c>
      <c r="C86" t="str">
        <f>Cambium22_MidCase_annual_gea!A91</f>
        <v>RFCMc</v>
      </c>
      <c r="D86" s="7">
        <f>Cambium22_MidCase_annual_gea!B91</f>
        <v>2035</v>
      </c>
      <c r="E86" s="7">
        <f>Cambium22_MidCase_annual_gea!CA91</f>
        <v>6210839.5</v>
      </c>
    </row>
    <row r="87" spans="1:5" x14ac:dyDescent="0.3">
      <c r="A87" t="s">
        <v>6</v>
      </c>
      <c r="B87" t="s">
        <v>7</v>
      </c>
      <c r="C87" t="str">
        <f>Cambium22_MidCase_annual_gea!A92</f>
        <v>RFCMc</v>
      </c>
      <c r="D87" s="7">
        <f>Cambium22_MidCase_annual_gea!B92</f>
        <v>2040</v>
      </c>
      <c r="E87" s="7">
        <f>Cambium22_MidCase_annual_gea!CA92</f>
        <v>4898216.5</v>
      </c>
    </row>
    <row r="88" spans="1:5" x14ac:dyDescent="0.3">
      <c r="A88" t="s">
        <v>6</v>
      </c>
      <c r="B88" t="s">
        <v>7</v>
      </c>
      <c r="C88" t="str">
        <f>Cambium22_MidCase_annual_gea!A93</f>
        <v>RFCMc</v>
      </c>
      <c r="D88" s="7">
        <f>Cambium22_MidCase_annual_gea!B93</f>
        <v>2045</v>
      </c>
      <c r="E88" s="7">
        <f>Cambium22_MidCase_annual_gea!CA93</f>
        <v>5282825</v>
      </c>
    </row>
    <row r="89" spans="1:5" x14ac:dyDescent="0.3">
      <c r="A89" t="s">
        <v>6</v>
      </c>
      <c r="B89" t="s">
        <v>7</v>
      </c>
      <c r="C89" t="str">
        <f>Cambium22_MidCase_annual_gea!A94</f>
        <v>RFCMc</v>
      </c>
      <c r="D89" s="7">
        <f>Cambium22_MidCase_annual_gea!B94</f>
        <v>2050</v>
      </c>
      <c r="E89" s="7">
        <f>Cambium22_MidCase_annual_gea!CA94</f>
        <v>10763.3</v>
      </c>
    </row>
    <row r="90" spans="1:5" x14ac:dyDescent="0.3">
      <c r="A90" t="s">
        <v>6</v>
      </c>
      <c r="B90" t="s">
        <v>7</v>
      </c>
      <c r="C90" t="str">
        <f>Cambium22_MidCase_annual_gea!A95</f>
        <v>RFCWc</v>
      </c>
      <c r="D90" s="7">
        <f>Cambium22_MidCase_annual_gea!B95</f>
        <v>2024</v>
      </c>
      <c r="E90" s="7">
        <f>Cambium22_MidCase_annual_gea!CA95</f>
        <v>123103090</v>
      </c>
    </row>
    <row r="91" spans="1:5" x14ac:dyDescent="0.3">
      <c r="A91" t="s">
        <v>6</v>
      </c>
      <c r="B91" t="s">
        <v>7</v>
      </c>
      <c r="C91" t="str">
        <f>Cambium22_MidCase_annual_gea!A96</f>
        <v>RFCWc</v>
      </c>
      <c r="D91" s="7">
        <f>Cambium22_MidCase_annual_gea!B96</f>
        <v>2026</v>
      </c>
      <c r="E91" s="7">
        <f>Cambium22_MidCase_annual_gea!CA96</f>
        <v>104935060</v>
      </c>
    </row>
    <row r="92" spans="1:5" x14ac:dyDescent="0.3">
      <c r="A92" t="s">
        <v>6</v>
      </c>
      <c r="B92" t="s">
        <v>7</v>
      </c>
      <c r="C92" t="str">
        <f>Cambium22_MidCase_annual_gea!A97</f>
        <v>RFCWc</v>
      </c>
      <c r="D92" s="7">
        <f>Cambium22_MidCase_annual_gea!B97</f>
        <v>2028</v>
      </c>
      <c r="E92" s="7">
        <f>Cambium22_MidCase_annual_gea!CA97</f>
        <v>53565172</v>
      </c>
    </row>
    <row r="93" spans="1:5" x14ac:dyDescent="0.3">
      <c r="A93" t="s">
        <v>6</v>
      </c>
      <c r="B93" t="s">
        <v>7</v>
      </c>
      <c r="C93" t="str">
        <f>Cambium22_MidCase_annual_gea!A98</f>
        <v>RFCWc</v>
      </c>
      <c r="D93" s="7">
        <f>Cambium22_MidCase_annual_gea!B98</f>
        <v>2030</v>
      </c>
      <c r="E93" s="7">
        <f>Cambium22_MidCase_annual_gea!CA98</f>
        <v>40018790</v>
      </c>
    </row>
    <row r="94" spans="1:5" x14ac:dyDescent="0.3">
      <c r="A94" t="s">
        <v>6</v>
      </c>
      <c r="B94" t="s">
        <v>7</v>
      </c>
      <c r="C94" t="str">
        <f>Cambium22_MidCase_annual_gea!A99</f>
        <v>RFCWc</v>
      </c>
      <c r="D94" s="7">
        <f>Cambium22_MidCase_annual_gea!B99</f>
        <v>2035</v>
      </c>
      <c r="E94" s="7">
        <f>Cambium22_MidCase_annual_gea!CA99</f>
        <v>26011304</v>
      </c>
    </row>
    <row r="95" spans="1:5" x14ac:dyDescent="0.3">
      <c r="A95" t="s">
        <v>6</v>
      </c>
      <c r="B95" t="s">
        <v>7</v>
      </c>
      <c r="C95" t="str">
        <f>Cambium22_MidCase_annual_gea!A100</f>
        <v>RFCWc</v>
      </c>
      <c r="D95" s="7">
        <f>Cambium22_MidCase_annual_gea!B100</f>
        <v>2040</v>
      </c>
      <c r="E95" s="7">
        <f>Cambium22_MidCase_annual_gea!CA100</f>
        <v>15635395</v>
      </c>
    </row>
    <row r="96" spans="1:5" x14ac:dyDescent="0.3">
      <c r="A96" t="s">
        <v>6</v>
      </c>
      <c r="B96" t="s">
        <v>7</v>
      </c>
      <c r="C96" t="str">
        <f>Cambium22_MidCase_annual_gea!A101</f>
        <v>RFCWc</v>
      </c>
      <c r="D96" s="7">
        <f>Cambium22_MidCase_annual_gea!B101</f>
        <v>2045</v>
      </c>
      <c r="E96" s="7">
        <f>Cambium22_MidCase_annual_gea!CA101</f>
        <v>15849923</v>
      </c>
    </row>
    <row r="97" spans="1:5" x14ac:dyDescent="0.3">
      <c r="A97" t="s">
        <v>6</v>
      </c>
      <c r="B97" t="s">
        <v>7</v>
      </c>
      <c r="C97" t="str">
        <f>Cambium22_MidCase_annual_gea!A102</f>
        <v>RFCWc</v>
      </c>
      <c r="D97" s="7">
        <f>Cambium22_MidCase_annual_gea!B102</f>
        <v>2050</v>
      </c>
      <c r="E97" s="7">
        <f>Cambium22_MidCase_annual_gea!CA102</f>
        <v>12590691</v>
      </c>
    </row>
    <row r="98" spans="1:5" x14ac:dyDescent="0.3">
      <c r="A98" t="s">
        <v>6</v>
      </c>
      <c r="B98" t="s">
        <v>7</v>
      </c>
      <c r="C98" t="str">
        <f>Cambium22_MidCase_annual_gea!A103</f>
        <v>RMPAc</v>
      </c>
      <c r="D98" s="7">
        <f>Cambium22_MidCase_annual_gea!B103</f>
        <v>2024</v>
      </c>
      <c r="E98" s="7">
        <f>Cambium22_MidCase_annual_gea!CA103</f>
        <v>37376744</v>
      </c>
    </row>
    <row r="99" spans="1:5" x14ac:dyDescent="0.3">
      <c r="A99" t="s">
        <v>6</v>
      </c>
      <c r="B99" t="s">
        <v>7</v>
      </c>
      <c r="C99" t="str">
        <f>Cambium22_MidCase_annual_gea!A104</f>
        <v>RMPAc</v>
      </c>
      <c r="D99" s="7">
        <f>Cambium22_MidCase_annual_gea!B104</f>
        <v>2026</v>
      </c>
      <c r="E99" s="7">
        <f>Cambium22_MidCase_annual_gea!CA104</f>
        <v>31105344</v>
      </c>
    </row>
    <row r="100" spans="1:5" x14ac:dyDescent="0.3">
      <c r="A100" t="s">
        <v>6</v>
      </c>
      <c r="B100" t="s">
        <v>7</v>
      </c>
      <c r="C100" t="str">
        <f>Cambium22_MidCase_annual_gea!A105</f>
        <v>RMPAc</v>
      </c>
      <c r="D100" s="7">
        <f>Cambium22_MidCase_annual_gea!B105</f>
        <v>2028</v>
      </c>
      <c r="E100" s="7">
        <f>Cambium22_MidCase_annual_gea!CA105</f>
        <v>16236067</v>
      </c>
    </row>
    <row r="101" spans="1:5" x14ac:dyDescent="0.3">
      <c r="A101" t="s">
        <v>6</v>
      </c>
      <c r="B101" t="s">
        <v>7</v>
      </c>
      <c r="C101" t="str">
        <f>Cambium22_MidCase_annual_gea!A106</f>
        <v>RMPAc</v>
      </c>
      <c r="D101" s="7">
        <f>Cambium22_MidCase_annual_gea!B106</f>
        <v>2030</v>
      </c>
      <c r="E101" s="7">
        <f>Cambium22_MidCase_annual_gea!CA106</f>
        <v>8265769.5</v>
      </c>
    </row>
    <row r="102" spans="1:5" x14ac:dyDescent="0.3">
      <c r="A102" t="s">
        <v>6</v>
      </c>
      <c r="B102" t="s">
        <v>7</v>
      </c>
      <c r="C102" t="str">
        <f>Cambium22_MidCase_annual_gea!A107</f>
        <v>RMPAc</v>
      </c>
      <c r="D102" s="7">
        <f>Cambium22_MidCase_annual_gea!B107</f>
        <v>2035</v>
      </c>
      <c r="E102" s="7">
        <f>Cambium22_MidCase_annual_gea!CA107</f>
        <v>7947613.5</v>
      </c>
    </row>
    <row r="103" spans="1:5" x14ac:dyDescent="0.3">
      <c r="A103" t="s">
        <v>6</v>
      </c>
      <c r="B103" t="s">
        <v>7</v>
      </c>
      <c r="C103" t="str">
        <f>Cambium22_MidCase_annual_gea!A108</f>
        <v>RMPAc</v>
      </c>
      <c r="D103" s="7">
        <f>Cambium22_MidCase_annual_gea!B108</f>
        <v>2040</v>
      </c>
      <c r="E103" s="7">
        <f>Cambium22_MidCase_annual_gea!CA108</f>
        <v>5814429.5</v>
      </c>
    </row>
    <row r="104" spans="1:5" x14ac:dyDescent="0.3">
      <c r="A104" t="s">
        <v>6</v>
      </c>
      <c r="B104" t="s">
        <v>7</v>
      </c>
      <c r="C104" t="str">
        <f>Cambium22_MidCase_annual_gea!A109</f>
        <v>RMPAc</v>
      </c>
      <c r="D104" s="7">
        <f>Cambium22_MidCase_annual_gea!B109</f>
        <v>2045</v>
      </c>
      <c r="E104" s="7">
        <f>Cambium22_MidCase_annual_gea!CA109</f>
        <v>2928431</v>
      </c>
    </row>
    <row r="105" spans="1:5" x14ac:dyDescent="0.3">
      <c r="A105" t="s">
        <v>6</v>
      </c>
      <c r="B105" t="s">
        <v>7</v>
      </c>
      <c r="C105" t="str">
        <f>Cambium22_MidCase_annual_gea!A110</f>
        <v>RMPAc</v>
      </c>
      <c r="D105" s="7">
        <f>Cambium22_MidCase_annual_gea!B110</f>
        <v>2050</v>
      </c>
      <c r="E105" s="7">
        <f>Cambium22_MidCase_annual_gea!CA110</f>
        <v>3453226.5</v>
      </c>
    </row>
    <row r="106" spans="1:5" x14ac:dyDescent="0.3">
      <c r="A106" t="s">
        <v>6</v>
      </c>
      <c r="B106" t="s">
        <v>7</v>
      </c>
      <c r="C106" t="str">
        <f>Cambium22_MidCase_annual_gea!A111</f>
        <v>SPNOc</v>
      </c>
      <c r="D106" s="7">
        <f>Cambium22_MidCase_annual_gea!B111</f>
        <v>2024</v>
      </c>
      <c r="E106" s="7">
        <f>Cambium22_MidCase_annual_gea!CA111</f>
        <v>27300052</v>
      </c>
    </row>
    <row r="107" spans="1:5" x14ac:dyDescent="0.3">
      <c r="A107" t="s">
        <v>6</v>
      </c>
      <c r="B107" t="s">
        <v>7</v>
      </c>
      <c r="C107" t="str">
        <f>Cambium22_MidCase_annual_gea!A112</f>
        <v>SPNOc</v>
      </c>
      <c r="D107" s="7">
        <f>Cambium22_MidCase_annual_gea!B112</f>
        <v>2026</v>
      </c>
      <c r="E107" s="7">
        <f>Cambium22_MidCase_annual_gea!CA112</f>
        <v>18366208</v>
      </c>
    </row>
    <row r="108" spans="1:5" x14ac:dyDescent="0.3">
      <c r="A108" t="s">
        <v>6</v>
      </c>
      <c r="B108" t="s">
        <v>7</v>
      </c>
      <c r="C108" t="str">
        <f>Cambium22_MidCase_annual_gea!A113</f>
        <v>SPNOc</v>
      </c>
      <c r="D108" s="7">
        <f>Cambium22_MidCase_annual_gea!B113</f>
        <v>2028</v>
      </c>
      <c r="E108" s="7">
        <f>Cambium22_MidCase_annual_gea!CA113</f>
        <v>11312891</v>
      </c>
    </row>
    <row r="109" spans="1:5" x14ac:dyDescent="0.3">
      <c r="A109" t="s">
        <v>6</v>
      </c>
      <c r="B109" t="s">
        <v>7</v>
      </c>
      <c r="C109" t="str">
        <f>Cambium22_MidCase_annual_gea!A114</f>
        <v>SPNOc</v>
      </c>
      <c r="D109" s="7">
        <f>Cambium22_MidCase_annual_gea!B114</f>
        <v>2030</v>
      </c>
      <c r="E109" s="7">
        <f>Cambium22_MidCase_annual_gea!CA114</f>
        <v>9005006</v>
      </c>
    </row>
    <row r="110" spans="1:5" x14ac:dyDescent="0.3">
      <c r="A110" t="s">
        <v>6</v>
      </c>
      <c r="B110" t="s">
        <v>7</v>
      </c>
      <c r="C110" t="str">
        <f>Cambium22_MidCase_annual_gea!A115</f>
        <v>SPNOc</v>
      </c>
      <c r="D110" s="7">
        <f>Cambium22_MidCase_annual_gea!B115</f>
        <v>2035</v>
      </c>
      <c r="E110" s="7">
        <f>Cambium22_MidCase_annual_gea!CA115</f>
        <v>7947599</v>
      </c>
    </row>
    <row r="111" spans="1:5" x14ac:dyDescent="0.3">
      <c r="A111" t="s">
        <v>6</v>
      </c>
      <c r="B111" t="s">
        <v>7</v>
      </c>
      <c r="C111" t="str">
        <f>Cambium22_MidCase_annual_gea!A116</f>
        <v>SPNOc</v>
      </c>
      <c r="D111" s="7">
        <f>Cambium22_MidCase_annual_gea!B116</f>
        <v>2040</v>
      </c>
      <c r="E111" s="7">
        <f>Cambium22_MidCase_annual_gea!CA116</f>
        <v>5790506.5</v>
      </c>
    </row>
    <row r="112" spans="1:5" x14ac:dyDescent="0.3">
      <c r="A112" t="s">
        <v>6</v>
      </c>
      <c r="B112" t="s">
        <v>7</v>
      </c>
      <c r="C112" t="str">
        <f>Cambium22_MidCase_annual_gea!A117</f>
        <v>SPNOc</v>
      </c>
      <c r="D112" s="7">
        <f>Cambium22_MidCase_annual_gea!B117</f>
        <v>2045</v>
      </c>
      <c r="E112" s="7">
        <f>Cambium22_MidCase_annual_gea!CA117</f>
        <v>3592008.8</v>
      </c>
    </row>
    <row r="113" spans="1:5" x14ac:dyDescent="0.3">
      <c r="A113" t="s">
        <v>6</v>
      </c>
      <c r="B113" t="s">
        <v>7</v>
      </c>
      <c r="C113" t="str">
        <f>Cambium22_MidCase_annual_gea!A118</f>
        <v>SPNOc</v>
      </c>
      <c r="D113" s="7">
        <f>Cambium22_MidCase_annual_gea!B118</f>
        <v>2050</v>
      </c>
      <c r="E113" s="7">
        <f>Cambium22_MidCase_annual_gea!CA118</f>
        <v>3147941.2</v>
      </c>
    </row>
    <row r="114" spans="1:5" x14ac:dyDescent="0.3">
      <c r="A114" t="s">
        <v>6</v>
      </c>
      <c r="B114" t="s">
        <v>7</v>
      </c>
      <c r="C114" t="str">
        <f>Cambium22_MidCase_annual_gea!A119</f>
        <v>SPSOc</v>
      </c>
      <c r="D114" s="7">
        <f>Cambium22_MidCase_annual_gea!B119</f>
        <v>2024</v>
      </c>
      <c r="E114" s="7">
        <f>Cambium22_MidCase_annual_gea!CA119</f>
        <v>6191877.5</v>
      </c>
    </row>
    <row r="115" spans="1:5" x14ac:dyDescent="0.3">
      <c r="A115" t="s">
        <v>6</v>
      </c>
      <c r="B115" t="s">
        <v>7</v>
      </c>
      <c r="C115" t="str">
        <f>Cambium22_MidCase_annual_gea!A120</f>
        <v>SPSOc</v>
      </c>
      <c r="D115" s="7">
        <f>Cambium22_MidCase_annual_gea!B120</f>
        <v>2026</v>
      </c>
      <c r="E115" s="7">
        <f>Cambium22_MidCase_annual_gea!CA120</f>
        <v>4134512</v>
      </c>
    </row>
    <row r="116" spans="1:5" x14ac:dyDescent="0.3">
      <c r="A116" t="s">
        <v>6</v>
      </c>
      <c r="B116" t="s">
        <v>7</v>
      </c>
      <c r="C116" t="str">
        <f>Cambium22_MidCase_annual_gea!A121</f>
        <v>SPSOc</v>
      </c>
      <c r="D116" s="7">
        <f>Cambium22_MidCase_annual_gea!B121</f>
        <v>2028</v>
      </c>
      <c r="E116" s="7">
        <f>Cambium22_MidCase_annual_gea!CA121</f>
        <v>1750309.4</v>
      </c>
    </row>
    <row r="117" spans="1:5" x14ac:dyDescent="0.3">
      <c r="A117" t="s">
        <v>6</v>
      </c>
      <c r="B117" t="s">
        <v>7</v>
      </c>
      <c r="C117" t="str">
        <f>Cambium22_MidCase_annual_gea!A122</f>
        <v>SPSOc</v>
      </c>
      <c r="D117" s="7">
        <f>Cambium22_MidCase_annual_gea!B122</f>
        <v>2030</v>
      </c>
      <c r="E117" s="7">
        <f>Cambium22_MidCase_annual_gea!CA122</f>
        <v>1507262.2</v>
      </c>
    </row>
    <row r="118" spans="1:5" x14ac:dyDescent="0.3">
      <c r="A118" t="s">
        <v>6</v>
      </c>
      <c r="B118" t="s">
        <v>7</v>
      </c>
      <c r="C118" t="str">
        <f>Cambium22_MidCase_annual_gea!A123</f>
        <v>SPSOc</v>
      </c>
      <c r="D118" s="7">
        <f>Cambium22_MidCase_annual_gea!B123</f>
        <v>2035</v>
      </c>
      <c r="E118" s="7">
        <f>Cambium22_MidCase_annual_gea!CA123</f>
        <v>1210587.3999999999</v>
      </c>
    </row>
    <row r="119" spans="1:5" x14ac:dyDescent="0.3">
      <c r="A119" t="s">
        <v>6</v>
      </c>
      <c r="B119" t="s">
        <v>7</v>
      </c>
      <c r="C119" t="str">
        <f>Cambium22_MidCase_annual_gea!A124</f>
        <v>SPSOc</v>
      </c>
      <c r="D119" s="7">
        <f>Cambium22_MidCase_annual_gea!B124</f>
        <v>2040</v>
      </c>
      <c r="E119" s="7">
        <f>Cambium22_MidCase_annual_gea!CA124</f>
        <v>719641.9</v>
      </c>
    </row>
    <row r="120" spans="1:5" x14ac:dyDescent="0.3">
      <c r="A120" t="s">
        <v>6</v>
      </c>
      <c r="B120" t="s">
        <v>7</v>
      </c>
      <c r="C120" t="str">
        <f>Cambium22_MidCase_annual_gea!A125</f>
        <v>SPSOc</v>
      </c>
      <c r="D120" s="7">
        <f>Cambium22_MidCase_annual_gea!B125</f>
        <v>2045</v>
      </c>
      <c r="E120" s="7">
        <f>Cambium22_MidCase_annual_gea!CA125</f>
        <v>611646.4</v>
      </c>
    </row>
    <row r="121" spans="1:5" x14ac:dyDescent="0.3">
      <c r="A121" t="s">
        <v>6</v>
      </c>
      <c r="B121" t="s">
        <v>7</v>
      </c>
      <c r="C121" t="str">
        <f>Cambium22_MidCase_annual_gea!A126</f>
        <v>SPSOc</v>
      </c>
      <c r="D121" s="7">
        <f>Cambium22_MidCase_annual_gea!B126</f>
        <v>2050</v>
      </c>
      <c r="E121" s="7">
        <f>Cambium22_MidCase_annual_gea!CA126</f>
        <v>1762359.6</v>
      </c>
    </row>
    <row r="122" spans="1:5" x14ac:dyDescent="0.3">
      <c r="A122" t="s">
        <v>6</v>
      </c>
      <c r="B122" t="s">
        <v>7</v>
      </c>
      <c r="C122" t="str">
        <f>Cambium22_MidCase_annual_gea!A127</f>
        <v>SRMVc</v>
      </c>
      <c r="D122" s="7">
        <f>Cambium22_MidCase_annual_gea!B127</f>
        <v>2024</v>
      </c>
      <c r="E122" s="7">
        <f>Cambium22_MidCase_annual_gea!CA127</f>
        <v>17421412</v>
      </c>
    </row>
    <row r="123" spans="1:5" x14ac:dyDescent="0.3">
      <c r="A123" t="s">
        <v>6</v>
      </c>
      <c r="B123" t="s">
        <v>7</v>
      </c>
      <c r="C123" t="str">
        <f>Cambium22_MidCase_annual_gea!A128</f>
        <v>SRMVc</v>
      </c>
      <c r="D123" s="7">
        <f>Cambium22_MidCase_annual_gea!B128</f>
        <v>2026</v>
      </c>
      <c r="E123" s="7">
        <f>Cambium22_MidCase_annual_gea!CA128</f>
        <v>14324112</v>
      </c>
    </row>
    <row r="124" spans="1:5" x14ac:dyDescent="0.3">
      <c r="A124" t="s">
        <v>6</v>
      </c>
      <c r="B124" t="s">
        <v>7</v>
      </c>
      <c r="C124" t="str">
        <f>Cambium22_MidCase_annual_gea!A129</f>
        <v>SRMVc</v>
      </c>
      <c r="D124" s="7">
        <f>Cambium22_MidCase_annual_gea!B129</f>
        <v>2028</v>
      </c>
      <c r="E124" s="7">
        <f>Cambium22_MidCase_annual_gea!CA129</f>
        <v>6317735</v>
      </c>
    </row>
    <row r="125" spans="1:5" x14ac:dyDescent="0.3">
      <c r="A125" t="s">
        <v>6</v>
      </c>
      <c r="B125" t="s">
        <v>7</v>
      </c>
      <c r="C125" t="str">
        <f>Cambium22_MidCase_annual_gea!A130</f>
        <v>SRMVc</v>
      </c>
      <c r="D125" s="7">
        <f>Cambium22_MidCase_annual_gea!B130</f>
        <v>2030</v>
      </c>
      <c r="E125" s="7">
        <f>Cambium22_MidCase_annual_gea!CA130</f>
        <v>5025003</v>
      </c>
    </row>
    <row r="126" spans="1:5" x14ac:dyDescent="0.3">
      <c r="A126" t="s">
        <v>6</v>
      </c>
      <c r="B126" t="s">
        <v>7</v>
      </c>
      <c r="C126" t="str">
        <f>Cambium22_MidCase_annual_gea!A131</f>
        <v>SRMVc</v>
      </c>
      <c r="D126" s="7">
        <f>Cambium22_MidCase_annual_gea!B131</f>
        <v>2035</v>
      </c>
      <c r="E126" s="7">
        <f>Cambium22_MidCase_annual_gea!CA131</f>
        <v>4229098.5</v>
      </c>
    </row>
    <row r="127" spans="1:5" x14ac:dyDescent="0.3">
      <c r="A127" t="s">
        <v>6</v>
      </c>
      <c r="B127" t="s">
        <v>7</v>
      </c>
      <c r="C127" t="str">
        <f>Cambium22_MidCase_annual_gea!A132</f>
        <v>SRMVc</v>
      </c>
      <c r="D127" s="7">
        <f>Cambium22_MidCase_annual_gea!B132</f>
        <v>2040</v>
      </c>
      <c r="E127" s="7">
        <f>Cambium22_MidCase_annual_gea!CA132</f>
        <v>2695899.2</v>
      </c>
    </row>
    <row r="128" spans="1:5" x14ac:dyDescent="0.3">
      <c r="A128" t="s">
        <v>6</v>
      </c>
      <c r="B128" t="s">
        <v>7</v>
      </c>
      <c r="C128" t="str">
        <f>Cambium22_MidCase_annual_gea!A133</f>
        <v>SRMVc</v>
      </c>
      <c r="D128" s="7">
        <f>Cambium22_MidCase_annual_gea!B133</f>
        <v>2045</v>
      </c>
      <c r="E128" s="7">
        <f>Cambium22_MidCase_annual_gea!CA133</f>
        <v>1867316.4</v>
      </c>
    </row>
    <row r="129" spans="1:5" x14ac:dyDescent="0.3">
      <c r="A129" t="s">
        <v>6</v>
      </c>
      <c r="B129" t="s">
        <v>7</v>
      </c>
      <c r="C129" t="str">
        <f>Cambium22_MidCase_annual_gea!A134</f>
        <v>SRMVc</v>
      </c>
      <c r="D129" s="7">
        <f>Cambium22_MidCase_annual_gea!B134</f>
        <v>2050</v>
      </c>
      <c r="E129" s="7">
        <f>Cambium22_MidCase_annual_gea!CA134</f>
        <v>4476564</v>
      </c>
    </row>
    <row r="130" spans="1:5" x14ac:dyDescent="0.3">
      <c r="A130" t="s">
        <v>6</v>
      </c>
      <c r="B130" t="s">
        <v>7</v>
      </c>
      <c r="C130" t="str">
        <f>Cambium22_MidCase_annual_gea!A135</f>
        <v>SRMWc</v>
      </c>
      <c r="D130" s="7">
        <f>Cambium22_MidCase_annual_gea!B135</f>
        <v>2024</v>
      </c>
      <c r="E130" s="7">
        <f>Cambium22_MidCase_annual_gea!CA135</f>
        <v>69213544</v>
      </c>
    </row>
    <row r="131" spans="1:5" x14ac:dyDescent="0.3">
      <c r="A131" t="s">
        <v>6</v>
      </c>
      <c r="B131" t="s">
        <v>7</v>
      </c>
      <c r="C131" t="str">
        <f>Cambium22_MidCase_annual_gea!A136</f>
        <v>SRMWc</v>
      </c>
      <c r="D131" s="7">
        <f>Cambium22_MidCase_annual_gea!B136</f>
        <v>2026</v>
      </c>
      <c r="E131" s="7">
        <f>Cambium22_MidCase_annual_gea!CA136</f>
        <v>57821972</v>
      </c>
    </row>
    <row r="132" spans="1:5" x14ac:dyDescent="0.3">
      <c r="A132" t="s">
        <v>6</v>
      </c>
      <c r="B132" t="s">
        <v>7</v>
      </c>
      <c r="C132" t="str">
        <f>Cambium22_MidCase_annual_gea!A137</f>
        <v>SRMWc</v>
      </c>
      <c r="D132" s="7">
        <f>Cambium22_MidCase_annual_gea!B137</f>
        <v>2028</v>
      </c>
      <c r="E132" s="7">
        <f>Cambium22_MidCase_annual_gea!CA137</f>
        <v>31497962</v>
      </c>
    </row>
    <row r="133" spans="1:5" x14ac:dyDescent="0.3">
      <c r="A133" t="s">
        <v>6</v>
      </c>
      <c r="B133" t="s">
        <v>7</v>
      </c>
      <c r="C133" t="str">
        <f>Cambium22_MidCase_annual_gea!A138</f>
        <v>SRMWc</v>
      </c>
      <c r="D133" s="7">
        <f>Cambium22_MidCase_annual_gea!B138</f>
        <v>2030</v>
      </c>
      <c r="E133" s="7">
        <f>Cambium22_MidCase_annual_gea!CA138</f>
        <v>24308108</v>
      </c>
    </row>
    <row r="134" spans="1:5" x14ac:dyDescent="0.3">
      <c r="A134" t="s">
        <v>6</v>
      </c>
      <c r="B134" t="s">
        <v>7</v>
      </c>
      <c r="C134" t="str">
        <f>Cambium22_MidCase_annual_gea!A139</f>
        <v>SRMWc</v>
      </c>
      <c r="D134" s="7">
        <f>Cambium22_MidCase_annual_gea!B139</f>
        <v>2035</v>
      </c>
      <c r="E134" s="7">
        <f>Cambium22_MidCase_annual_gea!CA139</f>
        <v>21405384</v>
      </c>
    </row>
    <row r="135" spans="1:5" x14ac:dyDescent="0.3">
      <c r="A135" t="s">
        <v>6</v>
      </c>
      <c r="B135" t="s">
        <v>7</v>
      </c>
      <c r="C135" t="str">
        <f>Cambium22_MidCase_annual_gea!A140</f>
        <v>SRMWc</v>
      </c>
      <c r="D135" s="7">
        <f>Cambium22_MidCase_annual_gea!B140</f>
        <v>2040</v>
      </c>
      <c r="E135" s="7">
        <f>Cambium22_MidCase_annual_gea!CA140</f>
        <v>13655462</v>
      </c>
    </row>
    <row r="136" spans="1:5" x14ac:dyDescent="0.3">
      <c r="A136" t="s">
        <v>6</v>
      </c>
      <c r="B136" t="s">
        <v>7</v>
      </c>
      <c r="C136" t="str">
        <f>Cambium22_MidCase_annual_gea!A141</f>
        <v>SRMWc</v>
      </c>
      <c r="D136" s="7">
        <f>Cambium22_MidCase_annual_gea!B141</f>
        <v>2045</v>
      </c>
      <c r="E136" s="7">
        <f>Cambium22_MidCase_annual_gea!CA141</f>
        <v>9647365</v>
      </c>
    </row>
    <row r="137" spans="1:5" x14ac:dyDescent="0.3">
      <c r="A137" t="s">
        <v>6</v>
      </c>
      <c r="B137" t="s">
        <v>7</v>
      </c>
      <c r="C137" t="str">
        <f>Cambium22_MidCase_annual_gea!A142</f>
        <v>SRMWc</v>
      </c>
      <c r="D137" s="7">
        <f>Cambium22_MidCase_annual_gea!B142</f>
        <v>2050</v>
      </c>
      <c r="E137" s="7">
        <f>Cambium22_MidCase_annual_gea!CA142</f>
        <v>3070574.5</v>
      </c>
    </row>
    <row r="138" spans="1:5" x14ac:dyDescent="0.3">
      <c r="A138" t="s">
        <v>6</v>
      </c>
      <c r="B138" t="s">
        <v>7</v>
      </c>
      <c r="C138" t="str">
        <f>Cambium22_MidCase_annual_gea!A143</f>
        <v>SRSOc</v>
      </c>
      <c r="D138" s="7">
        <f>Cambium22_MidCase_annual_gea!B143</f>
        <v>2024</v>
      </c>
      <c r="E138" s="7">
        <f>Cambium22_MidCase_annual_gea!CA143</f>
        <v>45666560</v>
      </c>
    </row>
    <row r="139" spans="1:5" x14ac:dyDescent="0.3">
      <c r="A139" t="s">
        <v>6</v>
      </c>
      <c r="B139" t="s">
        <v>7</v>
      </c>
      <c r="C139" t="str">
        <f>Cambium22_MidCase_annual_gea!A144</f>
        <v>SRSOc</v>
      </c>
      <c r="D139" s="7">
        <f>Cambium22_MidCase_annual_gea!B144</f>
        <v>2026</v>
      </c>
      <c r="E139" s="7">
        <f>Cambium22_MidCase_annual_gea!CA144</f>
        <v>42174276</v>
      </c>
    </row>
    <row r="140" spans="1:5" x14ac:dyDescent="0.3">
      <c r="A140" t="s">
        <v>6</v>
      </c>
      <c r="B140" t="s">
        <v>7</v>
      </c>
      <c r="C140" t="str">
        <f>Cambium22_MidCase_annual_gea!A145</f>
        <v>SRSOc</v>
      </c>
      <c r="D140" s="7">
        <f>Cambium22_MidCase_annual_gea!B145</f>
        <v>2028</v>
      </c>
      <c r="E140" s="7">
        <f>Cambium22_MidCase_annual_gea!CA145</f>
        <v>29601904</v>
      </c>
    </row>
    <row r="141" spans="1:5" x14ac:dyDescent="0.3">
      <c r="A141" t="s">
        <v>6</v>
      </c>
      <c r="B141" t="s">
        <v>7</v>
      </c>
      <c r="C141" t="str">
        <f>Cambium22_MidCase_annual_gea!A146</f>
        <v>SRSOc</v>
      </c>
      <c r="D141" s="7">
        <f>Cambium22_MidCase_annual_gea!B146</f>
        <v>2030</v>
      </c>
      <c r="E141" s="7">
        <f>Cambium22_MidCase_annual_gea!CA146</f>
        <v>27025892</v>
      </c>
    </row>
    <row r="142" spans="1:5" x14ac:dyDescent="0.3">
      <c r="A142" t="s">
        <v>6</v>
      </c>
      <c r="B142" t="s">
        <v>7</v>
      </c>
      <c r="C142" t="str">
        <f>Cambium22_MidCase_annual_gea!A147</f>
        <v>SRSOc</v>
      </c>
      <c r="D142" s="7">
        <f>Cambium22_MidCase_annual_gea!B147</f>
        <v>2035</v>
      </c>
      <c r="E142" s="7">
        <f>Cambium22_MidCase_annual_gea!CA147</f>
        <v>22659352</v>
      </c>
    </row>
    <row r="143" spans="1:5" x14ac:dyDescent="0.3">
      <c r="A143" t="s">
        <v>6</v>
      </c>
      <c r="B143" t="s">
        <v>7</v>
      </c>
      <c r="C143" t="str">
        <f>Cambium22_MidCase_annual_gea!A148</f>
        <v>SRSOc</v>
      </c>
      <c r="D143" s="7">
        <f>Cambium22_MidCase_annual_gea!B148</f>
        <v>2040</v>
      </c>
      <c r="E143" s="7">
        <f>Cambium22_MidCase_annual_gea!CA148</f>
        <v>16157632</v>
      </c>
    </row>
    <row r="144" spans="1:5" x14ac:dyDescent="0.3">
      <c r="A144" t="s">
        <v>6</v>
      </c>
      <c r="B144" t="s">
        <v>7</v>
      </c>
      <c r="C144" t="str">
        <f>Cambium22_MidCase_annual_gea!A149</f>
        <v>SRSOc</v>
      </c>
      <c r="D144" s="7">
        <f>Cambium22_MidCase_annual_gea!B149</f>
        <v>2045</v>
      </c>
      <c r="E144" s="7">
        <f>Cambium22_MidCase_annual_gea!CA149</f>
        <v>13582934</v>
      </c>
    </row>
    <row r="145" spans="1:5" x14ac:dyDescent="0.3">
      <c r="A145" t="s">
        <v>6</v>
      </c>
      <c r="B145" t="s">
        <v>7</v>
      </c>
      <c r="C145" t="str">
        <f>Cambium22_MidCase_annual_gea!A150</f>
        <v>SRSOc</v>
      </c>
      <c r="D145" s="7">
        <f>Cambium22_MidCase_annual_gea!B150</f>
        <v>2050</v>
      </c>
      <c r="E145" s="7">
        <f>Cambium22_MidCase_annual_gea!CA150</f>
        <v>9483757</v>
      </c>
    </row>
    <row r="146" spans="1:5" x14ac:dyDescent="0.3">
      <c r="A146" t="s">
        <v>6</v>
      </c>
      <c r="B146" t="s">
        <v>7</v>
      </c>
      <c r="C146" t="str">
        <f>Cambium22_MidCase_annual_gea!A151</f>
        <v>SRTVc</v>
      </c>
      <c r="D146" s="7">
        <f>Cambium22_MidCase_annual_gea!B151</f>
        <v>2024</v>
      </c>
      <c r="E146" s="7">
        <f>Cambium22_MidCase_annual_gea!CA151</f>
        <v>68965580</v>
      </c>
    </row>
    <row r="147" spans="1:5" x14ac:dyDescent="0.3">
      <c r="A147" t="s">
        <v>6</v>
      </c>
      <c r="B147" t="s">
        <v>7</v>
      </c>
      <c r="C147" t="str">
        <f>Cambium22_MidCase_annual_gea!A152</f>
        <v>SRTVc</v>
      </c>
      <c r="D147" s="7">
        <f>Cambium22_MidCase_annual_gea!B152</f>
        <v>2026</v>
      </c>
      <c r="E147" s="7">
        <f>Cambium22_MidCase_annual_gea!CA152</f>
        <v>55396628</v>
      </c>
    </row>
    <row r="148" spans="1:5" x14ac:dyDescent="0.3">
      <c r="A148" t="s">
        <v>6</v>
      </c>
      <c r="B148" t="s">
        <v>7</v>
      </c>
      <c r="C148" t="str">
        <f>Cambium22_MidCase_annual_gea!A153</f>
        <v>SRTVc</v>
      </c>
      <c r="D148" s="7">
        <f>Cambium22_MidCase_annual_gea!B153</f>
        <v>2028</v>
      </c>
      <c r="E148" s="7">
        <f>Cambium22_MidCase_annual_gea!CA153</f>
        <v>35665920</v>
      </c>
    </row>
    <row r="149" spans="1:5" x14ac:dyDescent="0.3">
      <c r="A149" t="s">
        <v>6</v>
      </c>
      <c r="B149" t="s">
        <v>7</v>
      </c>
      <c r="C149" t="str">
        <f>Cambium22_MidCase_annual_gea!A154</f>
        <v>SRTVc</v>
      </c>
      <c r="D149" s="7">
        <f>Cambium22_MidCase_annual_gea!B154</f>
        <v>2030</v>
      </c>
      <c r="E149" s="7">
        <f>Cambium22_MidCase_annual_gea!CA154</f>
        <v>30658844</v>
      </c>
    </row>
    <row r="150" spans="1:5" x14ac:dyDescent="0.3">
      <c r="A150" t="s">
        <v>6</v>
      </c>
      <c r="B150" t="s">
        <v>7</v>
      </c>
      <c r="C150" t="str">
        <f>Cambium22_MidCase_annual_gea!A155</f>
        <v>SRTVc</v>
      </c>
      <c r="D150" s="7">
        <f>Cambium22_MidCase_annual_gea!B155</f>
        <v>2035</v>
      </c>
      <c r="E150" s="7">
        <f>Cambium22_MidCase_annual_gea!CA155</f>
        <v>22711428</v>
      </c>
    </row>
    <row r="151" spans="1:5" x14ac:dyDescent="0.3">
      <c r="A151" t="s">
        <v>6</v>
      </c>
      <c r="B151" t="s">
        <v>7</v>
      </c>
      <c r="C151" t="str">
        <f>Cambium22_MidCase_annual_gea!A156</f>
        <v>SRTVc</v>
      </c>
      <c r="D151" s="7">
        <f>Cambium22_MidCase_annual_gea!B156</f>
        <v>2040</v>
      </c>
      <c r="E151" s="7">
        <f>Cambium22_MidCase_annual_gea!CA156</f>
        <v>17182324</v>
      </c>
    </row>
    <row r="152" spans="1:5" x14ac:dyDescent="0.3">
      <c r="A152" t="s">
        <v>6</v>
      </c>
      <c r="B152" t="s">
        <v>7</v>
      </c>
      <c r="C152" t="str">
        <f>Cambium22_MidCase_annual_gea!A157</f>
        <v>SRTVc</v>
      </c>
      <c r="D152" s="7">
        <f>Cambium22_MidCase_annual_gea!B157</f>
        <v>2045</v>
      </c>
      <c r="E152" s="7">
        <f>Cambium22_MidCase_annual_gea!CA157</f>
        <v>17853986</v>
      </c>
    </row>
    <row r="153" spans="1:5" x14ac:dyDescent="0.3">
      <c r="A153" t="s">
        <v>6</v>
      </c>
      <c r="B153" t="s">
        <v>7</v>
      </c>
      <c r="C153" t="str">
        <f>Cambium22_MidCase_annual_gea!A158</f>
        <v>SRTVc</v>
      </c>
      <c r="D153" s="7">
        <f>Cambium22_MidCase_annual_gea!B158</f>
        <v>2050</v>
      </c>
      <c r="E153" s="7">
        <f>Cambium22_MidCase_annual_gea!CA158</f>
        <v>15187086</v>
      </c>
    </row>
    <row r="154" spans="1:5" x14ac:dyDescent="0.3">
      <c r="A154" t="s">
        <v>6</v>
      </c>
      <c r="B154" t="s">
        <v>7</v>
      </c>
      <c r="C154" t="str">
        <f>Cambium22_MidCase_annual_gea!A159</f>
        <v>SRVCc</v>
      </c>
      <c r="D154" s="7">
        <f>Cambium22_MidCase_annual_gea!B159</f>
        <v>2024</v>
      </c>
      <c r="E154" s="7">
        <f>Cambium22_MidCase_annual_gea!CA159</f>
        <v>41698376</v>
      </c>
    </row>
    <row r="155" spans="1:5" x14ac:dyDescent="0.3">
      <c r="A155" t="s">
        <v>6</v>
      </c>
      <c r="B155" t="s">
        <v>7</v>
      </c>
      <c r="C155" t="str">
        <f>Cambium22_MidCase_annual_gea!A160</f>
        <v>SRVCc</v>
      </c>
      <c r="D155" s="7">
        <f>Cambium22_MidCase_annual_gea!B160</f>
        <v>2026</v>
      </c>
      <c r="E155" s="7">
        <f>Cambium22_MidCase_annual_gea!CA160</f>
        <v>37369080</v>
      </c>
    </row>
    <row r="156" spans="1:5" x14ac:dyDescent="0.3">
      <c r="A156" t="s">
        <v>6</v>
      </c>
      <c r="B156" t="s">
        <v>7</v>
      </c>
      <c r="C156" t="str">
        <f>Cambium22_MidCase_annual_gea!A161</f>
        <v>SRVCc</v>
      </c>
      <c r="D156" s="7">
        <f>Cambium22_MidCase_annual_gea!B161</f>
        <v>2028</v>
      </c>
      <c r="E156" s="7">
        <f>Cambium22_MidCase_annual_gea!CA161</f>
        <v>21804506</v>
      </c>
    </row>
    <row r="157" spans="1:5" x14ac:dyDescent="0.3">
      <c r="A157" t="s">
        <v>6</v>
      </c>
      <c r="B157" t="s">
        <v>7</v>
      </c>
      <c r="C157" t="str">
        <f>Cambium22_MidCase_annual_gea!A162</f>
        <v>SRVCc</v>
      </c>
      <c r="D157" s="7">
        <f>Cambium22_MidCase_annual_gea!B162</f>
        <v>2030</v>
      </c>
      <c r="E157" s="7">
        <f>Cambium22_MidCase_annual_gea!CA162</f>
        <v>17312904</v>
      </c>
    </row>
    <row r="158" spans="1:5" x14ac:dyDescent="0.3">
      <c r="A158" t="s">
        <v>6</v>
      </c>
      <c r="B158" t="s">
        <v>7</v>
      </c>
      <c r="C158" t="str">
        <f>Cambium22_MidCase_annual_gea!A163</f>
        <v>SRVCc</v>
      </c>
      <c r="D158" s="7">
        <f>Cambium22_MidCase_annual_gea!B163</f>
        <v>2035</v>
      </c>
      <c r="E158" s="7">
        <f>Cambium22_MidCase_annual_gea!CA163</f>
        <v>8787109</v>
      </c>
    </row>
    <row r="159" spans="1:5" x14ac:dyDescent="0.3">
      <c r="A159" t="s">
        <v>6</v>
      </c>
      <c r="B159" t="s">
        <v>7</v>
      </c>
      <c r="C159" t="str">
        <f>Cambium22_MidCase_annual_gea!A164</f>
        <v>SRVCc</v>
      </c>
      <c r="D159" s="7">
        <f>Cambium22_MidCase_annual_gea!B164</f>
        <v>2040</v>
      </c>
      <c r="E159" s="7">
        <f>Cambium22_MidCase_annual_gea!CA164</f>
        <v>6132569.5</v>
      </c>
    </row>
    <row r="160" spans="1:5" x14ac:dyDescent="0.3">
      <c r="A160" t="s">
        <v>6</v>
      </c>
      <c r="B160" t="s">
        <v>7</v>
      </c>
      <c r="C160" t="str">
        <f>Cambium22_MidCase_annual_gea!A165</f>
        <v>SRVCc</v>
      </c>
      <c r="D160" s="7">
        <f>Cambium22_MidCase_annual_gea!B165</f>
        <v>2045</v>
      </c>
      <c r="E160" s="7">
        <f>Cambium22_MidCase_annual_gea!CA165</f>
        <v>4301606.5</v>
      </c>
    </row>
    <row r="161" spans="1:5" x14ac:dyDescent="0.3">
      <c r="A161" t="s">
        <v>6</v>
      </c>
      <c r="B161" t="s">
        <v>7</v>
      </c>
      <c r="C161" t="str">
        <f>Cambium22_MidCase_annual_gea!A166</f>
        <v>SRVCc</v>
      </c>
      <c r="D161" s="7">
        <f>Cambium22_MidCase_annual_gea!B166</f>
        <v>2050</v>
      </c>
      <c r="E161" s="7">
        <f>Cambium22_MidCase_annual_gea!CA166</f>
        <v>1924772.2</v>
      </c>
    </row>
  </sheetData>
  <autoFilter ref="D1:D161" xr:uid="{72830568-0CB0-4024-AA73-6513B93EB56C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6A8A-3F7F-4A8D-AC0B-12CC415B9F8C}">
  <dimension ref="A1:V161"/>
  <sheetViews>
    <sheetView topLeftCell="A124" workbookViewId="0">
      <pane xSplit="4" topLeftCell="E1" activePane="topRight" state="frozen"/>
      <selection pane="topRight" activeCell="B1" sqref="B1:B161"/>
    </sheetView>
  </sheetViews>
  <sheetFormatPr defaultRowHeight="14.4" x14ac:dyDescent="0.3"/>
  <cols>
    <col min="1" max="8" width="15.77734375" customWidth="1"/>
    <col min="9" max="17" width="15.77734375" style="5" customWidth="1"/>
    <col min="18" max="21" width="15.77734375" customWidth="1"/>
    <col min="22" max="22" width="23.88671875" customWidth="1"/>
    <col min="24" max="24" width="12" bestFit="1" customWidth="1"/>
    <col min="26" max="26" width="11" bestFit="1" customWidth="1"/>
  </cols>
  <sheetData>
    <row r="1" spans="1:22" s="4" customFormat="1" ht="28.8" x14ac:dyDescent="0.3">
      <c r="A1" s="13" t="s">
        <v>197</v>
      </c>
      <c r="B1" s="13" t="s">
        <v>177</v>
      </c>
      <c r="C1" s="8" t="s">
        <v>174</v>
      </c>
      <c r="D1" s="8" t="s">
        <v>175</v>
      </c>
      <c r="E1" s="8" t="s">
        <v>53</v>
      </c>
      <c r="F1" s="8" t="s">
        <v>63</v>
      </c>
      <c r="G1" s="8" t="s">
        <v>81</v>
      </c>
      <c r="H1" s="8" t="s">
        <v>90</v>
      </c>
      <c r="I1" s="8" t="s">
        <v>180</v>
      </c>
      <c r="J1" s="8" t="s">
        <v>181</v>
      </c>
      <c r="K1" s="8" t="s">
        <v>182</v>
      </c>
      <c r="L1" s="8" t="s">
        <v>183</v>
      </c>
      <c r="M1" s="8" t="s">
        <v>184</v>
      </c>
      <c r="N1" s="8" t="s">
        <v>185</v>
      </c>
      <c r="O1" s="8" t="s">
        <v>186</v>
      </c>
      <c r="P1" s="8" t="s">
        <v>187</v>
      </c>
      <c r="Q1" s="8" t="s">
        <v>188</v>
      </c>
      <c r="R1" s="9" t="s">
        <v>189</v>
      </c>
      <c r="S1" s="9" t="s">
        <v>190</v>
      </c>
      <c r="T1" s="9" t="s">
        <v>191</v>
      </c>
      <c r="U1" s="9" t="s">
        <v>192</v>
      </c>
      <c r="V1" s="9" t="s">
        <v>193</v>
      </c>
    </row>
    <row r="2" spans="1:22" x14ac:dyDescent="0.3">
      <c r="A2" t="s">
        <v>6</v>
      </c>
      <c r="B2" t="s">
        <v>7</v>
      </c>
      <c r="C2" t="s">
        <v>154</v>
      </c>
      <c r="D2" s="7">
        <v>2024</v>
      </c>
      <c r="E2" s="6">
        <v>0.63</v>
      </c>
      <c r="F2" s="6">
        <v>279.39999999999998</v>
      </c>
      <c r="G2" s="6">
        <v>326.89999999999998</v>
      </c>
      <c r="H2" s="6">
        <v>777.1</v>
      </c>
      <c r="I2" s="6">
        <f>proc_Cambium22_highElec_gea!AE2-proc_Cambium22_MidCase_gea!AE2</f>
        <v>2421200</v>
      </c>
      <c r="J2" s="6">
        <f>proc_Cambium22_highElec_gea!AF2-proc_Cambium22_MidCase_gea!AF2</f>
        <v>0</v>
      </c>
      <c r="K2" s="6">
        <f>proc_Cambium22_highElec_gea!AG2-proc_Cambium22_MidCase_gea!AG2</f>
        <v>-1203.5</v>
      </c>
      <c r="L2" s="6">
        <f>proc_Cambium22_highElec_gea!AH2-proc_Cambium22_MidCase_gea!AH2</f>
        <v>2422403.5</v>
      </c>
      <c r="M2" s="6">
        <f>proc_Cambium22_highElec_gea!AI2-proc_Cambium22_MidCase_gea!AI2</f>
        <v>-75468</v>
      </c>
      <c r="N2" s="6">
        <f>proc_Cambium22_highElec_gea!AJ2-proc_Cambium22_MidCase_gea!AJ2</f>
        <v>-78808</v>
      </c>
      <c r="O2" s="6">
        <f>proc_Cambium22_highElec_gea!AK2-proc_Cambium22_MidCase_gea!AK2</f>
        <v>3399.1999999999971</v>
      </c>
      <c r="P2" s="6">
        <f>proc_Cambium22_highElec_gea!AL2-proc_Cambium22_MidCase_gea!AL2</f>
        <v>-144256</v>
      </c>
      <c r="Q2" s="6">
        <f>proc_Cambium22_highElec_gea!AM2-proc_Cambium22_MidCase_gea!AM2</f>
        <v>2717523.900000006</v>
      </c>
      <c r="R2" s="11">
        <f>M2/L2</f>
        <v>-3.1154182199621162E-2</v>
      </c>
      <c r="S2" s="11">
        <f>N2/L2</f>
        <v>-3.2532978093864212E-2</v>
      </c>
      <c r="T2" s="11">
        <f>O2/L2</f>
        <v>1.4032344322487964E-3</v>
      </c>
      <c r="U2" s="11">
        <f>P2/L2</f>
        <v>-5.9550772610756218E-2</v>
      </c>
      <c r="V2" s="11">
        <f>Q2/L2</f>
        <v>1.1218295795890345</v>
      </c>
    </row>
    <row r="3" spans="1:22" x14ac:dyDescent="0.3">
      <c r="A3" t="s">
        <v>6</v>
      </c>
      <c r="B3" t="s">
        <v>7</v>
      </c>
      <c r="C3" t="s">
        <v>154</v>
      </c>
      <c r="D3" s="7">
        <v>2026</v>
      </c>
      <c r="E3" s="6">
        <v>0.69</v>
      </c>
      <c r="F3" s="6">
        <v>237.5</v>
      </c>
      <c r="G3" s="6">
        <v>193.9</v>
      </c>
      <c r="H3" s="6">
        <v>709.7</v>
      </c>
      <c r="I3" s="6">
        <f>proc_Cambium22_highElec_gea!AE3-proc_Cambium22_MidCase_gea!AE3</f>
        <v>2295920</v>
      </c>
      <c r="J3" s="6">
        <f>proc_Cambium22_highElec_gea!AF3-proc_Cambium22_MidCase_gea!AF3</f>
        <v>0</v>
      </c>
      <c r="K3" s="6">
        <f>proc_Cambium22_highElec_gea!AG3-proc_Cambium22_MidCase_gea!AG3</f>
        <v>-249</v>
      </c>
      <c r="L3" s="6">
        <f t="shared" ref="L3:L66" si="0">I3-J3-K3</f>
        <v>2296169</v>
      </c>
      <c r="M3" s="6">
        <f>proc_Cambium22_highElec_gea!AI3-proc_Cambium22_MidCase_gea!AI3</f>
        <v>734604</v>
      </c>
      <c r="N3" s="6">
        <f>proc_Cambium22_highElec_gea!AJ3-proc_Cambium22_MidCase_gea!AJ3</f>
        <v>-327586.69999999553</v>
      </c>
      <c r="O3" s="6">
        <f>proc_Cambium22_highElec_gea!AK3-proc_Cambium22_MidCase_gea!AK3</f>
        <v>-4338.2999999999993</v>
      </c>
      <c r="P3" s="6">
        <f>proc_Cambium22_highElec_gea!AL3-proc_Cambium22_MidCase_gea!AL3</f>
        <v>-36112</v>
      </c>
      <c r="Q3" s="6">
        <f>proc_Cambium22_highElec_gea!AM3-proc_Cambium22_MidCase_gea!AM3</f>
        <v>1929606.6000000089</v>
      </c>
      <c r="R3" s="11">
        <f t="shared" ref="R3:R66" si="1">M3/L3</f>
        <v>0.31992592879705284</v>
      </c>
      <c r="S3" s="11">
        <f t="shared" ref="S3:S66" si="2">N3/L3</f>
        <v>-0.14266663298737833</v>
      </c>
      <c r="T3" s="11">
        <f t="shared" ref="T3:T66" si="3">O3/L3</f>
        <v>-1.8893644152499225E-3</v>
      </c>
      <c r="U3" s="11">
        <f t="shared" ref="U3:U66" si="4">P3/L3</f>
        <v>-1.5727065385866632E-2</v>
      </c>
      <c r="V3" s="11">
        <f t="shared" ref="V3:V66" si="5">Q3/L3</f>
        <v>0.84035913732831036</v>
      </c>
    </row>
    <row r="4" spans="1:22" x14ac:dyDescent="0.3">
      <c r="A4" t="s">
        <v>6</v>
      </c>
      <c r="B4" t="s">
        <v>7</v>
      </c>
      <c r="C4" t="s">
        <v>154</v>
      </c>
      <c r="D4" s="7">
        <v>2028</v>
      </c>
      <c r="E4" s="6">
        <v>0.8</v>
      </c>
      <c r="F4" s="6">
        <v>157.9</v>
      </c>
      <c r="G4" s="6">
        <v>130.5</v>
      </c>
      <c r="H4" s="6">
        <v>576.4</v>
      </c>
      <c r="I4" s="6">
        <f>proc_Cambium22_highElec_gea!AE4-proc_Cambium22_MidCase_gea!AE4</f>
        <v>4084500</v>
      </c>
      <c r="J4" s="6">
        <f>proc_Cambium22_highElec_gea!AF4-proc_Cambium22_MidCase_gea!AF4</f>
        <v>0</v>
      </c>
      <c r="K4" s="6">
        <f>proc_Cambium22_highElec_gea!AG4-proc_Cambium22_MidCase_gea!AG4</f>
        <v>2068.6999999999825</v>
      </c>
      <c r="L4" s="6">
        <f t="shared" si="0"/>
        <v>4082431.3</v>
      </c>
      <c r="M4" s="6">
        <f>proc_Cambium22_highElec_gea!AI4-proc_Cambium22_MidCase_gea!AI4</f>
        <v>2297552</v>
      </c>
      <c r="N4" s="6">
        <f>proc_Cambium22_highElec_gea!AJ4-proc_Cambium22_MidCase_gea!AJ4</f>
        <v>1137310</v>
      </c>
      <c r="O4" s="6">
        <f>proc_Cambium22_highElec_gea!AK4-proc_Cambium22_MidCase_gea!AK4</f>
        <v>-2269.4000000000015</v>
      </c>
      <c r="P4" s="6">
        <f>proc_Cambium22_highElec_gea!AL4-proc_Cambium22_MidCase_gea!AL4</f>
        <v>125168</v>
      </c>
      <c r="Q4" s="6">
        <f>proc_Cambium22_highElec_gea!AM4-proc_Cambium22_MidCase_gea!AM4</f>
        <v>524675.90000000596</v>
      </c>
      <c r="R4" s="11">
        <f t="shared" si="1"/>
        <v>0.5627901197014632</v>
      </c>
      <c r="S4" s="11">
        <f t="shared" si="2"/>
        <v>0.27858643940928046</v>
      </c>
      <c r="T4" s="11">
        <f t="shared" si="3"/>
        <v>-5.5589422901005129E-4</v>
      </c>
      <c r="U4" s="11">
        <f t="shared" si="4"/>
        <v>3.0660160772331919E-2</v>
      </c>
      <c r="V4" s="11">
        <f t="shared" si="5"/>
        <v>0.12852044809670304</v>
      </c>
    </row>
    <row r="5" spans="1:22" x14ac:dyDescent="0.3">
      <c r="A5" t="s">
        <v>6</v>
      </c>
      <c r="B5" t="s">
        <v>7</v>
      </c>
      <c r="C5" t="s">
        <v>154</v>
      </c>
      <c r="D5" s="7">
        <v>2030</v>
      </c>
      <c r="E5" s="6">
        <v>0.84</v>
      </c>
      <c r="F5" s="6">
        <v>133.30000000000001</v>
      </c>
      <c r="G5" s="6">
        <v>103.7</v>
      </c>
      <c r="H5" s="6">
        <v>486.7</v>
      </c>
      <c r="I5" s="6">
        <f>proc_Cambium22_highElec_gea!AE5-proc_Cambium22_MidCase_gea!AE5</f>
        <v>19053960</v>
      </c>
      <c r="J5" s="6">
        <f>proc_Cambium22_highElec_gea!AF5-proc_Cambium22_MidCase_gea!AF5</f>
        <v>0</v>
      </c>
      <c r="K5" s="6">
        <f>proc_Cambium22_highElec_gea!AG5-proc_Cambium22_MidCase_gea!AG5</f>
        <v>1103</v>
      </c>
      <c r="L5" s="6">
        <f t="shared" si="0"/>
        <v>19052857</v>
      </c>
      <c r="M5" s="6">
        <f>proc_Cambium22_highElec_gea!AI5-proc_Cambium22_MidCase_gea!AI5</f>
        <v>1173924</v>
      </c>
      <c r="N5" s="6">
        <f>proc_Cambium22_highElec_gea!AJ5-proc_Cambium22_MidCase_gea!AJ5</f>
        <v>-253387.79999999702</v>
      </c>
      <c r="O5" s="6">
        <f>proc_Cambium22_highElec_gea!AK5-proc_Cambium22_MidCase_gea!AK5</f>
        <v>1010.5999999999999</v>
      </c>
      <c r="P5" s="6">
        <f>proc_Cambium22_highElec_gea!AL5-proc_Cambium22_MidCase_gea!AL5</f>
        <v>43598</v>
      </c>
      <c r="Q5" s="6">
        <f>proc_Cambium22_highElec_gea!AM5-proc_Cambium22_MidCase_gea!AM5</f>
        <v>18087717.400000006</v>
      </c>
      <c r="R5" s="11">
        <f t="shared" si="1"/>
        <v>6.1614066593792205E-2</v>
      </c>
      <c r="S5" s="11">
        <f t="shared" si="2"/>
        <v>-1.3299202319106107E-2</v>
      </c>
      <c r="T5" s="11">
        <f t="shared" si="3"/>
        <v>5.3041913871499684E-5</v>
      </c>
      <c r="U5" s="11">
        <f t="shared" si="4"/>
        <v>2.2882657440823706E-3</v>
      </c>
      <c r="V5" s="11">
        <f t="shared" si="5"/>
        <v>0.94934410099230815</v>
      </c>
    </row>
    <row r="6" spans="1:22" x14ac:dyDescent="0.3">
      <c r="A6" t="s">
        <v>6</v>
      </c>
      <c r="B6" t="s">
        <v>7</v>
      </c>
      <c r="C6" t="s">
        <v>154</v>
      </c>
      <c r="D6" s="7">
        <v>2035</v>
      </c>
      <c r="E6" s="6">
        <v>0.89</v>
      </c>
      <c r="F6" s="6">
        <v>81.900000000000006</v>
      </c>
      <c r="G6" s="6">
        <v>149.4</v>
      </c>
      <c r="H6" s="6">
        <v>398.4</v>
      </c>
      <c r="I6" s="6">
        <f>proc_Cambium22_highElec_gea!AE6-proc_Cambium22_MidCase_gea!AE6</f>
        <v>30910110</v>
      </c>
      <c r="J6" s="6">
        <f>proc_Cambium22_highElec_gea!AF6-proc_Cambium22_MidCase_gea!AF6</f>
        <v>0</v>
      </c>
      <c r="K6" s="6">
        <f>proc_Cambium22_highElec_gea!AG6-proc_Cambium22_MidCase_gea!AG6</f>
        <v>2956.3000000000175</v>
      </c>
      <c r="L6" s="6">
        <f t="shared" si="0"/>
        <v>30907153.699999999</v>
      </c>
      <c r="M6" s="6">
        <f>proc_Cambium22_highElec_gea!AI6-proc_Cambium22_MidCase_gea!AI6</f>
        <v>188640.5</v>
      </c>
      <c r="N6" s="6">
        <f>proc_Cambium22_highElec_gea!AJ6-proc_Cambium22_MidCase_gea!AJ6</f>
        <v>1162934.0999999996</v>
      </c>
      <c r="O6" s="6">
        <f>proc_Cambium22_highElec_gea!AK6-proc_Cambium22_MidCase_gea!AK6</f>
        <v>1106.7999999999993</v>
      </c>
      <c r="P6" s="6">
        <f>proc_Cambium22_highElec_gea!AL6-proc_Cambium22_MidCase_gea!AL6</f>
        <v>284058</v>
      </c>
      <c r="Q6" s="6">
        <f>proc_Cambium22_highElec_gea!AM6-proc_Cambium22_MidCase_gea!AM6</f>
        <v>29270426.800000012</v>
      </c>
      <c r="R6" s="11">
        <f t="shared" si="1"/>
        <v>6.1034575306104623E-3</v>
      </c>
      <c r="S6" s="11">
        <f t="shared" si="2"/>
        <v>3.7626696760497867E-2</v>
      </c>
      <c r="T6" s="11">
        <f t="shared" si="3"/>
        <v>3.5810479694867511E-5</v>
      </c>
      <c r="U6" s="11">
        <f t="shared" si="4"/>
        <v>9.1906877856565618E-3</v>
      </c>
      <c r="V6" s="11">
        <f t="shared" si="5"/>
        <v>0.94704375188065315</v>
      </c>
    </row>
    <row r="7" spans="1:22" x14ac:dyDescent="0.3">
      <c r="A7" t="s">
        <v>6</v>
      </c>
      <c r="B7" t="s">
        <v>7</v>
      </c>
      <c r="C7" t="s">
        <v>154</v>
      </c>
      <c r="D7" s="7">
        <v>2040</v>
      </c>
      <c r="E7" s="6">
        <v>0.94</v>
      </c>
      <c r="F7" s="6">
        <v>50.9</v>
      </c>
      <c r="G7" s="6">
        <v>190.5</v>
      </c>
      <c r="H7" s="6">
        <v>357.2</v>
      </c>
      <c r="I7" s="6">
        <f>proc_Cambium22_highElec_gea!AE7-proc_Cambium22_MidCase_gea!AE7</f>
        <v>33150210</v>
      </c>
      <c r="J7" s="6">
        <f>proc_Cambium22_highElec_gea!AF7-proc_Cambium22_MidCase_gea!AF7</f>
        <v>0</v>
      </c>
      <c r="K7" s="6">
        <f>proc_Cambium22_highElec_gea!AG7-proc_Cambium22_MidCase_gea!AG7</f>
        <v>1644.7999999999884</v>
      </c>
      <c r="L7" s="6">
        <f t="shared" si="0"/>
        <v>33148565.199999999</v>
      </c>
      <c r="M7" s="6">
        <f>proc_Cambium22_highElec_gea!AI7-proc_Cambium22_MidCase_gea!AI7</f>
        <v>761925.5</v>
      </c>
      <c r="N7" s="6">
        <f>proc_Cambium22_highElec_gea!AJ7-proc_Cambium22_MidCase_gea!AJ7</f>
        <v>3964405.6999999993</v>
      </c>
      <c r="O7" s="6">
        <f>proc_Cambium22_highElec_gea!AK7-proc_Cambium22_MidCase_gea!AK7</f>
        <v>-321.40000000000003</v>
      </c>
      <c r="P7" s="6">
        <f>proc_Cambium22_highElec_gea!AL7-proc_Cambium22_MidCase_gea!AL7</f>
        <v>-5290</v>
      </c>
      <c r="Q7" s="6">
        <f>proc_Cambium22_highElec_gea!AM7-proc_Cambium22_MidCase_gea!AM7</f>
        <v>28427854.400000006</v>
      </c>
      <c r="R7" s="11">
        <f t="shared" si="1"/>
        <v>2.2985172824312769E-2</v>
      </c>
      <c r="S7" s="11">
        <f t="shared" si="2"/>
        <v>0.11959509185634373</v>
      </c>
      <c r="T7" s="11">
        <f t="shared" si="3"/>
        <v>-9.6957439352458013E-6</v>
      </c>
      <c r="U7" s="11">
        <f t="shared" si="4"/>
        <v>-1.595845843729007E-4</v>
      </c>
      <c r="V7" s="11">
        <f t="shared" si="5"/>
        <v>0.85758928715261573</v>
      </c>
    </row>
    <row r="8" spans="1:22" x14ac:dyDescent="0.3">
      <c r="A8" t="s">
        <v>6</v>
      </c>
      <c r="B8" t="s">
        <v>7</v>
      </c>
      <c r="C8" t="s">
        <v>154</v>
      </c>
      <c r="D8" s="7">
        <v>2045</v>
      </c>
      <c r="E8" s="6">
        <v>0.95</v>
      </c>
      <c r="F8" s="6">
        <v>38</v>
      </c>
      <c r="G8" s="6">
        <v>189.5</v>
      </c>
      <c r="H8" s="6">
        <v>261.5</v>
      </c>
      <c r="I8" s="6">
        <f>proc_Cambium22_highElec_gea!AE8-proc_Cambium22_MidCase_gea!AE8</f>
        <v>33088430</v>
      </c>
      <c r="J8" s="6">
        <f>proc_Cambium22_highElec_gea!AF8-proc_Cambium22_MidCase_gea!AF8</f>
        <v>0</v>
      </c>
      <c r="K8" s="6">
        <f>proc_Cambium22_highElec_gea!AG8-proc_Cambium22_MidCase_gea!AG8</f>
        <v>2641.3999999999942</v>
      </c>
      <c r="L8" s="6">
        <f t="shared" si="0"/>
        <v>33085788.600000001</v>
      </c>
      <c r="M8" s="6">
        <f>proc_Cambium22_highElec_gea!AI8-proc_Cambium22_MidCase_gea!AI8</f>
        <v>1008711</v>
      </c>
      <c r="N8" s="6">
        <f>proc_Cambium22_highElec_gea!AJ8-proc_Cambium22_MidCase_gea!AJ8</f>
        <v>4609378.9000000004</v>
      </c>
      <c r="O8" s="6">
        <f>proc_Cambium22_highElec_gea!AK8-proc_Cambium22_MidCase_gea!AK8</f>
        <v>-71.399999999999991</v>
      </c>
      <c r="P8" s="6">
        <f>proc_Cambium22_highElec_gea!AL8-proc_Cambium22_MidCase_gea!AL8</f>
        <v>273272</v>
      </c>
      <c r="Q8" s="6">
        <f>proc_Cambium22_highElec_gea!AM8-proc_Cambium22_MidCase_gea!AM8</f>
        <v>27194502.599999994</v>
      </c>
      <c r="R8" s="11">
        <f t="shared" si="1"/>
        <v>3.0487742401884291E-2</v>
      </c>
      <c r="S8" s="11">
        <f t="shared" si="2"/>
        <v>0.13931597507698518</v>
      </c>
      <c r="T8" s="11">
        <f t="shared" si="3"/>
        <v>-2.1580262409099715E-6</v>
      </c>
      <c r="U8" s="11">
        <f t="shared" si="4"/>
        <v>8.2594978558256267E-3</v>
      </c>
      <c r="V8" s="11">
        <f t="shared" si="5"/>
        <v>0.82193907870160277</v>
      </c>
    </row>
    <row r="9" spans="1:22" x14ac:dyDescent="0.3">
      <c r="A9" t="s">
        <v>6</v>
      </c>
      <c r="B9" t="s">
        <v>7</v>
      </c>
      <c r="C9" t="s">
        <v>154</v>
      </c>
      <c r="D9" s="7">
        <v>2050</v>
      </c>
      <c r="E9" s="6">
        <v>0.94</v>
      </c>
      <c r="F9" s="6">
        <v>43</v>
      </c>
      <c r="G9" s="6">
        <v>191.9</v>
      </c>
      <c r="H9" s="6">
        <v>247.7</v>
      </c>
      <c r="I9" s="6">
        <f>proc_Cambium22_highElec_gea!AE9-proc_Cambium22_MidCase_gea!AE9</f>
        <v>59888600</v>
      </c>
      <c r="J9" s="6">
        <f>proc_Cambium22_highElec_gea!AF9-proc_Cambium22_MidCase_gea!AF9</f>
        <v>0</v>
      </c>
      <c r="K9" s="6">
        <f>proc_Cambium22_highElec_gea!AG9-proc_Cambium22_MidCase_gea!AG9</f>
        <v>-410.60000000000582</v>
      </c>
      <c r="L9" s="6">
        <f t="shared" si="0"/>
        <v>59889010.600000001</v>
      </c>
      <c r="M9" s="6">
        <f>proc_Cambium22_highElec_gea!AI9-proc_Cambium22_MidCase_gea!AI9</f>
        <v>277159.5</v>
      </c>
      <c r="N9" s="6">
        <f>proc_Cambium22_highElec_gea!AJ9-proc_Cambium22_MidCase_gea!AJ9</f>
        <v>2456072.0999999996</v>
      </c>
      <c r="O9" s="6">
        <f>proc_Cambium22_highElec_gea!AK9-proc_Cambium22_MidCase_gea!AK9</f>
        <v>-107.10000000000001</v>
      </c>
      <c r="P9" s="6">
        <f>proc_Cambium22_highElec_gea!AL9-proc_Cambium22_MidCase_gea!AL9</f>
        <v>-48318</v>
      </c>
      <c r="Q9" s="6">
        <f>proc_Cambium22_highElec_gea!AM9-proc_Cambium22_MidCase_gea!AM9</f>
        <v>57204205.900000036</v>
      </c>
      <c r="R9" s="11">
        <f t="shared" si="1"/>
        <v>4.6278857710833508E-3</v>
      </c>
      <c r="S9" s="11">
        <f t="shared" si="2"/>
        <v>4.1010396989259991E-2</v>
      </c>
      <c r="T9" s="11">
        <f t="shared" si="3"/>
        <v>-1.7883080539654132E-6</v>
      </c>
      <c r="U9" s="11">
        <f t="shared" si="4"/>
        <v>-8.067924234500544E-4</v>
      </c>
      <c r="V9" s="11">
        <f t="shared" si="5"/>
        <v>0.95517032802675883</v>
      </c>
    </row>
    <row r="10" spans="1:22" x14ac:dyDescent="0.3">
      <c r="A10" t="s">
        <v>6</v>
      </c>
      <c r="B10" t="s">
        <v>7</v>
      </c>
      <c r="C10" t="s">
        <v>155</v>
      </c>
      <c r="D10" s="7">
        <v>2024</v>
      </c>
      <c r="E10" s="6">
        <v>0.71</v>
      </c>
      <c r="F10" s="6">
        <v>144.9</v>
      </c>
      <c r="G10" s="6">
        <v>207.5</v>
      </c>
      <c r="H10" s="6">
        <v>754.3</v>
      </c>
      <c r="I10" s="6">
        <f>proc_Cambium22_highElec_gea!AE10-proc_Cambium22_MidCase_gea!AE10</f>
        <v>763680</v>
      </c>
      <c r="J10" s="6">
        <f>proc_Cambium22_highElec_gea!AF10-proc_Cambium22_MidCase_gea!AF10</f>
        <v>0</v>
      </c>
      <c r="K10" s="6">
        <f>proc_Cambium22_highElec_gea!AG10-proc_Cambium22_MidCase_gea!AG10</f>
        <v>-25645</v>
      </c>
      <c r="L10" s="6">
        <f t="shared" si="0"/>
        <v>789325</v>
      </c>
      <c r="M10" s="6">
        <f>proc_Cambium22_highElec_gea!AI10-proc_Cambium22_MidCase_gea!AI10</f>
        <v>0</v>
      </c>
      <c r="N10" s="6">
        <f>proc_Cambium22_highElec_gea!AJ10-proc_Cambium22_MidCase_gea!AJ10</f>
        <v>510325.5</v>
      </c>
      <c r="O10" s="6">
        <f>proc_Cambium22_highElec_gea!AK10-proc_Cambium22_MidCase_gea!AK10</f>
        <v>1008.6999999999989</v>
      </c>
      <c r="P10" s="6">
        <f>proc_Cambium22_highElec_gea!AL10-proc_Cambium22_MidCase_gea!AL10</f>
        <v>-81004</v>
      </c>
      <c r="Q10" s="6">
        <f>proc_Cambium22_highElec_gea!AM10-proc_Cambium22_MidCase_gea!AM10</f>
        <v>358998.59999999404</v>
      </c>
      <c r="R10" s="11">
        <f t="shared" si="1"/>
        <v>0</v>
      </c>
      <c r="S10" s="11">
        <f t="shared" si="2"/>
        <v>0.64653406391537072</v>
      </c>
      <c r="T10" s="11">
        <f t="shared" si="3"/>
        <v>1.2779273429829271E-3</v>
      </c>
      <c r="U10" s="11">
        <f t="shared" si="4"/>
        <v>-0.10262439426091914</v>
      </c>
      <c r="V10" s="11">
        <f t="shared" si="5"/>
        <v>0.45481721724257312</v>
      </c>
    </row>
    <row r="11" spans="1:22" x14ac:dyDescent="0.3">
      <c r="A11" t="s">
        <v>6</v>
      </c>
      <c r="B11" t="s">
        <v>7</v>
      </c>
      <c r="C11" t="s">
        <v>155</v>
      </c>
      <c r="D11" s="7">
        <v>2026</v>
      </c>
      <c r="E11" s="6">
        <v>0.74</v>
      </c>
      <c r="F11" s="6">
        <v>129.19999999999999</v>
      </c>
      <c r="G11" s="6">
        <v>118.9</v>
      </c>
      <c r="H11" s="6">
        <v>694.9</v>
      </c>
      <c r="I11" s="6">
        <f>proc_Cambium22_highElec_gea!AE11-proc_Cambium22_MidCase_gea!AE11</f>
        <v>2512160</v>
      </c>
      <c r="J11" s="6">
        <f>proc_Cambium22_highElec_gea!AF11-proc_Cambium22_MidCase_gea!AF11</f>
        <v>0</v>
      </c>
      <c r="K11" s="6">
        <f>proc_Cambium22_highElec_gea!AG11-proc_Cambium22_MidCase_gea!AG11</f>
        <v>-3845.5</v>
      </c>
      <c r="L11" s="6">
        <f t="shared" si="0"/>
        <v>2516005.5</v>
      </c>
      <c r="M11" s="6">
        <f>proc_Cambium22_highElec_gea!AI11-proc_Cambium22_MidCase_gea!AI11</f>
        <v>0</v>
      </c>
      <c r="N11" s="6">
        <f>proc_Cambium22_highElec_gea!AJ11-proc_Cambium22_MidCase_gea!AJ11</f>
        <v>-1014194.1000000015</v>
      </c>
      <c r="O11" s="6">
        <f>proc_Cambium22_highElec_gea!AK11-proc_Cambium22_MidCase_gea!AK11</f>
        <v>-565.89999999999964</v>
      </c>
      <c r="P11" s="6">
        <f>proc_Cambium22_highElec_gea!AL11-proc_Cambium22_MidCase_gea!AL11</f>
        <v>-16802</v>
      </c>
      <c r="Q11" s="6">
        <f>proc_Cambium22_highElec_gea!AM11-proc_Cambium22_MidCase_gea!AM11</f>
        <v>3547554.7999999821</v>
      </c>
      <c r="R11" s="11">
        <f t="shared" si="1"/>
        <v>0</v>
      </c>
      <c r="S11" s="11">
        <f t="shared" si="2"/>
        <v>-0.40309693281672138</v>
      </c>
      <c r="T11" s="11">
        <f t="shared" si="3"/>
        <v>-2.2492001706673521E-4</v>
      </c>
      <c r="U11" s="11">
        <f t="shared" si="4"/>
        <v>-6.6780458150826781E-3</v>
      </c>
      <c r="V11" s="11">
        <f t="shared" si="5"/>
        <v>1.4099948509651439</v>
      </c>
    </row>
    <row r="12" spans="1:22" x14ac:dyDescent="0.3">
      <c r="A12" t="s">
        <v>6</v>
      </c>
      <c r="B12" t="s">
        <v>7</v>
      </c>
      <c r="C12" t="s">
        <v>155</v>
      </c>
      <c r="D12" s="7">
        <v>2028</v>
      </c>
      <c r="E12" s="6">
        <v>0.82</v>
      </c>
      <c r="F12" s="6">
        <v>88.6</v>
      </c>
      <c r="G12" s="6">
        <v>62.8</v>
      </c>
      <c r="H12" s="6">
        <v>590.4</v>
      </c>
      <c r="I12" s="6">
        <f>proc_Cambium22_highElec_gea!AE12-proc_Cambium22_MidCase_gea!AE12</f>
        <v>15511140</v>
      </c>
      <c r="J12" s="6">
        <f>proc_Cambium22_highElec_gea!AF12-proc_Cambium22_MidCase_gea!AF12</f>
        <v>0</v>
      </c>
      <c r="K12" s="6">
        <f>proc_Cambium22_highElec_gea!AG12-proc_Cambium22_MidCase_gea!AG12</f>
        <v>28234</v>
      </c>
      <c r="L12" s="6">
        <f t="shared" si="0"/>
        <v>15482906</v>
      </c>
      <c r="M12" s="6">
        <f>proc_Cambium22_highElec_gea!AI12-proc_Cambium22_MidCase_gea!AI12</f>
        <v>0</v>
      </c>
      <c r="N12" s="6">
        <f>proc_Cambium22_highElec_gea!AJ12-proc_Cambium22_MidCase_gea!AJ12</f>
        <v>1952604.3999999985</v>
      </c>
      <c r="O12" s="6">
        <f>proc_Cambium22_highElec_gea!AK12-proc_Cambium22_MidCase_gea!AK12</f>
        <v>1140.8999999999996</v>
      </c>
      <c r="P12" s="6">
        <f>proc_Cambium22_highElec_gea!AL12-proc_Cambium22_MidCase_gea!AL12</f>
        <v>108068</v>
      </c>
      <c r="Q12" s="6">
        <f>proc_Cambium22_highElec_gea!AM12-proc_Cambium22_MidCase_gea!AM12</f>
        <v>13421119.900000006</v>
      </c>
      <c r="R12" s="11">
        <f t="shared" si="1"/>
        <v>0</v>
      </c>
      <c r="S12" s="11">
        <f t="shared" si="2"/>
        <v>0.12611356033550797</v>
      </c>
      <c r="T12" s="11">
        <f t="shared" si="3"/>
        <v>7.3687717279947299E-5</v>
      </c>
      <c r="U12" s="11">
        <f t="shared" si="4"/>
        <v>6.9798266552803462E-3</v>
      </c>
      <c r="V12" s="11">
        <f t="shared" si="5"/>
        <v>0.86683468206808245</v>
      </c>
    </row>
    <row r="13" spans="1:22" x14ac:dyDescent="0.3">
      <c r="A13" t="s">
        <v>6</v>
      </c>
      <c r="B13" t="s">
        <v>7</v>
      </c>
      <c r="C13" t="s">
        <v>155</v>
      </c>
      <c r="D13" s="7">
        <v>2030</v>
      </c>
      <c r="E13" s="6">
        <v>0.89</v>
      </c>
      <c r="F13" s="6">
        <v>55.9</v>
      </c>
      <c r="G13" s="6">
        <v>39.9</v>
      </c>
      <c r="H13" s="6">
        <v>494.5</v>
      </c>
      <c r="I13" s="6">
        <f>proc_Cambium22_highElec_gea!AE13-proc_Cambium22_MidCase_gea!AE13</f>
        <v>10619040</v>
      </c>
      <c r="J13" s="6">
        <f>proc_Cambium22_highElec_gea!AF13-proc_Cambium22_MidCase_gea!AF13</f>
        <v>0</v>
      </c>
      <c r="K13" s="6">
        <f>proc_Cambium22_highElec_gea!AG13-proc_Cambium22_MidCase_gea!AG13</f>
        <v>25934.5</v>
      </c>
      <c r="L13" s="6">
        <f t="shared" si="0"/>
        <v>10593105.5</v>
      </c>
      <c r="M13" s="6">
        <f>proc_Cambium22_highElec_gea!AI13-proc_Cambium22_MidCase_gea!AI13</f>
        <v>0</v>
      </c>
      <c r="N13" s="6">
        <f>proc_Cambium22_highElec_gea!AJ13-proc_Cambium22_MidCase_gea!AJ13</f>
        <v>-151739.39999999851</v>
      </c>
      <c r="O13" s="6">
        <f>proc_Cambium22_highElec_gea!AK13-proc_Cambium22_MidCase_gea!AK13</f>
        <v>4774</v>
      </c>
      <c r="P13" s="6">
        <f>proc_Cambium22_highElec_gea!AL13-proc_Cambium22_MidCase_gea!AL13</f>
        <v>0</v>
      </c>
      <c r="Q13" s="6">
        <f>proc_Cambium22_highElec_gea!AM13-proc_Cambium22_MidCase_gea!AM13</f>
        <v>10740058.899999976</v>
      </c>
      <c r="R13" s="11">
        <f t="shared" si="1"/>
        <v>0</v>
      </c>
      <c r="S13" s="11">
        <f t="shared" si="2"/>
        <v>-1.4324354647463721E-2</v>
      </c>
      <c r="T13" s="11">
        <f t="shared" si="3"/>
        <v>4.5067048562860061E-4</v>
      </c>
      <c r="U13" s="11">
        <f t="shared" si="4"/>
        <v>0</v>
      </c>
      <c r="V13" s="11">
        <f t="shared" si="5"/>
        <v>1.0138725513495523</v>
      </c>
    </row>
    <row r="14" spans="1:22" x14ac:dyDescent="0.3">
      <c r="A14" t="s">
        <v>6</v>
      </c>
      <c r="B14" t="s">
        <v>7</v>
      </c>
      <c r="C14" t="s">
        <v>155</v>
      </c>
      <c r="D14" s="7">
        <v>2035</v>
      </c>
      <c r="E14" s="6">
        <v>0.93</v>
      </c>
      <c r="F14" s="6">
        <v>33.5</v>
      </c>
      <c r="G14" s="6">
        <v>42.5</v>
      </c>
      <c r="H14" s="6">
        <v>409.2</v>
      </c>
      <c r="I14" s="6">
        <f>proc_Cambium22_highElec_gea!AE14-proc_Cambium22_MidCase_gea!AE14</f>
        <v>18496160</v>
      </c>
      <c r="J14" s="6">
        <f>proc_Cambium22_highElec_gea!AF14-proc_Cambium22_MidCase_gea!AF14</f>
        <v>0</v>
      </c>
      <c r="K14" s="6">
        <f>proc_Cambium22_highElec_gea!AG14-proc_Cambium22_MidCase_gea!AG14</f>
        <v>63534.399999999907</v>
      </c>
      <c r="L14" s="6">
        <f t="shared" si="0"/>
        <v>18432625.600000001</v>
      </c>
      <c r="M14" s="6">
        <f>proc_Cambium22_highElec_gea!AI14-proc_Cambium22_MidCase_gea!AI14</f>
        <v>0</v>
      </c>
      <c r="N14" s="6">
        <f>proc_Cambium22_highElec_gea!AJ14-proc_Cambium22_MidCase_gea!AJ14</f>
        <v>1549542.3999999985</v>
      </c>
      <c r="O14" s="6">
        <f>proc_Cambium22_highElec_gea!AK14-proc_Cambium22_MidCase_gea!AK14</f>
        <v>6210.5999999999995</v>
      </c>
      <c r="P14" s="6">
        <f>proc_Cambium22_highElec_gea!AL14-proc_Cambium22_MidCase_gea!AL14</f>
        <v>0</v>
      </c>
      <c r="Q14" s="6">
        <f>proc_Cambium22_highElec_gea!AM14-proc_Cambium22_MidCase_gea!AM14</f>
        <v>16876898.800000012</v>
      </c>
      <c r="R14" s="11">
        <f t="shared" si="1"/>
        <v>0</v>
      </c>
      <c r="S14" s="11">
        <f t="shared" si="2"/>
        <v>8.4065202300859315E-2</v>
      </c>
      <c r="T14" s="11">
        <f t="shared" si="3"/>
        <v>3.3693517867579314E-4</v>
      </c>
      <c r="U14" s="11">
        <f t="shared" si="4"/>
        <v>0</v>
      </c>
      <c r="V14" s="11">
        <f t="shared" si="5"/>
        <v>0.91559928391319412</v>
      </c>
    </row>
    <row r="15" spans="1:22" x14ac:dyDescent="0.3">
      <c r="A15" t="s">
        <v>6</v>
      </c>
      <c r="B15" t="s">
        <v>7</v>
      </c>
      <c r="C15" t="s">
        <v>155</v>
      </c>
      <c r="D15" s="7">
        <v>2040</v>
      </c>
      <c r="E15" s="6">
        <v>0.96</v>
      </c>
      <c r="F15" s="6">
        <v>18.5</v>
      </c>
      <c r="G15" s="6">
        <v>20.9</v>
      </c>
      <c r="H15" s="6">
        <v>376.1</v>
      </c>
      <c r="I15" s="6">
        <f>proc_Cambium22_highElec_gea!AE15-proc_Cambium22_MidCase_gea!AE15</f>
        <v>82905780</v>
      </c>
      <c r="J15" s="6">
        <f>proc_Cambium22_highElec_gea!AF15-proc_Cambium22_MidCase_gea!AF15</f>
        <v>0</v>
      </c>
      <c r="K15" s="6">
        <f>proc_Cambium22_highElec_gea!AG15-proc_Cambium22_MidCase_gea!AG15</f>
        <v>19883.5</v>
      </c>
      <c r="L15" s="6">
        <f t="shared" si="0"/>
        <v>82885896.5</v>
      </c>
      <c r="M15" s="6">
        <f>proc_Cambium22_highElec_gea!AI15-proc_Cambium22_MidCase_gea!AI15</f>
        <v>0</v>
      </c>
      <c r="N15" s="6">
        <f>proc_Cambium22_highElec_gea!AJ15-proc_Cambium22_MidCase_gea!AJ15</f>
        <v>5586257.6999999993</v>
      </c>
      <c r="O15" s="6">
        <f>proc_Cambium22_highElec_gea!AK15-proc_Cambium22_MidCase_gea!AK15</f>
        <v>2084.8000000000002</v>
      </c>
      <c r="P15" s="6">
        <f>proc_Cambium22_highElec_gea!AL15-proc_Cambium22_MidCase_gea!AL15</f>
        <v>0</v>
      </c>
      <c r="Q15" s="6">
        <f>proc_Cambium22_highElec_gea!AM15-proc_Cambium22_MidCase_gea!AM15</f>
        <v>77297545.199999988</v>
      </c>
      <c r="R15" s="11">
        <f t="shared" si="1"/>
        <v>0</v>
      </c>
      <c r="S15" s="11">
        <f t="shared" si="2"/>
        <v>6.7396963004435859E-2</v>
      </c>
      <c r="T15" s="11">
        <f t="shared" si="3"/>
        <v>2.5152650668379998E-5</v>
      </c>
      <c r="U15" s="11">
        <f t="shared" si="4"/>
        <v>0</v>
      </c>
      <c r="V15" s="11">
        <f t="shared" si="5"/>
        <v>0.93257777817484289</v>
      </c>
    </row>
    <row r="16" spans="1:22" x14ac:dyDescent="0.3">
      <c r="A16" t="s">
        <v>6</v>
      </c>
      <c r="B16" t="s">
        <v>7</v>
      </c>
      <c r="C16" t="s">
        <v>155</v>
      </c>
      <c r="D16" s="7">
        <v>2045</v>
      </c>
      <c r="E16" s="6">
        <v>0.97</v>
      </c>
      <c r="F16" s="6">
        <v>13.4</v>
      </c>
      <c r="G16" s="6">
        <v>8.5</v>
      </c>
      <c r="H16" s="6">
        <v>279.7</v>
      </c>
      <c r="I16" s="6">
        <f>proc_Cambium22_highElec_gea!AE16-proc_Cambium22_MidCase_gea!AE16</f>
        <v>145886130</v>
      </c>
      <c r="J16" s="6">
        <f>proc_Cambium22_highElec_gea!AF16-proc_Cambium22_MidCase_gea!AF16</f>
        <v>0</v>
      </c>
      <c r="K16" s="6">
        <f>proc_Cambium22_highElec_gea!AG16-proc_Cambium22_MidCase_gea!AG16</f>
        <v>59776.800000000047</v>
      </c>
      <c r="L16" s="6">
        <f t="shared" si="0"/>
        <v>145826353.19999999</v>
      </c>
      <c r="M16" s="6">
        <f>proc_Cambium22_highElec_gea!AI16-proc_Cambium22_MidCase_gea!AI16</f>
        <v>0</v>
      </c>
      <c r="N16" s="6">
        <f>proc_Cambium22_highElec_gea!AJ16-proc_Cambium22_MidCase_gea!AJ16</f>
        <v>7224543.7999999989</v>
      </c>
      <c r="O16" s="6">
        <f>proc_Cambium22_highElec_gea!AK16-proc_Cambium22_MidCase_gea!AK16</f>
        <v>340.79999999999995</v>
      </c>
      <c r="P16" s="6">
        <f>proc_Cambium22_highElec_gea!AL16-proc_Cambium22_MidCase_gea!AL16</f>
        <v>0</v>
      </c>
      <c r="Q16" s="6">
        <f>proc_Cambium22_highElec_gea!AM16-proc_Cambium22_MidCase_gea!AM16</f>
        <v>138601430</v>
      </c>
      <c r="R16" s="11">
        <f t="shared" si="1"/>
        <v>0</v>
      </c>
      <c r="S16" s="11">
        <f t="shared" si="2"/>
        <v>4.9542100186045109E-2</v>
      </c>
      <c r="T16" s="11">
        <f t="shared" si="3"/>
        <v>2.3370261445994933E-6</v>
      </c>
      <c r="U16" s="11">
        <f t="shared" si="4"/>
        <v>0</v>
      </c>
      <c r="V16" s="11">
        <f t="shared" si="5"/>
        <v>0.95045529808942664</v>
      </c>
    </row>
    <row r="17" spans="1:22" x14ac:dyDescent="0.3">
      <c r="A17" t="s">
        <v>6</v>
      </c>
      <c r="B17" t="s">
        <v>7</v>
      </c>
      <c r="C17" t="s">
        <v>155</v>
      </c>
      <c r="D17" s="7">
        <v>2050</v>
      </c>
      <c r="E17" s="6">
        <v>0.96</v>
      </c>
      <c r="F17" s="6">
        <v>17.600000000000001</v>
      </c>
      <c r="G17" s="6">
        <v>0</v>
      </c>
      <c r="H17" s="6">
        <v>287.3</v>
      </c>
      <c r="I17" s="6">
        <f>proc_Cambium22_highElec_gea!AE17-proc_Cambium22_MidCase_gea!AE17</f>
        <v>205663100</v>
      </c>
      <c r="J17" s="6">
        <f>proc_Cambium22_highElec_gea!AF17-proc_Cambium22_MidCase_gea!AF17</f>
        <v>0</v>
      </c>
      <c r="K17" s="6">
        <f>proc_Cambium22_highElec_gea!AG17-proc_Cambium22_MidCase_gea!AG17</f>
        <v>-11979.800000000047</v>
      </c>
      <c r="L17" s="6">
        <f t="shared" si="0"/>
        <v>205675079.80000001</v>
      </c>
      <c r="M17" s="6">
        <f>proc_Cambium22_highElec_gea!AI17-proc_Cambium22_MidCase_gea!AI17</f>
        <v>0</v>
      </c>
      <c r="N17" s="6">
        <f>proc_Cambium22_highElec_gea!AJ17-proc_Cambium22_MidCase_gea!AJ17</f>
        <v>4113656.5</v>
      </c>
      <c r="O17" s="6">
        <f>proc_Cambium22_highElec_gea!AK17-proc_Cambium22_MidCase_gea!AK17</f>
        <v>-675</v>
      </c>
      <c r="P17" s="6">
        <f>proc_Cambium22_highElec_gea!AL17-proc_Cambium22_MidCase_gea!AL17</f>
        <v>0</v>
      </c>
      <c r="Q17" s="6">
        <f>proc_Cambium22_highElec_gea!AM17-proc_Cambium22_MidCase_gea!AM17</f>
        <v>201562088</v>
      </c>
      <c r="R17" s="11">
        <f t="shared" si="1"/>
        <v>0</v>
      </c>
      <c r="S17" s="11">
        <f t="shared" si="2"/>
        <v>2.0000753149093952E-2</v>
      </c>
      <c r="T17" s="11">
        <f t="shared" si="3"/>
        <v>-3.281875473958124E-6</v>
      </c>
      <c r="U17" s="11">
        <f t="shared" si="4"/>
        <v>0</v>
      </c>
      <c r="V17" s="11">
        <f t="shared" si="5"/>
        <v>0.98000247864739121</v>
      </c>
    </row>
    <row r="18" spans="1:22" x14ac:dyDescent="0.3">
      <c r="A18" t="s">
        <v>6</v>
      </c>
      <c r="B18" t="s">
        <v>7</v>
      </c>
      <c r="C18" t="s">
        <v>156</v>
      </c>
      <c r="D18" s="7">
        <v>2024</v>
      </c>
      <c r="E18" s="6">
        <v>0.6</v>
      </c>
      <c r="F18" s="6">
        <v>272.2</v>
      </c>
      <c r="G18" s="6">
        <v>294</v>
      </c>
      <c r="H18" s="6">
        <v>655.20000000000005</v>
      </c>
      <c r="I18" s="6">
        <f>proc_Cambium22_highElec_gea!AE18-proc_Cambium22_MidCase_gea!AE18</f>
        <v>378790</v>
      </c>
      <c r="J18" s="6">
        <f>proc_Cambium22_highElec_gea!AF18-proc_Cambium22_MidCase_gea!AF18</f>
        <v>0</v>
      </c>
      <c r="K18" s="6">
        <f>proc_Cambium22_highElec_gea!AG18-proc_Cambium22_MidCase_gea!AG18</f>
        <v>1392.3000000000466</v>
      </c>
      <c r="L18" s="6">
        <f t="shared" si="0"/>
        <v>377397.69999999995</v>
      </c>
      <c r="M18" s="6">
        <f>proc_Cambium22_highElec_gea!AI18-proc_Cambium22_MidCase_gea!AI18</f>
        <v>879080</v>
      </c>
      <c r="N18" s="6">
        <f>proc_Cambium22_highElec_gea!AJ18-proc_Cambium22_MidCase_gea!AJ18</f>
        <v>78809.29999999702</v>
      </c>
      <c r="O18" s="6">
        <f>proc_Cambium22_highElec_gea!AK18-proc_Cambium22_MidCase_gea!AK18</f>
        <v>-89975</v>
      </c>
      <c r="P18" s="6">
        <f>proc_Cambium22_highElec_gea!AL18-proc_Cambium22_MidCase_gea!AL18</f>
        <v>-11402</v>
      </c>
      <c r="Q18" s="6">
        <f>proc_Cambium22_highElec_gea!AM18-proc_Cambium22_MidCase_gea!AM18</f>
        <v>-479147.89999997616</v>
      </c>
      <c r="R18" s="11">
        <f t="shared" si="1"/>
        <v>2.3293199720083089</v>
      </c>
      <c r="S18" s="11">
        <f t="shared" si="2"/>
        <v>0.20882294725165795</v>
      </c>
      <c r="T18" s="11">
        <f t="shared" si="3"/>
        <v>-0.23840897811512898</v>
      </c>
      <c r="U18" s="11">
        <f t="shared" si="4"/>
        <v>-3.0212160805431515E-2</v>
      </c>
      <c r="V18" s="11">
        <f t="shared" si="5"/>
        <v>-1.2696100161712067</v>
      </c>
    </row>
    <row r="19" spans="1:22" x14ac:dyDescent="0.3">
      <c r="A19" t="s">
        <v>6</v>
      </c>
      <c r="B19" t="s">
        <v>7</v>
      </c>
      <c r="C19" t="s">
        <v>156</v>
      </c>
      <c r="D19" s="7">
        <v>2026</v>
      </c>
      <c r="E19" s="6">
        <v>0.7</v>
      </c>
      <c r="F19" s="6">
        <v>191.9</v>
      </c>
      <c r="G19" s="6">
        <v>189.3</v>
      </c>
      <c r="H19" s="6">
        <v>562.4</v>
      </c>
      <c r="I19" s="6">
        <f>proc_Cambium22_highElec_gea!AE19-proc_Cambium22_MidCase_gea!AE19</f>
        <v>4733300</v>
      </c>
      <c r="J19" s="6">
        <f>proc_Cambium22_highElec_gea!AF19-proc_Cambium22_MidCase_gea!AF19</f>
        <v>0</v>
      </c>
      <c r="K19" s="6">
        <f>proc_Cambium22_highElec_gea!AG19-proc_Cambium22_MidCase_gea!AG19</f>
        <v>8964.2999999999884</v>
      </c>
      <c r="L19" s="6">
        <f t="shared" si="0"/>
        <v>4724335.7</v>
      </c>
      <c r="M19" s="6">
        <f>proc_Cambium22_highElec_gea!AI19-proc_Cambium22_MidCase_gea!AI19</f>
        <v>3300148</v>
      </c>
      <c r="N19" s="6">
        <f>proc_Cambium22_highElec_gea!AJ19-proc_Cambium22_MidCase_gea!AJ19</f>
        <v>-3900966</v>
      </c>
      <c r="O19" s="6">
        <f>proc_Cambium22_highElec_gea!AK19-proc_Cambium22_MidCase_gea!AK19</f>
        <v>-277945.29999999993</v>
      </c>
      <c r="P19" s="6">
        <f>proc_Cambium22_highElec_gea!AL19-proc_Cambium22_MidCase_gea!AL19</f>
        <v>182344</v>
      </c>
      <c r="Q19" s="6">
        <f>proc_Cambium22_highElec_gea!AM19-proc_Cambium22_MidCase_gea!AM19</f>
        <v>5420799.2000000179</v>
      </c>
      <c r="R19" s="11">
        <f t="shared" si="1"/>
        <v>0.69854223102731672</v>
      </c>
      <c r="S19" s="11">
        <f t="shared" si="2"/>
        <v>-0.82571735958560266</v>
      </c>
      <c r="T19" s="11">
        <f t="shared" si="3"/>
        <v>-5.8832673554506283E-2</v>
      </c>
      <c r="U19" s="11">
        <f t="shared" si="4"/>
        <v>3.8596749168353976E-2</v>
      </c>
      <c r="V19" s="11">
        <f t="shared" si="5"/>
        <v>1.1474204087571545</v>
      </c>
    </row>
    <row r="20" spans="1:22" x14ac:dyDescent="0.3">
      <c r="A20" t="s">
        <v>6</v>
      </c>
      <c r="B20" t="s">
        <v>7</v>
      </c>
      <c r="C20" t="s">
        <v>156</v>
      </c>
      <c r="D20" s="7">
        <v>2028</v>
      </c>
      <c r="E20" s="6">
        <v>0.82</v>
      </c>
      <c r="F20" s="6">
        <v>110</v>
      </c>
      <c r="G20" s="6">
        <v>73.400000000000006</v>
      </c>
      <c r="H20" s="6">
        <v>431.9</v>
      </c>
      <c r="I20" s="6">
        <f>proc_Cambium22_highElec_gea!AE20-proc_Cambium22_MidCase_gea!AE20</f>
        <v>9975330</v>
      </c>
      <c r="J20" s="6">
        <f>proc_Cambium22_highElec_gea!AF20-proc_Cambium22_MidCase_gea!AF20</f>
        <v>0</v>
      </c>
      <c r="K20" s="6">
        <f>proc_Cambium22_highElec_gea!AG20-proc_Cambium22_MidCase_gea!AG20</f>
        <v>10397.899999999965</v>
      </c>
      <c r="L20" s="6">
        <f t="shared" si="0"/>
        <v>9964932.0999999996</v>
      </c>
      <c r="M20" s="6">
        <f>proc_Cambium22_highElec_gea!AI20-proc_Cambium22_MidCase_gea!AI20</f>
        <v>2283618</v>
      </c>
      <c r="N20" s="6">
        <f>proc_Cambium22_highElec_gea!AJ20-proc_Cambium22_MidCase_gea!AJ20</f>
        <v>-1090743.799999997</v>
      </c>
      <c r="O20" s="6">
        <f>proc_Cambium22_highElec_gea!AK20-proc_Cambium22_MidCase_gea!AK20</f>
        <v>-57365.199999999953</v>
      </c>
      <c r="P20" s="6">
        <f>proc_Cambium22_highElec_gea!AL20-proc_Cambium22_MidCase_gea!AL20</f>
        <v>262420</v>
      </c>
      <c r="Q20" s="6">
        <f>proc_Cambium22_highElec_gea!AM20-proc_Cambium22_MidCase_gea!AM20</f>
        <v>8567009.6000000238</v>
      </c>
      <c r="R20" s="11">
        <f t="shared" si="1"/>
        <v>0.22916543505600004</v>
      </c>
      <c r="S20" s="11">
        <f t="shared" si="2"/>
        <v>-0.10945822701591686</v>
      </c>
      <c r="T20" s="11">
        <f t="shared" si="3"/>
        <v>-5.7567075645201795E-3</v>
      </c>
      <c r="U20" s="11">
        <f t="shared" si="4"/>
        <v>2.6334349031841373E-2</v>
      </c>
      <c r="V20" s="11">
        <f t="shared" si="5"/>
        <v>0.85971580278003346</v>
      </c>
    </row>
    <row r="21" spans="1:22" x14ac:dyDescent="0.3">
      <c r="A21" t="s">
        <v>6</v>
      </c>
      <c r="B21" t="s">
        <v>7</v>
      </c>
      <c r="C21" t="s">
        <v>156</v>
      </c>
      <c r="D21" s="7">
        <v>2030</v>
      </c>
      <c r="E21" s="6">
        <v>0.87</v>
      </c>
      <c r="F21" s="6">
        <v>76.7</v>
      </c>
      <c r="G21" s="6">
        <v>40</v>
      </c>
      <c r="H21" s="6">
        <v>377</v>
      </c>
      <c r="I21" s="6">
        <f>proc_Cambium22_highElec_gea!AE21-proc_Cambium22_MidCase_gea!AE21</f>
        <v>13135080</v>
      </c>
      <c r="J21" s="6">
        <f>proc_Cambium22_highElec_gea!AF21-proc_Cambium22_MidCase_gea!AF21</f>
        <v>0</v>
      </c>
      <c r="K21" s="6">
        <f>proc_Cambium22_highElec_gea!AG21-proc_Cambium22_MidCase_gea!AG21</f>
        <v>1497.4000000000233</v>
      </c>
      <c r="L21" s="6">
        <f t="shared" si="0"/>
        <v>13133582.6</v>
      </c>
      <c r="M21" s="6">
        <f>proc_Cambium22_highElec_gea!AI21-proc_Cambium22_MidCase_gea!AI21</f>
        <v>858834</v>
      </c>
      <c r="N21" s="6">
        <f>proc_Cambium22_highElec_gea!AJ21-proc_Cambium22_MidCase_gea!AJ21</f>
        <v>-3792297.1000000015</v>
      </c>
      <c r="O21" s="6">
        <f>proc_Cambium22_highElec_gea!AK21-proc_Cambium22_MidCase_gea!AK21</f>
        <v>-24745.800000000047</v>
      </c>
      <c r="P21" s="6">
        <f>proc_Cambium22_highElec_gea!AL21-proc_Cambium22_MidCase_gea!AL21</f>
        <v>79024</v>
      </c>
      <c r="Q21" s="6">
        <f>proc_Cambium22_highElec_gea!AM21-proc_Cambium22_MidCase_gea!AM21</f>
        <v>16012785.5</v>
      </c>
      <c r="R21" s="11">
        <f t="shared" si="1"/>
        <v>6.5392210652407981E-2</v>
      </c>
      <c r="S21" s="11">
        <f t="shared" si="2"/>
        <v>-0.28874810594330913</v>
      </c>
      <c r="T21" s="11">
        <f t="shared" si="3"/>
        <v>-1.8841622087182859E-3</v>
      </c>
      <c r="U21" s="11">
        <f t="shared" si="4"/>
        <v>6.0169416378437366E-3</v>
      </c>
      <c r="V21" s="11">
        <f t="shared" si="5"/>
        <v>1.2192244863941391</v>
      </c>
    </row>
    <row r="22" spans="1:22" x14ac:dyDescent="0.3">
      <c r="A22" t="s">
        <v>6</v>
      </c>
      <c r="B22" t="s">
        <v>7</v>
      </c>
      <c r="C22" t="s">
        <v>156</v>
      </c>
      <c r="D22" s="7">
        <v>2035</v>
      </c>
      <c r="E22" s="6">
        <v>0.91</v>
      </c>
      <c r="F22" s="6">
        <v>53.7</v>
      </c>
      <c r="G22" s="6">
        <v>69.599999999999994</v>
      </c>
      <c r="H22" s="6">
        <v>331.2</v>
      </c>
      <c r="I22" s="6">
        <f>proc_Cambium22_highElec_gea!AE22-proc_Cambium22_MidCase_gea!AE22</f>
        <v>37299760</v>
      </c>
      <c r="J22" s="6">
        <f>proc_Cambium22_highElec_gea!AF22-proc_Cambium22_MidCase_gea!AF22</f>
        <v>0</v>
      </c>
      <c r="K22" s="6">
        <f>proc_Cambium22_highElec_gea!AG22-proc_Cambium22_MidCase_gea!AG22</f>
        <v>23964</v>
      </c>
      <c r="L22" s="6">
        <f t="shared" si="0"/>
        <v>37275796</v>
      </c>
      <c r="M22" s="6">
        <f>proc_Cambium22_highElec_gea!AI22-proc_Cambium22_MidCase_gea!AI22</f>
        <v>2241305</v>
      </c>
      <c r="N22" s="6">
        <f>proc_Cambium22_highElec_gea!AJ22-proc_Cambium22_MidCase_gea!AJ22</f>
        <v>744502.19999999553</v>
      </c>
      <c r="O22" s="6">
        <f>proc_Cambium22_highElec_gea!AK22-proc_Cambium22_MidCase_gea!AK22</f>
        <v>-94398</v>
      </c>
      <c r="P22" s="6">
        <f>proc_Cambium22_highElec_gea!AL22-proc_Cambium22_MidCase_gea!AL22</f>
        <v>370234</v>
      </c>
      <c r="Q22" s="6">
        <f>proc_Cambium22_highElec_gea!AM22-proc_Cambium22_MidCase_gea!AM22</f>
        <v>34014155.899999976</v>
      </c>
      <c r="R22" s="11">
        <f t="shared" si="1"/>
        <v>6.0127622760892889E-2</v>
      </c>
      <c r="S22" s="11">
        <f t="shared" si="2"/>
        <v>1.9972804873167445E-2</v>
      </c>
      <c r="T22" s="11">
        <f t="shared" si="3"/>
        <v>-2.5324207697670627E-3</v>
      </c>
      <c r="U22" s="11">
        <f t="shared" si="4"/>
        <v>9.9322895747149167E-3</v>
      </c>
      <c r="V22" s="11">
        <f t="shared" si="5"/>
        <v>0.91249978672487575</v>
      </c>
    </row>
    <row r="23" spans="1:22" x14ac:dyDescent="0.3">
      <c r="A23" t="s">
        <v>6</v>
      </c>
      <c r="B23" t="s">
        <v>7</v>
      </c>
      <c r="C23" t="s">
        <v>156</v>
      </c>
      <c r="D23" s="7">
        <v>2040</v>
      </c>
      <c r="E23" s="6">
        <v>0.92</v>
      </c>
      <c r="F23" s="6">
        <v>47.6</v>
      </c>
      <c r="G23" s="6">
        <v>93.7</v>
      </c>
      <c r="H23" s="6">
        <v>313.8</v>
      </c>
      <c r="I23" s="6">
        <f>proc_Cambium22_highElec_gea!AE23-proc_Cambium22_MidCase_gea!AE23</f>
        <v>69361100</v>
      </c>
      <c r="J23" s="6">
        <f>proc_Cambium22_highElec_gea!AF23-proc_Cambium22_MidCase_gea!AF23</f>
        <v>0</v>
      </c>
      <c r="K23" s="6">
        <f>proc_Cambium22_highElec_gea!AG23-proc_Cambium22_MidCase_gea!AG23</f>
        <v>-7067.2000000000116</v>
      </c>
      <c r="L23" s="6">
        <f t="shared" si="0"/>
        <v>69368167.200000003</v>
      </c>
      <c r="M23" s="6">
        <f>proc_Cambium22_highElec_gea!AI23-proc_Cambium22_MidCase_gea!AI23</f>
        <v>1291880.5</v>
      </c>
      <c r="N23" s="6">
        <f>proc_Cambium22_highElec_gea!AJ23-proc_Cambium22_MidCase_gea!AJ23</f>
        <v>2140670.5</v>
      </c>
      <c r="O23" s="6">
        <f>proc_Cambium22_highElec_gea!AK23-proc_Cambium22_MidCase_gea!AK23</f>
        <v>-152833.40000000002</v>
      </c>
      <c r="P23" s="6">
        <f>proc_Cambium22_highElec_gea!AL23-proc_Cambium22_MidCase_gea!AL23</f>
        <v>-169056</v>
      </c>
      <c r="Q23" s="6">
        <f>proc_Cambium22_highElec_gea!AM23-proc_Cambium22_MidCase_gea!AM23</f>
        <v>66257456.700000048</v>
      </c>
      <c r="R23" s="11">
        <f t="shared" si="1"/>
        <v>1.8623535147977786E-2</v>
      </c>
      <c r="S23" s="11">
        <f t="shared" si="2"/>
        <v>3.0859551093920207E-2</v>
      </c>
      <c r="T23" s="11">
        <f t="shared" si="3"/>
        <v>-2.2032209609828069E-3</v>
      </c>
      <c r="U23" s="11">
        <f t="shared" si="4"/>
        <v>-2.4370832735508686E-3</v>
      </c>
      <c r="V23" s="11">
        <f t="shared" si="5"/>
        <v>0.95515651305834193</v>
      </c>
    </row>
    <row r="24" spans="1:22" x14ac:dyDescent="0.3">
      <c r="A24" t="s">
        <v>6</v>
      </c>
      <c r="B24" t="s">
        <v>7</v>
      </c>
      <c r="C24" t="s">
        <v>156</v>
      </c>
      <c r="D24" s="7">
        <v>2045</v>
      </c>
      <c r="E24" s="6">
        <v>0.92</v>
      </c>
      <c r="F24" s="6">
        <v>46.3</v>
      </c>
      <c r="G24" s="6">
        <v>83.9</v>
      </c>
      <c r="H24" s="6">
        <v>283.39999999999998</v>
      </c>
      <c r="I24" s="6">
        <f>proc_Cambium22_highElec_gea!AE24-proc_Cambium22_MidCase_gea!AE24</f>
        <v>97857400</v>
      </c>
      <c r="J24" s="6">
        <f>proc_Cambium22_highElec_gea!AF24-proc_Cambium22_MidCase_gea!AF24</f>
        <v>0</v>
      </c>
      <c r="K24" s="6">
        <f>proc_Cambium22_highElec_gea!AG24-proc_Cambium22_MidCase_gea!AG24</f>
        <v>-8599.6000000000349</v>
      </c>
      <c r="L24" s="6">
        <f t="shared" si="0"/>
        <v>97865999.599999994</v>
      </c>
      <c r="M24" s="6">
        <f>proc_Cambium22_highElec_gea!AI24-proc_Cambium22_MidCase_gea!AI24</f>
        <v>1048971.5</v>
      </c>
      <c r="N24" s="6">
        <f>proc_Cambium22_highElec_gea!AJ24-proc_Cambium22_MidCase_gea!AJ24</f>
        <v>744935.29999999702</v>
      </c>
      <c r="O24" s="6">
        <f>proc_Cambium22_highElec_gea!AK24-proc_Cambium22_MidCase_gea!AK24</f>
        <v>-5247.5</v>
      </c>
      <c r="P24" s="6">
        <f>proc_Cambium22_highElec_gea!AL24-proc_Cambium22_MidCase_gea!AL24</f>
        <v>-24996</v>
      </c>
      <c r="Q24" s="6">
        <f>proc_Cambium22_highElec_gea!AM24-proc_Cambium22_MidCase_gea!AM24</f>
        <v>96102292.900000036</v>
      </c>
      <c r="R24" s="11">
        <f t="shared" si="1"/>
        <v>1.0718446695352612E-2</v>
      </c>
      <c r="S24" s="11">
        <f t="shared" si="2"/>
        <v>7.6117885991530514E-3</v>
      </c>
      <c r="T24" s="11">
        <f t="shared" si="3"/>
        <v>-5.3619234682603703E-5</v>
      </c>
      <c r="U24" s="11">
        <f t="shared" si="4"/>
        <v>-2.5541046024323244E-4</v>
      </c>
      <c r="V24" s="11">
        <f t="shared" si="5"/>
        <v>0.98197835093690744</v>
      </c>
    </row>
    <row r="25" spans="1:22" x14ac:dyDescent="0.3">
      <c r="A25" t="s">
        <v>6</v>
      </c>
      <c r="B25" t="s">
        <v>7</v>
      </c>
      <c r="C25" t="s">
        <v>156</v>
      </c>
      <c r="D25" s="7">
        <v>2050</v>
      </c>
      <c r="E25" s="6">
        <v>0.93</v>
      </c>
      <c r="F25" s="6">
        <v>43.1</v>
      </c>
      <c r="G25" s="6">
        <v>59.7</v>
      </c>
      <c r="H25" s="6">
        <v>262.7</v>
      </c>
      <c r="I25" s="6">
        <f>proc_Cambium22_highElec_gea!AE25-proc_Cambium22_MidCase_gea!AE25</f>
        <v>124507390</v>
      </c>
      <c r="J25" s="6">
        <f>proc_Cambium22_highElec_gea!AF25-proc_Cambium22_MidCase_gea!AF25</f>
        <v>0</v>
      </c>
      <c r="K25" s="6">
        <f>proc_Cambium22_highElec_gea!AG25-proc_Cambium22_MidCase_gea!AG25</f>
        <v>16641.399999999994</v>
      </c>
      <c r="L25" s="6">
        <f t="shared" si="0"/>
        <v>124490748.59999999</v>
      </c>
      <c r="M25" s="6">
        <f>proc_Cambium22_highElec_gea!AI25-proc_Cambium22_MidCase_gea!AI25</f>
        <v>1869369</v>
      </c>
      <c r="N25" s="6">
        <f>proc_Cambium22_highElec_gea!AJ25-proc_Cambium22_MidCase_gea!AJ25</f>
        <v>4888876.200000003</v>
      </c>
      <c r="O25" s="6">
        <f>proc_Cambium22_highElec_gea!AK25-proc_Cambium22_MidCase_gea!AK25</f>
        <v>-4538.9000000000015</v>
      </c>
      <c r="P25" s="6">
        <f>proc_Cambium22_highElec_gea!AL25-proc_Cambium22_MidCase_gea!AL25</f>
        <v>0</v>
      </c>
      <c r="Q25" s="6">
        <f>proc_Cambium22_highElec_gea!AM25-proc_Cambium22_MidCase_gea!AM25</f>
        <v>117737091.29999995</v>
      </c>
      <c r="R25" s="11">
        <f t="shared" si="1"/>
        <v>1.5016127873135788E-2</v>
      </c>
      <c r="S25" s="11">
        <f t="shared" si="2"/>
        <v>3.9271000094219077E-2</v>
      </c>
      <c r="T25" s="11">
        <f t="shared" si="3"/>
        <v>-3.6459737378428788E-5</v>
      </c>
      <c r="U25" s="11">
        <f t="shared" si="4"/>
        <v>0</v>
      </c>
      <c r="V25" s="11">
        <f t="shared" si="5"/>
        <v>0.9457497253735685</v>
      </c>
    </row>
    <row r="26" spans="1:22" x14ac:dyDescent="0.3">
      <c r="A26" t="s">
        <v>6</v>
      </c>
      <c r="B26" t="s">
        <v>7</v>
      </c>
      <c r="C26" t="s">
        <v>157</v>
      </c>
      <c r="D26" s="7">
        <v>2024</v>
      </c>
      <c r="E26" s="6">
        <v>0.36</v>
      </c>
      <c r="F26" s="6">
        <v>353.3</v>
      </c>
      <c r="G26" s="6">
        <v>286.8</v>
      </c>
      <c r="H26" s="6">
        <v>772.6</v>
      </c>
      <c r="I26" s="6">
        <f>proc_Cambium22_highElec_gea!AE26-proc_Cambium22_MidCase_gea!AE26</f>
        <v>1586640</v>
      </c>
      <c r="J26" s="6">
        <f>proc_Cambium22_highElec_gea!AF26-proc_Cambium22_MidCase_gea!AF26</f>
        <v>0</v>
      </c>
      <c r="K26" s="6">
        <f>proc_Cambium22_highElec_gea!AG26-proc_Cambium22_MidCase_gea!AG26</f>
        <v>-2561</v>
      </c>
      <c r="L26" s="6">
        <f t="shared" si="0"/>
        <v>1589201</v>
      </c>
      <c r="M26" s="6">
        <f>proc_Cambium22_highElec_gea!AI26-proc_Cambium22_MidCase_gea!AI26</f>
        <v>-119911</v>
      </c>
      <c r="N26" s="6">
        <f>proc_Cambium22_highElec_gea!AJ26-proc_Cambium22_MidCase_gea!AJ26</f>
        <v>-953612.40000000596</v>
      </c>
      <c r="O26" s="6">
        <f>proc_Cambium22_highElec_gea!AK26-proc_Cambium22_MidCase_gea!AK26</f>
        <v>0</v>
      </c>
      <c r="P26" s="6">
        <f>proc_Cambium22_highElec_gea!AL26-proc_Cambium22_MidCase_gea!AL26</f>
        <v>-40038</v>
      </c>
      <c r="Q26" s="6">
        <f>proc_Cambium22_highElec_gea!AM26-proc_Cambium22_MidCase_gea!AM26</f>
        <v>2702783.5</v>
      </c>
      <c r="R26" s="11">
        <f t="shared" si="1"/>
        <v>-7.5453639910873449E-2</v>
      </c>
      <c r="S26" s="11">
        <f t="shared" si="2"/>
        <v>-0.60005776487681917</v>
      </c>
      <c r="T26" s="11">
        <f t="shared" si="3"/>
        <v>0</v>
      </c>
      <c r="U26" s="11">
        <f t="shared" si="4"/>
        <v>-2.5193792352257518E-2</v>
      </c>
      <c r="V26" s="11">
        <f t="shared" si="5"/>
        <v>1.7007184742521557</v>
      </c>
    </row>
    <row r="27" spans="1:22" x14ac:dyDescent="0.3">
      <c r="A27" t="s">
        <v>6</v>
      </c>
      <c r="B27" t="s">
        <v>7</v>
      </c>
      <c r="C27" t="s">
        <v>157</v>
      </c>
      <c r="D27" s="7">
        <v>2026</v>
      </c>
      <c r="E27" s="6">
        <v>0.48</v>
      </c>
      <c r="F27" s="6">
        <v>283.8</v>
      </c>
      <c r="G27" s="6">
        <v>228.1</v>
      </c>
      <c r="H27" s="6">
        <v>632.4</v>
      </c>
      <c r="I27" s="6">
        <f>proc_Cambium22_highElec_gea!AE27-proc_Cambium22_MidCase_gea!AE27</f>
        <v>1629830</v>
      </c>
      <c r="J27" s="6">
        <f>proc_Cambium22_highElec_gea!AF27-proc_Cambium22_MidCase_gea!AF27</f>
        <v>0</v>
      </c>
      <c r="K27" s="6">
        <f>proc_Cambium22_highElec_gea!AG27-proc_Cambium22_MidCase_gea!AG27</f>
        <v>-40923.5</v>
      </c>
      <c r="L27" s="6">
        <f t="shared" si="0"/>
        <v>1670753.5</v>
      </c>
      <c r="M27" s="6">
        <f>proc_Cambium22_highElec_gea!AI27-proc_Cambium22_MidCase_gea!AI27</f>
        <v>1036932</v>
      </c>
      <c r="N27" s="6">
        <f>proc_Cambium22_highElec_gea!AJ27-proc_Cambium22_MidCase_gea!AJ27</f>
        <v>-5582247.5</v>
      </c>
      <c r="O27" s="6">
        <f>proc_Cambium22_highElec_gea!AK27-proc_Cambium22_MidCase_gea!AK27</f>
        <v>0</v>
      </c>
      <c r="P27" s="6">
        <f>proc_Cambium22_highElec_gea!AL27-proc_Cambium22_MidCase_gea!AL27</f>
        <v>-164560</v>
      </c>
      <c r="Q27" s="6">
        <f>proc_Cambium22_highElec_gea!AM27-proc_Cambium22_MidCase_gea!AM27</f>
        <v>6380638.099999994</v>
      </c>
      <c r="R27" s="11">
        <f t="shared" si="1"/>
        <v>0.62063733519037967</v>
      </c>
      <c r="S27" s="11">
        <f t="shared" si="2"/>
        <v>-3.3411556522251789</v>
      </c>
      <c r="T27" s="11">
        <f t="shared" si="3"/>
        <v>0</v>
      </c>
      <c r="U27" s="11">
        <f t="shared" si="4"/>
        <v>-9.8494481681468876E-2</v>
      </c>
      <c r="V27" s="11">
        <f t="shared" si="5"/>
        <v>3.8190182453605477</v>
      </c>
    </row>
    <row r="28" spans="1:22" x14ac:dyDescent="0.3">
      <c r="A28" t="s">
        <v>6</v>
      </c>
      <c r="B28" t="s">
        <v>7</v>
      </c>
      <c r="C28" t="s">
        <v>157</v>
      </c>
      <c r="D28" s="7">
        <v>2028</v>
      </c>
      <c r="E28" s="6">
        <v>0.55000000000000004</v>
      </c>
      <c r="F28" s="6">
        <v>238.3</v>
      </c>
      <c r="G28" s="6">
        <v>173.5</v>
      </c>
      <c r="H28" s="6">
        <v>548.5</v>
      </c>
      <c r="I28" s="6">
        <f>proc_Cambium22_highElec_gea!AE28-proc_Cambium22_MidCase_gea!AE28</f>
        <v>8555360</v>
      </c>
      <c r="J28" s="6">
        <f>proc_Cambium22_highElec_gea!AF28-proc_Cambium22_MidCase_gea!AF28</f>
        <v>0</v>
      </c>
      <c r="K28" s="6">
        <f>proc_Cambium22_highElec_gea!AG28-proc_Cambium22_MidCase_gea!AG28</f>
        <v>-98710</v>
      </c>
      <c r="L28" s="6">
        <f t="shared" si="0"/>
        <v>8654070</v>
      </c>
      <c r="M28" s="6">
        <f>proc_Cambium22_highElec_gea!AI28-proc_Cambium22_MidCase_gea!AI28</f>
        <v>269991.5</v>
      </c>
      <c r="N28" s="6">
        <f>proc_Cambium22_highElec_gea!AJ28-proc_Cambium22_MidCase_gea!AJ28</f>
        <v>-6239906.599999994</v>
      </c>
      <c r="O28" s="6">
        <f>proc_Cambium22_highElec_gea!AK28-proc_Cambium22_MidCase_gea!AK28</f>
        <v>0</v>
      </c>
      <c r="P28" s="6">
        <f>proc_Cambium22_highElec_gea!AL28-proc_Cambium22_MidCase_gea!AL28</f>
        <v>-174928</v>
      </c>
      <c r="Q28" s="6">
        <f>proc_Cambium22_highElec_gea!AM28-proc_Cambium22_MidCase_gea!AM28</f>
        <v>14798922</v>
      </c>
      <c r="R28" s="11">
        <f t="shared" si="1"/>
        <v>3.1198210784058829E-2</v>
      </c>
      <c r="S28" s="11">
        <f t="shared" si="2"/>
        <v>-0.72103722294827688</v>
      </c>
      <c r="T28" s="11">
        <f t="shared" si="3"/>
        <v>0</v>
      </c>
      <c r="U28" s="11">
        <f t="shared" si="4"/>
        <v>-2.0213379369475867E-2</v>
      </c>
      <c r="V28" s="11">
        <f t="shared" si="5"/>
        <v>1.7100534199515371</v>
      </c>
    </row>
    <row r="29" spans="1:22" x14ac:dyDescent="0.3">
      <c r="A29" t="s">
        <v>6</v>
      </c>
      <c r="B29" t="s">
        <v>7</v>
      </c>
      <c r="C29" t="s">
        <v>157</v>
      </c>
      <c r="D29" s="7">
        <v>2030</v>
      </c>
      <c r="E29" s="6">
        <v>0.61</v>
      </c>
      <c r="F29" s="6">
        <v>201</v>
      </c>
      <c r="G29" s="6">
        <v>195.8</v>
      </c>
      <c r="H29" s="6">
        <v>504.5</v>
      </c>
      <c r="I29" s="6">
        <f>proc_Cambium22_highElec_gea!AE29-proc_Cambium22_MidCase_gea!AE29</f>
        <v>7118940</v>
      </c>
      <c r="J29" s="6">
        <f>proc_Cambium22_highElec_gea!AF29-proc_Cambium22_MidCase_gea!AF29</f>
        <v>0</v>
      </c>
      <c r="K29" s="6">
        <f>proc_Cambium22_highElec_gea!AG29-proc_Cambium22_MidCase_gea!AG29</f>
        <v>22110.5</v>
      </c>
      <c r="L29" s="6">
        <f t="shared" si="0"/>
        <v>7096829.5</v>
      </c>
      <c r="M29" s="6">
        <f>proc_Cambium22_highElec_gea!AI29-proc_Cambium22_MidCase_gea!AI29</f>
        <v>1300405</v>
      </c>
      <c r="N29" s="6">
        <f>proc_Cambium22_highElec_gea!AJ29-proc_Cambium22_MidCase_gea!AJ29</f>
        <v>-920716.5</v>
      </c>
      <c r="O29" s="6">
        <f>proc_Cambium22_highElec_gea!AK29-proc_Cambium22_MidCase_gea!AK29</f>
        <v>0</v>
      </c>
      <c r="P29" s="6">
        <f>proc_Cambium22_highElec_gea!AL29-proc_Cambium22_MidCase_gea!AL29</f>
        <v>61098</v>
      </c>
      <c r="Q29" s="6">
        <f>proc_Cambium22_highElec_gea!AM29-proc_Cambium22_MidCase_gea!AM29</f>
        <v>6656047.8000000119</v>
      </c>
      <c r="R29" s="11">
        <f t="shared" si="1"/>
        <v>0.18323745836080746</v>
      </c>
      <c r="S29" s="11">
        <f t="shared" si="2"/>
        <v>-0.12973631394131704</v>
      </c>
      <c r="T29" s="11">
        <f t="shared" si="3"/>
        <v>0</v>
      </c>
      <c r="U29" s="11">
        <f t="shared" si="4"/>
        <v>8.6091965433296655E-3</v>
      </c>
      <c r="V29" s="11">
        <f t="shared" si="5"/>
        <v>0.937890335395547</v>
      </c>
    </row>
    <row r="30" spans="1:22" x14ac:dyDescent="0.3">
      <c r="A30" t="s">
        <v>6</v>
      </c>
      <c r="B30" t="s">
        <v>7</v>
      </c>
      <c r="C30" t="s">
        <v>157</v>
      </c>
      <c r="D30" s="7">
        <v>2035</v>
      </c>
      <c r="E30" s="6">
        <v>0.72</v>
      </c>
      <c r="F30" s="6">
        <v>135.9</v>
      </c>
      <c r="G30" s="6">
        <v>244.3</v>
      </c>
      <c r="H30" s="6">
        <v>439.6</v>
      </c>
      <c r="I30" s="6">
        <f>proc_Cambium22_highElec_gea!AE30-proc_Cambium22_MidCase_gea!AE30</f>
        <v>32539520</v>
      </c>
      <c r="J30" s="6">
        <f>proc_Cambium22_highElec_gea!AF30-proc_Cambium22_MidCase_gea!AF30</f>
        <v>0</v>
      </c>
      <c r="K30" s="6">
        <f>proc_Cambium22_highElec_gea!AG30-proc_Cambium22_MidCase_gea!AG30</f>
        <v>-6721.2999999998137</v>
      </c>
      <c r="L30" s="6">
        <f t="shared" si="0"/>
        <v>32546241.300000001</v>
      </c>
      <c r="M30" s="6">
        <f>proc_Cambium22_highElec_gea!AI30-proc_Cambium22_MidCase_gea!AI30</f>
        <v>1403686.7</v>
      </c>
      <c r="N30" s="6">
        <f>proc_Cambium22_highElec_gea!AJ30-proc_Cambium22_MidCase_gea!AJ30</f>
        <v>-3638819.8999999911</v>
      </c>
      <c r="O30" s="6">
        <f>proc_Cambium22_highElec_gea!AK30-proc_Cambium22_MidCase_gea!AK30</f>
        <v>0</v>
      </c>
      <c r="P30" s="6">
        <f>proc_Cambium22_highElec_gea!AL30-proc_Cambium22_MidCase_gea!AL30</f>
        <v>-30822</v>
      </c>
      <c r="Q30" s="6">
        <f>proc_Cambium22_highElec_gea!AM30-proc_Cambium22_MidCase_gea!AM30</f>
        <v>34812201.400000006</v>
      </c>
      <c r="R30" s="11">
        <f t="shared" si="1"/>
        <v>4.3128995666851397E-2</v>
      </c>
      <c r="S30" s="11">
        <f t="shared" si="2"/>
        <v>-0.11180461259592489</v>
      </c>
      <c r="T30" s="11">
        <f t="shared" si="3"/>
        <v>0</v>
      </c>
      <c r="U30" s="11">
        <f t="shared" si="4"/>
        <v>-9.4702179941128872E-4</v>
      </c>
      <c r="V30" s="11">
        <f t="shared" si="5"/>
        <v>1.0696227892835048</v>
      </c>
    </row>
    <row r="31" spans="1:22" x14ac:dyDescent="0.3">
      <c r="A31" t="s">
        <v>6</v>
      </c>
      <c r="B31" t="s">
        <v>7</v>
      </c>
      <c r="C31" t="s">
        <v>157</v>
      </c>
      <c r="D31" s="7">
        <v>2040</v>
      </c>
      <c r="E31" s="6">
        <v>0.75</v>
      </c>
      <c r="F31" s="6">
        <v>121.2</v>
      </c>
      <c r="G31" s="6">
        <v>294.89999999999998</v>
      </c>
      <c r="H31" s="6">
        <v>425.2</v>
      </c>
      <c r="I31" s="6">
        <f>proc_Cambium22_highElec_gea!AE31-proc_Cambium22_MidCase_gea!AE31</f>
        <v>51695500</v>
      </c>
      <c r="J31" s="6">
        <f>proc_Cambium22_highElec_gea!AF31-proc_Cambium22_MidCase_gea!AF31</f>
        <v>0</v>
      </c>
      <c r="K31" s="6">
        <f>proc_Cambium22_highElec_gea!AG31-proc_Cambium22_MidCase_gea!AG31</f>
        <v>-5091.2999999998137</v>
      </c>
      <c r="L31" s="6">
        <f t="shared" si="0"/>
        <v>51700591.299999997</v>
      </c>
      <c r="M31" s="6">
        <f>proc_Cambium22_highElec_gea!AI31-proc_Cambium22_MidCase_gea!AI31</f>
        <v>1143752.3999999999</v>
      </c>
      <c r="N31" s="6">
        <f>proc_Cambium22_highElec_gea!AJ31-proc_Cambium22_MidCase_gea!AJ31</f>
        <v>6383103.200000003</v>
      </c>
      <c r="O31" s="6">
        <f>proc_Cambium22_highElec_gea!AK31-proc_Cambium22_MidCase_gea!AK31</f>
        <v>0</v>
      </c>
      <c r="P31" s="6">
        <f>proc_Cambium22_highElec_gea!AL31-proc_Cambium22_MidCase_gea!AL31</f>
        <v>11992</v>
      </c>
      <c r="Q31" s="6">
        <f>proc_Cambium22_highElec_gea!AM31-proc_Cambium22_MidCase_gea!AM31</f>
        <v>44161738.400000006</v>
      </c>
      <c r="R31" s="11">
        <f t="shared" si="1"/>
        <v>2.2122617386776386E-2</v>
      </c>
      <c r="S31" s="11">
        <f t="shared" si="2"/>
        <v>0.12346286646822167</v>
      </c>
      <c r="T31" s="11">
        <f t="shared" si="3"/>
        <v>0</v>
      </c>
      <c r="U31" s="11">
        <f t="shared" si="4"/>
        <v>2.3195092548196835E-4</v>
      </c>
      <c r="V31" s="11">
        <f t="shared" si="5"/>
        <v>0.85418246270618592</v>
      </c>
    </row>
    <row r="32" spans="1:22" x14ac:dyDescent="0.3">
      <c r="A32" t="s">
        <v>6</v>
      </c>
      <c r="B32" t="s">
        <v>7</v>
      </c>
      <c r="C32" t="s">
        <v>157</v>
      </c>
      <c r="D32" s="7">
        <v>2045</v>
      </c>
      <c r="E32" s="6">
        <v>0.78</v>
      </c>
      <c r="F32" s="6">
        <v>107.1</v>
      </c>
      <c r="G32" s="6">
        <v>339.7</v>
      </c>
      <c r="H32" s="6">
        <v>382.8</v>
      </c>
      <c r="I32" s="6">
        <f>proc_Cambium22_highElec_gea!AE32-proc_Cambium22_MidCase_gea!AE32</f>
        <v>66105730</v>
      </c>
      <c r="J32" s="6">
        <f>proc_Cambium22_highElec_gea!AF32-proc_Cambium22_MidCase_gea!AF32</f>
        <v>0</v>
      </c>
      <c r="K32" s="6">
        <f>proc_Cambium22_highElec_gea!AG32-proc_Cambium22_MidCase_gea!AG32</f>
        <v>39409.5</v>
      </c>
      <c r="L32" s="6">
        <f t="shared" si="0"/>
        <v>66066320.5</v>
      </c>
      <c r="M32" s="6">
        <f>proc_Cambium22_highElec_gea!AI32-proc_Cambium22_MidCase_gea!AI32</f>
        <v>1180489.8999999999</v>
      </c>
      <c r="N32" s="6">
        <f>proc_Cambium22_highElec_gea!AJ32-proc_Cambium22_MidCase_gea!AJ32</f>
        <v>15534686.100000009</v>
      </c>
      <c r="O32" s="6">
        <f>proc_Cambium22_highElec_gea!AK32-proc_Cambium22_MidCase_gea!AK32</f>
        <v>0</v>
      </c>
      <c r="P32" s="6">
        <f>proc_Cambium22_highElec_gea!AL32-proc_Cambium22_MidCase_gea!AL32</f>
        <v>85814</v>
      </c>
      <c r="Q32" s="6">
        <f>proc_Cambium22_highElec_gea!AM32-proc_Cambium22_MidCase_gea!AM32</f>
        <v>49265293.199999988</v>
      </c>
      <c r="R32" s="11">
        <f t="shared" si="1"/>
        <v>1.7868255581147432E-2</v>
      </c>
      <c r="S32" s="11">
        <f t="shared" si="2"/>
        <v>0.2351377522227836</v>
      </c>
      <c r="T32" s="11">
        <f t="shared" si="3"/>
        <v>0</v>
      </c>
      <c r="U32" s="11">
        <f t="shared" si="4"/>
        <v>1.2989069067347258E-3</v>
      </c>
      <c r="V32" s="11">
        <f t="shared" si="5"/>
        <v>0.74569452070514486</v>
      </c>
    </row>
    <row r="33" spans="1:22" x14ac:dyDescent="0.3">
      <c r="A33" t="s">
        <v>6</v>
      </c>
      <c r="B33" t="s">
        <v>7</v>
      </c>
      <c r="C33" t="s">
        <v>157</v>
      </c>
      <c r="D33" s="7">
        <v>2050</v>
      </c>
      <c r="E33" s="6">
        <v>0.74</v>
      </c>
      <c r="F33" s="6">
        <v>126.5</v>
      </c>
      <c r="G33" s="6">
        <v>356.9</v>
      </c>
      <c r="H33" s="6">
        <v>394.3</v>
      </c>
      <c r="I33" s="6">
        <f>proc_Cambium22_highElec_gea!AE33-proc_Cambium22_MidCase_gea!AE33</f>
        <v>99662310</v>
      </c>
      <c r="J33" s="6">
        <f>proc_Cambium22_highElec_gea!AF33-proc_Cambium22_MidCase_gea!AF33</f>
        <v>0</v>
      </c>
      <c r="K33" s="6">
        <f>proc_Cambium22_highElec_gea!AG33-proc_Cambium22_MidCase_gea!AG33</f>
        <v>19891</v>
      </c>
      <c r="L33" s="6">
        <f t="shared" si="0"/>
        <v>99642419</v>
      </c>
      <c r="M33" s="6">
        <f>proc_Cambium22_highElec_gea!AI33-proc_Cambium22_MidCase_gea!AI33</f>
        <v>799796.2</v>
      </c>
      <c r="N33" s="6">
        <f>proc_Cambium22_highElec_gea!AJ33-proc_Cambium22_MidCase_gea!AJ33</f>
        <v>7609268.700000003</v>
      </c>
      <c r="O33" s="6">
        <f>proc_Cambium22_highElec_gea!AK33-proc_Cambium22_MidCase_gea!AK33</f>
        <v>0</v>
      </c>
      <c r="P33" s="6">
        <f>proc_Cambium22_highElec_gea!AL33-proc_Cambium22_MidCase_gea!AL33</f>
        <v>76478</v>
      </c>
      <c r="Q33" s="6">
        <f>proc_Cambium22_highElec_gea!AM33-proc_Cambium22_MidCase_gea!AM33</f>
        <v>91156863.599999994</v>
      </c>
      <c r="R33" s="11">
        <f t="shared" si="1"/>
        <v>8.0266638247712546E-3</v>
      </c>
      <c r="S33" s="11">
        <f t="shared" si="2"/>
        <v>7.6365756435519724E-2</v>
      </c>
      <c r="T33" s="11">
        <f t="shared" si="3"/>
        <v>0</v>
      </c>
      <c r="U33" s="11">
        <f t="shared" si="4"/>
        <v>7.6752452186051401E-4</v>
      </c>
      <c r="V33" s="11">
        <f t="shared" si="5"/>
        <v>0.9148399297692682</v>
      </c>
    </row>
    <row r="34" spans="1:22" x14ac:dyDescent="0.3">
      <c r="A34" t="s">
        <v>6</v>
      </c>
      <c r="B34" t="s">
        <v>7</v>
      </c>
      <c r="C34" t="s">
        <v>158</v>
      </c>
      <c r="D34" s="7">
        <v>2024</v>
      </c>
      <c r="E34" s="6">
        <v>0.55000000000000004</v>
      </c>
      <c r="F34" s="6">
        <v>284.3</v>
      </c>
      <c r="G34" s="6">
        <v>349</v>
      </c>
      <c r="H34" s="6">
        <v>943.3</v>
      </c>
      <c r="I34" s="6">
        <f>proc_Cambium22_highElec_gea!AE34-proc_Cambium22_MidCase_gea!AE34</f>
        <v>-74836</v>
      </c>
      <c r="J34" s="6">
        <f>proc_Cambium22_highElec_gea!AF34-proc_Cambium22_MidCase_gea!AF34</f>
        <v>0</v>
      </c>
      <c r="K34" s="6">
        <f>proc_Cambium22_highElec_gea!AG34-proc_Cambium22_MidCase_gea!AG34</f>
        <v>83.900000000023283</v>
      </c>
      <c r="L34" s="6">
        <f t="shared" si="0"/>
        <v>-74919.900000000023</v>
      </c>
      <c r="M34" s="6">
        <f>proc_Cambium22_highElec_gea!AI34-proc_Cambium22_MidCase_gea!AI34</f>
        <v>21279.299999999814</v>
      </c>
      <c r="N34" s="6">
        <f>proc_Cambium22_highElec_gea!AJ34-proc_Cambium22_MidCase_gea!AJ34</f>
        <v>68187.099999999627</v>
      </c>
      <c r="O34" s="6">
        <f>proc_Cambium22_highElec_gea!AK34-proc_Cambium22_MidCase_gea!AK34</f>
        <v>526.80000000000291</v>
      </c>
      <c r="P34" s="6">
        <f>proc_Cambium22_highElec_gea!AL34-proc_Cambium22_MidCase_gea!AL34</f>
        <v>69</v>
      </c>
      <c r="Q34" s="6">
        <f>proc_Cambium22_highElec_gea!AM34-proc_Cambium22_MidCase_gea!AM34</f>
        <v>-164981</v>
      </c>
      <c r="R34" s="11">
        <f t="shared" si="1"/>
        <v>-0.28402734120039946</v>
      </c>
      <c r="S34" s="11">
        <f t="shared" si="2"/>
        <v>-0.91013335575727683</v>
      </c>
      <c r="T34" s="11">
        <f t="shared" si="3"/>
        <v>-7.0315096523087027E-3</v>
      </c>
      <c r="U34" s="11">
        <f t="shared" si="4"/>
        <v>-9.2098361049600943E-4</v>
      </c>
      <c r="V34" s="11">
        <f t="shared" si="5"/>
        <v>2.2020985078730746</v>
      </c>
    </row>
    <row r="35" spans="1:22" x14ac:dyDescent="0.3">
      <c r="A35" t="s">
        <v>6</v>
      </c>
      <c r="B35" t="s">
        <v>7</v>
      </c>
      <c r="C35" t="s">
        <v>158</v>
      </c>
      <c r="D35" s="7">
        <v>2026</v>
      </c>
      <c r="E35" s="6">
        <v>0.62</v>
      </c>
      <c r="F35" s="6">
        <v>231.6</v>
      </c>
      <c r="G35" s="6">
        <v>270.39999999999998</v>
      </c>
      <c r="H35" s="6">
        <v>896</v>
      </c>
      <c r="I35" s="6">
        <f>proc_Cambium22_highElec_gea!AE35-proc_Cambium22_MidCase_gea!AE35</f>
        <v>-3684174</v>
      </c>
      <c r="J35" s="6">
        <f>proc_Cambium22_highElec_gea!AF35-proc_Cambium22_MidCase_gea!AF35</f>
        <v>0</v>
      </c>
      <c r="K35" s="6">
        <f>proc_Cambium22_highElec_gea!AG35-proc_Cambium22_MidCase_gea!AG35</f>
        <v>733</v>
      </c>
      <c r="L35" s="6">
        <f t="shared" si="0"/>
        <v>-3684907</v>
      </c>
      <c r="M35" s="6">
        <f>proc_Cambium22_highElec_gea!AI35-proc_Cambium22_MidCase_gea!AI35</f>
        <v>165172</v>
      </c>
      <c r="N35" s="6">
        <f>proc_Cambium22_highElec_gea!AJ35-proc_Cambium22_MidCase_gea!AJ35</f>
        <v>-290305.19999999925</v>
      </c>
      <c r="O35" s="6">
        <f>proc_Cambium22_highElec_gea!AK35-proc_Cambium22_MidCase_gea!AK35</f>
        <v>-9130.9000000000015</v>
      </c>
      <c r="P35" s="6">
        <f>proc_Cambium22_highElec_gea!AL35-proc_Cambium22_MidCase_gea!AL35</f>
        <v>8784</v>
      </c>
      <c r="Q35" s="6">
        <f>proc_Cambium22_highElec_gea!AM35-proc_Cambium22_MidCase_gea!AM35</f>
        <v>-3559427.1000000015</v>
      </c>
      <c r="R35" s="11">
        <f t="shared" si="1"/>
        <v>-4.4823926356893133E-2</v>
      </c>
      <c r="S35" s="11">
        <f t="shared" si="2"/>
        <v>7.8782232495962376E-2</v>
      </c>
      <c r="T35" s="11">
        <f t="shared" si="3"/>
        <v>2.4779187100244324E-3</v>
      </c>
      <c r="U35" s="11">
        <f t="shared" si="4"/>
        <v>-2.3837779352369002E-3</v>
      </c>
      <c r="V35" s="11">
        <f t="shared" si="5"/>
        <v>0.96594760736159735</v>
      </c>
    </row>
    <row r="36" spans="1:22" x14ac:dyDescent="0.3">
      <c r="A36" t="s">
        <v>6</v>
      </c>
      <c r="B36" t="s">
        <v>7</v>
      </c>
      <c r="C36" t="s">
        <v>158</v>
      </c>
      <c r="D36" s="7">
        <v>2028</v>
      </c>
      <c r="E36" s="6">
        <v>0.7</v>
      </c>
      <c r="F36" s="6">
        <v>172.9</v>
      </c>
      <c r="G36" s="6">
        <v>223.9</v>
      </c>
      <c r="H36" s="6">
        <v>681.1</v>
      </c>
      <c r="I36" s="6">
        <f>proc_Cambium22_highElec_gea!AE36-proc_Cambium22_MidCase_gea!AE36</f>
        <v>-4112324</v>
      </c>
      <c r="J36" s="6">
        <f>proc_Cambium22_highElec_gea!AF36-proc_Cambium22_MidCase_gea!AF36</f>
        <v>0</v>
      </c>
      <c r="K36" s="6">
        <f>proc_Cambium22_highElec_gea!AG36-proc_Cambium22_MidCase_gea!AG36</f>
        <v>10043.199999999953</v>
      </c>
      <c r="L36" s="6">
        <f t="shared" si="0"/>
        <v>-4122367.2</v>
      </c>
      <c r="M36" s="6">
        <f>proc_Cambium22_highElec_gea!AI36-proc_Cambium22_MidCase_gea!AI36</f>
        <v>133745.5</v>
      </c>
      <c r="N36" s="6">
        <f>proc_Cambium22_highElec_gea!AJ36-proc_Cambium22_MidCase_gea!AJ36</f>
        <v>-1002356.4000000004</v>
      </c>
      <c r="O36" s="6">
        <f>proc_Cambium22_highElec_gea!AK36-proc_Cambium22_MidCase_gea!AK36</f>
        <v>-12022.300000000003</v>
      </c>
      <c r="P36" s="6">
        <f>proc_Cambium22_highElec_gea!AL36-proc_Cambium22_MidCase_gea!AL36</f>
        <v>97771</v>
      </c>
      <c r="Q36" s="6">
        <f>proc_Cambium22_highElec_gea!AM36-proc_Cambium22_MidCase_gea!AM36</f>
        <v>-3339504.1999999993</v>
      </c>
      <c r="R36" s="11">
        <f t="shared" si="1"/>
        <v>-3.2443858955602013E-2</v>
      </c>
      <c r="S36" s="11">
        <f t="shared" si="2"/>
        <v>0.24315068293770636</v>
      </c>
      <c r="T36" s="11">
        <f t="shared" si="3"/>
        <v>2.9163583486691825E-3</v>
      </c>
      <c r="U36" s="11">
        <f t="shared" si="4"/>
        <v>-2.3717198215627174E-2</v>
      </c>
      <c r="V36" s="11">
        <f t="shared" si="5"/>
        <v>0.81009382182159784</v>
      </c>
    </row>
    <row r="37" spans="1:22" x14ac:dyDescent="0.3">
      <c r="A37" t="s">
        <v>6</v>
      </c>
      <c r="B37" t="s">
        <v>7</v>
      </c>
      <c r="C37" t="s">
        <v>158</v>
      </c>
      <c r="D37" s="7">
        <v>2030</v>
      </c>
      <c r="E37" s="6">
        <v>0.77</v>
      </c>
      <c r="F37" s="6">
        <v>135</v>
      </c>
      <c r="G37" s="6">
        <v>213.6</v>
      </c>
      <c r="H37" s="6">
        <v>571.4</v>
      </c>
      <c r="I37" s="6">
        <f>proc_Cambium22_highElec_gea!AE37-proc_Cambium22_MidCase_gea!AE37</f>
        <v>189120</v>
      </c>
      <c r="J37" s="6">
        <f>proc_Cambium22_highElec_gea!AF37-proc_Cambium22_MidCase_gea!AF37</f>
        <v>0</v>
      </c>
      <c r="K37" s="6">
        <f>proc_Cambium22_highElec_gea!AG37-proc_Cambium22_MidCase_gea!AG37</f>
        <v>24181.799999999988</v>
      </c>
      <c r="L37" s="6">
        <f t="shared" si="0"/>
        <v>164938.20000000001</v>
      </c>
      <c r="M37" s="6">
        <f>proc_Cambium22_highElec_gea!AI37-proc_Cambium22_MidCase_gea!AI37</f>
        <v>111485</v>
      </c>
      <c r="N37" s="6">
        <f>proc_Cambium22_highElec_gea!AJ37-proc_Cambium22_MidCase_gea!AJ37</f>
        <v>-415795.60000000056</v>
      </c>
      <c r="O37" s="6">
        <f>proc_Cambium22_highElec_gea!AK37-proc_Cambium22_MidCase_gea!AK37</f>
        <v>-119.9</v>
      </c>
      <c r="P37" s="6">
        <f>proc_Cambium22_highElec_gea!AL37-proc_Cambium22_MidCase_gea!AL37</f>
        <v>163801</v>
      </c>
      <c r="Q37" s="6">
        <f>proc_Cambium22_highElec_gea!AM37-proc_Cambium22_MidCase_gea!AM37</f>
        <v>305568.39999999851</v>
      </c>
      <c r="R37" s="11">
        <f t="shared" si="1"/>
        <v>0.67591982936639294</v>
      </c>
      <c r="S37" s="11">
        <f t="shared" si="2"/>
        <v>-2.5209175315360572</v>
      </c>
      <c r="T37" s="11">
        <f t="shared" si="3"/>
        <v>-7.2693893834175466E-4</v>
      </c>
      <c r="U37" s="11">
        <f t="shared" si="4"/>
        <v>0.99310529640798784</v>
      </c>
      <c r="V37" s="11">
        <f t="shared" si="5"/>
        <v>1.8526235887138243</v>
      </c>
    </row>
    <row r="38" spans="1:22" x14ac:dyDescent="0.3">
      <c r="A38" t="s">
        <v>6</v>
      </c>
      <c r="B38" t="s">
        <v>7</v>
      </c>
      <c r="C38" t="s">
        <v>158</v>
      </c>
      <c r="D38" s="7">
        <v>2035</v>
      </c>
      <c r="E38" s="6">
        <v>0.81</v>
      </c>
      <c r="F38" s="6">
        <v>105.4</v>
      </c>
      <c r="G38" s="6">
        <v>229.9</v>
      </c>
      <c r="H38" s="6">
        <v>526.9</v>
      </c>
      <c r="I38" s="6">
        <f>proc_Cambium22_highElec_gea!AE38-proc_Cambium22_MidCase_gea!AE38</f>
        <v>703364</v>
      </c>
      <c r="J38" s="6">
        <f>proc_Cambium22_highElec_gea!AF38-proc_Cambium22_MidCase_gea!AF38</f>
        <v>0</v>
      </c>
      <c r="K38" s="6">
        <f>proc_Cambium22_highElec_gea!AG38-proc_Cambium22_MidCase_gea!AG38</f>
        <v>23556.700000000012</v>
      </c>
      <c r="L38" s="6">
        <f t="shared" si="0"/>
        <v>679807.3</v>
      </c>
      <c r="M38" s="6">
        <f>proc_Cambium22_highElec_gea!AI38-proc_Cambium22_MidCase_gea!AI38</f>
        <v>150878.09999999998</v>
      </c>
      <c r="N38" s="6">
        <f>proc_Cambium22_highElec_gea!AJ38-proc_Cambium22_MidCase_gea!AJ38</f>
        <v>234202.10000000056</v>
      </c>
      <c r="O38" s="6">
        <f>proc_Cambium22_highElec_gea!AK38-proc_Cambium22_MidCase_gea!AK38</f>
        <v>-76</v>
      </c>
      <c r="P38" s="6">
        <f>proc_Cambium22_highElec_gea!AL38-proc_Cambium22_MidCase_gea!AL38</f>
        <v>122170</v>
      </c>
      <c r="Q38" s="6">
        <f>proc_Cambium22_highElec_gea!AM38-proc_Cambium22_MidCase_gea!AM38</f>
        <v>172633.20000000298</v>
      </c>
      <c r="R38" s="11">
        <f t="shared" si="1"/>
        <v>0.22194245339819088</v>
      </c>
      <c r="S38" s="11">
        <f t="shared" si="2"/>
        <v>0.34451248169885867</v>
      </c>
      <c r="T38" s="11">
        <f t="shared" si="3"/>
        <v>-1.1179638700555289E-4</v>
      </c>
      <c r="U38" s="11">
        <f t="shared" si="4"/>
        <v>0.17971269211142626</v>
      </c>
      <c r="V38" s="11">
        <f t="shared" si="5"/>
        <v>0.25394431627904401</v>
      </c>
    </row>
    <row r="39" spans="1:22" x14ac:dyDescent="0.3">
      <c r="A39" t="s">
        <v>6</v>
      </c>
      <c r="B39" t="s">
        <v>7</v>
      </c>
      <c r="C39" t="s">
        <v>158</v>
      </c>
      <c r="D39" s="7">
        <v>2040</v>
      </c>
      <c r="E39" s="6">
        <v>0.86</v>
      </c>
      <c r="F39" s="6">
        <v>79</v>
      </c>
      <c r="G39" s="6">
        <v>237</v>
      </c>
      <c r="H39" s="6">
        <v>454.5</v>
      </c>
      <c r="I39" s="6">
        <f>proc_Cambium22_highElec_gea!AE39-proc_Cambium22_MidCase_gea!AE39</f>
        <v>1749376</v>
      </c>
      <c r="J39" s="6">
        <f>proc_Cambium22_highElec_gea!AF39-proc_Cambium22_MidCase_gea!AF39</f>
        <v>0</v>
      </c>
      <c r="K39" s="6">
        <f>proc_Cambium22_highElec_gea!AG39-proc_Cambium22_MidCase_gea!AG39</f>
        <v>12723.200000000012</v>
      </c>
      <c r="L39" s="6">
        <f t="shared" si="0"/>
        <v>1736652.8</v>
      </c>
      <c r="M39" s="6">
        <f>proc_Cambium22_highElec_gea!AI39-proc_Cambium22_MidCase_gea!AI39</f>
        <v>236887.29999999993</v>
      </c>
      <c r="N39" s="6">
        <f>proc_Cambium22_highElec_gea!AJ39-proc_Cambium22_MidCase_gea!AJ39</f>
        <v>648133.20000000019</v>
      </c>
      <c r="O39" s="6">
        <f>proc_Cambium22_highElec_gea!AK39-proc_Cambium22_MidCase_gea!AK39</f>
        <v>-98.8</v>
      </c>
      <c r="P39" s="6">
        <f>proc_Cambium22_highElec_gea!AL39-proc_Cambium22_MidCase_gea!AL39</f>
        <v>74065</v>
      </c>
      <c r="Q39" s="6">
        <f>proc_Cambium22_highElec_gea!AM39-proc_Cambium22_MidCase_gea!AM39</f>
        <v>777666.39999999851</v>
      </c>
      <c r="R39" s="11">
        <f t="shared" si="1"/>
        <v>0.13640452484227125</v>
      </c>
      <c r="S39" s="11">
        <f t="shared" si="2"/>
        <v>0.37320827744037277</v>
      </c>
      <c r="T39" s="11">
        <f t="shared" si="3"/>
        <v>-5.6891049264424064E-5</v>
      </c>
      <c r="U39" s="11">
        <f t="shared" si="4"/>
        <v>4.2648133236534096E-2</v>
      </c>
      <c r="V39" s="11">
        <f t="shared" si="5"/>
        <v>0.44779612827618653</v>
      </c>
    </row>
    <row r="40" spans="1:22" x14ac:dyDescent="0.3">
      <c r="A40" t="s">
        <v>6</v>
      </c>
      <c r="B40" t="s">
        <v>7</v>
      </c>
      <c r="C40" t="s">
        <v>158</v>
      </c>
      <c r="D40" s="7">
        <v>2045</v>
      </c>
      <c r="E40" s="6">
        <v>0.82</v>
      </c>
      <c r="F40" s="6">
        <v>103</v>
      </c>
      <c r="G40" s="6">
        <v>262.39999999999998</v>
      </c>
      <c r="H40" s="6">
        <v>441.9</v>
      </c>
      <c r="I40" s="6">
        <f>proc_Cambium22_highElec_gea!AE40-proc_Cambium22_MidCase_gea!AE40</f>
        <v>3209420</v>
      </c>
      <c r="J40" s="6">
        <f>proc_Cambium22_highElec_gea!AF40-proc_Cambium22_MidCase_gea!AF40</f>
        <v>0</v>
      </c>
      <c r="K40" s="6">
        <f>proc_Cambium22_highElec_gea!AG40-proc_Cambium22_MidCase_gea!AG40</f>
        <v>5881.6000000000349</v>
      </c>
      <c r="L40" s="6">
        <f t="shared" si="0"/>
        <v>3203538.4</v>
      </c>
      <c r="M40" s="6">
        <f>proc_Cambium22_highElec_gea!AI40-proc_Cambium22_MidCase_gea!AI40</f>
        <v>194287.69999999995</v>
      </c>
      <c r="N40" s="6">
        <f>proc_Cambium22_highElec_gea!AJ40-proc_Cambium22_MidCase_gea!AJ40</f>
        <v>658141.10000000056</v>
      </c>
      <c r="O40" s="6">
        <f>proc_Cambium22_highElec_gea!AK40-proc_Cambium22_MidCase_gea!AK40</f>
        <v>-17.400000000000006</v>
      </c>
      <c r="P40" s="6">
        <f>proc_Cambium22_highElec_gea!AL40-proc_Cambium22_MidCase_gea!AL40</f>
        <v>-309</v>
      </c>
      <c r="Q40" s="6">
        <f>proc_Cambium22_highElec_gea!AM40-proc_Cambium22_MidCase_gea!AM40</f>
        <v>2351433.700000003</v>
      </c>
      <c r="R40" s="11">
        <f t="shared" si="1"/>
        <v>6.0647844895506779E-2</v>
      </c>
      <c r="S40" s="11">
        <f t="shared" si="2"/>
        <v>0.20544192633994979</v>
      </c>
      <c r="T40" s="11">
        <f t="shared" si="3"/>
        <v>-5.4314941253708727E-6</v>
      </c>
      <c r="U40" s="11">
        <f t="shared" si="4"/>
        <v>-9.645584395055168E-5</v>
      </c>
      <c r="V40" s="11">
        <f t="shared" si="5"/>
        <v>0.7340113981465004</v>
      </c>
    </row>
    <row r="41" spans="1:22" x14ac:dyDescent="0.3">
      <c r="A41" t="s">
        <v>6</v>
      </c>
      <c r="B41" t="s">
        <v>7</v>
      </c>
      <c r="C41" t="s">
        <v>158</v>
      </c>
      <c r="D41" s="7">
        <v>2050</v>
      </c>
      <c r="E41" s="6">
        <v>0.78</v>
      </c>
      <c r="F41" s="6">
        <v>136.69999999999999</v>
      </c>
      <c r="G41" s="6">
        <v>267.5</v>
      </c>
      <c r="H41" s="6">
        <v>441.6</v>
      </c>
      <c r="I41" s="6">
        <f>proc_Cambium22_highElec_gea!AE41-proc_Cambium22_MidCase_gea!AE41</f>
        <v>5543964</v>
      </c>
      <c r="J41" s="6">
        <f>proc_Cambium22_highElec_gea!AF41-proc_Cambium22_MidCase_gea!AF41</f>
        <v>0</v>
      </c>
      <c r="K41" s="6">
        <f>proc_Cambium22_highElec_gea!AG41-proc_Cambium22_MidCase_gea!AG41</f>
        <v>-6296.6000000000349</v>
      </c>
      <c r="L41" s="6">
        <f t="shared" si="0"/>
        <v>5550260.5999999996</v>
      </c>
      <c r="M41" s="6">
        <f>proc_Cambium22_highElec_gea!AI41-proc_Cambium22_MidCase_gea!AI41</f>
        <v>136270.70000000007</v>
      </c>
      <c r="N41" s="6">
        <f>proc_Cambium22_highElec_gea!AJ41-proc_Cambium22_MidCase_gea!AJ41</f>
        <v>611092</v>
      </c>
      <c r="O41" s="6">
        <f>proc_Cambium22_highElec_gea!AK41-proc_Cambium22_MidCase_gea!AK41</f>
        <v>14.899999999999999</v>
      </c>
      <c r="P41" s="6">
        <f>proc_Cambium22_highElec_gea!AL41-proc_Cambium22_MidCase_gea!AL41</f>
        <v>-17112</v>
      </c>
      <c r="Q41" s="6">
        <f>proc_Cambium22_highElec_gea!AM41-proc_Cambium22_MidCase_gea!AM41</f>
        <v>4819997.200000003</v>
      </c>
      <c r="R41" s="11">
        <f t="shared" si="1"/>
        <v>2.4552126435288476E-2</v>
      </c>
      <c r="S41" s="11">
        <f t="shared" si="2"/>
        <v>0.11010149685584134</v>
      </c>
      <c r="T41" s="11">
        <f t="shared" si="3"/>
        <v>2.6845586313550754E-6</v>
      </c>
      <c r="U41" s="11">
        <f t="shared" si="4"/>
        <v>-3.0830984764931581E-3</v>
      </c>
      <c r="V41" s="11">
        <f t="shared" si="5"/>
        <v>0.86842718700451715</v>
      </c>
    </row>
    <row r="42" spans="1:22" x14ac:dyDescent="0.3">
      <c r="A42" t="s">
        <v>6</v>
      </c>
      <c r="B42" t="s">
        <v>7</v>
      </c>
      <c r="C42" t="s">
        <v>159</v>
      </c>
      <c r="D42" s="7">
        <v>2024</v>
      </c>
      <c r="E42" s="6">
        <v>0.72</v>
      </c>
      <c r="F42" s="6">
        <v>291.2</v>
      </c>
      <c r="G42" s="6">
        <v>286.60000000000002</v>
      </c>
      <c r="H42" s="6">
        <v>884.6</v>
      </c>
      <c r="I42" s="6">
        <f>proc_Cambium22_highElec_gea!AE42-proc_Cambium22_MidCase_gea!AE42</f>
        <v>2266920</v>
      </c>
      <c r="J42" s="6">
        <f>proc_Cambium22_highElec_gea!AF42-proc_Cambium22_MidCase_gea!AF42</f>
        <v>1176</v>
      </c>
      <c r="K42" s="6">
        <f>proc_Cambium22_highElec_gea!AG42-proc_Cambium22_MidCase_gea!AG42</f>
        <v>-7193.8000000000466</v>
      </c>
      <c r="L42" s="6">
        <f t="shared" si="0"/>
        <v>2272937.7999999998</v>
      </c>
      <c r="M42" s="6">
        <f>proc_Cambium22_highElec_gea!AI42-proc_Cambium22_MidCase_gea!AI42</f>
        <v>-991268</v>
      </c>
      <c r="N42" s="6">
        <f>proc_Cambium22_highElec_gea!AJ42-proc_Cambium22_MidCase_gea!AJ42</f>
        <v>18397.799999998882</v>
      </c>
      <c r="O42" s="6">
        <f>proc_Cambium22_highElec_gea!AK42-proc_Cambium22_MidCase_gea!AK42</f>
        <v>60089.200000000012</v>
      </c>
      <c r="P42" s="6">
        <f>proc_Cambium22_highElec_gea!AL42-proc_Cambium22_MidCase_gea!AL42</f>
        <v>-78298</v>
      </c>
      <c r="Q42" s="6">
        <f>proc_Cambium22_highElec_gea!AM42-proc_Cambium22_MidCase_gea!AM42</f>
        <v>3263991.5</v>
      </c>
      <c r="R42" s="11">
        <f t="shared" si="1"/>
        <v>-0.43611752156174272</v>
      </c>
      <c r="S42" s="11">
        <f t="shared" si="2"/>
        <v>8.0942822104497908E-3</v>
      </c>
      <c r="T42" s="11">
        <f t="shared" si="3"/>
        <v>2.6436799106425182E-2</v>
      </c>
      <c r="U42" s="11">
        <f t="shared" si="4"/>
        <v>-3.4447929019439077E-2</v>
      </c>
      <c r="V42" s="11">
        <f t="shared" si="5"/>
        <v>1.4360232382953904</v>
      </c>
    </row>
    <row r="43" spans="1:22" x14ac:dyDescent="0.3">
      <c r="A43" t="s">
        <v>6</v>
      </c>
      <c r="B43" t="s">
        <v>7</v>
      </c>
      <c r="C43" t="s">
        <v>159</v>
      </c>
      <c r="D43" s="7">
        <v>2026</v>
      </c>
      <c r="E43" s="6">
        <v>0.81</v>
      </c>
      <c r="F43" s="6">
        <v>193.5</v>
      </c>
      <c r="G43" s="6">
        <v>167.7</v>
      </c>
      <c r="H43" s="6">
        <v>741.5</v>
      </c>
      <c r="I43" s="6">
        <f>proc_Cambium22_highElec_gea!AE43-proc_Cambium22_MidCase_gea!AE43</f>
        <v>6603440</v>
      </c>
      <c r="J43" s="6">
        <f>proc_Cambium22_highElec_gea!AF43-proc_Cambium22_MidCase_gea!AF43</f>
        <v>-6496</v>
      </c>
      <c r="K43" s="6">
        <f>proc_Cambium22_highElec_gea!AG43-proc_Cambium22_MidCase_gea!AG43</f>
        <v>-6090.5</v>
      </c>
      <c r="L43" s="6">
        <f t="shared" si="0"/>
        <v>6616026.5</v>
      </c>
      <c r="M43" s="6">
        <f>proc_Cambium22_highElec_gea!AI43-proc_Cambium22_MidCase_gea!AI43</f>
        <v>582146</v>
      </c>
      <c r="N43" s="6">
        <f>proc_Cambium22_highElec_gea!AJ43-proc_Cambium22_MidCase_gea!AJ43</f>
        <v>-810026.69999999925</v>
      </c>
      <c r="O43" s="6">
        <f>proc_Cambium22_highElec_gea!AK43-proc_Cambium22_MidCase_gea!AK43</f>
        <v>6061.1999999999825</v>
      </c>
      <c r="P43" s="6">
        <f>proc_Cambium22_highElec_gea!AL43-proc_Cambium22_MidCase_gea!AL43</f>
        <v>-12452</v>
      </c>
      <c r="Q43" s="6">
        <f>proc_Cambium22_highElec_gea!AM43-proc_Cambium22_MidCase_gea!AM43</f>
        <v>6850290.599999994</v>
      </c>
      <c r="R43" s="11">
        <f t="shared" si="1"/>
        <v>8.799027633882664E-2</v>
      </c>
      <c r="S43" s="11">
        <f t="shared" si="2"/>
        <v>-0.12243401685286467</v>
      </c>
      <c r="T43" s="11">
        <f t="shared" si="3"/>
        <v>9.1613901486035194E-4</v>
      </c>
      <c r="U43" s="11">
        <f t="shared" si="4"/>
        <v>-1.8820964516995209E-3</v>
      </c>
      <c r="V43" s="11">
        <f t="shared" si="5"/>
        <v>1.0354085794547518</v>
      </c>
    </row>
    <row r="44" spans="1:22" x14ac:dyDescent="0.3">
      <c r="A44" t="s">
        <v>6</v>
      </c>
      <c r="B44" t="s">
        <v>7</v>
      </c>
      <c r="C44" t="s">
        <v>159</v>
      </c>
      <c r="D44" s="7">
        <v>2028</v>
      </c>
      <c r="E44" s="6">
        <v>0.89</v>
      </c>
      <c r="F44" s="6">
        <v>105.1</v>
      </c>
      <c r="G44" s="6">
        <v>100.9</v>
      </c>
      <c r="H44" s="6">
        <v>570.29999999999995</v>
      </c>
      <c r="I44" s="6">
        <f>proc_Cambium22_highElec_gea!AE44-proc_Cambium22_MidCase_gea!AE44</f>
        <v>27825120</v>
      </c>
      <c r="J44" s="6">
        <f>proc_Cambium22_highElec_gea!AF44-proc_Cambium22_MidCase_gea!AF44</f>
        <v>-26640</v>
      </c>
      <c r="K44" s="6">
        <f>proc_Cambium22_highElec_gea!AG44-proc_Cambium22_MidCase_gea!AG44</f>
        <v>-4716.9000000000233</v>
      </c>
      <c r="L44" s="6">
        <f t="shared" si="0"/>
        <v>27856476.899999999</v>
      </c>
      <c r="M44" s="6">
        <f>proc_Cambium22_highElec_gea!AI44-proc_Cambium22_MidCase_gea!AI44</f>
        <v>-65016</v>
      </c>
      <c r="N44" s="6">
        <f>proc_Cambium22_highElec_gea!AJ44-proc_Cambium22_MidCase_gea!AJ44</f>
        <v>-1175830.1000000006</v>
      </c>
      <c r="O44" s="6">
        <f>proc_Cambium22_highElec_gea!AK44-proc_Cambium22_MidCase_gea!AK44</f>
        <v>3339.8000000000029</v>
      </c>
      <c r="P44" s="6">
        <f>proc_Cambium22_highElec_gea!AL44-proc_Cambium22_MidCase_gea!AL44</f>
        <v>-42140</v>
      </c>
      <c r="Q44" s="6">
        <f>proc_Cambium22_highElec_gea!AM44-proc_Cambium22_MidCase_gea!AM44</f>
        <v>29136123.5</v>
      </c>
      <c r="R44" s="11">
        <f t="shared" si="1"/>
        <v>-2.3339634883979173E-3</v>
      </c>
      <c r="S44" s="11">
        <f t="shared" si="2"/>
        <v>-4.2210294726825297E-2</v>
      </c>
      <c r="T44" s="11">
        <f t="shared" si="3"/>
        <v>1.1989312259369034E-4</v>
      </c>
      <c r="U44" s="11">
        <f t="shared" si="4"/>
        <v>-1.512754112850502E-3</v>
      </c>
      <c r="V44" s="11">
        <f t="shared" si="5"/>
        <v>1.0459371299749682</v>
      </c>
    </row>
    <row r="45" spans="1:22" x14ac:dyDescent="0.3">
      <c r="A45" t="s">
        <v>6</v>
      </c>
      <c r="B45" t="s">
        <v>7</v>
      </c>
      <c r="C45" t="s">
        <v>159</v>
      </c>
      <c r="D45" s="7">
        <v>2030</v>
      </c>
      <c r="E45" s="6">
        <v>0.93</v>
      </c>
      <c r="F45" s="6">
        <v>71.2</v>
      </c>
      <c r="G45" s="6">
        <v>119.9</v>
      </c>
      <c r="H45" s="6">
        <v>483.2</v>
      </c>
      <c r="I45" s="6">
        <f>proc_Cambium22_highElec_gea!AE45-proc_Cambium22_MidCase_gea!AE45</f>
        <v>26091330</v>
      </c>
      <c r="J45" s="6">
        <f>proc_Cambium22_highElec_gea!AF45-proc_Cambium22_MidCase_gea!AF45</f>
        <v>-15712</v>
      </c>
      <c r="K45" s="6">
        <f>proc_Cambium22_highElec_gea!AG45-proc_Cambium22_MidCase_gea!AG45</f>
        <v>3448.7000000000698</v>
      </c>
      <c r="L45" s="6">
        <f t="shared" si="0"/>
        <v>26103593.300000001</v>
      </c>
      <c r="M45" s="6">
        <f>proc_Cambium22_highElec_gea!AI45-proc_Cambium22_MidCase_gea!AI45</f>
        <v>712296</v>
      </c>
      <c r="N45" s="6">
        <f>proc_Cambium22_highElec_gea!AJ45-proc_Cambium22_MidCase_gea!AJ45</f>
        <v>-352488.89999999944</v>
      </c>
      <c r="O45" s="6">
        <f>proc_Cambium22_highElec_gea!AK45-proc_Cambium22_MidCase_gea!AK45</f>
        <v>15246.300000000003</v>
      </c>
      <c r="P45" s="6">
        <f>proc_Cambium22_highElec_gea!AL45-proc_Cambium22_MidCase_gea!AL45</f>
        <v>-14743</v>
      </c>
      <c r="Q45" s="6">
        <f>proc_Cambium22_highElec_gea!AM45-proc_Cambium22_MidCase_gea!AM45</f>
        <v>25743284</v>
      </c>
      <c r="R45" s="11">
        <f t="shared" si="1"/>
        <v>2.7287277725093886E-2</v>
      </c>
      <c r="S45" s="11">
        <f t="shared" si="2"/>
        <v>-1.3503462758899153E-2</v>
      </c>
      <c r="T45" s="11">
        <f t="shared" si="3"/>
        <v>5.8406901397747423E-4</v>
      </c>
      <c r="U45" s="11">
        <f t="shared" si="4"/>
        <v>-5.6478814355416735E-4</v>
      </c>
      <c r="V45" s="11">
        <f t="shared" si="5"/>
        <v>0.98619694630317423</v>
      </c>
    </row>
    <row r="46" spans="1:22" x14ac:dyDescent="0.3">
      <c r="A46" t="s">
        <v>6</v>
      </c>
      <c r="B46" t="s">
        <v>7</v>
      </c>
      <c r="C46" t="s">
        <v>159</v>
      </c>
      <c r="D46" s="7">
        <v>2035</v>
      </c>
      <c r="E46" s="6">
        <v>0.95</v>
      </c>
      <c r="F46" s="6">
        <v>52.5</v>
      </c>
      <c r="G46" s="6">
        <v>153.19999999999999</v>
      </c>
      <c r="H46" s="6">
        <v>458.8</v>
      </c>
      <c r="I46" s="6">
        <f>proc_Cambium22_highElec_gea!AE46-proc_Cambium22_MidCase_gea!AE46</f>
        <v>46059460</v>
      </c>
      <c r="J46" s="6">
        <f>proc_Cambium22_highElec_gea!AF46-proc_Cambium22_MidCase_gea!AF46</f>
        <v>52300</v>
      </c>
      <c r="K46" s="6">
        <f>proc_Cambium22_highElec_gea!AG46-proc_Cambium22_MidCase_gea!AG46</f>
        <v>-25938.800000000047</v>
      </c>
      <c r="L46" s="6">
        <f t="shared" si="0"/>
        <v>46033098.799999997</v>
      </c>
      <c r="M46" s="6">
        <f>proc_Cambium22_highElec_gea!AI46-proc_Cambium22_MidCase_gea!AI46</f>
        <v>-974530</v>
      </c>
      <c r="N46" s="6">
        <f>proc_Cambium22_highElec_gea!AJ46-proc_Cambium22_MidCase_gea!AJ46</f>
        <v>-632466.10000000009</v>
      </c>
      <c r="O46" s="6">
        <f>proc_Cambium22_highElec_gea!AK46-proc_Cambium22_MidCase_gea!AK46</f>
        <v>10593.599999999999</v>
      </c>
      <c r="P46" s="6">
        <f>proc_Cambium22_highElec_gea!AL46-proc_Cambium22_MidCase_gea!AL46</f>
        <v>-290745</v>
      </c>
      <c r="Q46" s="6">
        <f>proc_Cambium22_highElec_gea!AM46-proc_Cambium22_MidCase_gea!AM46</f>
        <v>47920234.5</v>
      </c>
      <c r="R46" s="11">
        <f t="shared" si="1"/>
        <v>-2.1170201993874895E-2</v>
      </c>
      <c r="S46" s="11">
        <f t="shared" si="2"/>
        <v>-1.373937702408164E-2</v>
      </c>
      <c r="T46" s="11">
        <f t="shared" si="3"/>
        <v>2.3013006458735293E-4</v>
      </c>
      <c r="U46" s="11">
        <f t="shared" si="4"/>
        <v>-6.315998869926176E-3</v>
      </c>
      <c r="V46" s="11">
        <f t="shared" si="5"/>
        <v>1.0409951914860009</v>
      </c>
    </row>
    <row r="47" spans="1:22" x14ac:dyDescent="0.3">
      <c r="A47" t="s">
        <v>6</v>
      </c>
      <c r="B47" t="s">
        <v>7</v>
      </c>
      <c r="C47" t="s">
        <v>159</v>
      </c>
      <c r="D47" s="7">
        <v>2040</v>
      </c>
      <c r="E47" s="6">
        <v>0.97</v>
      </c>
      <c r="F47" s="6">
        <v>34.299999999999997</v>
      </c>
      <c r="G47" s="6">
        <v>176.2</v>
      </c>
      <c r="H47" s="6">
        <v>386.3</v>
      </c>
      <c r="I47" s="6">
        <f>proc_Cambium22_highElec_gea!AE47-proc_Cambium22_MidCase_gea!AE47</f>
        <v>57653200</v>
      </c>
      <c r="J47" s="6">
        <f>proc_Cambium22_highElec_gea!AF47-proc_Cambium22_MidCase_gea!AF47</f>
        <v>176080</v>
      </c>
      <c r="K47" s="6">
        <f>proc_Cambium22_highElec_gea!AG47-proc_Cambium22_MidCase_gea!AG47</f>
        <v>-31378.399999999907</v>
      </c>
      <c r="L47" s="6">
        <f t="shared" si="0"/>
        <v>57508498.399999999</v>
      </c>
      <c r="M47" s="6">
        <f>proc_Cambium22_highElec_gea!AI47-proc_Cambium22_MidCase_gea!AI47</f>
        <v>-584814</v>
      </c>
      <c r="N47" s="6">
        <f>proc_Cambium22_highElec_gea!AJ47-proc_Cambium22_MidCase_gea!AJ47</f>
        <v>44184.399999999907</v>
      </c>
      <c r="O47" s="6">
        <f>proc_Cambium22_highElec_gea!AK47-proc_Cambium22_MidCase_gea!AK47</f>
        <v>12191.599999999999</v>
      </c>
      <c r="P47" s="6">
        <f>proc_Cambium22_highElec_gea!AL47-proc_Cambium22_MidCase_gea!AL47</f>
        <v>-2111787</v>
      </c>
      <c r="Q47" s="6">
        <f>proc_Cambium22_highElec_gea!AM47-proc_Cambium22_MidCase_gea!AM47</f>
        <v>60148743</v>
      </c>
      <c r="R47" s="11">
        <f t="shared" si="1"/>
        <v>-1.0169175274449525E-2</v>
      </c>
      <c r="S47" s="11">
        <f t="shared" si="2"/>
        <v>7.6831079282709816E-4</v>
      </c>
      <c r="T47" s="11">
        <f t="shared" si="3"/>
        <v>2.1199649337392539E-4</v>
      </c>
      <c r="U47" s="11">
        <f t="shared" si="4"/>
        <v>-3.6721303090049034E-2</v>
      </c>
      <c r="V47" s="11">
        <f t="shared" si="5"/>
        <v>1.0459105118974903</v>
      </c>
    </row>
    <row r="48" spans="1:22" x14ac:dyDescent="0.3">
      <c r="A48" t="s">
        <v>6</v>
      </c>
      <c r="B48" t="s">
        <v>7</v>
      </c>
      <c r="C48" t="s">
        <v>159</v>
      </c>
      <c r="D48" s="7">
        <v>2045</v>
      </c>
      <c r="E48" s="6">
        <v>0.97</v>
      </c>
      <c r="F48" s="6">
        <v>32.6</v>
      </c>
      <c r="G48" s="6">
        <v>179.7</v>
      </c>
      <c r="H48" s="6">
        <v>366.5</v>
      </c>
      <c r="I48" s="6">
        <f>proc_Cambium22_highElec_gea!AE48-proc_Cambium22_MidCase_gea!AE48</f>
        <v>75747540</v>
      </c>
      <c r="J48" s="6">
        <f>proc_Cambium22_highElec_gea!AF48-proc_Cambium22_MidCase_gea!AF48</f>
        <v>564008</v>
      </c>
      <c r="K48" s="6">
        <f>proc_Cambium22_highElec_gea!AG48-proc_Cambium22_MidCase_gea!AG48</f>
        <v>-34410.5</v>
      </c>
      <c r="L48" s="6">
        <f t="shared" si="0"/>
        <v>75217942.5</v>
      </c>
      <c r="M48" s="6">
        <f>proc_Cambium22_highElec_gea!AI48-proc_Cambium22_MidCase_gea!AI48</f>
        <v>-558897</v>
      </c>
      <c r="N48" s="6">
        <f>proc_Cambium22_highElec_gea!AJ48-proc_Cambium22_MidCase_gea!AJ48</f>
        <v>-50309.800000000279</v>
      </c>
      <c r="O48" s="6">
        <f>proc_Cambium22_highElec_gea!AK48-proc_Cambium22_MidCase_gea!AK48</f>
        <v>18709</v>
      </c>
      <c r="P48" s="6">
        <f>proc_Cambium22_highElec_gea!AL48-proc_Cambium22_MidCase_gea!AL48</f>
        <v>-954196.8</v>
      </c>
      <c r="Q48" s="6">
        <f>proc_Cambium22_highElec_gea!AM48-proc_Cambium22_MidCase_gea!AM48</f>
        <v>76762635</v>
      </c>
      <c r="R48" s="11">
        <f t="shared" si="1"/>
        <v>-7.4303680933575124E-3</v>
      </c>
      <c r="S48" s="11">
        <f t="shared" si="2"/>
        <v>-6.6885371133357284E-4</v>
      </c>
      <c r="T48" s="11">
        <f t="shared" si="3"/>
        <v>2.4873054723611988E-4</v>
      </c>
      <c r="U48" s="11">
        <f t="shared" si="4"/>
        <v>-1.2685760448712087E-2</v>
      </c>
      <c r="V48" s="11">
        <f t="shared" si="5"/>
        <v>1.0205362237872966</v>
      </c>
    </row>
    <row r="49" spans="1:22" x14ac:dyDescent="0.3">
      <c r="A49" t="s">
        <v>6</v>
      </c>
      <c r="B49" t="s">
        <v>7</v>
      </c>
      <c r="C49" t="s">
        <v>159</v>
      </c>
      <c r="D49" s="7">
        <v>2050</v>
      </c>
      <c r="E49" s="6">
        <v>0.97</v>
      </c>
      <c r="F49" s="6">
        <v>26.8</v>
      </c>
      <c r="G49" s="6">
        <v>183.2</v>
      </c>
      <c r="H49" s="6">
        <v>341.9</v>
      </c>
      <c r="I49" s="6">
        <f>proc_Cambium22_highElec_gea!AE49-proc_Cambium22_MidCase_gea!AE49</f>
        <v>84928460</v>
      </c>
      <c r="J49" s="6">
        <f>proc_Cambium22_highElec_gea!AF49-proc_Cambium22_MidCase_gea!AF49</f>
        <v>-259498</v>
      </c>
      <c r="K49" s="6">
        <f>proc_Cambium22_highElec_gea!AG49-proc_Cambium22_MidCase_gea!AG49</f>
        <v>-36116.599999999977</v>
      </c>
      <c r="L49" s="6">
        <f t="shared" si="0"/>
        <v>85224074.599999994</v>
      </c>
      <c r="M49" s="6">
        <f>proc_Cambium22_highElec_gea!AI49-proc_Cambium22_MidCase_gea!AI49</f>
        <v>-667152</v>
      </c>
      <c r="N49" s="6">
        <f>proc_Cambium22_highElec_gea!AJ49-proc_Cambium22_MidCase_gea!AJ49</f>
        <v>-474738</v>
      </c>
      <c r="O49" s="6">
        <f>proc_Cambium22_highElec_gea!AK49-proc_Cambium22_MidCase_gea!AK49</f>
        <v>21748.1</v>
      </c>
      <c r="P49" s="6">
        <f>proc_Cambium22_highElec_gea!AL49-proc_Cambium22_MidCase_gea!AL49</f>
        <v>0</v>
      </c>
      <c r="Q49" s="6">
        <f>proc_Cambium22_highElec_gea!AM49-proc_Cambium22_MidCase_gea!AM49</f>
        <v>86344193.5</v>
      </c>
      <c r="R49" s="11">
        <f t="shared" si="1"/>
        <v>-7.8282105512002837E-3</v>
      </c>
      <c r="S49" s="11">
        <f t="shared" si="2"/>
        <v>-5.5704682301120582E-3</v>
      </c>
      <c r="T49" s="11">
        <f t="shared" si="3"/>
        <v>2.5518728249118472E-4</v>
      </c>
      <c r="U49" s="11">
        <f t="shared" si="4"/>
        <v>0</v>
      </c>
      <c r="V49" s="11">
        <f t="shared" si="5"/>
        <v>1.0131432216220275</v>
      </c>
    </row>
    <row r="50" spans="1:22" x14ac:dyDescent="0.3">
      <c r="A50" t="s">
        <v>6</v>
      </c>
      <c r="B50" t="s">
        <v>7</v>
      </c>
      <c r="C50" t="s">
        <v>160</v>
      </c>
      <c r="D50" s="7">
        <v>2024</v>
      </c>
      <c r="E50" s="6">
        <v>0.7</v>
      </c>
      <c r="F50" s="6">
        <v>157.30000000000001</v>
      </c>
      <c r="G50" s="6">
        <v>367.4</v>
      </c>
      <c r="H50" s="6">
        <v>758.2</v>
      </c>
      <c r="I50" s="6">
        <f>proc_Cambium22_highElec_gea!AE50-proc_Cambium22_MidCase_gea!AE50</f>
        <v>317790</v>
      </c>
      <c r="J50" s="6">
        <f>proc_Cambium22_highElec_gea!AF50-proc_Cambium22_MidCase_gea!AF50</f>
        <v>2468</v>
      </c>
      <c r="K50" s="6">
        <f>proc_Cambium22_highElec_gea!AG50-proc_Cambium22_MidCase_gea!AG50</f>
        <v>0</v>
      </c>
      <c r="L50" s="6">
        <f t="shared" si="0"/>
        <v>315322</v>
      </c>
      <c r="M50" s="6">
        <f>proc_Cambium22_highElec_gea!AI50-proc_Cambium22_MidCase_gea!AI50</f>
        <v>3728.3999999999651</v>
      </c>
      <c r="N50" s="6">
        <f>proc_Cambium22_highElec_gea!AJ50-proc_Cambium22_MidCase_gea!AJ50</f>
        <v>556556.60000000149</v>
      </c>
      <c r="O50" s="6">
        <f>proc_Cambium22_highElec_gea!AK50-proc_Cambium22_MidCase_gea!AK50</f>
        <v>-2039.2999999999993</v>
      </c>
      <c r="P50" s="6">
        <f>proc_Cambium22_highElec_gea!AL50-proc_Cambium22_MidCase_gea!AL50</f>
        <v>-354</v>
      </c>
      <c r="Q50" s="6">
        <f>proc_Cambium22_highElec_gea!AM50-proc_Cambium22_MidCase_gea!AM50</f>
        <v>-242568.39999999851</v>
      </c>
      <c r="R50" s="11">
        <f t="shared" si="1"/>
        <v>1.1824103614717543E-2</v>
      </c>
      <c r="S50" s="11">
        <f t="shared" si="2"/>
        <v>1.7650420839649674</v>
      </c>
      <c r="T50" s="11">
        <f t="shared" si="3"/>
        <v>-6.4673571777421153E-3</v>
      </c>
      <c r="U50" s="11">
        <f t="shared" si="4"/>
        <v>-1.1226619138531406E-3</v>
      </c>
      <c r="V50" s="11">
        <f t="shared" si="5"/>
        <v>-0.76927204571834029</v>
      </c>
    </row>
    <row r="51" spans="1:22" x14ac:dyDescent="0.3">
      <c r="A51" t="s">
        <v>6</v>
      </c>
      <c r="B51" t="s">
        <v>7</v>
      </c>
      <c r="C51" t="s">
        <v>160</v>
      </c>
      <c r="D51" s="7">
        <v>2026</v>
      </c>
      <c r="E51" s="6">
        <v>0.71</v>
      </c>
      <c r="F51" s="6">
        <v>152.9</v>
      </c>
      <c r="G51" s="6">
        <v>322.10000000000002</v>
      </c>
      <c r="H51" s="6">
        <v>707.2</v>
      </c>
      <c r="I51" s="6">
        <f>proc_Cambium22_highElec_gea!AE51-proc_Cambium22_MidCase_gea!AE51</f>
        <v>438760</v>
      </c>
      <c r="J51" s="6">
        <f>proc_Cambium22_highElec_gea!AF51-proc_Cambium22_MidCase_gea!AF51</f>
        <v>-2490</v>
      </c>
      <c r="K51" s="6">
        <f>proc_Cambium22_highElec_gea!AG51-proc_Cambium22_MidCase_gea!AG51</f>
        <v>78.5</v>
      </c>
      <c r="L51" s="6">
        <f t="shared" si="0"/>
        <v>441171.5</v>
      </c>
      <c r="M51" s="6">
        <f>proc_Cambium22_highElec_gea!AI51-proc_Cambium22_MidCase_gea!AI51</f>
        <v>32337.600000000006</v>
      </c>
      <c r="N51" s="6">
        <f>proc_Cambium22_highElec_gea!AJ51-proc_Cambium22_MidCase_gea!AJ51</f>
        <v>-330643.79999999702</v>
      </c>
      <c r="O51" s="6">
        <f>proc_Cambium22_highElec_gea!AK51-proc_Cambium22_MidCase_gea!AK51</f>
        <v>2686.7999999999993</v>
      </c>
      <c r="P51" s="6">
        <f>proc_Cambium22_highElec_gea!AL51-proc_Cambium22_MidCase_gea!AL51</f>
        <v>4130</v>
      </c>
      <c r="Q51" s="6">
        <f>proc_Cambium22_highElec_gea!AM51-proc_Cambium22_MidCase_gea!AM51</f>
        <v>732644.80000000447</v>
      </c>
      <c r="R51" s="11">
        <f t="shared" si="1"/>
        <v>7.3299385839747142E-2</v>
      </c>
      <c r="S51" s="11">
        <f t="shared" si="2"/>
        <v>-0.74946772400301698</v>
      </c>
      <c r="T51" s="11">
        <f t="shared" si="3"/>
        <v>6.0901486156744013E-3</v>
      </c>
      <c r="U51" s="11">
        <f t="shared" si="4"/>
        <v>9.3614388055438761E-3</v>
      </c>
      <c r="V51" s="11">
        <f t="shared" si="5"/>
        <v>1.6606802569975723</v>
      </c>
    </row>
    <row r="52" spans="1:22" x14ac:dyDescent="0.3">
      <c r="A52" t="s">
        <v>6</v>
      </c>
      <c r="B52" t="s">
        <v>7</v>
      </c>
      <c r="C52" t="s">
        <v>160</v>
      </c>
      <c r="D52" s="7">
        <v>2028</v>
      </c>
      <c r="E52" s="6">
        <v>0.73</v>
      </c>
      <c r="F52" s="6">
        <v>139.30000000000001</v>
      </c>
      <c r="G52" s="6">
        <v>276.39999999999998</v>
      </c>
      <c r="H52" s="6">
        <v>644.4</v>
      </c>
      <c r="I52" s="6">
        <f>proc_Cambium22_highElec_gea!AE52-proc_Cambium22_MidCase_gea!AE52</f>
        <v>3437780</v>
      </c>
      <c r="J52" s="6">
        <f>proc_Cambium22_highElec_gea!AF52-proc_Cambium22_MidCase_gea!AF52</f>
        <v>5902</v>
      </c>
      <c r="K52" s="6">
        <f>proc_Cambium22_highElec_gea!AG52-proc_Cambium22_MidCase_gea!AG52</f>
        <v>10722</v>
      </c>
      <c r="L52" s="6">
        <f t="shared" si="0"/>
        <v>3421156</v>
      </c>
      <c r="M52" s="6">
        <f>proc_Cambium22_highElec_gea!AI52-proc_Cambium22_MidCase_gea!AI52</f>
        <v>31245.7</v>
      </c>
      <c r="N52" s="6">
        <f>proc_Cambium22_highElec_gea!AJ52-proc_Cambium22_MidCase_gea!AJ52</f>
        <v>3149901.1000000015</v>
      </c>
      <c r="O52" s="6">
        <f>proc_Cambium22_highElec_gea!AK52-proc_Cambium22_MidCase_gea!AK52</f>
        <v>8411.7000000000044</v>
      </c>
      <c r="P52" s="6">
        <f>proc_Cambium22_highElec_gea!AL52-proc_Cambium22_MidCase_gea!AL52</f>
        <v>110196</v>
      </c>
      <c r="Q52" s="6">
        <f>proc_Cambium22_highElec_gea!AM52-proc_Cambium22_MidCase_gea!AM52</f>
        <v>121407.99999999255</v>
      </c>
      <c r="R52" s="11">
        <f t="shared" si="1"/>
        <v>9.1330825019379416E-3</v>
      </c>
      <c r="S52" s="11">
        <f t="shared" si="2"/>
        <v>0.92071250185609821</v>
      </c>
      <c r="T52" s="11">
        <f t="shared" si="3"/>
        <v>2.4587303239022146E-3</v>
      </c>
      <c r="U52" s="11">
        <f t="shared" si="4"/>
        <v>3.2210165219007846E-2</v>
      </c>
      <c r="V52" s="11">
        <f t="shared" si="5"/>
        <v>3.5487420041644561E-2</v>
      </c>
    </row>
    <row r="53" spans="1:22" x14ac:dyDescent="0.3">
      <c r="A53" t="s">
        <v>6</v>
      </c>
      <c r="B53" t="s">
        <v>7</v>
      </c>
      <c r="C53" t="s">
        <v>160</v>
      </c>
      <c r="D53" s="7">
        <v>2030</v>
      </c>
      <c r="E53" s="6">
        <v>0.77</v>
      </c>
      <c r="F53" s="6">
        <v>119.4</v>
      </c>
      <c r="G53" s="6">
        <v>246.9</v>
      </c>
      <c r="H53" s="6">
        <v>606.79999999999995</v>
      </c>
      <c r="I53" s="6">
        <f>proc_Cambium22_highElec_gea!AE53-proc_Cambium22_MidCase_gea!AE53</f>
        <v>5196040</v>
      </c>
      <c r="J53" s="6">
        <f>proc_Cambium22_highElec_gea!AF53-proc_Cambium22_MidCase_gea!AF53</f>
        <v>2732</v>
      </c>
      <c r="K53" s="6">
        <f>proc_Cambium22_highElec_gea!AG53-proc_Cambium22_MidCase_gea!AG53</f>
        <v>1608.5</v>
      </c>
      <c r="L53" s="6">
        <f t="shared" si="0"/>
        <v>5191699.5</v>
      </c>
      <c r="M53" s="6">
        <f>proc_Cambium22_highElec_gea!AI53-proc_Cambium22_MidCase_gea!AI53</f>
        <v>0</v>
      </c>
      <c r="N53" s="6">
        <f>proc_Cambium22_highElec_gea!AJ53-proc_Cambium22_MidCase_gea!AJ53</f>
        <v>3905807.3999999985</v>
      </c>
      <c r="O53" s="6">
        <f>proc_Cambium22_highElec_gea!AK53-proc_Cambium22_MidCase_gea!AK53</f>
        <v>4543.6999999999971</v>
      </c>
      <c r="P53" s="6">
        <f>proc_Cambium22_highElec_gea!AL53-proc_Cambium22_MidCase_gea!AL53</f>
        <v>42548</v>
      </c>
      <c r="Q53" s="6">
        <f>proc_Cambium22_highElec_gea!AM53-proc_Cambium22_MidCase_gea!AM53</f>
        <v>1238804.8999999985</v>
      </c>
      <c r="R53" s="11">
        <f t="shared" si="1"/>
        <v>0</v>
      </c>
      <c r="S53" s="11">
        <f t="shared" si="2"/>
        <v>0.75231769481265209</v>
      </c>
      <c r="T53" s="11">
        <f t="shared" si="3"/>
        <v>8.7518547635509274E-4</v>
      </c>
      <c r="U53" s="11">
        <f t="shared" si="4"/>
        <v>8.1953895829294434E-3</v>
      </c>
      <c r="V53" s="11">
        <f t="shared" si="5"/>
        <v>0.23861259689625691</v>
      </c>
    </row>
    <row r="54" spans="1:22" x14ac:dyDescent="0.3">
      <c r="A54" t="s">
        <v>6</v>
      </c>
      <c r="B54" t="s">
        <v>7</v>
      </c>
      <c r="C54" t="s">
        <v>160</v>
      </c>
      <c r="D54" s="7">
        <v>2035</v>
      </c>
      <c r="E54" s="6">
        <v>0.81</v>
      </c>
      <c r="F54" s="6">
        <v>97.4</v>
      </c>
      <c r="G54" s="6">
        <v>228.7</v>
      </c>
      <c r="H54" s="6">
        <v>558.29999999999995</v>
      </c>
      <c r="I54" s="6">
        <f>proc_Cambium22_highElec_gea!AE54-proc_Cambium22_MidCase_gea!AE54</f>
        <v>10946430</v>
      </c>
      <c r="J54" s="6">
        <f>proc_Cambium22_highElec_gea!AF54-proc_Cambium22_MidCase_gea!AF54</f>
        <v>-4056</v>
      </c>
      <c r="K54" s="6">
        <f>proc_Cambium22_highElec_gea!AG54-proc_Cambium22_MidCase_gea!AG54</f>
        <v>33436</v>
      </c>
      <c r="L54" s="6">
        <f t="shared" si="0"/>
        <v>10917050</v>
      </c>
      <c r="M54" s="6">
        <f>proc_Cambium22_highElec_gea!AI54-proc_Cambium22_MidCase_gea!AI54</f>
        <v>2081.8999999999996</v>
      </c>
      <c r="N54" s="6">
        <f>proc_Cambium22_highElec_gea!AJ54-proc_Cambium22_MidCase_gea!AJ54</f>
        <v>8413329.3000000045</v>
      </c>
      <c r="O54" s="6">
        <f>proc_Cambium22_highElec_gea!AK54-proc_Cambium22_MidCase_gea!AK54</f>
        <v>8981.0999999999985</v>
      </c>
      <c r="P54" s="6">
        <f>proc_Cambium22_highElec_gea!AL54-proc_Cambium22_MidCase_gea!AL54</f>
        <v>113938</v>
      </c>
      <c r="Q54" s="6">
        <f>proc_Cambium22_highElec_gea!AM54-proc_Cambium22_MidCase_gea!AM54</f>
        <v>2378729.8999999911</v>
      </c>
      <c r="R54" s="11">
        <f t="shared" si="1"/>
        <v>1.9070170055097299E-4</v>
      </c>
      <c r="S54" s="11">
        <f t="shared" si="2"/>
        <v>0.77065959210592649</v>
      </c>
      <c r="T54" s="11">
        <f t="shared" si="3"/>
        <v>8.2266729565221356E-4</v>
      </c>
      <c r="U54" s="11">
        <f t="shared" si="4"/>
        <v>1.0436702222670043E-2</v>
      </c>
      <c r="V54" s="11">
        <f t="shared" si="5"/>
        <v>0.21789127099353681</v>
      </c>
    </row>
    <row r="55" spans="1:22" x14ac:dyDescent="0.3">
      <c r="A55" t="s">
        <v>6</v>
      </c>
      <c r="B55" t="s">
        <v>7</v>
      </c>
      <c r="C55" t="s">
        <v>160</v>
      </c>
      <c r="D55" s="7">
        <v>2040</v>
      </c>
      <c r="E55" s="6">
        <v>0.81</v>
      </c>
      <c r="F55" s="6">
        <v>101</v>
      </c>
      <c r="G55" s="6">
        <v>212.7</v>
      </c>
      <c r="H55" s="6">
        <v>540.5</v>
      </c>
      <c r="I55" s="6">
        <f>proc_Cambium22_highElec_gea!AE55-proc_Cambium22_MidCase_gea!AE55</f>
        <v>21281300</v>
      </c>
      <c r="J55" s="6">
        <f>proc_Cambium22_highElec_gea!AF55-proc_Cambium22_MidCase_gea!AF55</f>
        <v>-8410</v>
      </c>
      <c r="K55" s="6">
        <f>proc_Cambium22_highElec_gea!AG55-proc_Cambium22_MidCase_gea!AG55</f>
        <v>50163.799999999814</v>
      </c>
      <c r="L55" s="6">
        <f t="shared" si="0"/>
        <v>21239546.199999999</v>
      </c>
      <c r="M55" s="6">
        <f>proc_Cambium22_highElec_gea!AI55-proc_Cambium22_MidCase_gea!AI55</f>
        <v>0</v>
      </c>
      <c r="N55" s="6">
        <f>proc_Cambium22_highElec_gea!AJ55-proc_Cambium22_MidCase_gea!AJ55</f>
        <v>11683170.100000001</v>
      </c>
      <c r="O55" s="6">
        <f>proc_Cambium22_highElec_gea!AK55-proc_Cambium22_MidCase_gea!AK55</f>
        <v>43342.1</v>
      </c>
      <c r="P55" s="6">
        <f>proc_Cambium22_highElec_gea!AL55-proc_Cambium22_MidCase_gea!AL55</f>
        <v>118500</v>
      </c>
      <c r="Q55" s="6">
        <f>proc_Cambium22_highElec_gea!AM55-proc_Cambium22_MidCase_gea!AM55</f>
        <v>9394528.1000000089</v>
      </c>
      <c r="R55" s="11">
        <f t="shared" si="1"/>
        <v>0</v>
      </c>
      <c r="S55" s="11">
        <f t="shared" si="2"/>
        <v>0.55006684182357912</v>
      </c>
      <c r="T55" s="11">
        <f t="shared" si="3"/>
        <v>2.0406321110570621E-3</v>
      </c>
      <c r="U55" s="11">
        <f t="shared" si="4"/>
        <v>5.5792152470752884E-3</v>
      </c>
      <c r="V55" s="11">
        <f t="shared" si="5"/>
        <v>0.44231303303457631</v>
      </c>
    </row>
    <row r="56" spans="1:22" x14ac:dyDescent="0.3">
      <c r="A56" t="s">
        <v>6</v>
      </c>
      <c r="B56" t="s">
        <v>7</v>
      </c>
      <c r="C56" t="s">
        <v>160</v>
      </c>
      <c r="D56" s="7">
        <v>2045</v>
      </c>
      <c r="E56" s="6">
        <v>0.78</v>
      </c>
      <c r="F56" s="6">
        <v>114.4</v>
      </c>
      <c r="G56" s="6">
        <v>194</v>
      </c>
      <c r="H56" s="6">
        <v>560.5</v>
      </c>
      <c r="I56" s="6">
        <f>proc_Cambium22_highElec_gea!AE56-proc_Cambium22_MidCase_gea!AE56</f>
        <v>31826540</v>
      </c>
      <c r="J56" s="6">
        <f>proc_Cambium22_highElec_gea!AF56-proc_Cambium22_MidCase_gea!AF56</f>
        <v>-4840</v>
      </c>
      <c r="K56" s="6">
        <f>proc_Cambium22_highElec_gea!AG56-proc_Cambium22_MidCase_gea!AG56</f>
        <v>-43525.200000000186</v>
      </c>
      <c r="L56" s="6">
        <f t="shared" si="0"/>
        <v>31874905.199999999</v>
      </c>
      <c r="M56" s="6">
        <f>proc_Cambium22_highElec_gea!AI56-proc_Cambium22_MidCase_gea!AI56</f>
        <v>0</v>
      </c>
      <c r="N56" s="6">
        <f>proc_Cambium22_highElec_gea!AJ56-proc_Cambium22_MidCase_gea!AJ56</f>
        <v>11517580</v>
      </c>
      <c r="O56" s="6">
        <f>proc_Cambium22_highElec_gea!AK56-proc_Cambium22_MidCase_gea!AK56</f>
        <v>78532.399999999994</v>
      </c>
      <c r="P56" s="6">
        <f>proc_Cambium22_highElec_gea!AL56-proc_Cambium22_MidCase_gea!AL56</f>
        <v>-150762</v>
      </c>
      <c r="Q56" s="6">
        <f>proc_Cambium22_highElec_gea!AM56-proc_Cambium22_MidCase_gea!AM56</f>
        <v>20429568.899999991</v>
      </c>
      <c r="R56" s="11">
        <f t="shared" si="1"/>
        <v>0</v>
      </c>
      <c r="S56" s="11">
        <f t="shared" si="2"/>
        <v>0.36133691779575866</v>
      </c>
      <c r="T56" s="11">
        <f t="shared" si="3"/>
        <v>2.4637688961660032E-3</v>
      </c>
      <c r="U56" s="11">
        <f t="shared" si="4"/>
        <v>-4.7298023022826121E-3</v>
      </c>
      <c r="V56" s="11">
        <f t="shared" si="5"/>
        <v>0.64092955796461448</v>
      </c>
    </row>
    <row r="57" spans="1:22" x14ac:dyDescent="0.3">
      <c r="A57" t="s">
        <v>6</v>
      </c>
      <c r="B57" t="s">
        <v>7</v>
      </c>
      <c r="C57" t="s">
        <v>160</v>
      </c>
      <c r="D57" s="7">
        <v>2050</v>
      </c>
      <c r="E57" s="6">
        <v>0.79</v>
      </c>
      <c r="F57" s="6">
        <v>112.8</v>
      </c>
      <c r="G57" s="6">
        <v>182.8</v>
      </c>
      <c r="H57" s="6">
        <v>552.5</v>
      </c>
      <c r="I57" s="6">
        <f>proc_Cambium22_highElec_gea!AE57-proc_Cambium22_MidCase_gea!AE57</f>
        <v>40911320</v>
      </c>
      <c r="J57" s="6">
        <f>proc_Cambium22_highElec_gea!AF57-proc_Cambium22_MidCase_gea!AF57</f>
        <v>6828</v>
      </c>
      <c r="K57" s="6">
        <f>proc_Cambium22_highElec_gea!AG57-proc_Cambium22_MidCase_gea!AG57</f>
        <v>-56585.799999999814</v>
      </c>
      <c r="L57" s="6">
        <f t="shared" si="0"/>
        <v>40961077.799999997</v>
      </c>
      <c r="M57" s="6">
        <f>proc_Cambium22_highElec_gea!AI57-proc_Cambium22_MidCase_gea!AI57</f>
        <v>0</v>
      </c>
      <c r="N57" s="6">
        <f>proc_Cambium22_highElec_gea!AJ57-proc_Cambium22_MidCase_gea!AJ57</f>
        <v>11598633.200000003</v>
      </c>
      <c r="O57" s="6">
        <f>proc_Cambium22_highElec_gea!AK57-proc_Cambium22_MidCase_gea!AK57</f>
        <v>96304.6</v>
      </c>
      <c r="P57" s="6">
        <f>proc_Cambium22_highElec_gea!AL57-proc_Cambium22_MidCase_gea!AL57</f>
        <v>-148378</v>
      </c>
      <c r="Q57" s="6">
        <f>proc_Cambium22_highElec_gea!AM57-proc_Cambium22_MidCase_gea!AM57</f>
        <v>29414523.299999997</v>
      </c>
      <c r="R57" s="11">
        <f t="shared" si="1"/>
        <v>0</v>
      </c>
      <c r="S57" s="11">
        <f t="shared" si="2"/>
        <v>0.2831623048747024</v>
      </c>
      <c r="T57" s="11">
        <f t="shared" si="3"/>
        <v>2.3511246571739381E-3</v>
      </c>
      <c r="U57" s="11">
        <f t="shared" si="4"/>
        <v>-3.6224144473073414E-3</v>
      </c>
      <c r="V57" s="11">
        <f t="shared" si="5"/>
        <v>0.71810911430655766</v>
      </c>
    </row>
    <row r="58" spans="1:22" x14ac:dyDescent="0.3">
      <c r="A58" t="s">
        <v>6</v>
      </c>
      <c r="B58" t="s">
        <v>7</v>
      </c>
      <c r="C58" t="s">
        <v>161</v>
      </c>
      <c r="D58" s="7">
        <v>2024</v>
      </c>
      <c r="E58" s="6">
        <v>0.76</v>
      </c>
      <c r="F58" s="6">
        <v>216.7</v>
      </c>
      <c r="G58" s="6">
        <v>333.9</v>
      </c>
      <c r="H58" s="6">
        <v>793.8</v>
      </c>
      <c r="I58" s="6">
        <f>proc_Cambium22_highElec_gea!AE58-proc_Cambium22_MidCase_gea!AE58</f>
        <v>1666330</v>
      </c>
      <c r="J58" s="6">
        <f>proc_Cambium22_highElec_gea!AF58-proc_Cambium22_MidCase_gea!AF58</f>
        <v>3770</v>
      </c>
      <c r="K58" s="6">
        <f>proc_Cambium22_highElec_gea!AG58-proc_Cambium22_MidCase_gea!AG58</f>
        <v>-10350.800000000047</v>
      </c>
      <c r="L58" s="6">
        <f t="shared" si="0"/>
        <v>1672910.8</v>
      </c>
      <c r="M58" s="6">
        <f>proc_Cambium22_highElec_gea!AI58-proc_Cambium22_MidCase_gea!AI58</f>
        <v>-275066</v>
      </c>
      <c r="N58" s="6">
        <f>proc_Cambium22_highElec_gea!AJ58-proc_Cambium22_MidCase_gea!AJ58</f>
        <v>12635.199999999255</v>
      </c>
      <c r="O58" s="6">
        <f>proc_Cambium22_highElec_gea!AK58-proc_Cambium22_MidCase_gea!AK58</f>
        <v>393.39999999999964</v>
      </c>
      <c r="P58" s="6">
        <f>proc_Cambium22_highElec_gea!AL58-proc_Cambium22_MidCase_gea!AL58</f>
        <v>-46084</v>
      </c>
      <c r="Q58" s="6">
        <f>proc_Cambium22_highElec_gea!AM58-proc_Cambium22_MidCase_gea!AM58</f>
        <v>1981031.4999999702</v>
      </c>
      <c r="R58" s="11">
        <f t="shared" si="1"/>
        <v>-0.16442359030738518</v>
      </c>
      <c r="S58" s="11">
        <f t="shared" si="2"/>
        <v>7.5528234978214344E-3</v>
      </c>
      <c r="T58" s="11">
        <f t="shared" si="3"/>
        <v>2.3515898157869483E-4</v>
      </c>
      <c r="U58" s="11">
        <f t="shared" si="4"/>
        <v>-2.7547194984932848E-2</v>
      </c>
      <c r="V58" s="11">
        <f t="shared" si="5"/>
        <v>1.1841823843805481</v>
      </c>
    </row>
    <row r="59" spans="1:22" x14ac:dyDescent="0.3">
      <c r="A59" t="s">
        <v>6</v>
      </c>
      <c r="B59" t="s">
        <v>7</v>
      </c>
      <c r="C59" t="s">
        <v>161</v>
      </c>
      <c r="D59" s="7">
        <v>2026</v>
      </c>
      <c r="E59" s="6">
        <v>0.81</v>
      </c>
      <c r="F59" s="6">
        <v>165</v>
      </c>
      <c r="G59" s="6">
        <v>238</v>
      </c>
      <c r="H59" s="6">
        <v>714.2</v>
      </c>
      <c r="I59" s="6">
        <f>proc_Cambium22_highElec_gea!AE59-proc_Cambium22_MidCase_gea!AE59</f>
        <v>4279010</v>
      </c>
      <c r="J59" s="6">
        <f>proc_Cambium22_highElec_gea!AF59-proc_Cambium22_MidCase_gea!AF59</f>
        <v>-764</v>
      </c>
      <c r="K59" s="6">
        <f>proc_Cambium22_highElec_gea!AG59-proc_Cambium22_MidCase_gea!AG59</f>
        <v>798</v>
      </c>
      <c r="L59" s="6">
        <f t="shared" si="0"/>
        <v>4278976</v>
      </c>
      <c r="M59" s="6">
        <f>proc_Cambium22_highElec_gea!AI59-proc_Cambium22_MidCase_gea!AI59</f>
        <v>2161520</v>
      </c>
      <c r="N59" s="6">
        <f>proc_Cambium22_highElec_gea!AJ59-proc_Cambium22_MidCase_gea!AJ59</f>
        <v>1797623.5999999978</v>
      </c>
      <c r="O59" s="6">
        <f>proc_Cambium22_highElec_gea!AK59-proc_Cambium22_MidCase_gea!AK59</f>
        <v>53.599999999999909</v>
      </c>
      <c r="P59" s="6">
        <f>proc_Cambium22_highElec_gea!AL59-proc_Cambium22_MidCase_gea!AL59</f>
        <v>-2970</v>
      </c>
      <c r="Q59" s="6">
        <f>proc_Cambium22_highElec_gea!AM59-proc_Cambium22_MidCase_gea!AM59</f>
        <v>322742.30000001192</v>
      </c>
      <c r="R59" s="11">
        <f t="shared" si="1"/>
        <v>0.50514889543666519</v>
      </c>
      <c r="S59" s="11">
        <f t="shared" si="2"/>
        <v>0.42010602536681624</v>
      </c>
      <c r="T59" s="11">
        <f t="shared" si="3"/>
        <v>1.2526361447224735E-5</v>
      </c>
      <c r="U59" s="11">
        <f t="shared" si="4"/>
        <v>-6.9409129660928225E-4</v>
      </c>
      <c r="V59" s="11">
        <f t="shared" si="5"/>
        <v>7.5425125076656635E-2</v>
      </c>
    </row>
    <row r="60" spans="1:22" x14ac:dyDescent="0.3">
      <c r="A60" t="s">
        <v>6</v>
      </c>
      <c r="B60" t="s">
        <v>7</v>
      </c>
      <c r="C60" t="s">
        <v>161</v>
      </c>
      <c r="D60" s="7">
        <v>2028</v>
      </c>
      <c r="E60" s="6">
        <v>0.86</v>
      </c>
      <c r="F60" s="6">
        <v>125.3</v>
      </c>
      <c r="G60" s="6">
        <v>149.9</v>
      </c>
      <c r="H60" s="6">
        <v>626.6</v>
      </c>
      <c r="I60" s="6">
        <f>proc_Cambium22_highElec_gea!AE60-proc_Cambium22_MidCase_gea!AE60</f>
        <v>7573990</v>
      </c>
      <c r="J60" s="6">
        <f>proc_Cambium22_highElec_gea!AF60-proc_Cambium22_MidCase_gea!AF60</f>
        <v>-2809</v>
      </c>
      <c r="K60" s="6">
        <f>proc_Cambium22_highElec_gea!AG60-proc_Cambium22_MidCase_gea!AG60</f>
        <v>16744.699999999953</v>
      </c>
      <c r="L60" s="6">
        <f t="shared" si="0"/>
        <v>7560054.2999999998</v>
      </c>
      <c r="M60" s="6">
        <f>proc_Cambium22_highElec_gea!AI60-proc_Cambium22_MidCase_gea!AI60</f>
        <v>2357928</v>
      </c>
      <c r="N60" s="6">
        <f>proc_Cambium22_highElec_gea!AJ60-proc_Cambium22_MidCase_gea!AJ60</f>
        <v>3623804</v>
      </c>
      <c r="O60" s="6">
        <f>proc_Cambium22_highElec_gea!AK60-proc_Cambium22_MidCase_gea!AK60</f>
        <v>85.200000000000045</v>
      </c>
      <c r="P60" s="6">
        <f>proc_Cambium22_highElec_gea!AL60-proc_Cambium22_MidCase_gea!AL60</f>
        <v>63287</v>
      </c>
      <c r="Q60" s="6">
        <f>proc_Cambium22_highElec_gea!AM60-proc_Cambium22_MidCase_gea!AM60</f>
        <v>1514967.900000006</v>
      </c>
      <c r="R60" s="11">
        <f t="shared" si="1"/>
        <v>0.3118929979114039</v>
      </c>
      <c r="S60" s="11">
        <f t="shared" si="2"/>
        <v>0.47933571059139085</v>
      </c>
      <c r="T60" s="11">
        <f t="shared" si="3"/>
        <v>1.1269760324340534E-5</v>
      </c>
      <c r="U60" s="11">
        <f t="shared" si="4"/>
        <v>8.3712361695603161E-3</v>
      </c>
      <c r="V60" s="11">
        <f t="shared" si="5"/>
        <v>0.20039114004776473</v>
      </c>
    </row>
    <row r="61" spans="1:22" x14ac:dyDescent="0.3">
      <c r="A61" t="s">
        <v>6</v>
      </c>
      <c r="B61" t="s">
        <v>7</v>
      </c>
      <c r="C61" t="s">
        <v>161</v>
      </c>
      <c r="D61" s="7">
        <v>2030</v>
      </c>
      <c r="E61" s="6">
        <v>0.88</v>
      </c>
      <c r="F61" s="6">
        <v>109.4</v>
      </c>
      <c r="G61" s="6">
        <v>86.7</v>
      </c>
      <c r="H61" s="6">
        <v>535.29999999999995</v>
      </c>
      <c r="I61" s="6">
        <f>proc_Cambium22_highElec_gea!AE61-proc_Cambium22_MidCase_gea!AE61</f>
        <v>3067400</v>
      </c>
      <c r="J61" s="6">
        <f>proc_Cambium22_highElec_gea!AF61-proc_Cambium22_MidCase_gea!AF61</f>
        <v>-12920</v>
      </c>
      <c r="K61" s="6">
        <f>proc_Cambium22_highElec_gea!AG61-proc_Cambium22_MidCase_gea!AG61</f>
        <v>6479.1000000000931</v>
      </c>
      <c r="L61" s="6">
        <f t="shared" si="0"/>
        <v>3073840.9</v>
      </c>
      <c r="M61" s="6">
        <f>proc_Cambium22_highElec_gea!AI61-proc_Cambium22_MidCase_gea!AI61</f>
        <v>863764</v>
      </c>
      <c r="N61" s="6">
        <f>proc_Cambium22_highElec_gea!AJ61-proc_Cambium22_MidCase_gea!AJ61</f>
        <v>2033888.4000000004</v>
      </c>
      <c r="O61" s="6">
        <f>proc_Cambium22_highElec_gea!AK61-proc_Cambium22_MidCase_gea!AK61</f>
        <v>79.200000000000017</v>
      </c>
      <c r="P61" s="6">
        <f>proc_Cambium22_highElec_gea!AL61-proc_Cambium22_MidCase_gea!AL61</f>
        <v>11631</v>
      </c>
      <c r="Q61" s="6">
        <f>proc_Cambium22_highElec_gea!AM61-proc_Cambium22_MidCase_gea!AM61</f>
        <v>164481</v>
      </c>
      <c r="R61" s="11">
        <f t="shared" si="1"/>
        <v>0.28100478460027001</v>
      </c>
      <c r="S61" s="11">
        <f t="shared" si="2"/>
        <v>0.661676536349035</v>
      </c>
      <c r="T61" s="11">
        <f t="shared" si="3"/>
        <v>2.5765809804925172E-5</v>
      </c>
      <c r="U61" s="11">
        <f t="shared" si="4"/>
        <v>3.783865326276321E-3</v>
      </c>
      <c r="V61" s="11">
        <f t="shared" si="5"/>
        <v>5.3509926294493644E-2</v>
      </c>
    </row>
    <row r="62" spans="1:22" x14ac:dyDescent="0.3">
      <c r="A62" t="s">
        <v>6</v>
      </c>
      <c r="B62" t="s">
        <v>7</v>
      </c>
      <c r="C62" t="s">
        <v>161</v>
      </c>
      <c r="D62" s="7">
        <v>2035</v>
      </c>
      <c r="E62" s="6">
        <v>0.9</v>
      </c>
      <c r="F62" s="6">
        <v>84.3</v>
      </c>
      <c r="G62" s="6">
        <v>81.7</v>
      </c>
      <c r="H62" s="6">
        <v>447.2</v>
      </c>
      <c r="I62" s="6">
        <f>proc_Cambium22_highElec_gea!AE62-proc_Cambium22_MidCase_gea!AE62</f>
        <v>46768410</v>
      </c>
      <c r="J62" s="6">
        <f>proc_Cambium22_highElec_gea!AF62-proc_Cambium22_MidCase_gea!AF62</f>
        <v>22053</v>
      </c>
      <c r="K62" s="6">
        <f>proc_Cambium22_highElec_gea!AG62-proc_Cambium22_MidCase_gea!AG62</f>
        <v>30079.29999999993</v>
      </c>
      <c r="L62" s="6">
        <f t="shared" si="0"/>
        <v>46716277.700000003</v>
      </c>
      <c r="M62" s="6">
        <f>proc_Cambium22_highElec_gea!AI62-proc_Cambium22_MidCase_gea!AI62</f>
        <v>1742027</v>
      </c>
      <c r="N62" s="6">
        <f>proc_Cambium22_highElec_gea!AJ62-proc_Cambium22_MidCase_gea!AJ62</f>
        <v>12397092.099999998</v>
      </c>
      <c r="O62" s="6">
        <f>proc_Cambium22_highElec_gea!AK62-proc_Cambium22_MidCase_gea!AK62</f>
        <v>146.6</v>
      </c>
      <c r="P62" s="6">
        <f>proc_Cambium22_highElec_gea!AL62-proc_Cambium22_MidCase_gea!AL62</f>
        <v>64042</v>
      </c>
      <c r="Q62" s="6">
        <f>proc_Cambium22_highElec_gea!AM62-proc_Cambium22_MidCase_gea!AM62</f>
        <v>32512971.900000036</v>
      </c>
      <c r="R62" s="11">
        <f t="shared" si="1"/>
        <v>3.7289507764014337E-2</v>
      </c>
      <c r="S62" s="11">
        <f t="shared" si="2"/>
        <v>0.26536986057859652</v>
      </c>
      <c r="T62" s="11">
        <f t="shared" si="3"/>
        <v>3.1380924854807084E-6</v>
      </c>
      <c r="U62" s="11">
        <f t="shared" si="4"/>
        <v>1.3708712070610882E-3</v>
      </c>
      <c r="V62" s="11">
        <f t="shared" si="5"/>
        <v>0.69596666302889187</v>
      </c>
    </row>
    <row r="63" spans="1:22" x14ac:dyDescent="0.3">
      <c r="A63" t="s">
        <v>6</v>
      </c>
      <c r="B63" t="s">
        <v>7</v>
      </c>
      <c r="C63" t="s">
        <v>161</v>
      </c>
      <c r="D63" s="7">
        <v>2040</v>
      </c>
      <c r="E63" s="6">
        <v>0.93</v>
      </c>
      <c r="F63" s="6">
        <v>64</v>
      </c>
      <c r="G63" s="6">
        <v>89.7</v>
      </c>
      <c r="H63" s="6">
        <v>424.5</v>
      </c>
      <c r="I63" s="6">
        <f>proc_Cambium22_highElec_gea!AE63-proc_Cambium22_MidCase_gea!AE63</f>
        <v>73625500</v>
      </c>
      <c r="J63" s="6">
        <f>proc_Cambium22_highElec_gea!AF63-proc_Cambium22_MidCase_gea!AF63</f>
        <v>-273378</v>
      </c>
      <c r="K63" s="6">
        <f>proc_Cambium22_highElec_gea!AG63-proc_Cambium22_MidCase_gea!AG63</f>
        <v>28609.800000000047</v>
      </c>
      <c r="L63" s="6">
        <f t="shared" si="0"/>
        <v>73870268.200000003</v>
      </c>
      <c r="M63" s="6">
        <f>proc_Cambium22_highElec_gea!AI63-proc_Cambium22_MidCase_gea!AI63</f>
        <v>2403166</v>
      </c>
      <c r="N63" s="6">
        <f>proc_Cambium22_highElec_gea!AJ63-proc_Cambium22_MidCase_gea!AJ63</f>
        <v>14399610.1</v>
      </c>
      <c r="O63" s="6">
        <f>proc_Cambium22_highElec_gea!AK63-proc_Cambium22_MidCase_gea!AK63</f>
        <v>200.9</v>
      </c>
      <c r="P63" s="6">
        <f>proc_Cambium22_highElec_gea!AL63-proc_Cambium22_MidCase_gea!AL63</f>
        <v>47920.5</v>
      </c>
      <c r="Q63" s="6">
        <f>proc_Cambium22_highElec_gea!AM63-proc_Cambium22_MidCase_gea!AM63</f>
        <v>57019359.599999964</v>
      </c>
      <c r="R63" s="11">
        <f t="shared" si="1"/>
        <v>3.2532249558016361E-2</v>
      </c>
      <c r="S63" s="11">
        <f t="shared" si="2"/>
        <v>0.19493106564895346</v>
      </c>
      <c r="T63" s="11">
        <f t="shared" si="3"/>
        <v>2.7196327412278166E-6</v>
      </c>
      <c r="U63" s="11">
        <f t="shared" si="4"/>
        <v>6.4871160167251157E-4</v>
      </c>
      <c r="V63" s="11">
        <f t="shared" si="5"/>
        <v>0.77188510329518423</v>
      </c>
    </row>
    <row r="64" spans="1:22" x14ac:dyDescent="0.3">
      <c r="A64" t="s">
        <v>6</v>
      </c>
      <c r="B64" t="s">
        <v>7</v>
      </c>
      <c r="C64" t="s">
        <v>161</v>
      </c>
      <c r="D64" s="7">
        <v>2045</v>
      </c>
      <c r="E64" s="6">
        <v>0.94</v>
      </c>
      <c r="F64" s="6">
        <v>50.7</v>
      </c>
      <c r="G64" s="6">
        <v>83.8</v>
      </c>
      <c r="H64" s="6">
        <v>358.8</v>
      </c>
      <c r="I64" s="6">
        <f>proc_Cambium22_highElec_gea!AE64-proc_Cambium22_MidCase_gea!AE64</f>
        <v>98133770</v>
      </c>
      <c r="J64" s="6">
        <f>proc_Cambium22_highElec_gea!AF64-proc_Cambium22_MidCase_gea!AF64</f>
        <v>231992</v>
      </c>
      <c r="K64" s="6">
        <f>proc_Cambium22_highElec_gea!AG64-proc_Cambium22_MidCase_gea!AG64</f>
        <v>37226</v>
      </c>
      <c r="L64" s="6">
        <f t="shared" si="0"/>
        <v>97864552</v>
      </c>
      <c r="M64" s="6">
        <f>proc_Cambium22_highElec_gea!AI64-proc_Cambium22_MidCase_gea!AI64</f>
        <v>3150151</v>
      </c>
      <c r="N64" s="6">
        <f>proc_Cambium22_highElec_gea!AJ64-proc_Cambium22_MidCase_gea!AJ64</f>
        <v>16074136.700000001</v>
      </c>
      <c r="O64" s="6">
        <f>proc_Cambium22_highElec_gea!AK64-proc_Cambium22_MidCase_gea!AK64</f>
        <v>32.400000000000006</v>
      </c>
      <c r="P64" s="6">
        <f>proc_Cambium22_highElec_gea!AL64-proc_Cambium22_MidCase_gea!AL64</f>
        <v>109561.5</v>
      </c>
      <c r="Q64" s="6">
        <f>proc_Cambium22_highElec_gea!AM64-proc_Cambium22_MidCase_gea!AM64</f>
        <v>78530674.399999976</v>
      </c>
      <c r="R64" s="11">
        <f t="shared" si="1"/>
        <v>3.2188886942434478E-2</v>
      </c>
      <c r="S64" s="11">
        <f t="shared" si="2"/>
        <v>0.16424881503570365</v>
      </c>
      <c r="T64" s="11">
        <f t="shared" si="3"/>
        <v>3.3106982393379787E-7</v>
      </c>
      <c r="U64" s="11">
        <f t="shared" si="4"/>
        <v>1.1195218060161354E-3</v>
      </c>
      <c r="V64" s="11">
        <f t="shared" si="5"/>
        <v>0.80244248601883938</v>
      </c>
    </row>
    <row r="65" spans="1:22" x14ac:dyDescent="0.3">
      <c r="A65" t="s">
        <v>6</v>
      </c>
      <c r="B65" t="s">
        <v>7</v>
      </c>
      <c r="C65" t="s">
        <v>161</v>
      </c>
      <c r="D65" s="7">
        <v>2050</v>
      </c>
      <c r="E65" s="6">
        <v>0.95</v>
      </c>
      <c r="F65" s="6">
        <v>40.700000000000003</v>
      </c>
      <c r="G65" s="6">
        <v>87.6</v>
      </c>
      <c r="H65" s="6">
        <v>364.8</v>
      </c>
      <c r="I65" s="6">
        <f>proc_Cambium22_highElec_gea!AE65-proc_Cambium22_MidCase_gea!AE65</f>
        <v>127140580</v>
      </c>
      <c r="J65" s="6">
        <f>proc_Cambium22_highElec_gea!AF65-proc_Cambium22_MidCase_gea!AF65</f>
        <v>-15292</v>
      </c>
      <c r="K65" s="6">
        <f>proc_Cambium22_highElec_gea!AG65-proc_Cambium22_MidCase_gea!AG65</f>
        <v>7418.3000000000466</v>
      </c>
      <c r="L65" s="6">
        <f t="shared" si="0"/>
        <v>127148453.7</v>
      </c>
      <c r="M65" s="6">
        <f>proc_Cambium22_highElec_gea!AI65-proc_Cambium22_MidCase_gea!AI65</f>
        <v>1254203.5</v>
      </c>
      <c r="N65" s="6">
        <f>proc_Cambium22_highElec_gea!AJ65-proc_Cambium22_MidCase_gea!AJ65</f>
        <v>17298781</v>
      </c>
      <c r="O65" s="6">
        <f>proc_Cambium22_highElec_gea!AK65-proc_Cambium22_MidCase_gea!AK65</f>
        <v>-24.3</v>
      </c>
      <c r="P65" s="6">
        <f>proc_Cambium22_highElec_gea!AL65-proc_Cambium22_MidCase_gea!AL65</f>
        <v>46045.5</v>
      </c>
      <c r="Q65" s="6">
        <f>proc_Cambium22_highElec_gea!AM65-proc_Cambium22_MidCase_gea!AM65</f>
        <v>108549452.80000001</v>
      </c>
      <c r="R65" s="11">
        <f t="shared" si="1"/>
        <v>9.8640877140293518E-3</v>
      </c>
      <c r="S65" s="11">
        <f t="shared" si="2"/>
        <v>0.13605183937836596</v>
      </c>
      <c r="T65" s="11">
        <f t="shared" si="3"/>
        <v>-1.9111518302326E-7</v>
      </c>
      <c r="U65" s="11">
        <f t="shared" si="4"/>
        <v>3.6213967736203781E-4</v>
      </c>
      <c r="V65" s="11">
        <f t="shared" si="5"/>
        <v>0.85372216209657303</v>
      </c>
    </row>
    <row r="66" spans="1:22" x14ac:dyDescent="0.3">
      <c r="A66" t="s">
        <v>6</v>
      </c>
      <c r="B66" t="s">
        <v>7</v>
      </c>
      <c r="C66" t="s">
        <v>162</v>
      </c>
      <c r="D66" s="7">
        <v>2024</v>
      </c>
      <c r="E66" s="6">
        <v>0.68</v>
      </c>
      <c r="F66" s="6">
        <v>202.5</v>
      </c>
      <c r="G66" s="6">
        <v>307.3</v>
      </c>
      <c r="H66" s="6">
        <v>823.8</v>
      </c>
      <c r="I66" s="6">
        <f>proc_Cambium22_highElec_gea!AE66-proc_Cambium22_MidCase_gea!AE66</f>
        <v>1142740</v>
      </c>
      <c r="J66" s="6">
        <f>proc_Cambium22_highElec_gea!AF66-proc_Cambium22_MidCase_gea!AF66</f>
        <v>1008</v>
      </c>
      <c r="K66" s="6">
        <f>proc_Cambium22_highElec_gea!AG66-proc_Cambium22_MidCase_gea!AG66</f>
        <v>0</v>
      </c>
      <c r="L66" s="6">
        <f t="shared" si="0"/>
        <v>1141732</v>
      </c>
      <c r="M66" s="6">
        <f>proc_Cambium22_highElec_gea!AI66-proc_Cambium22_MidCase_gea!AI66</f>
        <v>22361.199999999953</v>
      </c>
      <c r="N66" s="6">
        <f>proc_Cambium22_highElec_gea!AJ66-proc_Cambium22_MidCase_gea!AJ66</f>
        <v>-236364</v>
      </c>
      <c r="O66" s="6">
        <f>proc_Cambium22_highElec_gea!AK66-proc_Cambium22_MidCase_gea!AK66</f>
        <v>409392.5</v>
      </c>
      <c r="P66" s="6">
        <f>proc_Cambium22_highElec_gea!AL66-proc_Cambium22_MidCase_gea!AL66</f>
        <v>-120</v>
      </c>
      <c r="Q66" s="6">
        <f>proc_Cambium22_highElec_gea!AM66-proc_Cambium22_MidCase_gea!AM66</f>
        <v>946446.09999999404</v>
      </c>
      <c r="R66" s="11">
        <f t="shared" si="1"/>
        <v>1.9585331759116809E-2</v>
      </c>
      <c r="S66" s="11">
        <f t="shared" si="2"/>
        <v>-0.20702231346760885</v>
      </c>
      <c r="T66" s="11">
        <f t="shared" si="3"/>
        <v>0.35857145109360167</v>
      </c>
      <c r="U66" s="11">
        <f t="shared" si="4"/>
        <v>-1.0510347437051777E-4</v>
      </c>
      <c r="V66" s="11">
        <f t="shared" si="5"/>
        <v>0.8289564451202156</v>
      </c>
    </row>
    <row r="67" spans="1:22" x14ac:dyDescent="0.3">
      <c r="A67" t="s">
        <v>6</v>
      </c>
      <c r="B67" t="s">
        <v>7</v>
      </c>
      <c r="C67" t="s">
        <v>162</v>
      </c>
      <c r="D67" s="7">
        <v>2026</v>
      </c>
      <c r="E67" s="6">
        <v>0.75</v>
      </c>
      <c r="F67" s="6">
        <v>142.6</v>
      </c>
      <c r="G67" s="6">
        <v>266.39999999999998</v>
      </c>
      <c r="H67" s="6">
        <v>759.6</v>
      </c>
      <c r="I67" s="6">
        <f>proc_Cambium22_highElec_gea!AE67-proc_Cambium22_MidCase_gea!AE67</f>
        <v>814670</v>
      </c>
      <c r="J67" s="6">
        <f>proc_Cambium22_highElec_gea!AF67-proc_Cambium22_MidCase_gea!AF67</f>
        <v>-1774</v>
      </c>
      <c r="K67" s="6">
        <f>proc_Cambium22_highElec_gea!AG67-proc_Cambium22_MidCase_gea!AG67</f>
        <v>3958.3999999999069</v>
      </c>
      <c r="L67" s="6">
        <f t="shared" ref="L67:L130" si="6">I67-J67-K67</f>
        <v>812485.60000000009</v>
      </c>
      <c r="M67" s="6">
        <f>proc_Cambium22_highElec_gea!AI67-proc_Cambium22_MidCase_gea!AI67</f>
        <v>232087.70000000007</v>
      </c>
      <c r="N67" s="6">
        <f>proc_Cambium22_highElec_gea!AJ67-proc_Cambium22_MidCase_gea!AJ67</f>
        <v>-485577.89999999851</v>
      </c>
      <c r="O67" s="6">
        <f>proc_Cambium22_highElec_gea!AK67-proc_Cambium22_MidCase_gea!AK67</f>
        <v>562664.70000000019</v>
      </c>
      <c r="P67" s="6">
        <f>proc_Cambium22_highElec_gea!AL67-proc_Cambium22_MidCase_gea!AL67</f>
        <v>5482</v>
      </c>
      <c r="Q67" s="6">
        <f>proc_Cambium22_highElec_gea!AM67-proc_Cambium22_MidCase_gea!AM67</f>
        <v>497826.80000001192</v>
      </c>
      <c r="R67" s="11">
        <f t="shared" ref="R67:R130" si="7">M67/L67</f>
        <v>0.2856514626228453</v>
      </c>
      <c r="S67" s="11">
        <f t="shared" ref="S67:S130" si="8">N67/L67</f>
        <v>-0.59764493056861367</v>
      </c>
      <c r="T67" s="11">
        <f t="shared" ref="T67:T130" si="9">O67/L67</f>
        <v>0.69252267363261588</v>
      </c>
      <c r="U67" s="11">
        <f t="shared" ref="U67:U130" si="10">P67/L67</f>
        <v>6.7471965041595808E-3</v>
      </c>
      <c r="V67" s="11">
        <f t="shared" ref="V67:V130" si="11">Q67/L67</f>
        <v>0.61272076698960798</v>
      </c>
    </row>
    <row r="68" spans="1:22" x14ac:dyDescent="0.3">
      <c r="A68" t="s">
        <v>6</v>
      </c>
      <c r="B68" t="s">
        <v>7</v>
      </c>
      <c r="C68" t="s">
        <v>162</v>
      </c>
      <c r="D68" s="7">
        <v>2028</v>
      </c>
      <c r="E68" s="6">
        <v>0.78</v>
      </c>
      <c r="F68" s="6">
        <v>124.4</v>
      </c>
      <c r="G68" s="6">
        <v>174.6</v>
      </c>
      <c r="H68" s="6">
        <v>693.3</v>
      </c>
      <c r="I68" s="6">
        <f>proc_Cambium22_highElec_gea!AE68-proc_Cambium22_MidCase_gea!AE68</f>
        <v>2263500</v>
      </c>
      <c r="J68" s="6">
        <f>proc_Cambium22_highElec_gea!AF68-proc_Cambium22_MidCase_gea!AF68</f>
        <v>12292</v>
      </c>
      <c r="K68" s="6">
        <f>proc_Cambium22_highElec_gea!AG68-proc_Cambium22_MidCase_gea!AG68</f>
        <v>14411.40000000014</v>
      </c>
      <c r="L68" s="6">
        <f t="shared" si="6"/>
        <v>2236796.5999999996</v>
      </c>
      <c r="M68" s="6">
        <f>proc_Cambium22_highElec_gea!AI68-proc_Cambium22_MidCase_gea!AI68</f>
        <v>54691.300000000047</v>
      </c>
      <c r="N68" s="6">
        <f>proc_Cambium22_highElec_gea!AJ68-proc_Cambium22_MidCase_gea!AJ68</f>
        <v>274558.80000000075</v>
      </c>
      <c r="O68" s="6">
        <f>proc_Cambium22_highElec_gea!AK68-proc_Cambium22_MidCase_gea!AK68</f>
        <v>775049.79999999981</v>
      </c>
      <c r="P68" s="6">
        <f>proc_Cambium22_highElec_gea!AL68-proc_Cambium22_MidCase_gea!AL68</f>
        <v>41244</v>
      </c>
      <c r="Q68" s="6">
        <f>proc_Cambium22_highElec_gea!AM68-proc_Cambium22_MidCase_gea!AM68</f>
        <v>1091257</v>
      </c>
      <c r="R68" s="11">
        <f t="shared" si="7"/>
        <v>2.4450725649350528E-2</v>
      </c>
      <c r="S68" s="11">
        <f t="shared" si="8"/>
        <v>0.12274643121328099</v>
      </c>
      <c r="T68" s="11">
        <f t="shared" si="9"/>
        <v>0.34649990079562887</v>
      </c>
      <c r="U68" s="11">
        <f t="shared" si="10"/>
        <v>1.8438869229325548E-2</v>
      </c>
      <c r="V68" s="11">
        <f t="shared" si="11"/>
        <v>0.48786599550446391</v>
      </c>
    </row>
    <row r="69" spans="1:22" x14ac:dyDescent="0.3">
      <c r="A69" t="s">
        <v>6</v>
      </c>
      <c r="B69" t="s">
        <v>7</v>
      </c>
      <c r="C69" t="s">
        <v>162</v>
      </c>
      <c r="D69" s="7">
        <v>2030</v>
      </c>
      <c r="E69" s="6">
        <v>0.82</v>
      </c>
      <c r="F69" s="6">
        <v>103.6</v>
      </c>
      <c r="G69" s="6">
        <v>102</v>
      </c>
      <c r="H69" s="6">
        <v>646.4</v>
      </c>
      <c r="I69" s="6">
        <f>proc_Cambium22_highElec_gea!AE69-proc_Cambium22_MidCase_gea!AE69</f>
        <v>10095970</v>
      </c>
      <c r="J69" s="6">
        <f>proc_Cambium22_highElec_gea!AF69-proc_Cambium22_MidCase_gea!AF69</f>
        <v>-1594</v>
      </c>
      <c r="K69" s="6">
        <f>proc_Cambium22_highElec_gea!AG69-proc_Cambium22_MidCase_gea!AG69</f>
        <v>12649.40000000014</v>
      </c>
      <c r="L69" s="6">
        <f t="shared" si="6"/>
        <v>10084914.6</v>
      </c>
      <c r="M69" s="6">
        <f>proc_Cambium22_highElec_gea!AI69-proc_Cambium22_MidCase_gea!AI69</f>
        <v>42738.099999999977</v>
      </c>
      <c r="N69" s="6">
        <f>proc_Cambium22_highElec_gea!AJ69-proc_Cambium22_MidCase_gea!AJ69</f>
        <v>657360</v>
      </c>
      <c r="O69" s="6">
        <f>proc_Cambium22_highElec_gea!AK69-proc_Cambium22_MidCase_gea!AK69</f>
        <v>1116103.7000000002</v>
      </c>
      <c r="P69" s="6">
        <f>proc_Cambium22_highElec_gea!AL69-proc_Cambium22_MidCase_gea!AL69</f>
        <v>33918</v>
      </c>
      <c r="Q69" s="6">
        <f>proc_Cambium22_highElec_gea!AM69-proc_Cambium22_MidCase_gea!AM69</f>
        <v>8234793.799999997</v>
      </c>
      <c r="R69" s="11">
        <f t="shared" si="7"/>
        <v>4.2378246812323009E-3</v>
      </c>
      <c r="S69" s="11">
        <f t="shared" si="8"/>
        <v>6.5182505363010221E-2</v>
      </c>
      <c r="T69" s="11">
        <f t="shared" si="9"/>
        <v>0.1106706149003979</v>
      </c>
      <c r="U69" s="11">
        <f t="shared" si="10"/>
        <v>3.3632411721166186E-3</v>
      </c>
      <c r="V69" s="11">
        <f t="shared" si="11"/>
        <v>0.81654571472523896</v>
      </c>
    </row>
    <row r="70" spans="1:22" x14ac:dyDescent="0.3">
      <c r="A70" t="s">
        <v>6</v>
      </c>
      <c r="B70" t="s">
        <v>7</v>
      </c>
      <c r="C70" t="s">
        <v>162</v>
      </c>
      <c r="D70" s="7">
        <v>2035</v>
      </c>
      <c r="E70" s="6">
        <v>0.85</v>
      </c>
      <c r="F70" s="6">
        <v>82.3</v>
      </c>
      <c r="G70" s="6">
        <v>31.2</v>
      </c>
      <c r="H70" s="6">
        <v>582.4</v>
      </c>
      <c r="I70" s="6">
        <f>proc_Cambium22_highElec_gea!AE70-proc_Cambium22_MidCase_gea!AE70</f>
        <v>25775740</v>
      </c>
      <c r="J70" s="6">
        <f>proc_Cambium22_highElec_gea!AF70-proc_Cambium22_MidCase_gea!AF70</f>
        <v>4986</v>
      </c>
      <c r="K70" s="6">
        <f>proc_Cambium22_highElec_gea!AG70-proc_Cambium22_MidCase_gea!AG70</f>
        <v>-932</v>
      </c>
      <c r="L70" s="6">
        <f t="shared" si="6"/>
        <v>25771686</v>
      </c>
      <c r="M70" s="6">
        <f>proc_Cambium22_highElec_gea!AI70-proc_Cambium22_MidCase_gea!AI70</f>
        <v>0</v>
      </c>
      <c r="N70" s="6">
        <f>proc_Cambium22_highElec_gea!AJ70-proc_Cambium22_MidCase_gea!AJ70</f>
        <v>6537192.6999999993</v>
      </c>
      <c r="O70" s="6">
        <f>proc_Cambium22_highElec_gea!AK70-proc_Cambium22_MidCase_gea!AK70</f>
        <v>-98708</v>
      </c>
      <c r="P70" s="6">
        <f>proc_Cambium22_highElec_gea!AL70-proc_Cambium22_MidCase_gea!AL70</f>
        <v>18736</v>
      </c>
      <c r="Q70" s="6">
        <f>proc_Cambium22_highElec_gea!AM70-proc_Cambium22_MidCase_gea!AM70</f>
        <v>19314463.700000003</v>
      </c>
      <c r="R70" s="11">
        <f t="shared" si="7"/>
        <v>0</v>
      </c>
      <c r="S70" s="11">
        <f t="shared" si="8"/>
        <v>0.25365793685364624</v>
      </c>
      <c r="T70" s="11">
        <f t="shared" si="9"/>
        <v>-3.8300947792084695E-3</v>
      </c>
      <c r="U70" s="11">
        <f t="shared" si="10"/>
        <v>7.2699938995066137E-4</v>
      </c>
      <c r="V70" s="11">
        <f t="shared" si="11"/>
        <v>0.74944509645197455</v>
      </c>
    </row>
    <row r="71" spans="1:22" x14ac:dyDescent="0.3">
      <c r="A71" t="s">
        <v>6</v>
      </c>
      <c r="B71" t="s">
        <v>7</v>
      </c>
      <c r="C71" t="s">
        <v>162</v>
      </c>
      <c r="D71" s="7">
        <v>2040</v>
      </c>
      <c r="E71" s="6">
        <v>0.86</v>
      </c>
      <c r="F71" s="6">
        <v>81</v>
      </c>
      <c r="G71" s="6">
        <v>9</v>
      </c>
      <c r="H71" s="6">
        <v>559.29999999999995</v>
      </c>
      <c r="I71" s="6">
        <f>proc_Cambium22_highElec_gea!AE71-proc_Cambium22_MidCase_gea!AE71</f>
        <v>52908750</v>
      </c>
      <c r="J71" s="6">
        <f>proc_Cambium22_highElec_gea!AF71-proc_Cambium22_MidCase_gea!AF71</f>
        <v>-3804</v>
      </c>
      <c r="K71" s="6">
        <f>proc_Cambium22_highElec_gea!AG71-proc_Cambium22_MidCase_gea!AG71</f>
        <v>-17094.59999999986</v>
      </c>
      <c r="L71" s="6">
        <f t="shared" si="6"/>
        <v>52929648.600000001</v>
      </c>
      <c r="M71" s="6">
        <f>proc_Cambium22_highElec_gea!AI71-proc_Cambium22_MidCase_gea!AI71</f>
        <v>0</v>
      </c>
      <c r="N71" s="6">
        <f>proc_Cambium22_highElec_gea!AJ71-proc_Cambium22_MidCase_gea!AJ71</f>
        <v>15954050.799999997</v>
      </c>
      <c r="O71" s="6">
        <f>proc_Cambium22_highElec_gea!AK71-proc_Cambium22_MidCase_gea!AK71</f>
        <v>893472.10000000009</v>
      </c>
      <c r="P71" s="6">
        <f>proc_Cambium22_highElec_gea!AL71-proc_Cambium22_MidCase_gea!AL71</f>
        <v>-99512</v>
      </c>
      <c r="Q71" s="6">
        <f>proc_Cambium22_highElec_gea!AM71-proc_Cambium22_MidCase_gea!AM71</f>
        <v>36181640.600000009</v>
      </c>
      <c r="R71" s="11">
        <f t="shared" si="7"/>
        <v>0</v>
      </c>
      <c r="S71" s="11">
        <f t="shared" si="8"/>
        <v>0.30141992667602929</v>
      </c>
      <c r="T71" s="11">
        <f t="shared" si="9"/>
        <v>1.6880370900478642E-2</v>
      </c>
      <c r="U71" s="11">
        <f t="shared" si="10"/>
        <v>-1.8800804961323699E-3</v>
      </c>
      <c r="V71" s="11">
        <f t="shared" si="11"/>
        <v>0.68357983770933273</v>
      </c>
    </row>
    <row r="72" spans="1:22" x14ac:dyDescent="0.3">
      <c r="A72" t="s">
        <v>6</v>
      </c>
      <c r="B72" t="s">
        <v>7</v>
      </c>
      <c r="C72" t="s">
        <v>162</v>
      </c>
      <c r="D72" s="7">
        <v>2045</v>
      </c>
      <c r="E72" s="6">
        <v>0.84</v>
      </c>
      <c r="F72" s="6">
        <v>91.9</v>
      </c>
      <c r="G72" s="6">
        <v>0</v>
      </c>
      <c r="H72" s="6">
        <v>577.5</v>
      </c>
      <c r="I72" s="6">
        <f>proc_Cambium22_highElec_gea!AE72-proc_Cambium22_MidCase_gea!AE72</f>
        <v>73796510</v>
      </c>
      <c r="J72" s="6">
        <f>proc_Cambium22_highElec_gea!AF72-proc_Cambium22_MidCase_gea!AF72</f>
        <v>-4530</v>
      </c>
      <c r="K72" s="6">
        <f>proc_Cambium22_highElec_gea!AG72-proc_Cambium22_MidCase_gea!AG72</f>
        <v>-45337.699999999953</v>
      </c>
      <c r="L72" s="6">
        <f t="shared" si="6"/>
        <v>73846377.700000003</v>
      </c>
      <c r="M72" s="6">
        <f>proc_Cambium22_highElec_gea!AI72-proc_Cambium22_MidCase_gea!AI72</f>
        <v>0</v>
      </c>
      <c r="N72" s="6">
        <f>proc_Cambium22_highElec_gea!AJ72-proc_Cambium22_MidCase_gea!AJ72</f>
        <v>24114540.5</v>
      </c>
      <c r="O72" s="6">
        <f>proc_Cambium22_highElec_gea!AK72-proc_Cambium22_MidCase_gea!AK72</f>
        <v>1473464.4</v>
      </c>
      <c r="P72" s="6">
        <f>proc_Cambium22_highElec_gea!AL72-proc_Cambium22_MidCase_gea!AL72</f>
        <v>-285842</v>
      </c>
      <c r="Q72" s="6">
        <f>proc_Cambium22_highElec_gea!AM72-proc_Cambium22_MidCase_gea!AM72</f>
        <v>48544226.500000015</v>
      </c>
      <c r="R72" s="11">
        <f t="shared" si="7"/>
        <v>0</v>
      </c>
      <c r="S72" s="11">
        <f t="shared" si="8"/>
        <v>0.32655007938188957</v>
      </c>
      <c r="T72" s="11">
        <f t="shared" si="9"/>
        <v>1.9953103265077276E-2</v>
      </c>
      <c r="U72" s="11">
        <f t="shared" si="10"/>
        <v>-3.8707653496726623E-3</v>
      </c>
      <c r="V72" s="11">
        <f t="shared" si="11"/>
        <v>0.65736774113972574</v>
      </c>
    </row>
    <row r="73" spans="1:22" x14ac:dyDescent="0.3">
      <c r="A73" t="s">
        <v>6</v>
      </c>
      <c r="B73" t="s">
        <v>7</v>
      </c>
      <c r="C73" t="s">
        <v>162</v>
      </c>
      <c r="D73" s="7">
        <v>2050</v>
      </c>
      <c r="E73" s="6">
        <v>0.82</v>
      </c>
      <c r="F73" s="6">
        <v>103.8</v>
      </c>
      <c r="G73" s="6">
        <v>0</v>
      </c>
      <c r="H73" s="6">
        <v>563.9</v>
      </c>
      <c r="I73" s="6">
        <f>proc_Cambium22_highElec_gea!AE73-proc_Cambium22_MidCase_gea!AE73</f>
        <v>84690910</v>
      </c>
      <c r="J73" s="6">
        <f>proc_Cambium22_highElec_gea!AF73-proc_Cambium22_MidCase_gea!AF73</f>
        <v>-10918</v>
      </c>
      <c r="K73" s="6">
        <f>proc_Cambium22_highElec_gea!AG73-proc_Cambium22_MidCase_gea!AG73</f>
        <v>-61877.699999999953</v>
      </c>
      <c r="L73" s="6">
        <f t="shared" si="6"/>
        <v>84763705.700000003</v>
      </c>
      <c r="M73" s="6">
        <f>proc_Cambium22_highElec_gea!AI73-proc_Cambium22_MidCase_gea!AI73</f>
        <v>0</v>
      </c>
      <c r="N73" s="6">
        <f>proc_Cambium22_highElec_gea!AJ73-proc_Cambium22_MidCase_gea!AJ73</f>
        <v>27283034</v>
      </c>
      <c r="O73" s="6">
        <f>proc_Cambium22_highElec_gea!AK73-proc_Cambium22_MidCase_gea!AK73</f>
        <v>395675.00000000006</v>
      </c>
      <c r="P73" s="6">
        <f>proc_Cambium22_highElec_gea!AL73-proc_Cambium22_MidCase_gea!AL73</f>
        <v>-227506</v>
      </c>
      <c r="Q73" s="6">
        <f>proc_Cambium22_highElec_gea!AM73-proc_Cambium22_MidCase_gea!AM73</f>
        <v>57312498.400000006</v>
      </c>
      <c r="R73" s="11">
        <f t="shared" si="7"/>
        <v>0</v>
      </c>
      <c r="S73" s="11">
        <f t="shared" si="8"/>
        <v>0.32187165219700864</v>
      </c>
      <c r="T73" s="11">
        <f t="shared" si="9"/>
        <v>4.6679766620915915E-3</v>
      </c>
      <c r="U73" s="11">
        <f t="shared" si="10"/>
        <v>-2.6840025234998663E-3</v>
      </c>
      <c r="V73" s="11">
        <f t="shared" si="11"/>
        <v>0.67614432293514048</v>
      </c>
    </row>
    <row r="74" spans="1:22" x14ac:dyDescent="0.3">
      <c r="A74" t="s">
        <v>6</v>
      </c>
      <c r="B74" t="s">
        <v>7</v>
      </c>
      <c r="C74" t="s">
        <v>163</v>
      </c>
      <c r="D74" s="7">
        <v>2024</v>
      </c>
      <c r="E74" s="6">
        <v>0.47</v>
      </c>
      <c r="F74" s="6">
        <v>292.89999999999998</v>
      </c>
      <c r="G74" s="6">
        <v>417.1</v>
      </c>
      <c r="H74" s="6">
        <v>857.8</v>
      </c>
      <c r="I74" s="6">
        <f>proc_Cambium22_highElec_gea!AE74-proc_Cambium22_MidCase_gea!AE74</f>
        <v>1309200</v>
      </c>
      <c r="J74" s="6">
        <f>proc_Cambium22_highElec_gea!AF74-proc_Cambium22_MidCase_gea!AF74</f>
        <v>0</v>
      </c>
      <c r="K74" s="6">
        <f>proc_Cambium22_highElec_gea!AG74-proc_Cambium22_MidCase_gea!AG74</f>
        <v>-106.29999999981374</v>
      </c>
      <c r="L74" s="6">
        <f t="shared" si="6"/>
        <v>1309306.2999999998</v>
      </c>
      <c r="M74" s="6">
        <f>proc_Cambium22_highElec_gea!AI74-proc_Cambium22_MidCase_gea!AI74</f>
        <v>133984</v>
      </c>
      <c r="N74" s="6">
        <f>proc_Cambium22_highElec_gea!AJ74-proc_Cambium22_MidCase_gea!AJ74</f>
        <v>738451.10000002384</v>
      </c>
      <c r="O74" s="6">
        <f>proc_Cambium22_highElec_gea!AK74-proc_Cambium22_MidCase_gea!AK74</f>
        <v>9864.0999999999767</v>
      </c>
      <c r="P74" s="6">
        <f>proc_Cambium22_highElec_gea!AL74-proc_Cambium22_MidCase_gea!AL74</f>
        <v>-2460</v>
      </c>
      <c r="Q74" s="6">
        <f>proc_Cambium22_highElec_gea!AM74-proc_Cambium22_MidCase_gea!AM74</f>
        <v>429503.20000000298</v>
      </c>
      <c r="R74" s="11">
        <f t="shared" si="7"/>
        <v>0.10233205171318585</v>
      </c>
      <c r="S74" s="11">
        <f t="shared" si="8"/>
        <v>0.56400179239955073</v>
      </c>
      <c r="T74" s="11">
        <f t="shared" si="9"/>
        <v>7.5338368111418832E-3</v>
      </c>
      <c r="U74" s="11">
        <f t="shared" si="10"/>
        <v>-1.8788575293649777E-3</v>
      </c>
      <c r="V74" s="11">
        <f t="shared" si="11"/>
        <v>0.3280387484578689</v>
      </c>
    </row>
    <row r="75" spans="1:22" x14ac:dyDescent="0.3">
      <c r="A75" t="s">
        <v>6</v>
      </c>
      <c r="B75" t="s">
        <v>7</v>
      </c>
      <c r="C75" t="s">
        <v>163</v>
      </c>
      <c r="D75" s="7">
        <v>2026</v>
      </c>
      <c r="E75" s="6">
        <v>0.5</v>
      </c>
      <c r="F75" s="6">
        <v>272.5</v>
      </c>
      <c r="G75" s="6">
        <v>369.4</v>
      </c>
      <c r="H75" s="6">
        <v>802.2</v>
      </c>
      <c r="I75" s="6">
        <f>proc_Cambium22_highElec_gea!AE75-proc_Cambium22_MidCase_gea!AE75</f>
        <v>-559440</v>
      </c>
      <c r="J75" s="6">
        <f>proc_Cambium22_highElec_gea!AF75-proc_Cambium22_MidCase_gea!AF75</f>
        <v>0</v>
      </c>
      <c r="K75" s="6">
        <f>proc_Cambium22_highElec_gea!AG75-proc_Cambium22_MidCase_gea!AG75</f>
        <v>1134.7000000001863</v>
      </c>
      <c r="L75" s="6">
        <f t="shared" si="6"/>
        <v>-560574.70000000019</v>
      </c>
      <c r="M75" s="6">
        <f>proc_Cambium22_highElec_gea!AI75-proc_Cambium22_MidCase_gea!AI75</f>
        <v>692669</v>
      </c>
      <c r="N75" s="6">
        <f>proc_Cambium22_highElec_gea!AJ75-proc_Cambium22_MidCase_gea!AJ75</f>
        <v>-2273889.6999999881</v>
      </c>
      <c r="O75" s="6">
        <f>proc_Cambium22_highElec_gea!AK75-proc_Cambium22_MidCase_gea!AK75</f>
        <v>-12548.200000000012</v>
      </c>
      <c r="P75" s="6">
        <f>proc_Cambium22_highElec_gea!AL75-proc_Cambium22_MidCase_gea!AL75</f>
        <v>14740</v>
      </c>
      <c r="Q75" s="6">
        <f>proc_Cambium22_highElec_gea!AM75-proc_Cambium22_MidCase_gea!AM75</f>
        <v>1018436.1000000015</v>
      </c>
      <c r="R75" s="11">
        <f t="shared" si="7"/>
        <v>-1.2356408521469124</v>
      </c>
      <c r="S75" s="11">
        <f t="shared" si="8"/>
        <v>4.0563544876356126</v>
      </c>
      <c r="T75" s="11">
        <f t="shared" si="9"/>
        <v>2.2384527878264945E-2</v>
      </c>
      <c r="U75" s="11">
        <f t="shared" si="10"/>
        <v>-2.6294443898377852E-2</v>
      </c>
      <c r="V75" s="11">
        <f t="shared" si="11"/>
        <v>-1.8167714311759007</v>
      </c>
    </row>
    <row r="76" spans="1:22" x14ac:dyDescent="0.3">
      <c r="A76" t="s">
        <v>6</v>
      </c>
      <c r="B76" t="s">
        <v>7</v>
      </c>
      <c r="C76" t="s">
        <v>163</v>
      </c>
      <c r="D76" s="7">
        <v>2028</v>
      </c>
      <c r="E76" s="6">
        <v>0.53</v>
      </c>
      <c r="F76" s="6">
        <v>250.2</v>
      </c>
      <c r="G76" s="6">
        <v>307.5</v>
      </c>
      <c r="H76" s="6">
        <v>730.8</v>
      </c>
      <c r="I76" s="6">
        <f>proc_Cambium22_highElec_gea!AE76-proc_Cambium22_MidCase_gea!AE76</f>
        <v>2654420</v>
      </c>
      <c r="J76" s="6">
        <f>proc_Cambium22_highElec_gea!AF76-proc_Cambium22_MidCase_gea!AF76</f>
        <v>0</v>
      </c>
      <c r="K76" s="6">
        <f>proc_Cambium22_highElec_gea!AG76-proc_Cambium22_MidCase_gea!AG76</f>
        <v>12729.5</v>
      </c>
      <c r="L76" s="6">
        <f t="shared" si="6"/>
        <v>2641690.5</v>
      </c>
      <c r="M76" s="6">
        <f>proc_Cambium22_highElec_gea!AI76-proc_Cambium22_MidCase_gea!AI76</f>
        <v>740306.5</v>
      </c>
      <c r="N76" s="6">
        <f>proc_Cambium22_highElec_gea!AJ76-proc_Cambium22_MidCase_gea!AJ76</f>
        <v>94670.800000011921</v>
      </c>
      <c r="O76" s="6">
        <f>proc_Cambium22_highElec_gea!AK76-proc_Cambium22_MidCase_gea!AK76</f>
        <v>-34722.200000000012</v>
      </c>
      <c r="P76" s="6">
        <f>proc_Cambium22_highElec_gea!AL76-proc_Cambium22_MidCase_gea!AL76</f>
        <v>194000</v>
      </c>
      <c r="Q76" s="6">
        <f>proc_Cambium22_highElec_gea!AM76-proc_Cambium22_MidCase_gea!AM76</f>
        <v>1647441.700000003</v>
      </c>
      <c r="R76" s="11">
        <f t="shared" si="7"/>
        <v>0.2802396798565161</v>
      </c>
      <c r="S76" s="11">
        <f t="shared" si="8"/>
        <v>3.5837203487695445E-2</v>
      </c>
      <c r="T76" s="11">
        <f t="shared" si="9"/>
        <v>-1.3143931887554583E-2</v>
      </c>
      <c r="U76" s="11">
        <f t="shared" si="10"/>
        <v>7.3437823242351818E-2</v>
      </c>
      <c r="V76" s="11">
        <f t="shared" si="11"/>
        <v>0.62363161013752477</v>
      </c>
    </row>
    <row r="77" spans="1:22" x14ac:dyDescent="0.3">
      <c r="A77" t="s">
        <v>6</v>
      </c>
      <c r="B77" t="s">
        <v>7</v>
      </c>
      <c r="C77" t="s">
        <v>163</v>
      </c>
      <c r="D77" s="7">
        <v>2030</v>
      </c>
      <c r="E77" s="6">
        <v>0.55000000000000004</v>
      </c>
      <c r="F77" s="6">
        <v>236.3</v>
      </c>
      <c r="G77" s="6">
        <v>313.39999999999998</v>
      </c>
      <c r="H77" s="6">
        <v>682</v>
      </c>
      <c r="I77" s="6">
        <f>proc_Cambium22_highElec_gea!AE77-proc_Cambium22_MidCase_gea!AE77</f>
        <v>1734800</v>
      </c>
      <c r="J77" s="6">
        <f>proc_Cambium22_highElec_gea!AF77-proc_Cambium22_MidCase_gea!AF77</f>
        <v>0</v>
      </c>
      <c r="K77" s="6">
        <f>proc_Cambium22_highElec_gea!AG77-proc_Cambium22_MidCase_gea!AG77</f>
        <v>8261.2999999998137</v>
      </c>
      <c r="L77" s="6">
        <f t="shared" si="6"/>
        <v>1726538.7000000002</v>
      </c>
      <c r="M77" s="6">
        <f>proc_Cambium22_highElec_gea!AI77-proc_Cambium22_MidCase_gea!AI77</f>
        <v>728476</v>
      </c>
      <c r="N77" s="6">
        <f>proc_Cambium22_highElec_gea!AJ77-proc_Cambium22_MidCase_gea!AJ77</f>
        <v>-581887</v>
      </c>
      <c r="O77" s="6">
        <f>proc_Cambium22_highElec_gea!AK77-proc_Cambium22_MidCase_gea!AK77</f>
        <v>20148.599999999977</v>
      </c>
      <c r="P77" s="6">
        <f>proc_Cambium22_highElec_gea!AL77-proc_Cambium22_MidCase_gea!AL77</f>
        <v>122340</v>
      </c>
      <c r="Q77" s="6">
        <f>proc_Cambium22_highElec_gea!AM77-proc_Cambium22_MidCase_gea!AM77</f>
        <v>1437455.6000000089</v>
      </c>
      <c r="R77" s="11">
        <f t="shared" si="7"/>
        <v>0.42192856725424105</v>
      </c>
      <c r="S77" s="11">
        <f t="shared" si="8"/>
        <v>-0.3370251706492301</v>
      </c>
      <c r="T77" s="11">
        <f t="shared" si="9"/>
        <v>1.1669938241175813E-2</v>
      </c>
      <c r="U77" s="11">
        <f t="shared" si="10"/>
        <v>7.0858533318714487E-2</v>
      </c>
      <c r="V77" s="11">
        <f t="shared" si="11"/>
        <v>0.83256494627083011</v>
      </c>
    </row>
    <row r="78" spans="1:22" x14ac:dyDescent="0.3">
      <c r="A78" t="s">
        <v>6</v>
      </c>
      <c r="B78" t="s">
        <v>7</v>
      </c>
      <c r="C78" t="s">
        <v>163</v>
      </c>
      <c r="D78" s="7">
        <v>2035</v>
      </c>
      <c r="E78" s="6">
        <v>0.61</v>
      </c>
      <c r="F78" s="6">
        <v>204</v>
      </c>
      <c r="G78" s="6">
        <v>332.6</v>
      </c>
      <c r="H78" s="6">
        <v>637.79999999999995</v>
      </c>
      <c r="I78" s="6">
        <f>proc_Cambium22_highElec_gea!AE78-proc_Cambium22_MidCase_gea!AE78</f>
        <v>6863230</v>
      </c>
      <c r="J78" s="6">
        <f>proc_Cambium22_highElec_gea!AF78-proc_Cambium22_MidCase_gea!AF78</f>
        <v>0</v>
      </c>
      <c r="K78" s="6">
        <f>proc_Cambium22_highElec_gea!AG78-proc_Cambium22_MidCase_gea!AG78</f>
        <v>-7216.2999999998137</v>
      </c>
      <c r="L78" s="6">
        <f t="shared" si="6"/>
        <v>6870446.2999999998</v>
      </c>
      <c r="M78" s="6">
        <f>proc_Cambium22_highElec_gea!AI78-proc_Cambium22_MidCase_gea!AI78</f>
        <v>1569831.5</v>
      </c>
      <c r="N78" s="6">
        <f>proc_Cambium22_highElec_gea!AJ78-proc_Cambium22_MidCase_gea!AJ78</f>
        <v>4028240.099999994</v>
      </c>
      <c r="O78" s="6">
        <f>proc_Cambium22_highElec_gea!AK78-proc_Cambium22_MidCase_gea!AK78</f>
        <v>43995.299999999988</v>
      </c>
      <c r="P78" s="6">
        <f>proc_Cambium22_highElec_gea!AL78-proc_Cambium22_MidCase_gea!AL78</f>
        <v>-235290</v>
      </c>
      <c r="Q78" s="6">
        <f>proc_Cambium22_highElec_gea!AM78-proc_Cambium22_MidCase_gea!AM78</f>
        <v>1463658.200000003</v>
      </c>
      <c r="R78" s="11">
        <f t="shared" si="7"/>
        <v>0.22849046938915746</v>
      </c>
      <c r="S78" s="11">
        <f t="shared" si="8"/>
        <v>0.58631418165658233</v>
      </c>
      <c r="T78" s="11">
        <f t="shared" si="9"/>
        <v>6.4035578008956985E-3</v>
      </c>
      <c r="U78" s="11">
        <f t="shared" si="10"/>
        <v>-3.4246683508755468E-2</v>
      </c>
      <c r="V78" s="11">
        <f t="shared" si="11"/>
        <v>0.21303684449145655</v>
      </c>
    </row>
    <row r="79" spans="1:22" x14ac:dyDescent="0.3">
      <c r="A79" t="s">
        <v>6</v>
      </c>
      <c r="B79" t="s">
        <v>7</v>
      </c>
      <c r="C79" t="s">
        <v>163</v>
      </c>
      <c r="D79" s="7">
        <v>2040</v>
      </c>
      <c r="E79" s="6">
        <v>0.62</v>
      </c>
      <c r="F79" s="6">
        <v>193.2</v>
      </c>
      <c r="G79" s="6">
        <v>355.8</v>
      </c>
      <c r="H79" s="6">
        <v>589.1</v>
      </c>
      <c r="I79" s="6">
        <f>proc_Cambium22_highElec_gea!AE79-proc_Cambium22_MidCase_gea!AE79</f>
        <v>24168540</v>
      </c>
      <c r="J79" s="6">
        <f>proc_Cambium22_highElec_gea!AF79-proc_Cambium22_MidCase_gea!AF79</f>
        <v>0</v>
      </c>
      <c r="K79" s="6">
        <f>proc_Cambium22_highElec_gea!AG79-proc_Cambium22_MidCase_gea!AG79</f>
        <v>11298.599999999627</v>
      </c>
      <c r="L79" s="6">
        <f t="shared" si="6"/>
        <v>24157241.399999999</v>
      </c>
      <c r="M79" s="6">
        <f>proc_Cambium22_highElec_gea!AI79-proc_Cambium22_MidCase_gea!AI79</f>
        <v>2091775</v>
      </c>
      <c r="N79" s="6">
        <f>proc_Cambium22_highElec_gea!AJ79-proc_Cambium22_MidCase_gea!AJ79</f>
        <v>14268062.699999988</v>
      </c>
      <c r="O79" s="6">
        <f>proc_Cambium22_highElec_gea!AK79-proc_Cambium22_MidCase_gea!AK79</f>
        <v>81659.500000000029</v>
      </c>
      <c r="P79" s="6">
        <f>proc_Cambium22_highElec_gea!AL79-proc_Cambium22_MidCase_gea!AL79</f>
        <v>350200</v>
      </c>
      <c r="Q79" s="6">
        <f>proc_Cambium22_highElec_gea!AM79-proc_Cambium22_MidCase_gea!AM79</f>
        <v>7365576</v>
      </c>
      <c r="R79" s="11">
        <f t="shared" si="7"/>
        <v>8.6589977943425281E-2</v>
      </c>
      <c r="S79" s="11">
        <f t="shared" si="8"/>
        <v>0.59063294784974862</v>
      </c>
      <c r="T79" s="11">
        <f t="shared" si="9"/>
        <v>3.3803321599460458E-3</v>
      </c>
      <c r="U79" s="11">
        <f t="shared" si="10"/>
        <v>1.449668835117904E-2</v>
      </c>
      <c r="V79" s="11">
        <f t="shared" si="11"/>
        <v>0.30490137007117046</v>
      </c>
    </row>
    <row r="80" spans="1:22" x14ac:dyDescent="0.3">
      <c r="A80" t="s">
        <v>6</v>
      </c>
      <c r="B80" t="s">
        <v>7</v>
      </c>
      <c r="C80" t="s">
        <v>163</v>
      </c>
      <c r="D80" s="7">
        <v>2045</v>
      </c>
      <c r="E80" s="6">
        <v>0.61</v>
      </c>
      <c r="F80" s="6">
        <v>198.2</v>
      </c>
      <c r="G80" s="6">
        <v>358.1</v>
      </c>
      <c r="H80" s="6">
        <v>600.4</v>
      </c>
      <c r="I80" s="6">
        <f>proc_Cambium22_highElec_gea!AE80-proc_Cambium22_MidCase_gea!AE80</f>
        <v>39628100</v>
      </c>
      <c r="J80" s="6">
        <f>proc_Cambium22_highElec_gea!AF80-proc_Cambium22_MidCase_gea!AF80</f>
        <v>0</v>
      </c>
      <c r="K80" s="6">
        <f>proc_Cambium22_highElec_gea!AG80-proc_Cambium22_MidCase_gea!AG80</f>
        <v>-9452.5</v>
      </c>
      <c r="L80" s="6">
        <f t="shared" si="6"/>
        <v>39637552.5</v>
      </c>
      <c r="M80" s="6">
        <f>proc_Cambium22_highElec_gea!AI80-proc_Cambium22_MidCase_gea!AI80</f>
        <v>3466766.2</v>
      </c>
      <c r="N80" s="6">
        <f>proc_Cambium22_highElec_gea!AJ80-proc_Cambium22_MidCase_gea!AJ80</f>
        <v>22985502.799999997</v>
      </c>
      <c r="O80" s="6">
        <f>proc_Cambium22_highElec_gea!AK80-proc_Cambium22_MidCase_gea!AK80</f>
        <v>278016.59999999998</v>
      </c>
      <c r="P80" s="6">
        <f>proc_Cambium22_highElec_gea!AL80-proc_Cambium22_MidCase_gea!AL80</f>
        <v>106894</v>
      </c>
      <c r="Q80" s="6">
        <f>proc_Cambium22_highElec_gea!AM80-proc_Cambium22_MidCase_gea!AM80</f>
        <v>12800360.900000006</v>
      </c>
      <c r="R80" s="11">
        <f t="shared" si="7"/>
        <v>8.7461661514040251E-2</v>
      </c>
      <c r="S80" s="11">
        <f t="shared" si="8"/>
        <v>0.57989208087456956</v>
      </c>
      <c r="T80" s="11">
        <f t="shared" si="9"/>
        <v>7.0139698963501843E-3</v>
      </c>
      <c r="U80" s="11">
        <f t="shared" si="10"/>
        <v>2.6967860843577565E-3</v>
      </c>
      <c r="V80" s="11">
        <f t="shared" si="11"/>
        <v>0.3229351988874693</v>
      </c>
    </row>
    <row r="81" spans="1:22" x14ac:dyDescent="0.3">
      <c r="A81" t="s">
        <v>6</v>
      </c>
      <c r="B81" t="s">
        <v>7</v>
      </c>
      <c r="C81" t="s">
        <v>163</v>
      </c>
      <c r="D81" s="7">
        <v>2050</v>
      </c>
      <c r="E81" s="6">
        <v>0.6</v>
      </c>
      <c r="F81" s="6">
        <v>207.7</v>
      </c>
      <c r="G81" s="6">
        <v>354.3</v>
      </c>
      <c r="H81" s="6">
        <v>601.5</v>
      </c>
      <c r="I81" s="6">
        <f>proc_Cambium22_highElec_gea!AE81-proc_Cambium22_MidCase_gea!AE81</f>
        <v>76572570</v>
      </c>
      <c r="J81" s="6">
        <f>proc_Cambium22_highElec_gea!AF81-proc_Cambium22_MidCase_gea!AF81</f>
        <v>0</v>
      </c>
      <c r="K81" s="6">
        <f>proc_Cambium22_highElec_gea!AG81-proc_Cambium22_MidCase_gea!AG81</f>
        <v>-6220.5</v>
      </c>
      <c r="L81" s="6">
        <f t="shared" si="6"/>
        <v>76578790.5</v>
      </c>
      <c r="M81" s="6">
        <f>proc_Cambium22_highElec_gea!AI81-proc_Cambium22_MidCase_gea!AI81</f>
        <v>461418.70000000007</v>
      </c>
      <c r="N81" s="6">
        <f>proc_Cambium22_highElec_gea!AJ81-proc_Cambium22_MidCase_gea!AJ81</f>
        <v>29613220</v>
      </c>
      <c r="O81" s="6">
        <f>proc_Cambium22_highElec_gea!AK81-proc_Cambium22_MidCase_gea!AK81</f>
        <v>203559.50000000003</v>
      </c>
      <c r="P81" s="6">
        <f>proc_Cambium22_highElec_gea!AL81-proc_Cambium22_MidCase_gea!AL81</f>
        <v>205050</v>
      </c>
      <c r="Q81" s="6">
        <f>proc_Cambium22_highElec_gea!AM81-proc_Cambium22_MidCase_gea!AM81</f>
        <v>46095546.299999997</v>
      </c>
      <c r="R81" s="11">
        <f t="shared" si="7"/>
        <v>6.0254111743903828E-3</v>
      </c>
      <c r="S81" s="11">
        <f t="shared" si="8"/>
        <v>0.38670263406680472</v>
      </c>
      <c r="T81" s="11">
        <f t="shared" si="9"/>
        <v>2.6581707372356584E-3</v>
      </c>
      <c r="U81" s="11">
        <f t="shared" si="10"/>
        <v>2.6776343509891292E-3</v>
      </c>
      <c r="V81" s="11">
        <f t="shared" si="11"/>
        <v>0.60193620190436403</v>
      </c>
    </row>
    <row r="82" spans="1:22" x14ac:dyDescent="0.3">
      <c r="A82" t="s">
        <v>6</v>
      </c>
      <c r="B82" t="s">
        <v>7</v>
      </c>
      <c r="C82" t="s">
        <v>164</v>
      </c>
      <c r="D82" s="7">
        <v>2024</v>
      </c>
      <c r="E82" s="6">
        <v>0.39</v>
      </c>
      <c r="F82" s="6">
        <v>516.79999999999995</v>
      </c>
      <c r="G82" s="6">
        <v>436</v>
      </c>
      <c r="H82" s="6">
        <v>923.4</v>
      </c>
      <c r="I82" s="6">
        <f>proc_Cambium22_highElec_gea!AE82-proc_Cambium22_MidCase_gea!AE82</f>
        <v>2742884</v>
      </c>
      <c r="J82" s="6">
        <f>proc_Cambium22_highElec_gea!AF82-proc_Cambium22_MidCase_gea!AF82</f>
        <v>33.399999999906868</v>
      </c>
      <c r="K82" s="6">
        <f>proc_Cambium22_highElec_gea!AG82-proc_Cambium22_MidCase_gea!AG82</f>
        <v>-11.400000000139698</v>
      </c>
      <c r="L82" s="6">
        <f t="shared" si="6"/>
        <v>2742862</v>
      </c>
      <c r="M82" s="6">
        <f>proc_Cambium22_highElec_gea!AI82-proc_Cambium22_MidCase_gea!AI82</f>
        <v>8760</v>
      </c>
      <c r="N82" s="6">
        <f>proc_Cambium22_highElec_gea!AJ82-proc_Cambium22_MidCase_gea!AJ82</f>
        <v>-104651.40000000596</v>
      </c>
      <c r="O82" s="6">
        <f>proc_Cambium22_highElec_gea!AK82-proc_Cambium22_MidCase_gea!AK82</f>
        <v>-12766.199999999953</v>
      </c>
      <c r="P82" s="6">
        <f>proc_Cambium22_highElec_gea!AL82-proc_Cambium22_MidCase_gea!AL82</f>
        <v>316</v>
      </c>
      <c r="Q82" s="6">
        <f>proc_Cambium22_highElec_gea!AM82-proc_Cambium22_MidCase_gea!AM82</f>
        <v>2851211.7000000011</v>
      </c>
      <c r="R82" s="11">
        <f t="shared" si="7"/>
        <v>3.1937443444110566E-3</v>
      </c>
      <c r="S82" s="11">
        <f t="shared" si="8"/>
        <v>-3.8154088685470128E-2</v>
      </c>
      <c r="T82" s="11">
        <f t="shared" si="9"/>
        <v>-4.6543355079475207E-3</v>
      </c>
      <c r="U82" s="11">
        <f t="shared" si="10"/>
        <v>1.1520812931893766E-4</v>
      </c>
      <c r="V82" s="11">
        <f t="shared" si="11"/>
        <v>1.0395024248394564</v>
      </c>
    </row>
    <row r="83" spans="1:22" x14ac:dyDescent="0.3">
      <c r="A83" t="s">
        <v>6</v>
      </c>
      <c r="B83" t="s">
        <v>7</v>
      </c>
      <c r="C83" t="s">
        <v>164</v>
      </c>
      <c r="D83" s="7">
        <v>2026</v>
      </c>
      <c r="E83" s="6">
        <v>0.37</v>
      </c>
      <c r="F83" s="6">
        <v>438.7</v>
      </c>
      <c r="G83" s="6">
        <v>424.2</v>
      </c>
      <c r="H83" s="6">
        <v>874.1</v>
      </c>
      <c r="I83" s="6">
        <f>proc_Cambium22_highElec_gea!AE83-proc_Cambium22_MidCase_gea!AE83</f>
        <v>2499390</v>
      </c>
      <c r="J83" s="6">
        <f>proc_Cambium22_highElec_gea!AF83-proc_Cambium22_MidCase_gea!AF83</f>
        <v>-2.8999999999068677</v>
      </c>
      <c r="K83" s="6">
        <f>proc_Cambium22_highElec_gea!AG83-proc_Cambium22_MidCase_gea!AG83</f>
        <v>14</v>
      </c>
      <c r="L83" s="6">
        <f t="shared" si="6"/>
        <v>2499378.9</v>
      </c>
      <c r="M83" s="6">
        <f>proc_Cambium22_highElec_gea!AI83-proc_Cambium22_MidCase_gea!AI83</f>
        <v>646302</v>
      </c>
      <c r="N83" s="6">
        <f>proc_Cambium22_highElec_gea!AJ83-proc_Cambium22_MidCase_gea!AJ83</f>
        <v>-172018.5</v>
      </c>
      <c r="O83" s="6">
        <f>proc_Cambium22_highElec_gea!AK83-proc_Cambium22_MidCase_gea!AK83</f>
        <v>-262916.39999999991</v>
      </c>
      <c r="P83" s="6">
        <f>proc_Cambium22_highElec_gea!AL83-proc_Cambium22_MidCase_gea!AL83</f>
        <v>858</v>
      </c>
      <c r="Q83" s="6">
        <f>proc_Cambium22_highElec_gea!AM83-proc_Cambium22_MidCase_gea!AM83</f>
        <v>2287159.6999999993</v>
      </c>
      <c r="R83" s="11">
        <f t="shared" si="7"/>
        <v>0.25858504286805017</v>
      </c>
      <c r="S83" s="11">
        <f t="shared" si="8"/>
        <v>-6.8824498758471561E-2</v>
      </c>
      <c r="T83" s="11">
        <f t="shared" si="9"/>
        <v>-0.10519269407291544</v>
      </c>
      <c r="U83" s="11">
        <f t="shared" si="10"/>
        <v>3.4328528579640328E-4</v>
      </c>
      <c r="V83" s="11">
        <f t="shared" si="11"/>
        <v>0.91509122526400433</v>
      </c>
    </row>
    <row r="84" spans="1:22" x14ac:dyDescent="0.3">
      <c r="A84" t="s">
        <v>6</v>
      </c>
      <c r="B84" t="s">
        <v>7</v>
      </c>
      <c r="C84" t="s">
        <v>164</v>
      </c>
      <c r="D84" s="7">
        <v>2028</v>
      </c>
      <c r="E84" s="6">
        <v>0.39</v>
      </c>
      <c r="F84" s="6">
        <v>390.9</v>
      </c>
      <c r="G84" s="6">
        <v>418.7</v>
      </c>
      <c r="H84" s="6">
        <v>787.9</v>
      </c>
      <c r="I84" s="6">
        <f>proc_Cambium22_highElec_gea!AE84-proc_Cambium22_MidCase_gea!AE84</f>
        <v>21056240</v>
      </c>
      <c r="J84" s="6">
        <f>proc_Cambium22_highElec_gea!AF84-proc_Cambium22_MidCase_gea!AF84</f>
        <v>96.200000000186265</v>
      </c>
      <c r="K84" s="6">
        <f>proc_Cambium22_highElec_gea!AG84-proc_Cambium22_MidCase_gea!AG84</f>
        <v>2182</v>
      </c>
      <c r="L84" s="6">
        <f t="shared" si="6"/>
        <v>21053961.800000001</v>
      </c>
      <c r="M84" s="6">
        <f>proc_Cambium22_highElec_gea!AI84-proc_Cambium22_MidCase_gea!AI84</f>
        <v>-339111</v>
      </c>
      <c r="N84" s="6">
        <f>proc_Cambium22_highElec_gea!AJ84-proc_Cambium22_MidCase_gea!AJ84</f>
        <v>19784875.900000006</v>
      </c>
      <c r="O84" s="6">
        <f>proc_Cambium22_highElec_gea!AK84-proc_Cambium22_MidCase_gea!AK84</f>
        <v>-457445.70000000007</v>
      </c>
      <c r="P84" s="6">
        <f>proc_Cambium22_highElec_gea!AL84-proc_Cambium22_MidCase_gea!AL84</f>
        <v>25338</v>
      </c>
      <c r="Q84" s="6">
        <f>proc_Cambium22_highElec_gea!AM84-proc_Cambium22_MidCase_gea!AM84</f>
        <v>2040304.0999999978</v>
      </c>
      <c r="R84" s="11">
        <f t="shared" si="7"/>
        <v>-1.6106754786645427E-2</v>
      </c>
      <c r="S84" s="11">
        <f t="shared" si="8"/>
        <v>0.93972222843113573</v>
      </c>
      <c r="T84" s="11">
        <f t="shared" si="9"/>
        <v>-2.1727297899818553E-2</v>
      </c>
      <c r="U84" s="11">
        <f t="shared" si="10"/>
        <v>1.2034789575803258E-3</v>
      </c>
      <c r="V84" s="11">
        <f t="shared" si="11"/>
        <v>9.6908321549248638E-2</v>
      </c>
    </row>
    <row r="85" spans="1:22" x14ac:dyDescent="0.3">
      <c r="A85" t="s">
        <v>6</v>
      </c>
      <c r="B85" t="s">
        <v>7</v>
      </c>
      <c r="C85" t="s">
        <v>164</v>
      </c>
      <c r="D85" s="7">
        <v>2030</v>
      </c>
      <c r="E85" s="6">
        <v>0.43</v>
      </c>
      <c r="F85" s="6">
        <v>333.2</v>
      </c>
      <c r="G85" s="6">
        <v>418.2</v>
      </c>
      <c r="H85" s="6">
        <v>735.6</v>
      </c>
      <c r="I85" s="6">
        <f>proc_Cambium22_highElec_gea!AE85-proc_Cambium22_MidCase_gea!AE85</f>
        <v>18274810</v>
      </c>
      <c r="J85" s="6">
        <f>proc_Cambium22_highElec_gea!AF85-proc_Cambium22_MidCase_gea!AF85</f>
        <v>-790.5</v>
      </c>
      <c r="K85" s="6">
        <f>proc_Cambium22_highElec_gea!AG85-proc_Cambium22_MidCase_gea!AG85</f>
        <v>2997.1999999999534</v>
      </c>
      <c r="L85" s="6">
        <f t="shared" si="6"/>
        <v>18272603.300000001</v>
      </c>
      <c r="M85" s="6">
        <f>proc_Cambium22_highElec_gea!AI85-proc_Cambium22_MidCase_gea!AI85</f>
        <v>157736</v>
      </c>
      <c r="N85" s="6">
        <f>proc_Cambium22_highElec_gea!AJ85-proc_Cambium22_MidCase_gea!AJ85</f>
        <v>16589959.399999999</v>
      </c>
      <c r="O85" s="6">
        <f>proc_Cambium22_highElec_gea!AK85-proc_Cambium22_MidCase_gea!AK85</f>
        <v>-233187.70000000007</v>
      </c>
      <c r="P85" s="6">
        <f>proc_Cambium22_highElec_gea!AL85-proc_Cambium22_MidCase_gea!AL85</f>
        <v>30872</v>
      </c>
      <c r="Q85" s="6">
        <f>proc_Cambium22_highElec_gea!AM85-proc_Cambium22_MidCase_gea!AM85</f>
        <v>1727221.9000000022</v>
      </c>
      <c r="R85" s="11">
        <f t="shared" si="7"/>
        <v>8.6323769749874664E-3</v>
      </c>
      <c r="S85" s="11">
        <f t="shared" si="8"/>
        <v>0.90791438568580962</v>
      </c>
      <c r="T85" s="11">
        <f t="shared" si="9"/>
        <v>-1.2761602502474295E-2</v>
      </c>
      <c r="U85" s="11">
        <f t="shared" si="10"/>
        <v>1.6895239005161348E-3</v>
      </c>
      <c r="V85" s="11">
        <f t="shared" si="11"/>
        <v>9.4525222905703976E-2</v>
      </c>
    </row>
    <row r="86" spans="1:22" x14ac:dyDescent="0.3">
      <c r="A86" t="s">
        <v>6</v>
      </c>
      <c r="B86" t="s">
        <v>7</v>
      </c>
      <c r="C86" t="s">
        <v>164</v>
      </c>
      <c r="D86" s="7">
        <v>2035</v>
      </c>
      <c r="E86" s="6">
        <v>0.4</v>
      </c>
      <c r="F86" s="6">
        <v>310.2</v>
      </c>
      <c r="G86" s="6">
        <v>433.6</v>
      </c>
      <c r="H86" s="6">
        <v>673.1</v>
      </c>
      <c r="I86" s="6">
        <f>proc_Cambium22_highElec_gea!AE86-proc_Cambium22_MidCase_gea!AE86</f>
        <v>8781140</v>
      </c>
      <c r="J86" s="6">
        <f>proc_Cambium22_highElec_gea!AF86-proc_Cambium22_MidCase_gea!AF86</f>
        <v>75</v>
      </c>
      <c r="K86" s="6">
        <f>proc_Cambium22_highElec_gea!AG86-proc_Cambium22_MidCase_gea!AG86</f>
        <v>-19862.399999999907</v>
      </c>
      <c r="L86" s="6">
        <f t="shared" si="6"/>
        <v>8800927.4000000004</v>
      </c>
      <c r="M86" s="6">
        <f>proc_Cambium22_highElec_gea!AI86-proc_Cambium22_MidCase_gea!AI86</f>
        <v>1227760.5</v>
      </c>
      <c r="N86" s="6">
        <f>proc_Cambium22_highElec_gea!AJ86-proc_Cambium22_MidCase_gea!AJ86</f>
        <v>2646342</v>
      </c>
      <c r="O86" s="6">
        <f>proc_Cambium22_highElec_gea!AK86-proc_Cambium22_MidCase_gea!AK86</f>
        <v>-148572.79999999999</v>
      </c>
      <c r="P86" s="6">
        <f>proc_Cambium22_highElec_gea!AL86-proc_Cambium22_MidCase_gea!AL86</f>
        <v>-201528</v>
      </c>
      <c r="Q86" s="6">
        <f>proc_Cambium22_highElec_gea!AM86-proc_Cambium22_MidCase_gea!AM86</f>
        <v>5276918.0999999978</v>
      </c>
      <c r="R86" s="11">
        <f t="shared" si="7"/>
        <v>0.13950353686589892</v>
      </c>
      <c r="S86" s="11">
        <f t="shared" si="8"/>
        <v>0.30068899329859261</v>
      </c>
      <c r="T86" s="11">
        <f t="shared" si="9"/>
        <v>-1.6881493648044407E-2</v>
      </c>
      <c r="U86" s="11">
        <f t="shared" si="10"/>
        <v>-2.289849590169327E-2</v>
      </c>
      <c r="V86" s="11">
        <f t="shared" si="11"/>
        <v>0.59958659583988816</v>
      </c>
    </row>
    <row r="87" spans="1:22" x14ac:dyDescent="0.3">
      <c r="A87" t="s">
        <v>6</v>
      </c>
      <c r="B87" t="s">
        <v>7</v>
      </c>
      <c r="C87" t="s">
        <v>164</v>
      </c>
      <c r="D87" s="7">
        <v>2040</v>
      </c>
      <c r="E87" s="6">
        <v>0.43</v>
      </c>
      <c r="F87" s="6">
        <v>289.60000000000002</v>
      </c>
      <c r="G87" s="6">
        <v>436.4</v>
      </c>
      <c r="H87" s="6">
        <v>596.79999999999995</v>
      </c>
      <c r="I87" s="6">
        <f>proc_Cambium22_highElec_gea!AE87-proc_Cambium22_MidCase_gea!AE87</f>
        <v>21303090</v>
      </c>
      <c r="J87" s="6">
        <f>proc_Cambium22_highElec_gea!AF87-proc_Cambium22_MidCase_gea!AF87</f>
        <v>-1412</v>
      </c>
      <c r="K87" s="6">
        <f>proc_Cambium22_highElec_gea!AG87-proc_Cambium22_MidCase_gea!AG87</f>
        <v>3154.3999999999069</v>
      </c>
      <c r="L87" s="6">
        <f t="shared" si="6"/>
        <v>21301347.600000001</v>
      </c>
      <c r="M87" s="6">
        <f>proc_Cambium22_highElec_gea!AI87-proc_Cambium22_MidCase_gea!AI87</f>
        <v>1937886.5</v>
      </c>
      <c r="N87" s="6">
        <f>proc_Cambium22_highElec_gea!AJ87-proc_Cambium22_MidCase_gea!AJ87</f>
        <v>6209121.8999999911</v>
      </c>
      <c r="O87" s="6">
        <f>proc_Cambium22_highElec_gea!AK87-proc_Cambium22_MidCase_gea!AK87</f>
        <v>-89158.5</v>
      </c>
      <c r="P87" s="6">
        <f>proc_Cambium22_highElec_gea!AL87-proc_Cambium22_MidCase_gea!AL87</f>
        <v>-14574</v>
      </c>
      <c r="Q87" s="6">
        <f>proc_Cambium22_highElec_gea!AM87-proc_Cambium22_MidCase_gea!AM87</f>
        <v>13258073.899999999</v>
      </c>
      <c r="R87" s="11">
        <f t="shared" si="7"/>
        <v>9.097483109472379E-2</v>
      </c>
      <c r="S87" s="11">
        <f t="shared" si="8"/>
        <v>0.29148962857166794</v>
      </c>
      <c r="T87" s="11">
        <f t="shared" si="9"/>
        <v>-4.1855802587813734E-3</v>
      </c>
      <c r="U87" s="11">
        <f t="shared" si="10"/>
        <v>-6.8418206555157098E-4</v>
      </c>
      <c r="V87" s="11">
        <f t="shared" si="11"/>
        <v>0.62240540593779137</v>
      </c>
    </row>
    <row r="88" spans="1:22" x14ac:dyDescent="0.3">
      <c r="A88" t="s">
        <v>6</v>
      </c>
      <c r="B88" t="s">
        <v>7</v>
      </c>
      <c r="C88" t="s">
        <v>164</v>
      </c>
      <c r="D88" s="7">
        <v>2045</v>
      </c>
      <c r="E88" s="6">
        <v>0.48</v>
      </c>
      <c r="F88" s="6">
        <v>271.60000000000002</v>
      </c>
      <c r="G88" s="6">
        <v>433.1</v>
      </c>
      <c r="H88" s="6">
        <v>606</v>
      </c>
      <c r="I88" s="6">
        <f>proc_Cambium22_highElec_gea!AE88-proc_Cambium22_MidCase_gea!AE88</f>
        <v>30235860</v>
      </c>
      <c r="J88" s="6">
        <f>proc_Cambium22_highElec_gea!AF88-proc_Cambium22_MidCase_gea!AF88</f>
        <v>-4323.2999999998137</v>
      </c>
      <c r="K88" s="6">
        <f>proc_Cambium22_highElec_gea!AG88-proc_Cambium22_MidCase_gea!AG88</f>
        <v>-22157.099999999977</v>
      </c>
      <c r="L88" s="6">
        <f t="shared" si="6"/>
        <v>30262340.400000002</v>
      </c>
      <c r="M88" s="6">
        <f>proc_Cambium22_highElec_gea!AI88-proc_Cambium22_MidCase_gea!AI88</f>
        <v>1492706</v>
      </c>
      <c r="N88" s="6">
        <f>proc_Cambium22_highElec_gea!AJ88-proc_Cambium22_MidCase_gea!AJ88</f>
        <v>4262826</v>
      </c>
      <c r="O88" s="6">
        <f>proc_Cambium22_highElec_gea!AK88-proc_Cambium22_MidCase_gea!AK88</f>
        <v>-106949.20000000007</v>
      </c>
      <c r="P88" s="6">
        <f>proc_Cambium22_highElec_gea!AL88-proc_Cambium22_MidCase_gea!AL88</f>
        <v>-156748</v>
      </c>
      <c r="Q88" s="6">
        <f>proc_Cambium22_highElec_gea!AM88-proc_Cambium22_MidCase_gea!AM88</f>
        <v>24770534.599999994</v>
      </c>
      <c r="R88" s="11">
        <f t="shared" si="7"/>
        <v>4.9325530684996191E-2</v>
      </c>
      <c r="S88" s="11">
        <f t="shared" si="8"/>
        <v>0.14086240335859812</v>
      </c>
      <c r="T88" s="11">
        <f t="shared" si="9"/>
        <v>-3.5340690305631505E-3</v>
      </c>
      <c r="U88" s="11">
        <f t="shared" si="10"/>
        <v>-5.1796390473487636E-3</v>
      </c>
      <c r="V88" s="11">
        <f t="shared" si="11"/>
        <v>0.81852673232107298</v>
      </c>
    </row>
    <row r="89" spans="1:22" x14ac:dyDescent="0.3">
      <c r="A89" t="s">
        <v>6</v>
      </c>
      <c r="B89" t="s">
        <v>7</v>
      </c>
      <c r="C89" t="s">
        <v>164</v>
      </c>
      <c r="D89" s="7">
        <v>2050</v>
      </c>
      <c r="E89" s="6">
        <v>0.49</v>
      </c>
      <c r="F89" s="6">
        <v>259.60000000000002</v>
      </c>
      <c r="G89" s="6">
        <v>418</v>
      </c>
      <c r="H89" s="6">
        <v>572.1</v>
      </c>
      <c r="I89" s="6">
        <f>proc_Cambium22_highElec_gea!AE89-proc_Cambium22_MidCase_gea!AE89</f>
        <v>37550750</v>
      </c>
      <c r="J89" s="6">
        <f>proc_Cambium22_highElec_gea!AF89-proc_Cambium22_MidCase_gea!AF89</f>
        <v>-9526.2000000001863</v>
      </c>
      <c r="K89" s="6">
        <f>proc_Cambium22_highElec_gea!AG89-proc_Cambium22_MidCase_gea!AG89</f>
        <v>-27260.699999999953</v>
      </c>
      <c r="L89" s="6">
        <f t="shared" si="6"/>
        <v>37587536.900000006</v>
      </c>
      <c r="M89" s="6">
        <f>proc_Cambium22_highElec_gea!AI89-proc_Cambium22_MidCase_gea!AI89</f>
        <v>3553.5</v>
      </c>
      <c r="N89" s="6">
        <f>proc_Cambium22_highElec_gea!AJ89-proc_Cambium22_MidCase_gea!AJ89</f>
        <v>4162672</v>
      </c>
      <c r="O89" s="6">
        <f>proc_Cambium22_highElec_gea!AK89-proc_Cambium22_MidCase_gea!AK89</f>
        <v>-19104</v>
      </c>
      <c r="P89" s="6">
        <f>proc_Cambium22_highElec_gea!AL89-proc_Cambium22_MidCase_gea!AL89</f>
        <v>-345060</v>
      </c>
      <c r="Q89" s="6">
        <f>proc_Cambium22_highElec_gea!AM89-proc_Cambium22_MidCase_gea!AM89</f>
        <v>33785446.899999999</v>
      </c>
      <c r="R89" s="11">
        <f t="shared" si="7"/>
        <v>9.4539315237759017E-5</v>
      </c>
      <c r="S89" s="11">
        <f t="shared" si="8"/>
        <v>0.11074607019541095</v>
      </c>
      <c r="T89" s="11">
        <f t="shared" si="9"/>
        <v>-5.0825357487045122E-4</v>
      </c>
      <c r="U89" s="11">
        <f t="shared" si="10"/>
        <v>-9.1801705687184817E-3</v>
      </c>
      <c r="V89" s="11">
        <f t="shared" si="11"/>
        <v>0.89884705640288953</v>
      </c>
    </row>
    <row r="90" spans="1:22" x14ac:dyDescent="0.3">
      <c r="A90" t="s">
        <v>6</v>
      </c>
      <c r="B90" t="s">
        <v>7</v>
      </c>
      <c r="C90" t="s">
        <v>165</v>
      </c>
      <c r="D90" s="7">
        <v>2024</v>
      </c>
      <c r="E90" s="6">
        <v>0.33</v>
      </c>
      <c r="F90" s="6">
        <v>520.79999999999995</v>
      </c>
      <c r="G90" s="6">
        <v>449.1</v>
      </c>
      <c r="H90" s="6">
        <v>916</v>
      </c>
      <c r="I90" s="6">
        <f>proc_Cambium22_highElec_gea!AE90-proc_Cambium22_MidCase_gea!AE90</f>
        <v>4369430</v>
      </c>
      <c r="J90" s="6">
        <f>proc_Cambium22_highElec_gea!AF90-proc_Cambium22_MidCase_gea!AF90</f>
        <v>0</v>
      </c>
      <c r="K90" s="6">
        <f>proc_Cambium22_highElec_gea!AG90-proc_Cambium22_MidCase_gea!AG90</f>
        <v>1603.8999999999069</v>
      </c>
      <c r="L90" s="6">
        <f t="shared" si="6"/>
        <v>4367826.0999999996</v>
      </c>
      <c r="M90" s="6">
        <f>proc_Cambium22_highElec_gea!AI90-proc_Cambium22_MidCase_gea!AI90</f>
        <v>2144420</v>
      </c>
      <c r="N90" s="6">
        <f>proc_Cambium22_highElec_gea!AJ90-proc_Cambium22_MidCase_gea!AJ90</f>
        <v>384448.5</v>
      </c>
      <c r="O90" s="6">
        <f>proc_Cambium22_highElec_gea!AK90-proc_Cambium22_MidCase_gea!AK90</f>
        <v>15325</v>
      </c>
      <c r="P90" s="6">
        <f>proc_Cambium22_highElec_gea!AL90-proc_Cambium22_MidCase_gea!AL90</f>
        <v>9770</v>
      </c>
      <c r="Q90" s="6">
        <f>proc_Cambium22_highElec_gea!AM90-proc_Cambium22_MidCase_gea!AM90</f>
        <v>1813852.299999997</v>
      </c>
      <c r="R90" s="11">
        <f t="shared" si="7"/>
        <v>0.49095819084921904</v>
      </c>
      <c r="S90" s="11">
        <f t="shared" si="8"/>
        <v>8.8018270690767661E-2</v>
      </c>
      <c r="T90" s="11">
        <f t="shared" si="9"/>
        <v>3.5086103817182652E-3</v>
      </c>
      <c r="U90" s="11">
        <f t="shared" si="10"/>
        <v>2.2368106642340914E-3</v>
      </c>
      <c r="V90" s="11">
        <f t="shared" si="11"/>
        <v>0.41527575926156884</v>
      </c>
    </row>
    <row r="91" spans="1:22" x14ac:dyDescent="0.3">
      <c r="A91" t="s">
        <v>6</v>
      </c>
      <c r="B91" t="s">
        <v>7</v>
      </c>
      <c r="C91" t="s">
        <v>165</v>
      </c>
      <c r="D91" s="7">
        <v>2026</v>
      </c>
      <c r="E91" s="6">
        <v>0.35</v>
      </c>
      <c r="F91" s="6">
        <v>486.1</v>
      </c>
      <c r="G91" s="6">
        <v>422</v>
      </c>
      <c r="H91" s="6">
        <v>869.4</v>
      </c>
      <c r="I91" s="6">
        <f>proc_Cambium22_highElec_gea!AE91-proc_Cambium22_MidCase_gea!AE91</f>
        <v>17758740</v>
      </c>
      <c r="J91" s="6">
        <f>proc_Cambium22_highElec_gea!AF91-proc_Cambium22_MidCase_gea!AF91</f>
        <v>0</v>
      </c>
      <c r="K91" s="6">
        <f>proc_Cambium22_highElec_gea!AG91-proc_Cambium22_MidCase_gea!AG91</f>
        <v>444.60000000009313</v>
      </c>
      <c r="L91" s="6">
        <f t="shared" si="6"/>
        <v>17758295.399999999</v>
      </c>
      <c r="M91" s="6">
        <f>proc_Cambium22_highElec_gea!AI91-proc_Cambium22_MidCase_gea!AI91</f>
        <v>7114200</v>
      </c>
      <c r="N91" s="6">
        <f>proc_Cambium22_highElec_gea!AJ91-proc_Cambium22_MidCase_gea!AJ91</f>
        <v>8721539.5</v>
      </c>
      <c r="O91" s="6">
        <f>proc_Cambium22_highElec_gea!AK91-proc_Cambium22_MidCase_gea!AK91</f>
        <v>-54651.5</v>
      </c>
      <c r="P91" s="6">
        <f>proc_Cambium22_highElec_gea!AL91-proc_Cambium22_MidCase_gea!AL91</f>
        <v>32840</v>
      </c>
      <c r="Q91" s="6">
        <f>proc_Cambium22_highElec_gea!AM91-proc_Cambium22_MidCase_gea!AM91</f>
        <v>1944344.5</v>
      </c>
      <c r="R91" s="11">
        <f t="shared" si="7"/>
        <v>0.40061277503019804</v>
      </c>
      <c r="S91" s="11">
        <f t="shared" si="8"/>
        <v>0.49112481257632423</v>
      </c>
      <c r="T91" s="11">
        <f t="shared" si="9"/>
        <v>-3.0775194785868923E-3</v>
      </c>
      <c r="U91" s="11">
        <f t="shared" si="10"/>
        <v>1.8492765921666108E-3</v>
      </c>
      <c r="V91" s="11">
        <f t="shared" si="11"/>
        <v>0.10948936574171415</v>
      </c>
    </row>
    <row r="92" spans="1:22" x14ac:dyDescent="0.3">
      <c r="A92" t="s">
        <v>6</v>
      </c>
      <c r="B92" t="s">
        <v>7</v>
      </c>
      <c r="C92" t="s">
        <v>165</v>
      </c>
      <c r="D92" s="7">
        <v>2028</v>
      </c>
      <c r="E92" s="6">
        <v>0.43</v>
      </c>
      <c r="F92" s="6">
        <v>374.9</v>
      </c>
      <c r="G92" s="6">
        <v>371.9</v>
      </c>
      <c r="H92" s="6">
        <v>755.5</v>
      </c>
      <c r="I92" s="6">
        <f>proc_Cambium22_highElec_gea!AE92-proc_Cambium22_MidCase_gea!AE92</f>
        <v>11820510</v>
      </c>
      <c r="J92" s="6">
        <f>proc_Cambium22_highElec_gea!AF92-proc_Cambium22_MidCase_gea!AF92</f>
        <v>0</v>
      </c>
      <c r="K92" s="6">
        <f>proc_Cambium22_highElec_gea!AG92-proc_Cambium22_MidCase_gea!AG92</f>
        <v>11317.600000000093</v>
      </c>
      <c r="L92" s="6">
        <f t="shared" si="6"/>
        <v>11809192.4</v>
      </c>
      <c r="M92" s="6">
        <f>proc_Cambium22_highElec_gea!AI92-proc_Cambium22_MidCase_gea!AI92</f>
        <v>2020440</v>
      </c>
      <c r="N92" s="6">
        <f>proc_Cambium22_highElec_gea!AJ92-proc_Cambium22_MidCase_gea!AJ92</f>
        <v>4144686.400000006</v>
      </c>
      <c r="O92" s="6">
        <f>proc_Cambium22_highElec_gea!AK92-proc_Cambium22_MidCase_gea!AK92</f>
        <v>-46229.100000000006</v>
      </c>
      <c r="P92" s="6">
        <f>proc_Cambium22_highElec_gea!AL92-proc_Cambium22_MidCase_gea!AL92</f>
        <v>180240</v>
      </c>
      <c r="Q92" s="6">
        <f>proc_Cambium22_highElec_gea!AM92-proc_Cambium22_MidCase_gea!AM92</f>
        <v>5510055.5</v>
      </c>
      <c r="R92" s="11">
        <f t="shared" si="7"/>
        <v>0.17109044645593208</v>
      </c>
      <c r="S92" s="11">
        <f t="shared" si="8"/>
        <v>0.35097119765785217</v>
      </c>
      <c r="T92" s="11">
        <f t="shared" si="9"/>
        <v>-3.9146707441230274E-3</v>
      </c>
      <c r="U92" s="11">
        <f t="shared" si="10"/>
        <v>1.5262686379806972E-2</v>
      </c>
      <c r="V92" s="11">
        <f t="shared" si="11"/>
        <v>0.46659037412245058</v>
      </c>
    </row>
    <row r="93" spans="1:22" x14ac:dyDescent="0.3">
      <c r="A93" t="s">
        <v>6</v>
      </c>
      <c r="B93" t="s">
        <v>7</v>
      </c>
      <c r="C93" t="s">
        <v>165</v>
      </c>
      <c r="D93" s="7">
        <v>2030</v>
      </c>
      <c r="E93" s="6">
        <v>0.53</v>
      </c>
      <c r="F93" s="6">
        <v>293.8</v>
      </c>
      <c r="G93" s="6">
        <v>368.1</v>
      </c>
      <c r="H93" s="6">
        <v>690.1</v>
      </c>
      <c r="I93" s="6">
        <f>proc_Cambium22_highElec_gea!AE93-proc_Cambium22_MidCase_gea!AE93</f>
        <v>21729280</v>
      </c>
      <c r="J93" s="6">
        <f>proc_Cambium22_highElec_gea!AF93-proc_Cambium22_MidCase_gea!AF93</f>
        <v>0</v>
      </c>
      <c r="K93" s="6">
        <f>proc_Cambium22_highElec_gea!AG93-proc_Cambium22_MidCase_gea!AG93</f>
        <v>30722.199999999953</v>
      </c>
      <c r="L93" s="6">
        <f t="shared" si="6"/>
        <v>21698557.800000001</v>
      </c>
      <c r="M93" s="6">
        <f>proc_Cambium22_highElec_gea!AI93-proc_Cambium22_MidCase_gea!AI93</f>
        <v>3883026</v>
      </c>
      <c r="N93" s="6">
        <f>proc_Cambium22_highElec_gea!AJ93-proc_Cambium22_MidCase_gea!AJ93</f>
        <v>9623001.900000006</v>
      </c>
      <c r="O93" s="6">
        <f>proc_Cambium22_highElec_gea!AK93-proc_Cambium22_MidCase_gea!AK93</f>
        <v>-3877.3999999999942</v>
      </c>
      <c r="P93" s="6">
        <f>proc_Cambium22_highElec_gea!AL93-proc_Cambium22_MidCase_gea!AL93</f>
        <v>956060</v>
      </c>
      <c r="Q93" s="6">
        <f>proc_Cambium22_highElec_gea!AM93-proc_Cambium22_MidCase_gea!AM93</f>
        <v>7240357.700000003</v>
      </c>
      <c r="R93" s="11">
        <f t="shared" si="7"/>
        <v>0.17895318369960975</v>
      </c>
      <c r="S93" s="11">
        <f t="shared" si="8"/>
        <v>0.44348578318877974</v>
      </c>
      <c r="T93" s="11">
        <f t="shared" si="9"/>
        <v>-1.7869390379484087E-4</v>
      </c>
      <c r="U93" s="11">
        <f t="shared" si="10"/>
        <v>4.406099284626188E-2</v>
      </c>
      <c r="V93" s="11">
        <f t="shared" si="11"/>
        <v>0.33367921346367097</v>
      </c>
    </row>
    <row r="94" spans="1:22" x14ac:dyDescent="0.3">
      <c r="A94" t="s">
        <v>6</v>
      </c>
      <c r="B94" t="s">
        <v>7</v>
      </c>
      <c r="C94" t="s">
        <v>165</v>
      </c>
      <c r="D94" s="7">
        <v>2035</v>
      </c>
      <c r="E94" s="6">
        <v>0.59</v>
      </c>
      <c r="F94" s="6">
        <v>234.8</v>
      </c>
      <c r="G94" s="6">
        <v>376.4</v>
      </c>
      <c r="H94" s="6">
        <v>632.1</v>
      </c>
      <c r="I94" s="6">
        <f>proc_Cambium22_highElec_gea!AE94-proc_Cambium22_MidCase_gea!AE94</f>
        <v>114193100</v>
      </c>
      <c r="J94" s="6">
        <f>proc_Cambium22_highElec_gea!AF94-proc_Cambium22_MidCase_gea!AF94</f>
        <v>0</v>
      </c>
      <c r="K94" s="6">
        <f>proc_Cambium22_highElec_gea!AG94-proc_Cambium22_MidCase_gea!AG94</f>
        <v>9577.3999999999069</v>
      </c>
      <c r="L94" s="6">
        <f t="shared" si="6"/>
        <v>114183522.59999999</v>
      </c>
      <c r="M94" s="6">
        <f>proc_Cambium22_highElec_gea!AI94-proc_Cambium22_MidCase_gea!AI94</f>
        <v>7321228</v>
      </c>
      <c r="N94" s="6">
        <f>proc_Cambium22_highElec_gea!AJ94-proc_Cambium22_MidCase_gea!AJ94</f>
        <v>21722294.599999994</v>
      </c>
      <c r="O94" s="6">
        <f>proc_Cambium22_highElec_gea!AK94-proc_Cambium22_MidCase_gea!AK94</f>
        <v>-2289.7000000000007</v>
      </c>
      <c r="P94" s="6">
        <f>proc_Cambium22_highElec_gea!AL94-proc_Cambium22_MidCase_gea!AL94</f>
        <v>502354</v>
      </c>
      <c r="Q94" s="6">
        <f>proc_Cambium22_highElec_gea!AM94-proc_Cambium22_MidCase_gea!AM94</f>
        <v>84639883.00000003</v>
      </c>
      <c r="R94" s="11">
        <f t="shared" si="7"/>
        <v>6.4118077926595698E-2</v>
      </c>
      <c r="S94" s="11">
        <f t="shared" si="8"/>
        <v>0.19024018619653266</v>
      </c>
      <c r="T94" s="11">
        <f t="shared" si="9"/>
        <v>-2.0052805762711694E-5</v>
      </c>
      <c r="U94" s="11">
        <f t="shared" si="10"/>
        <v>4.3995314609430345E-3</v>
      </c>
      <c r="V94" s="11">
        <f t="shared" si="11"/>
        <v>0.74126179568399508</v>
      </c>
    </row>
    <row r="95" spans="1:22" x14ac:dyDescent="0.3">
      <c r="A95" t="s">
        <v>6</v>
      </c>
      <c r="B95" t="s">
        <v>7</v>
      </c>
      <c r="C95" t="s">
        <v>165</v>
      </c>
      <c r="D95" s="7">
        <v>2040</v>
      </c>
      <c r="E95" s="6">
        <v>0.7</v>
      </c>
      <c r="F95" s="6">
        <v>158.30000000000001</v>
      </c>
      <c r="G95" s="6">
        <v>374.4</v>
      </c>
      <c r="H95" s="6">
        <v>563</v>
      </c>
      <c r="I95" s="6">
        <f>proc_Cambium22_highElec_gea!AE95-proc_Cambium22_MidCase_gea!AE95</f>
        <v>92960500</v>
      </c>
      <c r="J95" s="6">
        <f>proc_Cambium22_highElec_gea!AF95-proc_Cambium22_MidCase_gea!AF95</f>
        <v>0</v>
      </c>
      <c r="K95" s="6">
        <f>proc_Cambium22_highElec_gea!AG95-proc_Cambium22_MidCase_gea!AG95</f>
        <v>18643.399999999907</v>
      </c>
      <c r="L95" s="6">
        <f t="shared" si="6"/>
        <v>92941856.599999994</v>
      </c>
      <c r="M95" s="6">
        <f>proc_Cambium22_highElec_gea!AI95-proc_Cambium22_MidCase_gea!AI95</f>
        <v>11503975</v>
      </c>
      <c r="N95" s="6">
        <f>proc_Cambium22_highElec_gea!AJ95-proc_Cambium22_MidCase_gea!AJ95</f>
        <v>34173402.800000012</v>
      </c>
      <c r="O95" s="6">
        <f>proc_Cambium22_highElec_gea!AK95-proc_Cambium22_MidCase_gea!AK95</f>
        <v>865.10000000000036</v>
      </c>
      <c r="P95" s="6">
        <f>proc_Cambium22_highElec_gea!AL95-proc_Cambium22_MidCase_gea!AL95</f>
        <v>624516</v>
      </c>
      <c r="Q95" s="6">
        <f>proc_Cambium22_highElec_gea!AM95-proc_Cambium22_MidCase_gea!AM95</f>
        <v>46639147.100000024</v>
      </c>
      <c r="R95" s="11">
        <f t="shared" si="7"/>
        <v>0.12377604042826923</v>
      </c>
      <c r="S95" s="11">
        <f t="shared" si="8"/>
        <v>0.36768582047025744</v>
      </c>
      <c r="T95" s="11">
        <f t="shared" si="9"/>
        <v>9.3079698603739786E-6</v>
      </c>
      <c r="U95" s="11">
        <f t="shared" si="10"/>
        <v>6.7194267776226032E-3</v>
      </c>
      <c r="V95" s="11">
        <f t="shared" si="11"/>
        <v>0.50180993586908862</v>
      </c>
    </row>
    <row r="96" spans="1:22" x14ac:dyDescent="0.3">
      <c r="A96" t="s">
        <v>6</v>
      </c>
      <c r="B96" t="s">
        <v>7</v>
      </c>
      <c r="C96" t="s">
        <v>165</v>
      </c>
      <c r="D96" s="7">
        <v>2045</v>
      </c>
      <c r="E96" s="6">
        <v>0.72</v>
      </c>
      <c r="F96" s="6">
        <v>154.9</v>
      </c>
      <c r="G96" s="6">
        <v>344.8</v>
      </c>
      <c r="H96" s="6">
        <v>559.5</v>
      </c>
      <c r="I96" s="6">
        <f>proc_Cambium22_highElec_gea!AE96-proc_Cambium22_MidCase_gea!AE96</f>
        <v>136080670</v>
      </c>
      <c r="J96" s="6">
        <f>proc_Cambium22_highElec_gea!AF96-proc_Cambium22_MidCase_gea!AF96</f>
        <v>0</v>
      </c>
      <c r="K96" s="6">
        <f>proc_Cambium22_highElec_gea!AG96-proc_Cambium22_MidCase_gea!AG96</f>
        <v>2089.2999999999302</v>
      </c>
      <c r="L96" s="6">
        <f t="shared" si="6"/>
        <v>136078580.69999999</v>
      </c>
      <c r="M96" s="6">
        <f>proc_Cambium22_highElec_gea!AI96-proc_Cambium22_MidCase_gea!AI96</f>
        <v>9942389</v>
      </c>
      <c r="N96" s="6">
        <f>proc_Cambium22_highElec_gea!AJ96-proc_Cambium22_MidCase_gea!AJ96</f>
        <v>54393607</v>
      </c>
      <c r="O96" s="6">
        <f>proc_Cambium22_highElec_gea!AK96-proc_Cambium22_MidCase_gea!AK96</f>
        <v>-230.89999999999964</v>
      </c>
      <c r="P96" s="6">
        <f>proc_Cambium22_highElec_gea!AL96-proc_Cambium22_MidCase_gea!AL96</f>
        <v>86688</v>
      </c>
      <c r="Q96" s="6">
        <f>proc_Cambium22_highElec_gea!AM96-proc_Cambium22_MidCase_gea!AM96</f>
        <v>71656119.399999976</v>
      </c>
      <c r="R96" s="11">
        <f t="shared" si="7"/>
        <v>7.3063585384676194E-2</v>
      </c>
      <c r="S96" s="11">
        <f t="shared" si="8"/>
        <v>0.39972203354998692</v>
      </c>
      <c r="T96" s="11">
        <f t="shared" si="9"/>
        <v>-1.6968136999388888E-6</v>
      </c>
      <c r="U96" s="11">
        <f t="shared" si="10"/>
        <v>6.3704368133522143E-4</v>
      </c>
      <c r="V96" s="11">
        <f t="shared" si="11"/>
        <v>0.52657897393840158</v>
      </c>
    </row>
    <row r="97" spans="1:22" x14ac:dyDescent="0.3">
      <c r="A97" t="s">
        <v>6</v>
      </c>
      <c r="B97" t="s">
        <v>7</v>
      </c>
      <c r="C97" t="s">
        <v>165</v>
      </c>
      <c r="D97" s="7">
        <v>2050</v>
      </c>
      <c r="E97" s="6">
        <v>0.68</v>
      </c>
      <c r="F97" s="6">
        <v>174.7</v>
      </c>
      <c r="G97" s="6">
        <v>319.7</v>
      </c>
      <c r="H97" s="6">
        <v>553.9</v>
      </c>
      <c r="I97" s="6">
        <f>proc_Cambium22_highElec_gea!AE97-proc_Cambium22_MidCase_gea!AE97</f>
        <v>160615060</v>
      </c>
      <c r="J97" s="6">
        <f>proc_Cambium22_highElec_gea!AF97-proc_Cambium22_MidCase_gea!AF97</f>
        <v>0</v>
      </c>
      <c r="K97" s="6">
        <f>proc_Cambium22_highElec_gea!AG97-proc_Cambium22_MidCase_gea!AG97</f>
        <v>-32407.199999999953</v>
      </c>
      <c r="L97" s="6">
        <f t="shared" si="6"/>
        <v>160647467.19999999</v>
      </c>
      <c r="M97" s="6">
        <f>proc_Cambium22_highElec_gea!AI97-proc_Cambium22_MidCase_gea!AI97</f>
        <v>3523895</v>
      </c>
      <c r="N97" s="6">
        <f>proc_Cambium22_highElec_gea!AJ97-proc_Cambium22_MidCase_gea!AJ97</f>
        <v>35759602</v>
      </c>
      <c r="O97" s="6">
        <f>proc_Cambium22_highElec_gea!AK97-proc_Cambium22_MidCase_gea!AK97</f>
        <v>3480.8999999999996</v>
      </c>
      <c r="P97" s="6">
        <f>proc_Cambium22_highElec_gea!AL97-proc_Cambium22_MidCase_gea!AL97</f>
        <v>83410</v>
      </c>
      <c r="Q97" s="6">
        <f>proc_Cambium22_highElec_gea!AM97-proc_Cambium22_MidCase_gea!AM97</f>
        <v>121277013.69999999</v>
      </c>
      <c r="R97" s="11">
        <f t="shared" si="7"/>
        <v>2.1935577705765413E-2</v>
      </c>
      <c r="S97" s="11">
        <f t="shared" si="8"/>
        <v>0.22259673696243623</v>
      </c>
      <c r="T97" s="11">
        <f t="shared" si="9"/>
        <v>2.16679419891906E-5</v>
      </c>
      <c r="U97" s="11">
        <f t="shared" si="10"/>
        <v>5.1921142271205384E-4</v>
      </c>
      <c r="V97" s="11">
        <f t="shared" si="11"/>
        <v>0.75492639761954494</v>
      </c>
    </row>
    <row r="98" spans="1:22" x14ac:dyDescent="0.3">
      <c r="A98" t="s">
        <v>6</v>
      </c>
      <c r="B98" t="s">
        <v>7</v>
      </c>
      <c r="C98" t="s">
        <v>166</v>
      </c>
      <c r="D98" s="7">
        <v>2024</v>
      </c>
      <c r="E98" s="6">
        <v>0.41</v>
      </c>
      <c r="F98" s="6">
        <v>589.1</v>
      </c>
      <c r="G98" s="6">
        <v>393.5</v>
      </c>
      <c r="H98" s="6">
        <v>876.7</v>
      </c>
      <c r="I98" s="6">
        <f>proc_Cambium22_highElec_gea!AE98-proc_Cambium22_MidCase_gea!AE98</f>
        <v>133760</v>
      </c>
      <c r="J98" s="6">
        <f>proc_Cambium22_highElec_gea!AF98-proc_Cambium22_MidCase_gea!AF98</f>
        <v>0</v>
      </c>
      <c r="K98" s="6">
        <f>proc_Cambium22_highElec_gea!AG98-proc_Cambium22_MidCase_gea!AG98</f>
        <v>-1598.6000000000058</v>
      </c>
      <c r="L98" s="6">
        <f t="shared" si="6"/>
        <v>135358.6</v>
      </c>
      <c r="M98" s="6">
        <f>proc_Cambium22_highElec_gea!AI98-proc_Cambium22_MidCase_gea!AI98</f>
        <v>82266</v>
      </c>
      <c r="N98" s="6">
        <f>proc_Cambium22_highElec_gea!AJ98-proc_Cambium22_MidCase_gea!AJ98</f>
        <v>-67811.300000000745</v>
      </c>
      <c r="O98" s="6">
        <f>proc_Cambium22_highElec_gea!AK98-proc_Cambium22_MidCase_gea!AK98</f>
        <v>-97.4</v>
      </c>
      <c r="P98" s="6">
        <f>proc_Cambium22_highElec_gea!AL98-proc_Cambium22_MidCase_gea!AL98</f>
        <v>0</v>
      </c>
      <c r="Q98" s="6">
        <f>proc_Cambium22_highElec_gea!AM98-proc_Cambium22_MidCase_gea!AM98</f>
        <v>121003.5</v>
      </c>
      <c r="R98" s="11">
        <f t="shared" si="7"/>
        <v>0.60776337816732739</v>
      </c>
      <c r="S98" s="11">
        <f t="shared" si="8"/>
        <v>-0.50097518739112801</v>
      </c>
      <c r="T98" s="11">
        <f t="shared" si="9"/>
        <v>-7.1957009011618025E-4</v>
      </c>
      <c r="U98" s="11">
        <f t="shared" si="10"/>
        <v>0</v>
      </c>
      <c r="V98" s="11">
        <f t="shared" si="11"/>
        <v>0.89394763243709663</v>
      </c>
    </row>
    <row r="99" spans="1:22" x14ac:dyDescent="0.3">
      <c r="A99" t="s">
        <v>6</v>
      </c>
      <c r="B99" t="s">
        <v>7</v>
      </c>
      <c r="C99" t="s">
        <v>166</v>
      </c>
      <c r="D99" s="7">
        <v>2026</v>
      </c>
      <c r="E99" s="6">
        <v>0.54</v>
      </c>
      <c r="F99" s="6">
        <v>453.1</v>
      </c>
      <c r="G99" s="6">
        <v>309.7</v>
      </c>
      <c r="H99" s="6">
        <v>777.4</v>
      </c>
      <c r="I99" s="6">
        <f>proc_Cambium22_highElec_gea!AE99-proc_Cambium22_MidCase_gea!AE99</f>
        <v>-183150</v>
      </c>
      <c r="J99" s="6">
        <f>proc_Cambium22_highElec_gea!AF99-proc_Cambium22_MidCase_gea!AF99</f>
        <v>0</v>
      </c>
      <c r="K99" s="6">
        <f>proc_Cambium22_highElec_gea!AG99-proc_Cambium22_MidCase_gea!AG99</f>
        <v>109</v>
      </c>
      <c r="L99" s="6">
        <f t="shared" si="6"/>
        <v>-183259</v>
      </c>
      <c r="M99" s="6">
        <f>proc_Cambium22_highElec_gea!AI99-proc_Cambium22_MidCase_gea!AI99</f>
        <v>351760</v>
      </c>
      <c r="N99" s="6">
        <f>proc_Cambium22_highElec_gea!AJ99-proc_Cambium22_MidCase_gea!AJ99</f>
        <v>-645678.90000000037</v>
      </c>
      <c r="O99" s="6">
        <f>proc_Cambium22_highElec_gea!AK99-proc_Cambium22_MidCase_gea!AK99</f>
        <v>-42.5</v>
      </c>
      <c r="P99" s="6">
        <f>proc_Cambium22_highElec_gea!AL99-proc_Cambium22_MidCase_gea!AL99</f>
        <v>0</v>
      </c>
      <c r="Q99" s="6">
        <f>proc_Cambium22_highElec_gea!AM99-proc_Cambium22_MidCase_gea!AM99</f>
        <v>110698.59999999404</v>
      </c>
      <c r="R99" s="11">
        <f t="shared" si="7"/>
        <v>-1.9194691665893626</v>
      </c>
      <c r="S99" s="11">
        <f t="shared" si="8"/>
        <v>3.5233134525453069</v>
      </c>
      <c r="T99" s="11">
        <f t="shared" si="9"/>
        <v>2.3191221167855329E-4</v>
      </c>
      <c r="U99" s="11">
        <f t="shared" si="10"/>
        <v>0</v>
      </c>
      <c r="V99" s="11">
        <f t="shared" si="11"/>
        <v>-0.6040554624874851</v>
      </c>
    </row>
    <row r="100" spans="1:22" x14ac:dyDescent="0.3">
      <c r="A100" t="s">
        <v>6</v>
      </c>
      <c r="B100" t="s">
        <v>7</v>
      </c>
      <c r="C100" t="s">
        <v>166</v>
      </c>
      <c r="D100" s="7">
        <v>2028</v>
      </c>
      <c r="E100" s="6">
        <v>0.78</v>
      </c>
      <c r="F100" s="6">
        <v>213.3</v>
      </c>
      <c r="G100" s="6">
        <v>214.5</v>
      </c>
      <c r="H100" s="6">
        <v>679.8</v>
      </c>
      <c r="I100" s="6">
        <f>proc_Cambium22_highElec_gea!AE100-proc_Cambium22_MidCase_gea!AE100</f>
        <v>-10321120</v>
      </c>
      <c r="J100" s="6">
        <f>proc_Cambium22_highElec_gea!AF100-proc_Cambium22_MidCase_gea!AF100</f>
        <v>0</v>
      </c>
      <c r="K100" s="6">
        <f>proc_Cambium22_highElec_gea!AG100-proc_Cambium22_MidCase_gea!AG100</f>
        <v>4414.1000000000058</v>
      </c>
      <c r="L100" s="6">
        <f t="shared" si="6"/>
        <v>-10325534.1</v>
      </c>
      <c r="M100" s="6">
        <f>proc_Cambium22_highElec_gea!AI100-proc_Cambium22_MidCase_gea!AI100</f>
        <v>3534417</v>
      </c>
      <c r="N100" s="6">
        <f>proc_Cambium22_highElec_gea!AJ100-proc_Cambium22_MidCase_gea!AJ100</f>
        <v>710498</v>
      </c>
      <c r="O100" s="6">
        <f>proc_Cambium22_highElec_gea!AK100-proc_Cambium22_MidCase_gea!AK100</f>
        <v>-2.4</v>
      </c>
      <c r="P100" s="6">
        <f>proc_Cambium22_highElec_gea!AL100-proc_Cambium22_MidCase_gea!AL100</f>
        <v>0</v>
      </c>
      <c r="Q100" s="6">
        <f>proc_Cambium22_highElec_gea!AM100-proc_Cambium22_MidCase_gea!AM100</f>
        <v>-14570440.899999999</v>
      </c>
      <c r="R100" s="11">
        <f t="shared" si="7"/>
        <v>-0.34229870975875237</v>
      </c>
      <c r="S100" s="11">
        <f t="shared" si="8"/>
        <v>-6.8809806167799109E-2</v>
      </c>
      <c r="T100" s="11">
        <f t="shared" si="9"/>
        <v>2.3243349707207883E-7</v>
      </c>
      <c r="U100" s="11">
        <f t="shared" si="10"/>
        <v>0</v>
      </c>
      <c r="V100" s="11">
        <f t="shared" si="11"/>
        <v>1.4111077217787698</v>
      </c>
    </row>
    <row r="101" spans="1:22" x14ac:dyDescent="0.3">
      <c r="A101" t="s">
        <v>6</v>
      </c>
      <c r="B101" t="s">
        <v>7</v>
      </c>
      <c r="C101" t="s">
        <v>166</v>
      </c>
      <c r="D101" s="7">
        <v>2030</v>
      </c>
      <c r="E101" s="6">
        <v>0.91</v>
      </c>
      <c r="F101" s="6">
        <v>86.6</v>
      </c>
      <c r="G101" s="6">
        <v>154</v>
      </c>
      <c r="H101" s="6">
        <v>507</v>
      </c>
      <c r="I101" s="6">
        <f>proc_Cambium22_highElec_gea!AE101-proc_Cambium22_MidCase_gea!AE101</f>
        <v>4807770</v>
      </c>
      <c r="J101" s="6">
        <f>proc_Cambium22_highElec_gea!AF101-proc_Cambium22_MidCase_gea!AF101</f>
        <v>0</v>
      </c>
      <c r="K101" s="6">
        <f>proc_Cambium22_highElec_gea!AG101-proc_Cambium22_MidCase_gea!AG101</f>
        <v>-13231.600000000006</v>
      </c>
      <c r="L101" s="6">
        <f t="shared" si="6"/>
        <v>4821001.5999999996</v>
      </c>
      <c r="M101" s="6">
        <f>proc_Cambium22_highElec_gea!AI101-proc_Cambium22_MidCase_gea!AI101</f>
        <v>-1681172.5</v>
      </c>
      <c r="N101" s="6">
        <f>proc_Cambium22_highElec_gea!AJ101-proc_Cambium22_MidCase_gea!AJ101</f>
        <v>-803584.39999999991</v>
      </c>
      <c r="O101" s="6">
        <f>proc_Cambium22_highElec_gea!AK101-proc_Cambium22_MidCase_gea!AK101</f>
        <v>0</v>
      </c>
      <c r="P101" s="6">
        <f>proc_Cambium22_highElec_gea!AL101-proc_Cambium22_MidCase_gea!AL101</f>
        <v>0</v>
      </c>
      <c r="Q101" s="6">
        <f>proc_Cambium22_highElec_gea!AM101-proc_Cambium22_MidCase_gea!AM101</f>
        <v>7305765.5</v>
      </c>
      <c r="R101" s="11">
        <f t="shared" si="7"/>
        <v>-0.34871851110773333</v>
      </c>
      <c r="S101" s="11">
        <f t="shared" si="8"/>
        <v>-0.1666841180886561</v>
      </c>
      <c r="T101" s="11">
        <f t="shared" si="9"/>
        <v>0</v>
      </c>
      <c r="U101" s="11">
        <f t="shared" si="10"/>
        <v>0</v>
      </c>
      <c r="V101" s="11">
        <f t="shared" si="11"/>
        <v>1.5154040811768243</v>
      </c>
    </row>
    <row r="102" spans="1:22" x14ac:dyDescent="0.3">
      <c r="A102" t="s">
        <v>6</v>
      </c>
      <c r="B102" t="s">
        <v>7</v>
      </c>
      <c r="C102" t="s">
        <v>166</v>
      </c>
      <c r="D102" s="7">
        <v>2035</v>
      </c>
      <c r="E102" s="6">
        <v>0.93</v>
      </c>
      <c r="F102" s="6">
        <v>70.7</v>
      </c>
      <c r="G102" s="6">
        <v>144.4</v>
      </c>
      <c r="H102" s="6">
        <v>405.7</v>
      </c>
      <c r="I102" s="6">
        <f>proc_Cambium22_highElec_gea!AE102-proc_Cambium22_MidCase_gea!AE102</f>
        <v>1398036</v>
      </c>
      <c r="J102" s="6">
        <f>proc_Cambium22_highElec_gea!AF102-proc_Cambium22_MidCase_gea!AF102</f>
        <v>0</v>
      </c>
      <c r="K102" s="6">
        <f>proc_Cambium22_highElec_gea!AG102-proc_Cambium22_MidCase_gea!AG102</f>
        <v>971.69999999999709</v>
      </c>
      <c r="L102" s="6">
        <f t="shared" si="6"/>
        <v>1397064.3</v>
      </c>
      <c r="M102" s="6">
        <f>proc_Cambium22_highElec_gea!AI102-proc_Cambium22_MidCase_gea!AI102</f>
        <v>699188.5</v>
      </c>
      <c r="N102" s="6">
        <f>proc_Cambium22_highElec_gea!AJ102-proc_Cambium22_MidCase_gea!AJ102</f>
        <v>246509.19999999995</v>
      </c>
      <c r="O102" s="6">
        <f>proc_Cambium22_highElec_gea!AK102-proc_Cambium22_MidCase_gea!AK102</f>
        <v>0</v>
      </c>
      <c r="P102" s="6">
        <f>proc_Cambium22_highElec_gea!AL102-proc_Cambium22_MidCase_gea!AL102</f>
        <v>0</v>
      </c>
      <c r="Q102" s="6">
        <f>proc_Cambium22_highElec_gea!AM102-proc_Cambium22_MidCase_gea!AM102</f>
        <v>451366.79999999702</v>
      </c>
      <c r="R102" s="11">
        <f t="shared" si="7"/>
        <v>0.50046980657941087</v>
      </c>
      <c r="S102" s="11">
        <f t="shared" si="8"/>
        <v>0.17644799885016027</v>
      </c>
      <c r="T102" s="11">
        <f t="shared" si="9"/>
        <v>0</v>
      </c>
      <c r="U102" s="11">
        <f t="shared" si="10"/>
        <v>0</v>
      </c>
      <c r="V102" s="11">
        <f t="shared" si="11"/>
        <v>0.32308233772776029</v>
      </c>
    </row>
    <row r="103" spans="1:22" x14ac:dyDescent="0.3">
      <c r="A103" t="s">
        <v>6</v>
      </c>
      <c r="B103" t="s">
        <v>7</v>
      </c>
      <c r="C103" t="s">
        <v>166</v>
      </c>
      <c r="D103" s="7">
        <v>2040</v>
      </c>
      <c r="E103" s="6">
        <v>0.95</v>
      </c>
      <c r="F103" s="6">
        <v>49.2</v>
      </c>
      <c r="G103" s="6">
        <v>160</v>
      </c>
      <c r="H103" s="6">
        <v>346.7</v>
      </c>
      <c r="I103" s="6">
        <f>proc_Cambium22_highElec_gea!AE103-proc_Cambium22_MidCase_gea!AE103</f>
        <v>130540</v>
      </c>
      <c r="J103" s="6">
        <f>proc_Cambium22_highElec_gea!AF103-proc_Cambium22_MidCase_gea!AF103</f>
        <v>0</v>
      </c>
      <c r="K103" s="6">
        <f>proc_Cambium22_highElec_gea!AG103-proc_Cambium22_MidCase_gea!AG103</f>
        <v>7341.1000000000058</v>
      </c>
      <c r="L103" s="6">
        <f t="shared" si="6"/>
        <v>123198.9</v>
      </c>
      <c r="M103" s="6">
        <f>proc_Cambium22_highElec_gea!AI103-proc_Cambium22_MidCase_gea!AI103</f>
        <v>1995794.5</v>
      </c>
      <c r="N103" s="6">
        <f>proc_Cambium22_highElec_gea!AJ103-proc_Cambium22_MidCase_gea!AJ103</f>
        <v>850994.99999999988</v>
      </c>
      <c r="O103" s="6">
        <f>proc_Cambium22_highElec_gea!AK103-proc_Cambium22_MidCase_gea!AK103</f>
        <v>0</v>
      </c>
      <c r="P103" s="6">
        <f>proc_Cambium22_highElec_gea!AL103-proc_Cambium22_MidCase_gea!AL103</f>
        <v>0</v>
      </c>
      <c r="Q103" s="6">
        <f>proc_Cambium22_highElec_gea!AM103-proc_Cambium22_MidCase_gea!AM103</f>
        <v>-2723612.299999997</v>
      </c>
      <c r="R103" s="11">
        <f t="shared" si="7"/>
        <v>16.199775322669279</v>
      </c>
      <c r="S103" s="11">
        <f t="shared" si="8"/>
        <v>6.9074886220575014</v>
      </c>
      <c r="T103" s="11">
        <f t="shared" si="9"/>
        <v>0</v>
      </c>
      <c r="U103" s="11">
        <f t="shared" si="10"/>
        <v>0</v>
      </c>
      <c r="V103" s="11">
        <f t="shared" si="11"/>
        <v>-22.107440082663054</v>
      </c>
    </row>
    <row r="104" spans="1:22" x14ac:dyDescent="0.3">
      <c r="A104" t="s">
        <v>6</v>
      </c>
      <c r="B104" t="s">
        <v>7</v>
      </c>
      <c r="C104" t="s">
        <v>166</v>
      </c>
      <c r="D104" s="7">
        <v>2045</v>
      </c>
      <c r="E104" s="6">
        <v>0.98</v>
      </c>
      <c r="F104" s="6">
        <v>19.5</v>
      </c>
      <c r="G104" s="6">
        <v>157.19999999999999</v>
      </c>
      <c r="H104" s="6">
        <v>223</v>
      </c>
      <c r="I104" s="6">
        <f>proc_Cambium22_highElec_gea!AE104-proc_Cambium22_MidCase_gea!AE104</f>
        <v>-3850550</v>
      </c>
      <c r="J104" s="6">
        <f>proc_Cambium22_highElec_gea!AF104-proc_Cambium22_MidCase_gea!AF104</f>
        <v>0</v>
      </c>
      <c r="K104" s="6">
        <f>proc_Cambium22_highElec_gea!AG104-proc_Cambium22_MidCase_gea!AG104</f>
        <v>10229</v>
      </c>
      <c r="L104" s="6">
        <f t="shared" si="6"/>
        <v>-3860779</v>
      </c>
      <c r="M104" s="6">
        <f>proc_Cambium22_highElec_gea!AI104-proc_Cambium22_MidCase_gea!AI104</f>
        <v>2456830</v>
      </c>
      <c r="N104" s="6">
        <f>proc_Cambium22_highElec_gea!AJ104-proc_Cambium22_MidCase_gea!AJ104</f>
        <v>764220.5</v>
      </c>
      <c r="O104" s="6">
        <f>proc_Cambium22_highElec_gea!AK104-proc_Cambium22_MidCase_gea!AK104</f>
        <v>0</v>
      </c>
      <c r="P104" s="6">
        <f>proc_Cambium22_highElec_gea!AL104-proc_Cambium22_MidCase_gea!AL104</f>
        <v>0</v>
      </c>
      <c r="Q104" s="6">
        <f>proc_Cambium22_highElec_gea!AM104-proc_Cambium22_MidCase_gea!AM104</f>
        <v>-7081823.2999999821</v>
      </c>
      <c r="R104" s="11">
        <f t="shared" si="7"/>
        <v>-0.63635603073887426</v>
      </c>
      <c r="S104" s="11">
        <f t="shared" si="8"/>
        <v>-0.19794463759774905</v>
      </c>
      <c r="T104" s="11">
        <f t="shared" si="9"/>
        <v>0</v>
      </c>
      <c r="U104" s="11">
        <f t="shared" si="10"/>
        <v>0</v>
      </c>
      <c r="V104" s="11">
        <f t="shared" si="11"/>
        <v>1.834299062443093</v>
      </c>
    </row>
    <row r="105" spans="1:22" x14ac:dyDescent="0.3">
      <c r="A105" t="s">
        <v>6</v>
      </c>
      <c r="B105" t="s">
        <v>7</v>
      </c>
      <c r="C105" t="s">
        <v>166</v>
      </c>
      <c r="D105" s="7">
        <v>2050</v>
      </c>
      <c r="E105" s="6">
        <v>0.98</v>
      </c>
      <c r="F105" s="6">
        <v>22.9</v>
      </c>
      <c r="G105" s="6">
        <v>171.6</v>
      </c>
      <c r="H105" s="6">
        <v>225.8</v>
      </c>
      <c r="I105" s="6">
        <f>proc_Cambium22_highElec_gea!AE105-proc_Cambium22_MidCase_gea!AE105</f>
        <v>13306450</v>
      </c>
      <c r="J105" s="6">
        <f>proc_Cambium22_highElec_gea!AF105-proc_Cambium22_MidCase_gea!AF105</f>
        <v>0</v>
      </c>
      <c r="K105" s="6">
        <f>proc_Cambium22_highElec_gea!AG105-proc_Cambium22_MidCase_gea!AG105</f>
        <v>3770.7999999999993</v>
      </c>
      <c r="L105" s="6">
        <f t="shared" si="6"/>
        <v>13302679.199999999</v>
      </c>
      <c r="M105" s="6">
        <f>proc_Cambium22_highElec_gea!AI105-proc_Cambium22_MidCase_gea!AI105</f>
        <v>1219070</v>
      </c>
      <c r="N105" s="6">
        <f>proc_Cambium22_highElec_gea!AJ105-proc_Cambium22_MidCase_gea!AJ105</f>
        <v>617088.69999999984</v>
      </c>
      <c r="O105" s="6">
        <f>proc_Cambium22_highElec_gea!AK105-proc_Cambium22_MidCase_gea!AK105</f>
        <v>0</v>
      </c>
      <c r="P105" s="6">
        <f>proc_Cambium22_highElec_gea!AL105-proc_Cambium22_MidCase_gea!AL105</f>
        <v>0</v>
      </c>
      <c r="Q105" s="6">
        <f>proc_Cambium22_highElec_gea!AM105-proc_Cambium22_MidCase_gea!AM105</f>
        <v>11466515.199999988</v>
      </c>
      <c r="R105" s="11">
        <f t="shared" si="7"/>
        <v>9.1640938014952655E-2</v>
      </c>
      <c r="S105" s="11">
        <f t="shared" si="8"/>
        <v>4.6388301989572139E-2</v>
      </c>
      <c r="T105" s="11">
        <f t="shared" si="9"/>
        <v>0</v>
      </c>
      <c r="U105" s="11">
        <f t="shared" si="10"/>
        <v>0</v>
      </c>
      <c r="V105" s="11">
        <f t="shared" si="11"/>
        <v>0.86197036157949214</v>
      </c>
    </row>
    <row r="106" spans="1:22" x14ac:dyDescent="0.3">
      <c r="A106" t="s">
        <v>6</v>
      </c>
      <c r="B106" t="s">
        <v>7</v>
      </c>
      <c r="C106" t="s">
        <v>167</v>
      </c>
      <c r="D106" s="7">
        <v>2024</v>
      </c>
      <c r="E106" s="6">
        <v>0.61</v>
      </c>
      <c r="F106" s="6">
        <v>416.8</v>
      </c>
      <c r="G106" s="6">
        <v>353.9</v>
      </c>
      <c r="H106" s="6">
        <v>821.1</v>
      </c>
      <c r="I106" s="6">
        <f>proc_Cambium22_highElec_gea!AE106-proc_Cambium22_MidCase_gea!AE106</f>
        <v>1210804</v>
      </c>
      <c r="J106" s="6">
        <f>proc_Cambium22_highElec_gea!AF106-proc_Cambium22_MidCase_gea!AF106</f>
        <v>0</v>
      </c>
      <c r="K106" s="6">
        <f>proc_Cambium22_highElec_gea!AG106-proc_Cambium22_MidCase_gea!AG106</f>
        <v>-1206.6999999999971</v>
      </c>
      <c r="L106" s="6">
        <f t="shared" si="6"/>
        <v>1212010.7</v>
      </c>
      <c r="M106" s="6">
        <f>proc_Cambium22_highElec_gea!AI106-proc_Cambium22_MidCase_gea!AI106</f>
        <v>-1186630</v>
      </c>
      <c r="N106" s="6">
        <f>proc_Cambium22_highElec_gea!AJ106-proc_Cambium22_MidCase_gea!AJ106</f>
        <v>16523.099999999627</v>
      </c>
      <c r="O106" s="6">
        <f>proc_Cambium22_highElec_gea!AK106-proc_Cambium22_MidCase_gea!AK106</f>
        <v>-44.699999999999989</v>
      </c>
      <c r="P106" s="6">
        <f>proc_Cambium22_highElec_gea!AL106-proc_Cambium22_MidCase_gea!AL106</f>
        <v>-95207</v>
      </c>
      <c r="Q106" s="6">
        <f>proc_Cambium22_highElec_gea!AM106-proc_Cambium22_MidCase_gea!AM106</f>
        <v>2477369</v>
      </c>
      <c r="R106" s="11">
        <f t="shared" si="7"/>
        <v>-0.97905901325788625</v>
      </c>
      <c r="S106" s="11">
        <f t="shared" si="8"/>
        <v>1.363280043649749E-2</v>
      </c>
      <c r="T106" s="11">
        <f t="shared" si="9"/>
        <v>-3.6880862520438135E-5</v>
      </c>
      <c r="U106" s="11">
        <f t="shared" si="10"/>
        <v>-7.8552936867636564E-2</v>
      </c>
      <c r="V106" s="11">
        <f t="shared" si="11"/>
        <v>2.0440157830289785</v>
      </c>
    </row>
    <row r="107" spans="1:22" x14ac:dyDescent="0.3">
      <c r="A107" t="s">
        <v>6</v>
      </c>
      <c r="B107" t="s">
        <v>7</v>
      </c>
      <c r="C107" t="s">
        <v>167</v>
      </c>
      <c r="D107" s="7">
        <v>2026</v>
      </c>
      <c r="E107" s="6">
        <v>0.79</v>
      </c>
      <c r="F107" s="6">
        <v>223.5</v>
      </c>
      <c r="G107" s="6">
        <v>219.3</v>
      </c>
      <c r="H107" s="6">
        <v>681.8</v>
      </c>
      <c r="I107" s="6">
        <f>proc_Cambium22_highElec_gea!AE107-proc_Cambium22_MidCase_gea!AE107</f>
        <v>5790124</v>
      </c>
      <c r="J107" s="6">
        <f>proc_Cambium22_highElec_gea!AF107-proc_Cambium22_MidCase_gea!AF107</f>
        <v>0</v>
      </c>
      <c r="K107" s="6">
        <f>proc_Cambium22_highElec_gea!AG107-proc_Cambium22_MidCase_gea!AG107</f>
        <v>-1347.7000000000044</v>
      </c>
      <c r="L107" s="6">
        <f t="shared" si="6"/>
        <v>5791471.7000000002</v>
      </c>
      <c r="M107" s="6">
        <f>proc_Cambium22_highElec_gea!AI107-proc_Cambium22_MidCase_gea!AI107</f>
        <v>89542</v>
      </c>
      <c r="N107" s="6">
        <f>proc_Cambium22_highElec_gea!AJ107-proc_Cambium22_MidCase_gea!AJ107</f>
        <v>-338718.39999999991</v>
      </c>
      <c r="O107" s="6">
        <f>proc_Cambium22_highElec_gea!AK107-proc_Cambium22_MidCase_gea!AK107</f>
        <v>-53.6</v>
      </c>
      <c r="P107" s="6">
        <f>proc_Cambium22_highElec_gea!AL107-proc_Cambium22_MidCase_gea!AL107</f>
        <v>-70528</v>
      </c>
      <c r="Q107" s="6">
        <f>proc_Cambium22_highElec_gea!AM107-proc_Cambium22_MidCase_gea!AM107</f>
        <v>6111231</v>
      </c>
      <c r="R107" s="11">
        <f t="shared" si="7"/>
        <v>1.5461009677384766E-2</v>
      </c>
      <c r="S107" s="11">
        <f t="shared" si="8"/>
        <v>-5.84857213409158E-2</v>
      </c>
      <c r="T107" s="11">
        <f t="shared" si="9"/>
        <v>-9.2549878125105912E-6</v>
      </c>
      <c r="U107" s="11">
        <f t="shared" si="10"/>
        <v>-1.2177906351506474E-2</v>
      </c>
      <c r="V107" s="11">
        <f t="shared" si="11"/>
        <v>1.0552120974708379</v>
      </c>
    </row>
    <row r="108" spans="1:22" x14ac:dyDescent="0.3">
      <c r="A108" t="s">
        <v>6</v>
      </c>
      <c r="B108" t="s">
        <v>7</v>
      </c>
      <c r="C108" t="s">
        <v>167</v>
      </c>
      <c r="D108" s="7">
        <v>2028</v>
      </c>
      <c r="E108" s="6">
        <v>0.9</v>
      </c>
      <c r="F108" s="6">
        <v>103.4</v>
      </c>
      <c r="G108" s="6">
        <v>98.4</v>
      </c>
      <c r="H108" s="6">
        <v>544.1</v>
      </c>
      <c r="I108" s="6">
        <f>proc_Cambium22_highElec_gea!AE108-proc_Cambium22_MidCase_gea!AE108</f>
        <v>16838560</v>
      </c>
      <c r="J108" s="6">
        <f>proc_Cambium22_highElec_gea!AF108-proc_Cambium22_MidCase_gea!AF108</f>
        <v>0</v>
      </c>
      <c r="K108" s="6">
        <f>proc_Cambium22_highElec_gea!AG108-proc_Cambium22_MidCase_gea!AG108</f>
        <v>-1535.5999999999985</v>
      </c>
      <c r="L108" s="6">
        <f t="shared" si="6"/>
        <v>16840095.600000001</v>
      </c>
      <c r="M108" s="6">
        <f>proc_Cambium22_highElec_gea!AI108-proc_Cambium22_MidCase_gea!AI108</f>
        <v>-136899</v>
      </c>
      <c r="N108" s="6">
        <f>proc_Cambium22_highElec_gea!AJ108-proc_Cambium22_MidCase_gea!AJ108</f>
        <v>-334535.40000000037</v>
      </c>
      <c r="O108" s="6">
        <f>proc_Cambium22_highElec_gea!AK108-proc_Cambium22_MidCase_gea!AK108</f>
        <v>53.6</v>
      </c>
      <c r="P108" s="6">
        <f>proc_Cambium22_highElec_gea!AL108-proc_Cambium22_MidCase_gea!AL108</f>
        <v>-33390</v>
      </c>
      <c r="Q108" s="6">
        <f>proc_Cambium22_highElec_gea!AM108-proc_Cambium22_MidCase_gea!AM108</f>
        <v>17344866.900000006</v>
      </c>
      <c r="R108" s="11">
        <f t="shared" si="7"/>
        <v>-8.1293481493062304E-3</v>
      </c>
      <c r="S108" s="11">
        <f t="shared" si="8"/>
        <v>-1.9865409790191472E-2</v>
      </c>
      <c r="T108" s="11">
        <f t="shared" si="9"/>
        <v>3.1828797931527178E-6</v>
      </c>
      <c r="U108" s="11">
        <f t="shared" si="10"/>
        <v>-1.9827678412942026E-3</v>
      </c>
      <c r="V108" s="11">
        <f t="shared" si="11"/>
        <v>1.0299743725920418</v>
      </c>
    </row>
    <row r="109" spans="1:22" x14ac:dyDescent="0.3">
      <c r="A109" t="s">
        <v>6</v>
      </c>
      <c r="B109" t="s">
        <v>7</v>
      </c>
      <c r="C109" t="s">
        <v>167</v>
      </c>
      <c r="D109" s="7">
        <v>2030</v>
      </c>
      <c r="E109" s="6">
        <v>0.93</v>
      </c>
      <c r="F109" s="6">
        <v>73.5</v>
      </c>
      <c r="G109" s="6">
        <v>105.6</v>
      </c>
      <c r="H109" s="6">
        <v>476.8</v>
      </c>
      <c r="I109" s="6">
        <f>proc_Cambium22_highElec_gea!AE109-proc_Cambium22_MidCase_gea!AE109</f>
        <v>14745300</v>
      </c>
      <c r="J109" s="6">
        <f>proc_Cambium22_highElec_gea!AF109-proc_Cambium22_MidCase_gea!AF109</f>
        <v>0</v>
      </c>
      <c r="K109" s="6">
        <f>proc_Cambium22_highElec_gea!AG109-proc_Cambium22_MidCase_gea!AG109</f>
        <v>-684</v>
      </c>
      <c r="L109" s="6">
        <f t="shared" si="6"/>
        <v>14745984</v>
      </c>
      <c r="M109" s="6">
        <f>proc_Cambium22_highElec_gea!AI109-proc_Cambium22_MidCase_gea!AI109</f>
        <v>464407</v>
      </c>
      <c r="N109" s="6">
        <f>proc_Cambium22_highElec_gea!AJ109-proc_Cambium22_MidCase_gea!AJ109</f>
        <v>-100459.79999999981</v>
      </c>
      <c r="O109" s="6">
        <f>proc_Cambium22_highElec_gea!AK109-proc_Cambium22_MidCase_gea!AK109</f>
        <v>0</v>
      </c>
      <c r="P109" s="6">
        <f>proc_Cambium22_highElec_gea!AL109-proc_Cambium22_MidCase_gea!AL109</f>
        <v>-11258.5</v>
      </c>
      <c r="Q109" s="6">
        <f>proc_Cambium22_highElec_gea!AM109-proc_Cambium22_MidCase_gea!AM109</f>
        <v>14393296.900000006</v>
      </c>
      <c r="R109" s="11">
        <f t="shared" si="7"/>
        <v>3.149379519196549E-2</v>
      </c>
      <c r="S109" s="11">
        <f t="shared" si="8"/>
        <v>-6.8126887971667275E-3</v>
      </c>
      <c r="T109" s="11">
        <f t="shared" si="9"/>
        <v>0</v>
      </c>
      <c r="U109" s="11">
        <f t="shared" si="10"/>
        <v>-7.634960135586747E-4</v>
      </c>
      <c r="V109" s="11">
        <f t="shared" si="11"/>
        <v>0.97608249812287917</v>
      </c>
    </row>
    <row r="110" spans="1:22" x14ac:dyDescent="0.3">
      <c r="A110" t="s">
        <v>6</v>
      </c>
      <c r="B110" t="s">
        <v>7</v>
      </c>
      <c r="C110" t="s">
        <v>167</v>
      </c>
      <c r="D110" s="7">
        <v>2035</v>
      </c>
      <c r="E110" s="6">
        <v>0.94</v>
      </c>
      <c r="F110" s="6">
        <v>60.1</v>
      </c>
      <c r="G110" s="6">
        <v>142.69999999999999</v>
      </c>
      <c r="H110" s="6">
        <v>442.1</v>
      </c>
      <c r="I110" s="6">
        <f>proc_Cambium22_highElec_gea!AE110-proc_Cambium22_MidCase_gea!AE110</f>
        <v>19429670</v>
      </c>
      <c r="J110" s="6">
        <f>proc_Cambium22_highElec_gea!AF110-proc_Cambium22_MidCase_gea!AF110</f>
        <v>0</v>
      </c>
      <c r="K110" s="6">
        <f>proc_Cambium22_highElec_gea!AG110-proc_Cambium22_MidCase_gea!AG110</f>
        <v>-507.20000000000073</v>
      </c>
      <c r="L110" s="6">
        <f t="shared" si="6"/>
        <v>19430177.199999999</v>
      </c>
      <c r="M110" s="6">
        <f>proc_Cambium22_highElec_gea!AI110-proc_Cambium22_MidCase_gea!AI110</f>
        <v>1104924</v>
      </c>
      <c r="N110" s="6">
        <f>proc_Cambium22_highElec_gea!AJ110-proc_Cambium22_MidCase_gea!AJ110</f>
        <v>19547.800000000279</v>
      </c>
      <c r="O110" s="6">
        <f>proc_Cambium22_highElec_gea!AK110-proc_Cambium22_MidCase_gea!AK110</f>
        <v>0</v>
      </c>
      <c r="P110" s="6">
        <f>proc_Cambium22_highElec_gea!AL110-proc_Cambium22_MidCase_gea!AL110</f>
        <v>-2630</v>
      </c>
      <c r="Q110" s="6">
        <f>proc_Cambium22_highElec_gea!AM110-proc_Cambium22_MidCase_gea!AM110</f>
        <v>18308331.300000012</v>
      </c>
      <c r="R110" s="11">
        <f t="shared" si="7"/>
        <v>5.6866388228307051E-2</v>
      </c>
      <c r="S110" s="11">
        <f t="shared" si="8"/>
        <v>1.0060536143746688E-3</v>
      </c>
      <c r="T110" s="11">
        <f t="shared" si="9"/>
        <v>0</v>
      </c>
      <c r="U110" s="11">
        <f t="shared" si="10"/>
        <v>-1.3535645984741714E-4</v>
      </c>
      <c r="V110" s="11">
        <f t="shared" si="11"/>
        <v>0.94226270360519471</v>
      </c>
    </row>
    <row r="111" spans="1:22" x14ac:dyDescent="0.3">
      <c r="A111" t="s">
        <v>6</v>
      </c>
      <c r="B111" t="s">
        <v>7</v>
      </c>
      <c r="C111" t="s">
        <v>167</v>
      </c>
      <c r="D111" s="7">
        <v>2040</v>
      </c>
      <c r="E111" s="6">
        <v>0.96</v>
      </c>
      <c r="F111" s="6">
        <v>42.8</v>
      </c>
      <c r="G111" s="6">
        <v>174.5</v>
      </c>
      <c r="H111" s="6">
        <v>383.3</v>
      </c>
      <c r="I111" s="6">
        <f>proc_Cambium22_highElec_gea!AE111-proc_Cambium22_MidCase_gea!AE111</f>
        <v>33474110</v>
      </c>
      <c r="J111" s="6">
        <f>proc_Cambium22_highElec_gea!AF111-proc_Cambium22_MidCase_gea!AF111</f>
        <v>0</v>
      </c>
      <c r="K111" s="6">
        <f>proc_Cambium22_highElec_gea!AG111-proc_Cambium22_MidCase_gea!AG111</f>
        <v>-589.59999999999854</v>
      </c>
      <c r="L111" s="6">
        <f t="shared" si="6"/>
        <v>33474699.600000001</v>
      </c>
      <c r="M111" s="6">
        <f>proc_Cambium22_highElec_gea!AI111-proc_Cambium22_MidCase_gea!AI111</f>
        <v>1636426.5</v>
      </c>
      <c r="N111" s="6">
        <f>proc_Cambium22_highElec_gea!AJ111-proc_Cambium22_MidCase_gea!AJ111</f>
        <v>252479.09999999986</v>
      </c>
      <c r="O111" s="6">
        <f>proc_Cambium22_highElec_gea!AK111-proc_Cambium22_MidCase_gea!AK111</f>
        <v>0</v>
      </c>
      <c r="P111" s="6">
        <f>proc_Cambium22_highElec_gea!AL111-proc_Cambium22_MidCase_gea!AL111</f>
        <v>5524</v>
      </c>
      <c r="Q111" s="6">
        <f>proc_Cambium22_highElec_gea!AM111-proc_Cambium22_MidCase_gea!AM111</f>
        <v>31580305.800000012</v>
      </c>
      <c r="R111" s="11">
        <f t="shared" si="7"/>
        <v>4.888547229860727E-2</v>
      </c>
      <c r="S111" s="11">
        <f t="shared" si="8"/>
        <v>7.5423858321942896E-3</v>
      </c>
      <c r="T111" s="11">
        <f t="shared" si="9"/>
        <v>0</v>
      </c>
      <c r="U111" s="11">
        <f t="shared" si="10"/>
        <v>1.6502015151765543E-4</v>
      </c>
      <c r="V111" s="11">
        <f t="shared" si="11"/>
        <v>0.94340819118209529</v>
      </c>
    </row>
    <row r="112" spans="1:22" x14ac:dyDescent="0.3">
      <c r="A112" t="s">
        <v>6</v>
      </c>
      <c r="B112" t="s">
        <v>7</v>
      </c>
      <c r="C112" t="s">
        <v>167</v>
      </c>
      <c r="D112" s="7">
        <v>2045</v>
      </c>
      <c r="E112" s="6">
        <v>0.97</v>
      </c>
      <c r="F112" s="6">
        <v>25.5</v>
      </c>
      <c r="G112" s="6">
        <v>187.9</v>
      </c>
      <c r="H112" s="6">
        <v>326</v>
      </c>
      <c r="I112" s="6">
        <f>proc_Cambium22_highElec_gea!AE112-proc_Cambium22_MidCase_gea!AE112</f>
        <v>22599950</v>
      </c>
      <c r="J112" s="6">
        <f>proc_Cambium22_highElec_gea!AF112-proc_Cambium22_MidCase_gea!AF112</f>
        <v>0</v>
      </c>
      <c r="K112" s="6">
        <f>proc_Cambium22_highElec_gea!AG112-proc_Cambium22_MidCase_gea!AG112</f>
        <v>174.59999999999854</v>
      </c>
      <c r="L112" s="6">
        <f t="shared" si="6"/>
        <v>22599775.399999999</v>
      </c>
      <c r="M112" s="6">
        <f>proc_Cambium22_highElec_gea!AI112-proc_Cambium22_MidCase_gea!AI112</f>
        <v>1715753.2000000002</v>
      </c>
      <c r="N112" s="6">
        <f>proc_Cambium22_highElec_gea!AJ112-proc_Cambium22_MidCase_gea!AJ112</f>
        <v>342564.10000000009</v>
      </c>
      <c r="O112" s="6">
        <f>proc_Cambium22_highElec_gea!AK112-proc_Cambium22_MidCase_gea!AK112</f>
        <v>0</v>
      </c>
      <c r="P112" s="6">
        <f>proc_Cambium22_highElec_gea!AL112-proc_Cambium22_MidCase_gea!AL112</f>
        <v>0</v>
      </c>
      <c r="Q112" s="6">
        <f>proc_Cambium22_highElec_gea!AM112-proc_Cambium22_MidCase_gea!AM112</f>
        <v>20541446</v>
      </c>
      <c r="R112" s="11">
        <f t="shared" si="7"/>
        <v>7.5919037673268214E-2</v>
      </c>
      <c r="S112" s="11">
        <f t="shared" si="8"/>
        <v>1.5157854179382691E-2</v>
      </c>
      <c r="T112" s="11">
        <f t="shared" si="9"/>
        <v>0</v>
      </c>
      <c r="U112" s="11">
        <f t="shared" si="10"/>
        <v>0</v>
      </c>
      <c r="V112" s="11">
        <f t="shared" si="11"/>
        <v>0.90892257274379817</v>
      </c>
    </row>
    <row r="113" spans="1:22" x14ac:dyDescent="0.3">
      <c r="A113" t="s">
        <v>6</v>
      </c>
      <c r="B113" t="s">
        <v>7</v>
      </c>
      <c r="C113" t="s">
        <v>167</v>
      </c>
      <c r="D113" s="7">
        <v>2050</v>
      </c>
      <c r="E113" s="6">
        <v>0.98</v>
      </c>
      <c r="F113" s="6">
        <v>21.7</v>
      </c>
      <c r="G113" s="6">
        <v>194.5</v>
      </c>
      <c r="H113" s="6">
        <v>306.60000000000002</v>
      </c>
      <c r="I113" s="6">
        <f>proc_Cambium22_highElec_gea!AE113-proc_Cambium22_MidCase_gea!AE113</f>
        <v>18893040</v>
      </c>
      <c r="J113" s="6">
        <f>proc_Cambium22_highElec_gea!AF113-proc_Cambium22_MidCase_gea!AF113</f>
        <v>0</v>
      </c>
      <c r="K113" s="6">
        <f>proc_Cambium22_highElec_gea!AG113-proc_Cambium22_MidCase_gea!AG113</f>
        <v>-152.79999999999927</v>
      </c>
      <c r="L113" s="6">
        <f t="shared" si="6"/>
        <v>18893192.800000001</v>
      </c>
      <c r="M113" s="6">
        <f>proc_Cambium22_highElec_gea!AI113-proc_Cambium22_MidCase_gea!AI113</f>
        <v>1136870.2999999998</v>
      </c>
      <c r="N113" s="6">
        <f>proc_Cambium22_highElec_gea!AJ113-proc_Cambium22_MidCase_gea!AJ113</f>
        <v>212038.69999999995</v>
      </c>
      <c r="O113" s="6">
        <f>proc_Cambium22_highElec_gea!AK113-proc_Cambium22_MidCase_gea!AK113</f>
        <v>0</v>
      </c>
      <c r="P113" s="6">
        <f>proc_Cambium22_highElec_gea!AL113-proc_Cambium22_MidCase_gea!AL113</f>
        <v>0</v>
      </c>
      <c r="Q113" s="6">
        <f>proc_Cambium22_highElec_gea!AM113-proc_Cambium22_MidCase_gea!AM113</f>
        <v>17544269.699999988</v>
      </c>
      <c r="R113" s="11">
        <f t="shared" si="7"/>
        <v>6.0173540387519875E-2</v>
      </c>
      <c r="S113" s="11">
        <f t="shared" si="8"/>
        <v>1.1223021023741417E-2</v>
      </c>
      <c r="T113" s="11">
        <f t="shared" si="9"/>
        <v>0</v>
      </c>
      <c r="U113" s="11">
        <f t="shared" si="10"/>
        <v>0</v>
      </c>
      <c r="V113" s="11">
        <f t="shared" si="11"/>
        <v>0.92860269228819747</v>
      </c>
    </row>
    <row r="114" spans="1:22" x14ac:dyDescent="0.3">
      <c r="A114" t="s">
        <v>6</v>
      </c>
      <c r="B114" t="s">
        <v>7</v>
      </c>
      <c r="C114" t="s">
        <v>168</v>
      </c>
      <c r="D114" s="7">
        <v>2024</v>
      </c>
      <c r="E114" s="6">
        <v>0.82</v>
      </c>
      <c r="F114" s="6">
        <v>120.4</v>
      </c>
      <c r="G114" s="6">
        <v>402</v>
      </c>
      <c r="H114" s="6">
        <v>680.7</v>
      </c>
      <c r="I114" s="6">
        <f>proc_Cambium22_highElec_gea!AE114-proc_Cambium22_MidCase_gea!AE114</f>
        <v>6890960</v>
      </c>
      <c r="J114" s="6">
        <f>proc_Cambium22_highElec_gea!AF114-proc_Cambium22_MidCase_gea!AF114</f>
        <v>0</v>
      </c>
      <c r="K114" s="6">
        <f>proc_Cambium22_highElec_gea!AG114-proc_Cambium22_MidCase_gea!AG114</f>
        <v>491.59999999999854</v>
      </c>
      <c r="L114" s="6">
        <f t="shared" si="6"/>
        <v>6890468.4000000004</v>
      </c>
      <c r="M114" s="6">
        <f>proc_Cambium22_highElec_gea!AI114-proc_Cambium22_MidCase_gea!AI114</f>
        <v>40529</v>
      </c>
      <c r="N114" s="6">
        <f>proc_Cambium22_highElec_gea!AJ114-proc_Cambium22_MidCase_gea!AJ114</f>
        <v>77410.199999999255</v>
      </c>
      <c r="O114" s="6">
        <f>proc_Cambium22_highElec_gea!AK114-proc_Cambium22_MidCase_gea!AK114</f>
        <v>-133889.5</v>
      </c>
      <c r="P114" s="6">
        <f>proc_Cambium22_highElec_gea!AL114-proc_Cambium22_MidCase_gea!AL114</f>
        <v>0</v>
      </c>
      <c r="Q114" s="6">
        <f>proc_Cambium22_highElec_gea!AM114-proc_Cambium22_MidCase_gea!AM114</f>
        <v>6906423.6999999881</v>
      </c>
      <c r="R114" s="11">
        <f t="shared" si="7"/>
        <v>5.8818933122166267E-3</v>
      </c>
      <c r="S114" s="11">
        <f t="shared" si="8"/>
        <v>1.1234388652010834E-2</v>
      </c>
      <c r="T114" s="11">
        <f t="shared" si="9"/>
        <v>-1.9431117338844481E-2</v>
      </c>
      <c r="U114" s="11">
        <f t="shared" si="10"/>
        <v>0</v>
      </c>
      <c r="V114" s="11">
        <f t="shared" si="11"/>
        <v>1.0023155610146892</v>
      </c>
    </row>
    <row r="115" spans="1:22" x14ac:dyDescent="0.3">
      <c r="A115" t="s">
        <v>6</v>
      </c>
      <c r="B115" t="s">
        <v>7</v>
      </c>
      <c r="C115" t="s">
        <v>168</v>
      </c>
      <c r="D115" s="7">
        <v>2026</v>
      </c>
      <c r="E115" s="6">
        <v>0.88</v>
      </c>
      <c r="F115" s="6">
        <v>81.099999999999994</v>
      </c>
      <c r="G115" s="6">
        <v>282.10000000000002</v>
      </c>
      <c r="H115" s="6">
        <v>588.20000000000005</v>
      </c>
      <c r="I115" s="6">
        <f>proc_Cambium22_highElec_gea!AE115-proc_Cambium22_MidCase_gea!AE115</f>
        <v>3713930</v>
      </c>
      <c r="J115" s="6">
        <f>proc_Cambium22_highElec_gea!AF115-proc_Cambium22_MidCase_gea!AF115</f>
        <v>0</v>
      </c>
      <c r="K115" s="6">
        <f>proc_Cambium22_highElec_gea!AG115-proc_Cambium22_MidCase_gea!AG115</f>
        <v>-273.40000000000146</v>
      </c>
      <c r="L115" s="6">
        <f t="shared" si="6"/>
        <v>3714203.4</v>
      </c>
      <c r="M115" s="6">
        <f>proc_Cambium22_highElec_gea!AI115-proc_Cambium22_MidCase_gea!AI115</f>
        <v>239116.5</v>
      </c>
      <c r="N115" s="6">
        <f>proc_Cambium22_highElec_gea!AJ115-proc_Cambium22_MidCase_gea!AJ115</f>
        <v>-1346779.0999999978</v>
      </c>
      <c r="O115" s="6">
        <f>proc_Cambium22_highElec_gea!AK115-proc_Cambium22_MidCase_gea!AK115</f>
        <v>-84951.7</v>
      </c>
      <c r="P115" s="6">
        <f>proc_Cambium22_highElec_gea!AL115-proc_Cambium22_MidCase_gea!AL115</f>
        <v>0</v>
      </c>
      <c r="Q115" s="6">
        <f>proc_Cambium22_highElec_gea!AM115-proc_Cambium22_MidCase_gea!AM115</f>
        <v>4906812.7999999821</v>
      </c>
      <c r="R115" s="11">
        <f t="shared" si="7"/>
        <v>6.4378945967256393E-2</v>
      </c>
      <c r="S115" s="11">
        <f t="shared" si="8"/>
        <v>-0.36260240890415368</v>
      </c>
      <c r="T115" s="11">
        <f t="shared" si="9"/>
        <v>-2.2872118419793596E-2</v>
      </c>
      <c r="U115" s="11">
        <f t="shared" si="10"/>
        <v>0</v>
      </c>
      <c r="V115" s="11">
        <f t="shared" si="11"/>
        <v>1.3210942620966806</v>
      </c>
    </row>
    <row r="116" spans="1:22" x14ac:dyDescent="0.3">
      <c r="A116" t="s">
        <v>6</v>
      </c>
      <c r="B116" t="s">
        <v>7</v>
      </c>
      <c r="C116" t="s">
        <v>168</v>
      </c>
      <c r="D116" s="7">
        <v>2028</v>
      </c>
      <c r="E116" s="6">
        <v>0.93</v>
      </c>
      <c r="F116" s="6">
        <v>42.3</v>
      </c>
      <c r="G116" s="6">
        <v>177.5</v>
      </c>
      <c r="H116" s="6">
        <v>476.4</v>
      </c>
      <c r="I116" s="6">
        <f>proc_Cambium22_highElec_gea!AE116-proc_Cambium22_MidCase_gea!AE116</f>
        <v>-3568310</v>
      </c>
      <c r="J116" s="6">
        <f>proc_Cambium22_highElec_gea!AF116-proc_Cambium22_MidCase_gea!AF116</f>
        <v>0</v>
      </c>
      <c r="K116" s="6">
        <f>proc_Cambium22_highElec_gea!AG116-proc_Cambium22_MidCase_gea!AG116</f>
        <v>-673.90000000000146</v>
      </c>
      <c r="L116" s="6">
        <f t="shared" si="6"/>
        <v>-3567636.1</v>
      </c>
      <c r="M116" s="6">
        <f>proc_Cambium22_highElec_gea!AI116-proc_Cambium22_MidCase_gea!AI116</f>
        <v>113858.40000000014</v>
      </c>
      <c r="N116" s="6">
        <f>proc_Cambium22_highElec_gea!AJ116-proc_Cambium22_MidCase_gea!AJ116</f>
        <v>-760191.5</v>
      </c>
      <c r="O116" s="6">
        <f>proc_Cambium22_highElec_gea!AK116-proc_Cambium22_MidCase_gea!AK116</f>
        <v>-54503.3</v>
      </c>
      <c r="P116" s="6">
        <f>proc_Cambium22_highElec_gea!AL116-proc_Cambium22_MidCase_gea!AL116</f>
        <v>0</v>
      </c>
      <c r="Q116" s="6">
        <f>proc_Cambium22_highElec_gea!AM116-proc_Cambium22_MidCase_gea!AM116</f>
        <v>-2866800.900000006</v>
      </c>
      <c r="R116" s="11">
        <f t="shared" si="7"/>
        <v>-3.191424147771129E-2</v>
      </c>
      <c r="S116" s="11">
        <f t="shared" si="8"/>
        <v>0.21307988782824572</v>
      </c>
      <c r="T116" s="11">
        <f t="shared" si="9"/>
        <v>1.5277146679842151E-2</v>
      </c>
      <c r="U116" s="11">
        <f t="shared" si="10"/>
        <v>0</v>
      </c>
      <c r="V116" s="11">
        <f t="shared" si="11"/>
        <v>0.80355754332680007</v>
      </c>
    </row>
    <row r="117" spans="1:22" x14ac:dyDescent="0.3">
      <c r="A117" t="s">
        <v>6</v>
      </c>
      <c r="B117" t="s">
        <v>7</v>
      </c>
      <c r="C117" t="s">
        <v>168</v>
      </c>
      <c r="D117" s="7">
        <v>2030</v>
      </c>
      <c r="E117" s="6">
        <v>0.95</v>
      </c>
      <c r="F117" s="6">
        <v>29.4</v>
      </c>
      <c r="G117" s="6">
        <v>120.8</v>
      </c>
      <c r="H117" s="6">
        <v>425.3</v>
      </c>
      <c r="I117" s="6">
        <f>proc_Cambium22_highElec_gea!AE117-proc_Cambium22_MidCase_gea!AE117</f>
        <v>7998440</v>
      </c>
      <c r="J117" s="6">
        <f>proc_Cambium22_highElec_gea!AF117-proc_Cambium22_MidCase_gea!AF117</f>
        <v>0</v>
      </c>
      <c r="K117" s="6">
        <f>proc_Cambium22_highElec_gea!AG117-proc_Cambium22_MidCase_gea!AG117</f>
        <v>-636</v>
      </c>
      <c r="L117" s="6">
        <f t="shared" si="6"/>
        <v>7999076</v>
      </c>
      <c r="M117" s="6">
        <f>proc_Cambium22_highElec_gea!AI117-proc_Cambium22_MidCase_gea!AI117</f>
        <v>11133.40000000014</v>
      </c>
      <c r="N117" s="6">
        <f>proc_Cambium22_highElec_gea!AJ117-proc_Cambium22_MidCase_gea!AJ117</f>
        <v>-535778.09999999963</v>
      </c>
      <c r="O117" s="6">
        <f>proc_Cambium22_highElec_gea!AK117-proc_Cambium22_MidCase_gea!AK117</f>
        <v>-30307.499999999996</v>
      </c>
      <c r="P117" s="6">
        <f>proc_Cambium22_highElec_gea!AL117-proc_Cambium22_MidCase_gea!AL117</f>
        <v>0</v>
      </c>
      <c r="Q117" s="6">
        <f>proc_Cambium22_highElec_gea!AM117-proc_Cambium22_MidCase_gea!AM117</f>
        <v>8554031.5</v>
      </c>
      <c r="R117" s="11">
        <f t="shared" si="7"/>
        <v>1.3918357570299545E-3</v>
      </c>
      <c r="S117" s="11">
        <f t="shared" si="8"/>
        <v>-6.6979998689848635E-2</v>
      </c>
      <c r="T117" s="11">
        <f t="shared" si="9"/>
        <v>-3.7888751150757906E-3</v>
      </c>
      <c r="U117" s="11">
        <f t="shared" si="10"/>
        <v>0</v>
      </c>
      <c r="V117" s="11">
        <f t="shared" si="11"/>
        <v>1.0693774505955438</v>
      </c>
    </row>
    <row r="118" spans="1:22" x14ac:dyDescent="0.3">
      <c r="A118" t="s">
        <v>6</v>
      </c>
      <c r="B118" t="s">
        <v>7</v>
      </c>
      <c r="C118" t="s">
        <v>168</v>
      </c>
      <c r="D118" s="7">
        <v>2035</v>
      </c>
      <c r="E118" s="6">
        <v>0.97</v>
      </c>
      <c r="F118" s="6">
        <v>20</v>
      </c>
      <c r="G118" s="6">
        <v>148.19999999999999</v>
      </c>
      <c r="H118" s="6">
        <v>383.6</v>
      </c>
      <c r="I118" s="6">
        <f>proc_Cambium22_highElec_gea!AE118-proc_Cambium22_MidCase_gea!AE118</f>
        <v>21934890</v>
      </c>
      <c r="J118" s="6">
        <f>proc_Cambium22_highElec_gea!AF118-proc_Cambium22_MidCase_gea!AF118</f>
        <v>0</v>
      </c>
      <c r="K118" s="6">
        <f>proc_Cambium22_highElec_gea!AG118-proc_Cambium22_MidCase_gea!AG118</f>
        <v>-654.5</v>
      </c>
      <c r="L118" s="6">
        <f t="shared" si="6"/>
        <v>21935544.5</v>
      </c>
      <c r="M118" s="6">
        <f>proc_Cambium22_highElec_gea!AI118-proc_Cambium22_MidCase_gea!AI118</f>
        <v>46307.800000000047</v>
      </c>
      <c r="N118" s="6">
        <f>proc_Cambium22_highElec_gea!AJ118-proc_Cambium22_MidCase_gea!AJ118</f>
        <v>189265.59999999963</v>
      </c>
      <c r="O118" s="6">
        <f>proc_Cambium22_highElec_gea!AK118-proc_Cambium22_MidCase_gea!AK118</f>
        <v>-10225.700000000001</v>
      </c>
      <c r="P118" s="6">
        <f>proc_Cambium22_highElec_gea!AL118-proc_Cambium22_MidCase_gea!AL118</f>
        <v>0</v>
      </c>
      <c r="Q118" s="6">
        <f>proc_Cambium22_highElec_gea!AM118-proc_Cambium22_MidCase_gea!AM118</f>
        <v>21710232.700000018</v>
      </c>
      <c r="R118" s="11">
        <f t="shared" si="7"/>
        <v>2.1110850473759629E-3</v>
      </c>
      <c r="S118" s="11">
        <f t="shared" si="8"/>
        <v>8.628260857623098E-3</v>
      </c>
      <c r="T118" s="11">
        <f t="shared" si="9"/>
        <v>-4.6617032916597992E-4</v>
      </c>
      <c r="U118" s="11">
        <f t="shared" si="10"/>
        <v>0</v>
      </c>
      <c r="V118" s="11">
        <f t="shared" si="11"/>
        <v>0.98972846103729117</v>
      </c>
    </row>
    <row r="119" spans="1:22" x14ac:dyDescent="0.3">
      <c r="A119" t="s">
        <v>6</v>
      </c>
      <c r="B119" t="s">
        <v>7</v>
      </c>
      <c r="C119" t="s">
        <v>168</v>
      </c>
      <c r="D119" s="7">
        <v>2040</v>
      </c>
      <c r="E119" s="6">
        <v>0.98</v>
      </c>
      <c r="F119" s="6">
        <v>13.3</v>
      </c>
      <c r="G119" s="6">
        <v>183.7</v>
      </c>
      <c r="H119" s="6">
        <v>336.7</v>
      </c>
      <c r="I119" s="6">
        <f>proc_Cambium22_highElec_gea!AE119-proc_Cambium22_MidCase_gea!AE119</f>
        <v>25782330</v>
      </c>
      <c r="J119" s="6">
        <f>proc_Cambium22_highElec_gea!AF119-proc_Cambium22_MidCase_gea!AF119</f>
        <v>0</v>
      </c>
      <c r="K119" s="6">
        <f>proc_Cambium22_highElec_gea!AG119-proc_Cambium22_MidCase_gea!AG119</f>
        <v>-1344.8000000000029</v>
      </c>
      <c r="L119" s="6">
        <f t="shared" si="6"/>
        <v>25783674.800000001</v>
      </c>
      <c r="M119" s="6">
        <f>proc_Cambium22_highElec_gea!AI119-proc_Cambium22_MidCase_gea!AI119</f>
        <v>160662.69999999995</v>
      </c>
      <c r="N119" s="6">
        <f>proc_Cambium22_highElec_gea!AJ119-proc_Cambium22_MidCase_gea!AJ119</f>
        <v>1082276</v>
      </c>
      <c r="O119" s="6">
        <f>proc_Cambium22_highElec_gea!AK119-proc_Cambium22_MidCase_gea!AK119</f>
        <v>-12920.1</v>
      </c>
      <c r="P119" s="6">
        <f>proc_Cambium22_highElec_gea!AL119-proc_Cambium22_MidCase_gea!AL119</f>
        <v>0</v>
      </c>
      <c r="Q119" s="6">
        <f>proc_Cambium22_highElec_gea!AM119-proc_Cambium22_MidCase_gea!AM119</f>
        <v>24553676.699999988</v>
      </c>
      <c r="R119" s="11">
        <f t="shared" si="7"/>
        <v>6.2311792731732695E-3</v>
      </c>
      <c r="S119" s="11">
        <f t="shared" si="8"/>
        <v>4.1975242411915623E-2</v>
      </c>
      <c r="T119" s="11">
        <f t="shared" si="9"/>
        <v>-5.0109614320763924E-4</v>
      </c>
      <c r="U119" s="11">
        <f t="shared" si="10"/>
        <v>0</v>
      </c>
      <c r="V119" s="11">
        <f t="shared" si="11"/>
        <v>0.95229546953485422</v>
      </c>
    </row>
    <row r="120" spans="1:22" x14ac:dyDescent="0.3">
      <c r="A120" t="s">
        <v>6</v>
      </c>
      <c r="B120" t="s">
        <v>7</v>
      </c>
      <c r="C120" t="s">
        <v>168</v>
      </c>
      <c r="D120" s="7">
        <v>2045</v>
      </c>
      <c r="E120" s="6">
        <v>0.98</v>
      </c>
      <c r="F120" s="6">
        <v>13.2</v>
      </c>
      <c r="G120" s="6">
        <v>197.7</v>
      </c>
      <c r="H120" s="6">
        <v>275</v>
      </c>
      <c r="I120" s="6">
        <f>proc_Cambium22_highElec_gea!AE120-proc_Cambium22_MidCase_gea!AE120</f>
        <v>32800290</v>
      </c>
      <c r="J120" s="6">
        <f>proc_Cambium22_highElec_gea!AF120-proc_Cambium22_MidCase_gea!AF120</f>
        <v>0</v>
      </c>
      <c r="K120" s="6">
        <f>proc_Cambium22_highElec_gea!AG120-proc_Cambium22_MidCase_gea!AG120</f>
        <v>172.70000000000073</v>
      </c>
      <c r="L120" s="6">
        <f t="shared" si="6"/>
        <v>32800117.300000001</v>
      </c>
      <c r="M120" s="6">
        <f>proc_Cambium22_highElec_gea!AI120-proc_Cambium22_MidCase_gea!AI120</f>
        <v>377735</v>
      </c>
      <c r="N120" s="6">
        <f>proc_Cambium22_highElec_gea!AJ120-proc_Cambium22_MidCase_gea!AJ120</f>
        <v>1715521.2000000002</v>
      </c>
      <c r="O120" s="6">
        <f>proc_Cambium22_highElec_gea!AK120-proc_Cambium22_MidCase_gea!AK120</f>
        <v>-925.5</v>
      </c>
      <c r="P120" s="6">
        <f>proc_Cambium22_highElec_gea!AL120-proc_Cambium22_MidCase_gea!AL120</f>
        <v>0</v>
      </c>
      <c r="Q120" s="6">
        <f>proc_Cambium22_highElec_gea!AM120-proc_Cambium22_MidCase_gea!AM120</f>
        <v>30707768.800000012</v>
      </c>
      <c r="R120" s="11">
        <f t="shared" si="7"/>
        <v>1.1516269790901023E-2</v>
      </c>
      <c r="S120" s="11">
        <f t="shared" si="8"/>
        <v>5.2302288565291205E-2</v>
      </c>
      <c r="T120" s="11">
        <f t="shared" si="9"/>
        <v>-2.8216362506727987E-5</v>
      </c>
      <c r="U120" s="11">
        <f t="shared" si="10"/>
        <v>0</v>
      </c>
      <c r="V120" s="11">
        <f t="shared" si="11"/>
        <v>0.9362091153253288</v>
      </c>
    </row>
    <row r="121" spans="1:22" x14ac:dyDescent="0.3">
      <c r="A121" t="s">
        <v>6</v>
      </c>
      <c r="B121" t="s">
        <v>7</v>
      </c>
      <c r="C121" t="s">
        <v>168</v>
      </c>
      <c r="D121" s="7">
        <v>2050</v>
      </c>
      <c r="E121" s="6">
        <v>0.97</v>
      </c>
      <c r="F121" s="6">
        <v>19.8</v>
      </c>
      <c r="G121" s="6">
        <v>195.2</v>
      </c>
      <c r="H121" s="6">
        <v>258.2</v>
      </c>
      <c r="I121" s="6">
        <f>proc_Cambium22_highElec_gea!AE121-proc_Cambium22_MidCase_gea!AE121</f>
        <v>49154150</v>
      </c>
      <c r="J121" s="6">
        <f>proc_Cambium22_highElec_gea!AF121-proc_Cambium22_MidCase_gea!AF121</f>
        <v>0</v>
      </c>
      <c r="K121" s="6">
        <f>proc_Cambium22_highElec_gea!AG121-proc_Cambium22_MidCase_gea!AG121</f>
        <v>164</v>
      </c>
      <c r="L121" s="6">
        <f t="shared" si="6"/>
        <v>49153986</v>
      </c>
      <c r="M121" s="6">
        <f>proc_Cambium22_highElec_gea!AI121-proc_Cambium22_MidCase_gea!AI121</f>
        <v>444445.60000000009</v>
      </c>
      <c r="N121" s="6">
        <f>proc_Cambium22_highElec_gea!AJ121-proc_Cambium22_MidCase_gea!AJ121</f>
        <v>653659.19999999925</v>
      </c>
      <c r="O121" s="6">
        <f>proc_Cambium22_highElec_gea!AK121-proc_Cambium22_MidCase_gea!AK121</f>
        <v>0</v>
      </c>
      <c r="P121" s="6">
        <f>proc_Cambium22_highElec_gea!AL121-proc_Cambium22_MidCase_gea!AL121</f>
        <v>0</v>
      </c>
      <c r="Q121" s="6">
        <f>proc_Cambium22_highElec_gea!AM121-proc_Cambium22_MidCase_gea!AM121</f>
        <v>48055870.200000048</v>
      </c>
      <c r="R121" s="11">
        <f t="shared" si="7"/>
        <v>9.041903539623421E-3</v>
      </c>
      <c r="S121" s="11">
        <f t="shared" si="8"/>
        <v>1.3298193151619469E-2</v>
      </c>
      <c r="T121" s="11">
        <f t="shared" si="9"/>
        <v>0</v>
      </c>
      <c r="U121" s="11">
        <f t="shared" si="10"/>
        <v>0</v>
      </c>
      <c r="V121" s="11">
        <f t="shared" si="11"/>
        <v>0.97765967952222732</v>
      </c>
    </row>
    <row r="122" spans="1:22" x14ac:dyDescent="0.3">
      <c r="A122" t="s">
        <v>6</v>
      </c>
      <c r="B122" t="s">
        <v>7</v>
      </c>
      <c r="C122" t="s">
        <v>169</v>
      </c>
      <c r="D122" s="7">
        <v>2024</v>
      </c>
      <c r="E122" s="6">
        <v>0.28999999999999998</v>
      </c>
      <c r="F122" s="6">
        <v>448.2</v>
      </c>
      <c r="G122" s="6">
        <v>502.1</v>
      </c>
      <c r="H122" s="6">
        <v>900</v>
      </c>
      <c r="I122" s="6">
        <f>proc_Cambium22_highElec_gea!AE122-proc_Cambium22_MidCase_gea!AE122</f>
        <v>-612210</v>
      </c>
      <c r="J122" s="6">
        <f>proc_Cambium22_highElec_gea!AF122-proc_Cambium22_MidCase_gea!AF122</f>
        <v>0</v>
      </c>
      <c r="K122" s="6">
        <f>proc_Cambium22_highElec_gea!AG122-proc_Cambium22_MidCase_gea!AG122</f>
        <v>0</v>
      </c>
      <c r="L122" s="6">
        <f t="shared" si="6"/>
        <v>-612210</v>
      </c>
      <c r="M122" s="6">
        <f>proc_Cambium22_highElec_gea!AI122-proc_Cambium22_MidCase_gea!AI122</f>
        <v>106962</v>
      </c>
      <c r="N122" s="6">
        <f>proc_Cambium22_highElec_gea!AJ122-proc_Cambium22_MidCase_gea!AJ122</f>
        <v>199516.79999999702</v>
      </c>
      <c r="O122" s="6">
        <f>proc_Cambium22_highElec_gea!AK122-proc_Cambium22_MidCase_gea!AK122</f>
        <v>-994891.5</v>
      </c>
      <c r="P122" s="6">
        <f>proc_Cambium22_highElec_gea!AL122-proc_Cambium22_MidCase_gea!AL122</f>
        <v>80</v>
      </c>
      <c r="Q122" s="6">
        <f>proc_Cambium22_highElec_gea!AM122-proc_Cambium22_MidCase_gea!AM122</f>
        <v>76122.000000001863</v>
      </c>
      <c r="R122" s="11">
        <f t="shared" si="7"/>
        <v>-0.17471455872984759</v>
      </c>
      <c r="S122" s="11">
        <f t="shared" si="8"/>
        <v>-0.3258960160729113</v>
      </c>
      <c r="T122" s="11">
        <f t="shared" si="9"/>
        <v>1.6250820796785417</v>
      </c>
      <c r="U122" s="11">
        <f t="shared" si="10"/>
        <v>-1.3067411509122686E-4</v>
      </c>
      <c r="V122" s="11">
        <f t="shared" si="11"/>
        <v>-0.12433968736218269</v>
      </c>
    </row>
    <row r="123" spans="1:22" x14ac:dyDescent="0.3">
      <c r="A123" t="s">
        <v>6</v>
      </c>
      <c r="B123" t="s">
        <v>7</v>
      </c>
      <c r="C123" t="s">
        <v>169</v>
      </c>
      <c r="D123" s="7">
        <v>2026</v>
      </c>
      <c r="E123" s="6">
        <v>0.32</v>
      </c>
      <c r="F123" s="6">
        <v>412.2</v>
      </c>
      <c r="G123" s="6">
        <v>463.1</v>
      </c>
      <c r="H123" s="6">
        <v>850.4</v>
      </c>
      <c r="I123" s="6">
        <f>proc_Cambium22_highElec_gea!AE123-proc_Cambium22_MidCase_gea!AE123</f>
        <v>5796160</v>
      </c>
      <c r="J123" s="6">
        <f>proc_Cambium22_highElec_gea!AF123-proc_Cambium22_MidCase_gea!AF123</f>
        <v>0</v>
      </c>
      <c r="K123" s="6">
        <f>proc_Cambium22_highElec_gea!AG123-proc_Cambium22_MidCase_gea!AG123</f>
        <v>29.300000000046566</v>
      </c>
      <c r="L123" s="6">
        <f t="shared" si="6"/>
        <v>5796130.7000000002</v>
      </c>
      <c r="M123" s="6">
        <f>proc_Cambium22_highElec_gea!AI123-proc_Cambium22_MidCase_gea!AI123</f>
        <v>-2934</v>
      </c>
      <c r="N123" s="6">
        <f>proc_Cambium22_highElec_gea!AJ123-proc_Cambium22_MidCase_gea!AJ123</f>
        <v>7923484.099999994</v>
      </c>
      <c r="O123" s="6">
        <f>proc_Cambium22_highElec_gea!AK123-proc_Cambium22_MidCase_gea!AK123</f>
        <v>-1423307.7000000002</v>
      </c>
      <c r="P123" s="6">
        <f>proc_Cambium22_highElec_gea!AL123-proc_Cambium22_MidCase_gea!AL123</f>
        <v>5374</v>
      </c>
      <c r="Q123" s="6">
        <f>proc_Cambium22_highElec_gea!AM123-proc_Cambium22_MidCase_gea!AM123</f>
        <v>-706488.5</v>
      </c>
      <c r="R123" s="11">
        <f t="shared" si="7"/>
        <v>-5.0619976530204877E-4</v>
      </c>
      <c r="S123" s="11">
        <f t="shared" si="8"/>
        <v>1.3670299222203519</v>
      </c>
      <c r="T123" s="11">
        <f t="shared" si="9"/>
        <v>-0.24556169860006782</v>
      </c>
      <c r="U123" s="11">
        <f t="shared" si="10"/>
        <v>9.2717025860027623E-4</v>
      </c>
      <c r="V123" s="11">
        <f t="shared" si="11"/>
        <v>-0.12188967719447734</v>
      </c>
    </row>
    <row r="124" spans="1:22" x14ac:dyDescent="0.3">
      <c r="A124" t="s">
        <v>6</v>
      </c>
      <c r="B124" t="s">
        <v>7</v>
      </c>
      <c r="C124" t="s">
        <v>169</v>
      </c>
      <c r="D124" s="7">
        <v>2028</v>
      </c>
      <c r="E124" s="6">
        <v>0.42</v>
      </c>
      <c r="F124" s="6">
        <v>328.6</v>
      </c>
      <c r="G124" s="6">
        <v>403.6</v>
      </c>
      <c r="H124" s="6">
        <v>711.8</v>
      </c>
      <c r="I124" s="6">
        <f>proc_Cambium22_highElec_gea!AE124-proc_Cambium22_MidCase_gea!AE124</f>
        <v>6497670</v>
      </c>
      <c r="J124" s="6">
        <f>proc_Cambium22_highElec_gea!AF124-proc_Cambium22_MidCase_gea!AF124</f>
        <v>0</v>
      </c>
      <c r="K124" s="6">
        <f>proc_Cambium22_highElec_gea!AG124-proc_Cambium22_MidCase_gea!AG124</f>
        <v>8872.3999999999069</v>
      </c>
      <c r="L124" s="6">
        <f t="shared" si="6"/>
        <v>6488797.5999999996</v>
      </c>
      <c r="M124" s="6">
        <f>proc_Cambium22_highElec_gea!AI124-proc_Cambium22_MidCase_gea!AI124</f>
        <v>476226.5</v>
      </c>
      <c r="N124" s="6">
        <f>proc_Cambium22_highElec_gea!AJ124-proc_Cambium22_MidCase_gea!AJ124</f>
        <v>12186293.200000003</v>
      </c>
      <c r="O124" s="6">
        <f>proc_Cambium22_highElec_gea!AK124-proc_Cambium22_MidCase_gea!AK124</f>
        <v>-1061184</v>
      </c>
      <c r="P124" s="6">
        <f>proc_Cambium22_highElec_gea!AL124-proc_Cambium22_MidCase_gea!AL124</f>
        <v>139252</v>
      </c>
      <c r="Q124" s="6">
        <f>proc_Cambium22_highElec_gea!AM124-proc_Cambium22_MidCase_gea!AM124</f>
        <v>-5251789.6000000015</v>
      </c>
      <c r="R124" s="11">
        <f t="shared" si="7"/>
        <v>7.3392102721773905E-2</v>
      </c>
      <c r="S124" s="11">
        <f t="shared" si="8"/>
        <v>1.8780510583347527</v>
      </c>
      <c r="T124" s="11">
        <f t="shared" si="9"/>
        <v>-0.16354093091145269</v>
      </c>
      <c r="U124" s="11">
        <f t="shared" si="10"/>
        <v>2.1460370408224787E-2</v>
      </c>
      <c r="V124" s="11">
        <f t="shared" si="11"/>
        <v>-0.80936252349741988</v>
      </c>
    </row>
    <row r="125" spans="1:22" x14ac:dyDescent="0.3">
      <c r="A125" t="s">
        <v>6</v>
      </c>
      <c r="B125" t="s">
        <v>7</v>
      </c>
      <c r="C125" t="s">
        <v>169</v>
      </c>
      <c r="D125" s="7">
        <v>2030</v>
      </c>
      <c r="E125" s="6">
        <v>0.54</v>
      </c>
      <c r="F125" s="6">
        <v>253.1</v>
      </c>
      <c r="G125" s="6">
        <v>394.7</v>
      </c>
      <c r="H125" s="6">
        <v>642.6</v>
      </c>
      <c r="I125" s="6">
        <f>proc_Cambium22_highElec_gea!AE125-proc_Cambium22_MidCase_gea!AE125</f>
        <v>810000</v>
      </c>
      <c r="J125" s="6">
        <f>proc_Cambium22_highElec_gea!AF125-proc_Cambium22_MidCase_gea!AF125</f>
        <v>0</v>
      </c>
      <c r="K125" s="6">
        <f>proc_Cambium22_highElec_gea!AG125-proc_Cambium22_MidCase_gea!AG125</f>
        <v>18577.09999999986</v>
      </c>
      <c r="L125" s="6">
        <f t="shared" si="6"/>
        <v>791422.90000000014</v>
      </c>
      <c r="M125" s="6">
        <f>proc_Cambium22_highElec_gea!AI125-proc_Cambium22_MidCase_gea!AI125</f>
        <v>604066</v>
      </c>
      <c r="N125" s="6">
        <f>proc_Cambium22_highElec_gea!AJ125-proc_Cambium22_MidCase_gea!AJ125</f>
        <v>10607466.599999994</v>
      </c>
      <c r="O125" s="6">
        <f>proc_Cambium22_highElec_gea!AK125-proc_Cambium22_MidCase_gea!AK125</f>
        <v>-233354.39999999991</v>
      </c>
      <c r="P125" s="6">
        <f>proc_Cambium22_highElec_gea!AL125-proc_Cambium22_MidCase_gea!AL125</f>
        <v>-123472</v>
      </c>
      <c r="Q125" s="6">
        <f>proc_Cambium22_highElec_gea!AM125-proc_Cambium22_MidCase_gea!AM125</f>
        <v>-10063285.699999999</v>
      </c>
      <c r="R125" s="11">
        <f t="shared" si="7"/>
        <v>0.76326575842068745</v>
      </c>
      <c r="S125" s="11">
        <f t="shared" si="8"/>
        <v>13.403032184183692</v>
      </c>
      <c r="T125" s="11">
        <f t="shared" si="9"/>
        <v>-0.29485424290856366</v>
      </c>
      <c r="U125" s="11">
        <f t="shared" si="10"/>
        <v>-0.15601267034350405</v>
      </c>
      <c r="V125" s="11">
        <f t="shared" si="11"/>
        <v>-12.715434061865025</v>
      </c>
    </row>
    <row r="126" spans="1:22" x14ac:dyDescent="0.3">
      <c r="A126" t="s">
        <v>6</v>
      </c>
      <c r="B126" t="s">
        <v>7</v>
      </c>
      <c r="C126" t="s">
        <v>169</v>
      </c>
      <c r="D126" s="7">
        <v>2035</v>
      </c>
      <c r="E126" s="6">
        <v>0.68</v>
      </c>
      <c r="F126" s="6">
        <v>173.2</v>
      </c>
      <c r="G126" s="6">
        <v>368.2</v>
      </c>
      <c r="H126" s="6">
        <v>582</v>
      </c>
      <c r="I126" s="6">
        <f>proc_Cambium22_highElec_gea!AE126-proc_Cambium22_MidCase_gea!AE126</f>
        <v>15067560</v>
      </c>
      <c r="J126" s="6">
        <f>proc_Cambium22_highElec_gea!AF126-proc_Cambium22_MidCase_gea!AF126</f>
        <v>0</v>
      </c>
      <c r="K126" s="6">
        <f>proc_Cambium22_highElec_gea!AG126-proc_Cambium22_MidCase_gea!AG126</f>
        <v>-9734.9000000000233</v>
      </c>
      <c r="L126" s="6">
        <f t="shared" si="6"/>
        <v>15077294.9</v>
      </c>
      <c r="M126" s="6">
        <f>proc_Cambium22_highElec_gea!AI126-proc_Cambium22_MidCase_gea!AI126</f>
        <v>1570662</v>
      </c>
      <c r="N126" s="6">
        <f>proc_Cambium22_highElec_gea!AJ126-proc_Cambium22_MidCase_gea!AJ126</f>
        <v>11191044.5</v>
      </c>
      <c r="O126" s="6">
        <f>proc_Cambium22_highElec_gea!AK126-proc_Cambium22_MidCase_gea!AK126</f>
        <v>-144420.9</v>
      </c>
      <c r="P126" s="6">
        <f>proc_Cambium22_highElec_gea!AL126-proc_Cambium22_MidCase_gea!AL126</f>
        <v>-264176</v>
      </c>
      <c r="Q126" s="6">
        <f>proc_Cambium22_highElec_gea!AM126-proc_Cambium22_MidCase_gea!AM126</f>
        <v>2724181.5</v>
      </c>
      <c r="R126" s="11">
        <f t="shared" si="7"/>
        <v>0.1041739921131343</v>
      </c>
      <c r="S126" s="11">
        <f t="shared" si="8"/>
        <v>0.74224485056666234</v>
      </c>
      <c r="T126" s="11">
        <f t="shared" si="9"/>
        <v>-9.578701017514752E-3</v>
      </c>
      <c r="U126" s="11">
        <f t="shared" si="10"/>
        <v>-1.7521445441781469E-2</v>
      </c>
      <c r="V126" s="11">
        <f t="shared" si="11"/>
        <v>0.18068105174489887</v>
      </c>
    </row>
    <row r="127" spans="1:22" x14ac:dyDescent="0.3">
      <c r="A127" t="s">
        <v>6</v>
      </c>
      <c r="B127" t="s">
        <v>7</v>
      </c>
      <c r="C127" t="s">
        <v>169</v>
      </c>
      <c r="D127" s="7">
        <v>2040</v>
      </c>
      <c r="E127" s="6">
        <v>0.79</v>
      </c>
      <c r="F127" s="6">
        <v>113.1</v>
      </c>
      <c r="G127" s="6">
        <v>335</v>
      </c>
      <c r="H127" s="6">
        <v>469.3</v>
      </c>
      <c r="I127" s="6">
        <f>proc_Cambium22_highElec_gea!AE127-proc_Cambium22_MidCase_gea!AE127</f>
        <v>8078680</v>
      </c>
      <c r="J127" s="6">
        <f>proc_Cambium22_highElec_gea!AF127-proc_Cambium22_MidCase_gea!AF127</f>
        <v>0</v>
      </c>
      <c r="K127" s="6">
        <f>proc_Cambium22_highElec_gea!AG127-proc_Cambium22_MidCase_gea!AG127</f>
        <v>36540.400000000023</v>
      </c>
      <c r="L127" s="6">
        <f t="shared" si="6"/>
        <v>8042139.5999999996</v>
      </c>
      <c r="M127" s="6">
        <f>proc_Cambium22_highElec_gea!AI127-proc_Cambium22_MidCase_gea!AI127</f>
        <v>1610728.7999999998</v>
      </c>
      <c r="N127" s="6">
        <f>proc_Cambium22_highElec_gea!AJ127-proc_Cambium22_MidCase_gea!AJ127</f>
        <v>18633964.600000001</v>
      </c>
      <c r="O127" s="6">
        <f>proc_Cambium22_highElec_gea!AK127-proc_Cambium22_MidCase_gea!AK127</f>
        <v>-89290.300000000017</v>
      </c>
      <c r="P127" s="6">
        <f>proc_Cambium22_highElec_gea!AL127-proc_Cambium22_MidCase_gea!AL127</f>
        <v>572012</v>
      </c>
      <c r="Q127" s="6">
        <f>proc_Cambium22_highElec_gea!AM127-proc_Cambium22_MidCase_gea!AM127</f>
        <v>-12685273.400000006</v>
      </c>
      <c r="R127" s="11">
        <f t="shared" si="7"/>
        <v>0.20028610296692684</v>
      </c>
      <c r="S127" s="11">
        <f t="shared" si="8"/>
        <v>2.3170406790750064</v>
      </c>
      <c r="T127" s="11">
        <f t="shared" si="9"/>
        <v>-1.110280403488644E-2</v>
      </c>
      <c r="U127" s="11">
        <f t="shared" si="10"/>
        <v>7.1126842911306845E-2</v>
      </c>
      <c r="V127" s="11">
        <f t="shared" si="11"/>
        <v>-1.5773505597938149</v>
      </c>
    </row>
    <row r="128" spans="1:22" x14ac:dyDescent="0.3">
      <c r="A128" t="s">
        <v>6</v>
      </c>
      <c r="B128" t="s">
        <v>7</v>
      </c>
      <c r="C128" t="s">
        <v>169</v>
      </c>
      <c r="D128" s="7">
        <v>2045</v>
      </c>
      <c r="E128" s="6">
        <v>0.78</v>
      </c>
      <c r="F128" s="6">
        <v>113.3</v>
      </c>
      <c r="G128" s="6">
        <v>269.3</v>
      </c>
      <c r="H128" s="6">
        <v>411.4</v>
      </c>
      <c r="I128" s="6">
        <f>proc_Cambium22_highElec_gea!AE128-proc_Cambium22_MidCase_gea!AE128</f>
        <v>62366460</v>
      </c>
      <c r="J128" s="6">
        <f>proc_Cambium22_highElec_gea!AF128-proc_Cambium22_MidCase_gea!AF128</f>
        <v>0</v>
      </c>
      <c r="K128" s="6">
        <f>proc_Cambium22_highElec_gea!AG128-proc_Cambium22_MidCase_gea!AG128</f>
        <v>39291.399999999907</v>
      </c>
      <c r="L128" s="6">
        <f t="shared" si="6"/>
        <v>62327168.600000001</v>
      </c>
      <c r="M128" s="6">
        <f>proc_Cambium22_highElec_gea!AI128-proc_Cambium22_MidCase_gea!AI128</f>
        <v>1539532.4</v>
      </c>
      <c r="N128" s="6">
        <f>proc_Cambium22_highElec_gea!AJ128-proc_Cambium22_MidCase_gea!AJ128</f>
        <v>14306643.600000001</v>
      </c>
      <c r="O128" s="6">
        <f>proc_Cambium22_highElec_gea!AK128-proc_Cambium22_MidCase_gea!AK128</f>
        <v>-79926.099999999991</v>
      </c>
      <c r="P128" s="6">
        <f>proc_Cambium22_highElec_gea!AL128-proc_Cambium22_MidCase_gea!AL128</f>
        <v>641644</v>
      </c>
      <c r="Q128" s="6">
        <f>proc_Cambium22_highElec_gea!AM128-proc_Cambium22_MidCase_gea!AM128</f>
        <v>45919284.199999988</v>
      </c>
      <c r="R128" s="11">
        <f t="shared" si="7"/>
        <v>2.4700823646912784E-2</v>
      </c>
      <c r="S128" s="11">
        <f t="shared" si="8"/>
        <v>0.22954104801096326</v>
      </c>
      <c r="T128" s="11">
        <f t="shared" si="9"/>
        <v>-1.2823637234822181E-3</v>
      </c>
      <c r="U128" s="11">
        <f t="shared" si="10"/>
        <v>1.0294772158156404E-2</v>
      </c>
      <c r="V128" s="11">
        <f t="shared" si="11"/>
        <v>0.73674587232894106</v>
      </c>
    </row>
    <row r="129" spans="1:22" x14ac:dyDescent="0.3">
      <c r="A129" t="s">
        <v>6</v>
      </c>
      <c r="B129" t="s">
        <v>7</v>
      </c>
      <c r="C129" t="s">
        <v>169</v>
      </c>
      <c r="D129" s="7">
        <v>2050</v>
      </c>
      <c r="E129" s="6">
        <v>0.73</v>
      </c>
      <c r="F129" s="6">
        <v>150.80000000000001</v>
      </c>
      <c r="G129" s="6">
        <v>243</v>
      </c>
      <c r="H129" s="6">
        <v>412.1</v>
      </c>
      <c r="I129" s="6">
        <f>proc_Cambium22_highElec_gea!AE129-proc_Cambium22_MidCase_gea!AE129</f>
        <v>125661090</v>
      </c>
      <c r="J129" s="6">
        <f>proc_Cambium22_highElec_gea!AF129-proc_Cambium22_MidCase_gea!AF129</f>
        <v>0</v>
      </c>
      <c r="K129" s="6">
        <f>proc_Cambium22_highElec_gea!AG129-proc_Cambium22_MidCase_gea!AG129</f>
        <v>47624.79999999993</v>
      </c>
      <c r="L129" s="6">
        <f t="shared" si="6"/>
        <v>125613465.2</v>
      </c>
      <c r="M129" s="6">
        <f>proc_Cambium22_highElec_gea!AI129-proc_Cambium22_MidCase_gea!AI129</f>
        <v>303521.5</v>
      </c>
      <c r="N129" s="6">
        <f>proc_Cambium22_highElec_gea!AJ129-proc_Cambium22_MidCase_gea!AJ129</f>
        <v>8972388.6999999955</v>
      </c>
      <c r="O129" s="6">
        <f>proc_Cambium22_highElec_gea!AK129-proc_Cambium22_MidCase_gea!AK129</f>
        <v>7589.4000000000015</v>
      </c>
      <c r="P129" s="6">
        <f>proc_Cambium22_highElec_gea!AL129-proc_Cambium22_MidCase_gea!AL129</f>
        <v>10753193.5</v>
      </c>
      <c r="Q129" s="6">
        <f>proc_Cambium22_highElec_gea!AM129-proc_Cambium22_MidCase_gea!AM129</f>
        <v>105576781.29999998</v>
      </c>
      <c r="R129" s="11">
        <f t="shared" si="7"/>
        <v>2.416313406502538E-3</v>
      </c>
      <c r="S129" s="11">
        <f t="shared" si="8"/>
        <v>7.1428558122445585E-2</v>
      </c>
      <c r="T129" s="11">
        <f t="shared" si="9"/>
        <v>6.0418681929650338E-5</v>
      </c>
      <c r="U129" s="11">
        <f t="shared" si="10"/>
        <v>8.5605420429083104E-2</v>
      </c>
      <c r="V129" s="11">
        <f t="shared" si="11"/>
        <v>0.8404893626005947</v>
      </c>
    </row>
    <row r="130" spans="1:22" x14ac:dyDescent="0.3">
      <c r="A130" t="s">
        <v>6</v>
      </c>
      <c r="B130" t="s">
        <v>7</v>
      </c>
      <c r="C130" t="s">
        <v>170</v>
      </c>
      <c r="D130" s="7">
        <v>2024</v>
      </c>
      <c r="E130" s="6">
        <v>0.45</v>
      </c>
      <c r="F130" s="6">
        <v>601.70000000000005</v>
      </c>
      <c r="G130" s="6">
        <v>429.7</v>
      </c>
      <c r="H130" s="6">
        <v>946.5</v>
      </c>
      <c r="I130" s="6">
        <f>proc_Cambium22_highElec_gea!AE130-proc_Cambium22_MidCase_gea!AE130</f>
        <v>-3452980</v>
      </c>
      <c r="J130" s="6">
        <f>proc_Cambium22_highElec_gea!AF130-proc_Cambium22_MidCase_gea!AF130</f>
        <v>0</v>
      </c>
      <c r="K130" s="6">
        <f>proc_Cambium22_highElec_gea!AG130-proc_Cambium22_MidCase_gea!AG130</f>
        <v>211.10000000000582</v>
      </c>
      <c r="L130" s="6">
        <f t="shared" si="6"/>
        <v>-3453191.1</v>
      </c>
      <c r="M130" s="6">
        <f>proc_Cambium22_highElec_gea!AI130-proc_Cambium22_MidCase_gea!AI130</f>
        <v>561376</v>
      </c>
      <c r="N130" s="6">
        <f>proc_Cambium22_highElec_gea!AJ130-proc_Cambium22_MidCase_gea!AJ130</f>
        <v>181774.09999999963</v>
      </c>
      <c r="O130" s="6">
        <f>proc_Cambium22_highElec_gea!AK130-proc_Cambium22_MidCase_gea!AK130</f>
        <v>1166.3999999999996</v>
      </c>
      <c r="P130" s="6">
        <f>proc_Cambium22_highElec_gea!AL130-proc_Cambium22_MidCase_gea!AL130</f>
        <v>7298</v>
      </c>
      <c r="Q130" s="6">
        <f>proc_Cambium22_highElec_gea!AM130-proc_Cambium22_MidCase_gea!AM130</f>
        <v>-4204800.6999999993</v>
      </c>
      <c r="R130" s="11">
        <f t="shared" si="7"/>
        <v>-0.16256731346261144</v>
      </c>
      <c r="S130" s="11">
        <f t="shared" si="8"/>
        <v>-5.2639455719667418E-2</v>
      </c>
      <c r="T130" s="11">
        <f t="shared" si="9"/>
        <v>-3.3777452976755317E-4</v>
      </c>
      <c r="U130" s="11">
        <f t="shared" si="10"/>
        <v>-2.1134075087822389E-3</v>
      </c>
      <c r="V130" s="11">
        <f t="shared" si="11"/>
        <v>1.2176565322434658</v>
      </c>
    </row>
    <row r="131" spans="1:22" x14ac:dyDescent="0.3">
      <c r="A131" t="s">
        <v>6</v>
      </c>
      <c r="B131" t="s">
        <v>7</v>
      </c>
      <c r="C131" t="s">
        <v>170</v>
      </c>
      <c r="D131" s="7">
        <v>2026</v>
      </c>
      <c r="E131" s="6">
        <v>0.5</v>
      </c>
      <c r="F131" s="6">
        <v>544.1</v>
      </c>
      <c r="G131" s="6">
        <v>332</v>
      </c>
      <c r="H131" s="6">
        <v>905.1</v>
      </c>
      <c r="I131" s="6">
        <f>proc_Cambium22_highElec_gea!AE131-proc_Cambium22_MidCase_gea!AE131</f>
        <v>-4086700</v>
      </c>
      <c r="J131" s="6">
        <f>proc_Cambium22_highElec_gea!AF131-proc_Cambium22_MidCase_gea!AF131</f>
        <v>0</v>
      </c>
      <c r="K131" s="6">
        <f>proc_Cambium22_highElec_gea!AG131-proc_Cambium22_MidCase_gea!AG131</f>
        <v>620.10000000000582</v>
      </c>
      <c r="L131" s="6">
        <f t="shared" ref="L131:L161" si="12">I131-J131-K131</f>
        <v>-4087320.1</v>
      </c>
      <c r="M131" s="6">
        <f>proc_Cambium22_highElec_gea!AI131-proc_Cambium22_MidCase_gea!AI131</f>
        <v>2429344</v>
      </c>
      <c r="N131" s="6">
        <f>proc_Cambium22_highElec_gea!AJ131-proc_Cambium22_MidCase_gea!AJ131</f>
        <v>-516040.10000000056</v>
      </c>
      <c r="O131" s="6">
        <f>proc_Cambium22_highElec_gea!AK131-proc_Cambium22_MidCase_gea!AK131</f>
        <v>-2048</v>
      </c>
      <c r="P131" s="6">
        <f>proc_Cambium22_highElec_gea!AL131-proc_Cambium22_MidCase_gea!AL131</f>
        <v>15266</v>
      </c>
      <c r="Q131" s="6">
        <f>proc_Cambium22_highElec_gea!AM131-proc_Cambium22_MidCase_gea!AM131</f>
        <v>-6013854.6999999993</v>
      </c>
      <c r="R131" s="11">
        <f t="shared" ref="R131:R161" si="13">M131/L131</f>
        <v>-0.59436108270551158</v>
      </c>
      <c r="S131" s="11">
        <f t="shared" ref="S131:S161" si="14">N131/L131</f>
        <v>0.12625389922360145</v>
      </c>
      <c r="T131" s="11">
        <f t="shared" ref="T131:T161" si="15">O131/L131</f>
        <v>5.0106180820043921E-4</v>
      </c>
      <c r="U131" s="11">
        <f t="shared" ref="U131:U161" si="16">P131/L131</f>
        <v>-3.7349656074159693E-3</v>
      </c>
      <c r="V131" s="11">
        <f t="shared" ref="V131:V161" si="17">Q131/L131</f>
        <v>1.4713441944515182</v>
      </c>
    </row>
    <row r="132" spans="1:22" x14ac:dyDescent="0.3">
      <c r="A132" t="s">
        <v>6</v>
      </c>
      <c r="B132" t="s">
        <v>7</v>
      </c>
      <c r="C132" t="s">
        <v>170</v>
      </c>
      <c r="D132" s="7">
        <v>2028</v>
      </c>
      <c r="E132" s="6">
        <v>0.79</v>
      </c>
      <c r="F132" s="6">
        <v>223.7</v>
      </c>
      <c r="G132" s="6">
        <v>246.8</v>
      </c>
      <c r="H132" s="6">
        <v>688.9</v>
      </c>
      <c r="I132" s="6">
        <f>proc_Cambium22_highElec_gea!AE132-proc_Cambium22_MidCase_gea!AE132</f>
        <v>200370</v>
      </c>
      <c r="J132" s="6">
        <f>proc_Cambium22_highElec_gea!AF132-proc_Cambium22_MidCase_gea!AF132</f>
        <v>0</v>
      </c>
      <c r="K132" s="6">
        <f>proc_Cambium22_highElec_gea!AG132-proc_Cambium22_MidCase_gea!AG132</f>
        <v>-2535.5</v>
      </c>
      <c r="L132" s="6">
        <f t="shared" si="12"/>
        <v>202905.5</v>
      </c>
      <c r="M132" s="6">
        <f>proc_Cambium22_highElec_gea!AI132-proc_Cambium22_MidCase_gea!AI132</f>
        <v>-1051862</v>
      </c>
      <c r="N132" s="6">
        <f>proc_Cambium22_highElec_gea!AJ132-proc_Cambium22_MidCase_gea!AJ132</f>
        <v>-840146.29999999981</v>
      </c>
      <c r="O132" s="6">
        <f>proc_Cambium22_highElec_gea!AK132-proc_Cambium22_MidCase_gea!AK132</f>
        <v>-535.59999999999991</v>
      </c>
      <c r="P132" s="6">
        <f>proc_Cambium22_highElec_gea!AL132-proc_Cambium22_MidCase_gea!AL132</f>
        <v>-304606</v>
      </c>
      <c r="Q132" s="6">
        <f>proc_Cambium22_highElec_gea!AM132-proc_Cambium22_MidCase_gea!AM132</f>
        <v>2400064.200000003</v>
      </c>
      <c r="R132" s="11">
        <f t="shared" si="13"/>
        <v>-5.1839994480189056</v>
      </c>
      <c r="S132" s="11">
        <f t="shared" si="14"/>
        <v>-4.1405792351611952</v>
      </c>
      <c r="T132" s="11">
        <f t="shared" si="15"/>
        <v>-2.6396524490464768E-3</v>
      </c>
      <c r="U132" s="11">
        <f t="shared" si="16"/>
        <v>-1.5012210117517761</v>
      </c>
      <c r="V132" s="11">
        <f t="shared" si="17"/>
        <v>11.828482717324089</v>
      </c>
    </row>
    <row r="133" spans="1:22" x14ac:dyDescent="0.3">
      <c r="A133" t="s">
        <v>6</v>
      </c>
      <c r="B133" t="s">
        <v>7</v>
      </c>
      <c r="C133" t="s">
        <v>170</v>
      </c>
      <c r="D133" s="7">
        <v>2030</v>
      </c>
      <c r="E133" s="6">
        <v>0.87</v>
      </c>
      <c r="F133" s="6">
        <v>144.1</v>
      </c>
      <c r="G133" s="6">
        <v>202.7</v>
      </c>
      <c r="H133" s="6">
        <v>581.29999999999995</v>
      </c>
      <c r="I133" s="6">
        <f>proc_Cambium22_highElec_gea!AE133-proc_Cambium22_MidCase_gea!AE133</f>
        <v>12021760</v>
      </c>
      <c r="J133" s="6">
        <f>proc_Cambium22_highElec_gea!AF133-proc_Cambium22_MidCase_gea!AF133</f>
        <v>0</v>
      </c>
      <c r="K133" s="6">
        <f>proc_Cambium22_highElec_gea!AG133-proc_Cambium22_MidCase_gea!AG133</f>
        <v>1602.8000000000029</v>
      </c>
      <c r="L133" s="6">
        <f t="shared" si="12"/>
        <v>12020157.199999999</v>
      </c>
      <c r="M133" s="6">
        <f>proc_Cambium22_highElec_gea!AI133-proc_Cambium22_MidCase_gea!AI133</f>
        <v>1679388</v>
      </c>
      <c r="N133" s="6">
        <f>proc_Cambium22_highElec_gea!AJ133-proc_Cambium22_MidCase_gea!AJ133</f>
        <v>-234507.39999999991</v>
      </c>
      <c r="O133" s="6">
        <f>proc_Cambium22_highElec_gea!AK133-proc_Cambium22_MidCase_gea!AK133</f>
        <v>70.799999999999955</v>
      </c>
      <c r="P133" s="6">
        <f>proc_Cambium22_highElec_gea!AL133-proc_Cambium22_MidCase_gea!AL133</f>
        <v>84438</v>
      </c>
      <c r="Q133" s="6">
        <f>proc_Cambium22_highElec_gea!AM133-proc_Cambium22_MidCase_gea!AM133</f>
        <v>10490759.5</v>
      </c>
      <c r="R133" s="11">
        <f t="shared" si="13"/>
        <v>0.13971431255491401</v>
      </c>
      <c r="S133" s="11">
        <f t="shared" si="14"/>
        <v>-1.9509511905551447E-2</v>
      </c>
      <c r="T133" s="11">
        <f t="shared" si="15"/>
        <v>5.8901059962843048E-6</v>
      </c>
      <c r="U133" s="11">
        <f t="shared" si="16"/>
        <v>7.0247001428567013E-3</v>
      </c>
      <c r="V133" s="11">
        <f t="shared" si="17"/>
        <v>0.87276391859500813</v>
      </c>
    </row>
    <row r="134" spans="1:22" x14ac:dyDescent="0.3">
      <c r="A134" t="s">
        <v>6</v>
      </c>
      <c r="B134" t="s">
        <v>7</v>
      </c>
      <c r="C134" t="s">
        <v>170</v>
      </c>
      <c r="D134" s="7">
        <v>2035</v>
      </c>
      <c r="E134" s="6">
        <v>0.9</v>
      </c>
      <c r="F134" s="6">
        <v>116.1</v>
      </c>
      <c r="G134" s="6">
        <v>241.3</v>
      </c>
      <c r="H134" s="6">
        <v>537.4</v>
      </c>
      <c r="I134" s="6">
        <f>proc_Cambium22_highElec_gea!AE134-proc_Cambium22_MidCase_gea!AE134</f>
        <v>9369590</v>
      </c>
      <c r="J134" s="6">
        <f>proc_Cambium22_highElec_gea!AF134-proc_Cambium22_MidCase_gea!AF134</f>
        <v>0</v>
      </c>
      <c r="K134" s="6">
        <f>proc_Cambium22_highElec_gea!AG134-proc_Cambium22_MidCase_gea!AG134</f>
        <v>732.20000000000437</v>
      </c>
      <c r="L134" s="6">
        <f t="shared" si="12"/>
        <v>9368857.8000000007</v>
      </c>
      <c r="M134" s="6">
        <f>proc_Cambium22_highElec_gea!AI134-proc_Cambium22_MidCase_gea!AI134</f>
        <v>2772888</v>
      </c>
      <c r="N134" s="6">
        <f>proc_Cambium22_highElec_gea!AJ134-proc_Cambium22_MidCase_gea!AJ134</f>
        <v>-5025</v>
      </c>
      <c r="O134" s="6">
        <f>proc_Cambium22_highElec_gea!AK134-proc_Cambium22_MidCase_gea!AK134</f>
        <v>-75.399999999999977</v>
      </c>
      <c r="P134" s="6">
        <f>proc_Cambium22_highElec_gea!AL134-proc_Cambium22_MidCase_gea!AL134</f>
        <v>57912</v>
      </c>
      <c r="Q134" s="6">
        <f>proc_Cambium22_highElec_gea!AM134-proc_Cambium22_MidCase_gea!AM134</f>
        <v>6543141.400000006</v>
      </c>
      <c r="R134" s="11">
        <f t="shared" si="13"/>
        <v>0.29596862917483918</v>
      </c>
      <c r="S134" s="11">
        <f t="shared" si="14"/>
        <v>-5.3635140027421483E-4</v>
      </c>
      <c r="T134" s="11">
        <f t="shared" si="15"/>
        <v>-8.0479394190399567E-6</v>
      </c>
      <c r="U134" s="11">
        <f t="shared" si="16"/>
        <v>6.1813298094886221E-3</v>
      </c>
      <c r="V134" s="11">
        <f t="shared" si="17"/>
        <v>0.69839264718053518</v>
      </c>
    </row>
    <row r="135" spans="1:22" x14ac:dyDescent="0.3">
      <c r="A135" t="s">
        <v>6</v>
      </c>
      <c r="B135" t="s">
        <v>7</v>
      </c>
      <c r="C135" t="s">
        <v>170</v>
      </c>
      <c r="D135" s="7">
        <v>2040</v>
      </c>
      <c r="E135" s="6">
        <v>0.93</v>
      </c>
      <c r="F135" s="6">
        <v>78.099999999999994</v>
      </c>
      <c r="G135" s="6">
        <v>221.5</v>
      </c>
      <c r="H135" s="6">
        <v>473.4</v>
      </c>
      <c r="I135" s="6">
        <f>proc_Cambium22_highElec_gea!AE135-proc_Cambium22_MidCase_gea!AE135</f>
        <v>34028460</v>
      </c>
      <c r="J135" s="6">
        <f>proc_Cambium22_highElec_gea!AF135-proc_Cambium22_MidCase_gea!AF135</f>
        <v>0</v>
      </c>
      <c r="K135" s="6">
        <f>proc_Cambium22_highElec_gea!AG135-proc_Cambium22_MidCase_gea!AG135</f>
        <v>-1059.7000000000044</v>
      </c>
      <c r="L135" s="6">
        <f t="shared" si="12"/>
        <v>34029519.700000003</v>
      </c>
      <c r="M135" s="6">
        <f>proc_Cambium22_highElec_gea!AI135-proc_Cambium22_MidCase_gea!AI135</f>
        <v>2355506</v>
      </c>
      <c r="N135" s="6">
        <f>proc_Cambium22_highElec_gea!AJ135-proc_Cambium22_MidCase_gea!AJ135</f>
        <v>667501.30000000005</v>
      </c>
      <c r="O135" s="6">
        <f>proc_Cambium22_highElec_gea!AK135-proc_Cambium22_MidCase_gea!AK135</f>
        <v>-75.900000000000034</v>
      </c>
      <c r="P135" s="6">
        <f>proc_Cambium22_highElec_gea!AL135-proc_Cambium22_MidCase_gea!AL135</f>
        <v>-144696</v>
      </c>
      <c r="Q135" s="6">
        <f>proc_Cambium22_highElec_gea!AM135-proc_Cambium22_MidCase_gea!AM135</f>
        <v>31151285.600000024</v>
      </c>
      <c r="R135" s="11">
        <f t="shared" si="13"/>
        <v>6.9219490041759243E-2</v>
      </c>
      <c r="S135" s="11">
        <f t="shared" si="14"/>
        <v>1.9615360601166521E-2</v>
      </c>
      <c r="T135" s="11">
        <f t="shared" si="15"/>
        <v>-2.2304164345875274E-6</v>
      </c>
      <c r="U135" s="11">
        <f t="shared" si="16"/>
        <v>-4.2520729435978491E-3</v>
      </c>
      <c r="V135" s="11">
        <f t="shared" si="17"/>
        <v>0.91541949091923336</v>
      </c>
    </row>
    <row r="136" spans="1:22" x14ac:dyDescent="0.3">
      <c r="A136" t="s">
        <v>6</v>
      </c>
      <c r="B136" t="s">
        <v>7</v>
      </c>
      <c r="C136" t="s">
        <v>170</v>
      </c>
      <c r="D136" s="7">
        <v>2045</v>
      </c>
      <c r="E136" s="6">
        <v>0.94</v>
      </c>
      <c r="F136" s="6">
        <v>58.5</v>
      </c>
      <c r="G136" s="6">
        <v>193.2</v>
      </c>
      <c r="H136" s="6">
        <v>452.4</v>
      </c>
      <c r="I136" s="6">
        <f>proc_Cambium22_highElec_gea!AE136-proc_Cambium22_MidCase_gea!AE136</f>
        <v>74798990</v>
      </c>
      <c r="J136" s="6">
        <f>proc_Cambium22_highElec_gea!AF136-proc_Cambium22_MidCase_gea!AF136</f>
        <v>0</v>
      </c>
      <c r="K136" s="6">
        <f>proc_Cambium22_highElec_gea!AG136-proc_Cambium22_MidCase_gea!AG136</f>
        <v>-3435.0999999999985</v>
      </c>
      <c r="L136" s="6">
        <f t="shared" si="12"/>
        <v>74802425.099999994</v>
      </c>
      <c r="M136" s="6">
        <f>proc_Cambium22_highElec_gea!AI136-proc_Cambium22_MidCase_gea!AI136</f>
        <v>-20885</v>
      </c>
      <c r="N136" s="6">
        <f>proc_Cambium22_highElec_gea!AJ136-proc_Cambium22_MidCase_gea!AJ136</f>
        <v>1603566.1999999997</v>
      </c>
      <c r="O136" s="6">
        <f>proc_Cambium22_highElec_gea!AK136-proc_Cambium22_MidCase_gea!AK136</f>
        <v>0</v>
      </c>
      <c r="P136" s="6">
        <f>proc_Cambium22_highElec_gea!AL136-proc_Cambium22_MidCase_gea!AL136</f>
        <v>-284386</v>
      </c>
      <c r="Q136" s="6">
        <f>proc_Cambium22_highElec_gea!AM136-proc_Cambium22_MidCase_gea!AM136</f>
        <v>73504131.199999988</v>
      </c>
      <c r="R136" s="11">
        <f t="shared" si="13"/>
        <v>-2.7920217789837408E-4</v>
      </c>
      <c r="S136" s="11">
        <f t="shared" si="14"/>
        <v>2.1437355778990645E-2</v>
      </c>
      <c r="T136" s="11">
        <f t="shared" si="15"/>
        <v>0</v>
      </c>
      <c r="U136" s="11">
        <f t="shared" si="16"/>
        <v>-3.8018286121047169E-3</v>
      </c>
      <c r="V136" s="11">
        <f t="shared" si="17"/>
        <v>0.98264369239012805</v>
      </c>
    </row>
    <row r="137" spans="1:22" x14ac:dyDescent="0.3">
      <c r="A137" t="s">
        <v>6</v>
      </c>
      <c r="B137" t="s">
        <v>7</v>
      </c>
      <c r="C137" t="s">
        <v>170</v>
      </c>
      <c r="D137" s="7">
        <v>2050</v>
      </c>
      <c r="E137" s="6">
        <v>0.97</v>
      </c>
      <c r="F137" s="6">
        <v>25</v>
      </c>
      <c r="G137" s="6">
        <v>135</v>
      </c>
      <c r="H137" s="6">
        <v>440.5</v>
      </c>
      <c r="I137" s="6">
        <f>proc_Cambium22_highElec_gea!AE137-proc_Cambium22_MidCase_gea!AE137</f>
        <v>55063940</v>
      </c>
      <c r="J137" s="6">
        <f>proc_Cambium22_highElec_gea!AF137-proc_Cambium22_MidCase_gea!AF137</f>
        <v>0</v>
      </c>
      <c r="K137" s="6">
        <f>proc_Cambium22_highElec_gea!AG137-proc_Cambium22_MidCase_gea!AG137</f>
        <v>-2677.4000000000015</v>
      </c>
      <c r="L137" s="6">
        <f t="shared" si="12"/>
        <v>55066617.399999999</v>
      </c>
      <c r="M137" s="6">
        <f>proc_Cambium22_highElec_gea!AI137-proc_Cambium22_MidCase_gea!AI137</f>
        <v>148278.70000000019</v>
      </c>
      <c r="N137" s="6">
        <f>proc_Cambium22_highElec_gea!AJ137-proc_Cambium22_MidCase_gea!AJ137</f>
        <v>2379540.9</v>
      </c>
      <c r="O137" s="6">
        <f>proc_Cambium22_highElec_gea!AK137-proc_Cambium22_MidCase_gea!AK137</f>
        <v>0</v>
      </c>
      <c r="P137" s="6">
        <f>proc_Cambium22_highElec_gea!AL137-proc_Cambium22_MidCase_gea!AL137</f>
        <v>0</v>
      </c>
      <c r="Q137" s="6">
        <f>proc_Cambium22_highElec_gea!AM137-proc_Cambium22_MidCase_gea!AM137</f>
        <v>52538770.800000012</v>
      </c>
      <c r="R137" s="11">
        <f t="shared" si="13"/>
        <v>2.692714878833291E-3</v>
      </c>
      <c r="S137" s="11">
        <f t="shared" si="14"/>
        <v>4.3212040476631852E-2</v>
      </c>
      <c r="T137" s="11">
        <f t="shared" si="15"/>
        <v>0</v>
      </c>
      <c r="U137" s="11">
        <f t="shared" si="16"/>
        <v>0</v>
      </c>
      <c r="V137" s="11">
        <f t="shared" si="17"/>
        <v>0.95409475432932644</v>
      </c>
    </row>
    <row r="138" spans="1:22" x14ac:dyDescent="0.3">
      <c r="A138" t="s">
        <v>6</v>
      </c>
      <c r="B138" t="s">
        <v>7</v>
      </c>
      <c r="C138" t="s">
        <v>171</v>
      </c>
      <c r="D138" s="7">
        <v>2024</v>
      </c>
      <c r="E138" s="6">
        <v>0.45</v>
      </c>
      <c r="F138" s="6">
        <v>387.8</v>
      </c>
      <c r="G138" s="6">
        <v>373.3</v>
      </c>
      <c r="H138" s="6">
        <v>874.3</v>
      </c>
      <c r="I138" s="6">
        <f>proc_Cambium22_highElec_gea!AE138-proc_Cambium22_MidCase_gea!AE138</f>
        <v>787100</v>
      </c>
      <c r="J138" s="6">
        <f>proc_Cambium22_highElec_gea!AF138-proc_Cambium22_MidCase_gea!AF138</f>
        <v>0</v>
      </c>
      <c r="K138" s="6">
        <f>proc_Cambium22_highElec_gea!AG138-proc_Cambium22_MidCase_gea!AG138</f>
        <v>-44</v>
      </c>
      <c r="L138" s="6">
        <f t="shared" si="12"/>
        <v>787144</v>
      </c>
      <c r="M138" s="6">
        <f>proc_Cambium22_highElec_gea!AI138-proc_Cambium22_MidCase_gea!AI138</f>
        <v>465844</v>
      </c>
      <c r="N138" s="6">
        <f>proc_Cambium22_highElec_gea!AJ138-proc_Cambium22_MidCase_gea!AJ138</f>
        <v>542108.59999999404</v>
      </c>
      <c r="O138" s="6">
        <f>proc_Cambium22_highElec_gea!AK138-proc_Cambium22_MidCase_gea!AK138</f>
        <v>-49633.200000000012</v>
      </c>
      <c r="P138" s="6">
        <f>proc_Cambium22_highElec_gea!AL138-proc_Cambium22_MidCase_gea!AL138</f>
        <v>-608</v>
      </c>
      <c r="Q138" s="6">
        <f>proc_Cambium22_highElec_gea!AM138-proc_Cambium22_MidCase_gea!AM138</f>
        <v>-170570.20000000298</v>
      </c>
      <c r="R138" s="11">
        <f t="shared" si="13"/>
        <v>0.59181547467807671</v>
      </c>
      <c r="S138" s="11">
        <f t="shared" si="14"/>
        <v>0.688703210594242</v>
      </c>
      <c r="T138" s="11">
        <f t="shared" si="15"/>
        <v>-6.3054790483062839E-2</v>
      </c>
      <c r="U138" s="11">
        <f t="shared" si="16"/>
        <v>-7.724126716331446E-4</v>
      </c>
      <c r="V138" s="11">
        <f t="shared" si="17"/>
        <v>-0.21669503928125347</v>
      </c>
    </row>
    <row r="139" spans="1:22" x14ac:dyDescent="0.3">
      <c r="A139" t="s">
        <v>6</v>
      </c>
      <c r="B139" t="s">
        <v>7</v>
      </c>
      <c r="C139" t="s">
        <v>171</v>
      </c>
      <c r="D139" s="7">
        <v>2026</v>
      </c>
      <c r="E139" s="6">
        <v>0.51</v>
      </c>
      <c r="F139" s="6">
        <v>346.2</v>
      </c>
      <c r="G139" s="6">
        <v>295.3</v>
      </c>
      <c r="H139" s="6">
        <v>831.3</v>
      </c>
      <c r="I139" s="6">
        <f>proc_Cambium22_highElec_gea!AE139-proc_Cambium22_MidCase_gea!AE139</f>
        <v>-1087970</v>
      </c>
      <c r="J139" s="6">
        <f>proc_Cambium22_highElec_gea!AF139-proc_Cambium22_MidCase_gea!AF139</f>
        <v>0</v>
      </c>
      <c r="K139" s="6">
        <f>proc_Cambium22_highElec_gea!AG139-proc_Cambium22_MidCase_gea!AG139</f>
        <v>110.29999999981374</v>
      </c>
      <c r="L139" s="6">
        <f t="shared" si="12"/>
        <v>-1088080.2999999998</v>
      </c>
      <c r="M139" s="6">
        <f>proc_Cambium22_highElec_gea!AI139-proc_Cambium22_MidCase_gea!AI139</f>
        <v>2732364</v>
      </c>
      <c r="N139" s="6">
        <f>proc_Cambium22_highElec_gea!AJ139-proc_Cambium22_MidCase_gea!AJ139</f>
        <v>-4492714.799999997</v>
      </c>
      <c r="O139" s="6">
        <f>proc_Cambium22_highElec_gea!AK139-proc_Cambium22_MidCase_gea!AK139</f>
        <v>-32907.4</v>
      </c>
      <c r="P139" s="6">
        <f>proc_Cambium22_highElec_gea!AL139-proc_Cambium22_MidCase_gea!AL139</f>
        <v>15090</v>
      </c>
      <c r="Q139" s="6">
        <f>proc_Cambium22_highElec_gea!AM139-proc_Cambium22_MidCase_gea!AM139</f>
        <v>690097.29999999702</v>
      </c>
      <c r="R139" s="11">
        <f t="shared" si="13"/>
        <v>-2.5111786326799597</v>
      </c>
      <c r="S139" s="11">
        <f t="shared" si="14"/>
        <v>4.1290287123110287</v>
      </c>
      <c r="T139" s="11">
        <f t="shared" si="15"/>
        <v>3.0243539929911429E-2</v>
      </c>
      <c r="U139" s="11">
        <f t="shared" si="16"/>
        <v>-1.3868461730260169E-2</v>
      </c>
      <c r="V139" s="11">
        <f t="shared" si="17"/>
        <v>-0.63423379689899462</v>
      </c>
    </row>
    <row r="140" spans="1:22" x14ac:dyDescent="0.3">
      <c r="A140" t="s">
        <v>6</v>
      </c>
      <c r="B140" t="s">
        <v>7</v>
      </c>
      <c r="C140" t="s">
        <v>171</v>
      </c>
      <c r="D140" s="7">
        <v>2028</v>
      </c>
      <c r="E140" s="6">
        <v>0.6</v>
      </c>
      <c r="F140" s="6">
        <v>268.60000000000002</v>
      </c>
      <c r="G140" s="6">
        <v>245.8</v>
      </c>
      <c r="H140" s="6">
        <v>704.5</v>
      </c>
      <c r="I140" s="6">
        <f>proc_Cambium22_highElec_gea!AE140-proc_Cambium22_MidCase_gea!AE140</f>
        <v>-893140</v>
      </c>
      <c r="J140" s="6">
        <f>proc_Cambium22_highElec_gea!AF140-proc_Cambium22_MidCase_gea!AF140</f>
        <v>0</v>
      </c>
      <c r="K140" s="6">
        <f>proc_Cambium22_highElec_gea!AG140-proc_Cambium22_MidCase_gea!AG140</f>
        <v>20802.800000000047</v>
      </c>
      <c r="L140" s="6">
        <f t="shared" si="12"/>
        <v>-913942.8</v>
      </c>
      <c r="M140" s="6">
        <f>proc_Cambium22_highElec_gea!AI140-proc_Cambium22_MidCase_gea!AI140</f>
        <v>2652970</v>
      </c>
      <c r="N140" s="6">
        <f>proc_Cambium22_highElec_gea!AJ140-proc_Cambium22_MidCase_gea!AJ140</f>
        <v>-3553516.200000003</v>
      </c>
      <c r="O140" s="6">
        <f>proc_Cambium22_highElec_gea!AK140-proc_Cambium22_MidCase_gea!AK140</f>
        <v>-12861</v>
      </c>
      <c r="P140" s="6">
        <f>proc_Cambium22_highElec_gea!AL140-proc_Cambium22_MidCase_gea!AL140</f>
        <v>590130</v>
      </c>
      <c r="Q140" s="6">
        <f>proc_Cambium22_highElec_gea!AM140-proc_Cambium22_MidCase_gea!AM140</f>
        <v>-590695.40000000596</v>
      </c>
      <c r="R140" s="11">
        <f t="shared" si="13"/>
        <v>-2.9027746594206989</v>
      </c>
      <c r="S140" s="11">
        <f t="shared" si="14"/>
        <v>3.8881166304937276</v>
      </c>
      <c r="T140" s="11">
        <f t="shared" si="15"/>
        <v>1.4071996628235377E-2</v>
      </c>
      <c r="U140" s="11">
        <f t="shared" si="16"/>
        <v>-0.64569686418012151</v>
      </c>
      <c r="V140" s="11">
        <f t="shared" si="17"/>
        <v>0.64631550245814717</v>
      </c>
    </row>
    <row r="141" spans="1:22" x14ac:dyDescent="0.3">
      <c r="A141" t="s">
        <v>6</v>
      </c>
      <c r="B141" t="s">
        <v>7</v>
      </c>
      <c r="C141" t="s">
        <v>171</v>
      </c>
      <c r="D141" s="7">
        <v>2030</v>
      </c>
      <c r="E141" s="6">
        <v>0.62</v>
      </c>
      <c r="F141" s="6">
        <v>252.5</v>
      </c>
      <c r="G141" s="6">
        <v>321</v>
      </c>
      <c r="H141" s="6">
        <v>650.4</v>
      </c>
      <c r="I141" s="6">
        <f>proc_Cambium22_highElec_gea!AE141-proc_Cambium22_MidCase_gea!AE141</f>
        <v>-553600</v>
      </c>
      <c r="J141" s="6">
        <f>proc_Cambium22_highElec_gea!AF141-proc_Cambium22_MidCase_gea!AF141</f>
        <v>0</v>
      </c>
      <c r="K141" s="6">
        <f>proc_Cambium22_highElec_gea!AG141-proc_Cambium22_MidCase_gea!AG141</f>
        <v>-27695</v>
      </c>
      <c r="L141" s="6">
        <f t="shared" si="12"/>
        <v>-525905</v>
      </c>
      <c r="M141" s="6">
        <f>proc_Cambium22_highElec_gea!AI141-proc_Cambium22_MidCase_gea!AI141</f>
        <v>1443416</v>
      </c>
      <c r="N141" s="6">
        <f>proc_Cambium22_highElec_gea!AJ141-proc_Cambium22_MidCase_gea!AJ141</f>
        <v>-5452330.200000003</v>
      </c>
      <c r="O141" s="6">
        <f>proc_Cambium22_highElec_gea!AK141-proc_Cambium22_MidCase_gea!AK141</f>
        <v>-1632.8000000000029</v>
      </c>
      <c r="P141" s="6">
        <f>proc_Cambium22_highElec_gea!AL141-proc_Cambium22_MidCase_gea!AL141</f>
        <v>-324430</v>
      </c>
      <c r="Q141" s="6">
        <f>proc_Cambium22_highElec_gea!AM141-proc_Cambium22_MidCase_gea!AM141</f>
        <v>3809044.900000006</v>
      </c>
      <c r="R141" s="11">
        <f t="shared" si="13"/>
        <v>-2.7446325857331648</v>
      </c>
      <c r="S141" s="11">
        <f t="shared" si="14"/>
        <v>10.367519228758052</v>
      </c>
      <c r="T141" s="11">
        <f t="shared" si="15"/>
        <v>3.1047432521082762E-3</v>
      </c>
      <c r="U141" s="11">
        <f t="shared" si="16"/>
        <v>0.61689848927087587</v>
      </c>
      <c r="V141" s="11">
        <f t="shared" si="17"/>
        <v>-7.2428383453285399</v>
      </c>
    </row>
    <row r="142" spans="1:22" x14ac:dyDescent="0.3">
      <c r="A142" t="s">
        <v>6</v>
      </c>
      <c r="B142" t="s">
        <v>7</v>
      </c>
      <c r="C142" t="s">
        <v>171</v>
      </c>
      <c r="D142" s="7">
        <v>2035</v>
      </c>
      <c r="E142" s="6">
        <v>0.71</v>
      </c>
      <c r="F142" s="6">
        <v>196.5</v>
      </c>
      <c r="G142" s="6">
        <v>411.7</v>
      </c>
      <c r="H142" s="6">
        <v>583.29999999999995</v>
      </c>
      <c r="I142" s="6">
        <f>proc_Cambium22_highElec_gea!AE142-proc_Cambium22_MidCase_gea!AE142</f>
        <v>27743010</v>
      </c>
      <c r="J142" s="6">
        <f>proc_Cambium22_highElec_gea!AF142-proc_Cambium22_MidCase_gea!AF142</f>
        <v>0</v>
      </c>
      <c r="K142" s="6">
        <f>proc_Cambium22_highElec_gea!AG142-proc_Cambium22_MidCase_gea!AG142</f>
        <v>-16039.59999999986</v>
      </c>
      <c r="L142" s="6">
        <f t="shared" si="12"/>
        <v>27759049.600000001</v>
      </c>
      <c r="M142" s="6">
        <f>proc_Cambium22_highElec_gea!AI142-proc_Cambium22_MidCase_gea!AI142</f>
        <v>4103542</v>
      </c>
      <c r="N142" s="6">
        <f>proc_Cambium22_highElec_gea!AJ142-proc_Cambium22_MidCase_gea!AJ142</f>
        <v>-2267646.299999997</v>
      </c>
      <c r="O142" s="6">
        <f>proc_Cambium22_highElec_gea!AK142-proc_Cambium22_MidCase_gea!AK142</f>
        <v>-1863.9</v>
      </c>
      <c r="P142" s="6">
        <f>proc_Cambium22_highElec_gea!AL142-proc_Cambium22_MidCase_gea!AL142</f>
        <v>-331300</v>
      </c>
      <c r="Q142" s="6">
        <f>proc_Cambium22_highElec_gea!AM142-proc_Cambium22_MidCase_gea!AM142</f>
        <v>26256301.699999988</v>
      </c>
      <c r="R142" s="11">
        <f t="shared" si="13"/>
        <v>0.14782717921293673</v>
      </c>
      <c r="S142" s="11">
        <f t="shared" si="14"/>
        <v>-8.1690343605999999E-2</v>
      </c>
      <c r="T142" s="11">
        <f t="shared" si="15"/>
        <v>-6.7145670578001339E-5</v>
      </c>
      <c r="U142" s="11">
        <f t="shared" si="16"/>
        <v>-1.1934846645470168E-2</v>
      </c>
      <c r="V142" s="11">
        <f t="shared" si="17"/>
        <v>0.94586457671807278</v>
      </c>
    </row>
    <row r="143" spans="1:22" x14ac:dyDescent="0.3">
      <c r="A143" t="s">
        <v>6</v>
      </c>
      <c r="B143" t="s">
        <v>7</v>
      </c>
      <c r="C143" t="s">
        <v>171</v>
      </c>
      <c r="D143" s="7">
        <v>2040</v>
      </c>
      <c r="E143" s="6">
        <v>0.78</v>
      </c>
      <c r="F143" s="6">
        <v>145.5</v>
      </c>
      <c r="G143" s="6">
        <v>453.6</v>
      </c>
      <c r="H143" s="6">
        <v>529</v>
      </c>
      <c r="I143" s="6">
        <f>proc_Cambium22_highElec_gea!AE143-proc_Cambium22_MidCase_gea!AE143</f>
        <v>52411940</v>
      </c>
      <c r="J143" s="6">
        <f>proc_Cambium22_highElec_gea!AF143-proc_Cambium22_MidCase_gea!AF143</f>
        <v>0</v>
      </c>
      <c r="K143" s="6">
        <f>proc_Cambium22_highElec_gea!AG143-proc_Cambium22_MidCase_gea!AG143</f>
        <v>-44669.199999999953</v>
      </c>
      <c r="L143" s="6">
        <f t="shared" si="12"/>
        <v>52456609.200000003</v>
      </c>
      <c r="M143" s="6">
        <f>proc_Cambium22_highElec_gea!AI143-proc_Cambium22_MidCase_gea!AI143</f>
        <v>4952336</v>
      </c>
      <c r="N143" s="6">
        <f>proc_Cambium22_highElec_gea!AJ143-proc_Cambium22_MidCase_gea!AJ143</f>
        <v>5315400.6000000015</v>
      </c>
      <c r="O143" s="6">
        <f>proc_Cambium22_highElec_gea!AK143-proc_Cambium22_MidCase_gea!AK143</f>
        <v>-1492.2</v>
      </c>
      <c r="P143" s="6">
        <f>proc_Cambium22_highElec_gea!AL143-proc_Cambium22_MidCase_gea!AL143</f>
        <v>-657690</v>
      </c>
      <c r="Q143" s="6">
        <f>proc_Cambium22_highElec_gea!AM143-proc_Cambium22_MidCase_gea!AM143</f>
        <v>42848044</v>
      </c>
      <c r="R143" s="11">
        <f t="shared" si="13"/>
        <v>9.440823712257787E-2</v>
      </c>
      <c r="S143" s="11">
        <f t="shared" si="14"/>
        <v>0.10132947365572385</v>
      </c>
      <c r="T143" s="11">
        <f t="shared" si="15"/>
        <v>-2.8446367822036045E-5</v>
      </c>
      <c r="U143" s="11">
        <f t="shared" si="16"/>
        <v>-1.2537790948180463E-2</v>
      </c>
      <c r="V143" s="11">
        <f t="shared" si="17"/>
        <v>0.81682832065325328</v>
      </c>
    </row>
    <row r="144" spans="1:22" x14ac:dyDescent="0.3">
      <c r="A144" t="s">
        <v>6</v>
      </c>
      <c r="B144" t="s">
        <v>7</v>
      </c>
      <c r="C144" t="s">
        <v>171</v>
      </c>
      <c r="D144" s="7">
        <v>2045</v>
      </c>
      <c r="E144" s="6">
        <v>0.81</v>
      </c>
      <c r="F144" s="6">
        <v>119.6</v>
      </c>
      <c r="G144" s="6">
        <v>404.8</v>
      </c>
      <c r="H144" s="6">
        <v>457.2</v>
      </c>
      <c r="I144" s="6">
        <f>proc_Cambium22_highElec_gea!AE144-proc_Cambium22_MidCase_gea!AE144</f>
        <v>68009940</v>
      </c>
      <c r="J144" s="6">
        <f>proc_Cambium22_highElec_gea!AF144-proc_Cambium22_MidCase_gea!AF144</f>
        <v>0</v>
      </c>
      <c r="K144" s="6">
        <f>proc_Cambium22_highElec_gea!AG144-proc_Cambium22_MidCase_gea!AG144</f>
        <v>5019.8999999999069</v>
      </c>
      <c r="L144" s="6">
        <f t="shared" si="12"/>
        <v>68004920.099999994</v>
      </c>
      <c r="M144" s="6">
        <f>proc_Cambium22_highElec_gea!AI144-proc_Cambium22_MidCase_gea!AI144</f>
        <v>4370886</v>
      </c>
      <c r="N144" s="6">
        <f>proc_Cambium22_highElec_gea!AJ144-proc_Cambium22_MidCase_gea!AJ144</f>
        <v>8633374.799999997</v>
      </c>
      <c r="O144" s="6">
        <f>proc_Cambium22_highElec_gea!AK144-proc_Cambium22_MidCase_gea!AK144</f>
        <v>-648.5</v>
      </c>
      <c r="P144" s="6">
        <f>proc_Cambium22_highElec_gea!AL144-proc_Cambium22_MidCase_gea!AL144</f>
        <v>38594</v>
      </c>
      <c r="Q144" s="6">
        <f>proc_Cambium22_highElec_gea!AM144-proc_Cambium22_MidCase_gea!AM144</f>
        <v>54962737.199999988</v>
      </c>
      <c r="R144" s="11">
        <f t="shared" si="13"/>
        <v>6.4273084852870824E-2</v>
      </c>
      <c r="S144" s="11">
        <f t="shared" si="14"/>
        <v>0.12695220856527406</v>
      </c>
      <c r="T144" s="11">
        <f t="shared" si="15"/>
        <v>-9.5360747288048074E-6</v>
      </c>
      <c r="U144" s="11">
        <f t="shared" si="16"/>
        <v>5.6751776111564026E-4</v>
      </c>
      <c r="V144" s="11">
        <f t="shared" si="17"/>
        <v>0.80821706898821855</v>
      </c>
    </row>
    <row r="145" spans="1:22" x14ac:dyDescent="0.3">
      <c r="A145" t="s">
        <v>6</v>
      </c>
      <c r="B145" t="s">
        <v>7</v>
      </c>
      <c r="C145" t="s">
        <v>171</v>
      </c>
      <c r="D145" s="7">
        <v>2050</v>
      </c>
      <c r="E145" s="6">
        <v>0.82</v>
      </c>
      <c r="F145" s="6">
        <v>103.6</v>
      </c>
      <c r="G145" s="6">
        <v>369.9</v>
      </c>
      <c r="H145" s="6">
        <v>451.2</v>
      </c>
      <c r="I145" s="6">
        <f>proc_Cambium22_highElec_gea!AE145-proc_Cambium22_MidCase_gea!AE145</f>
        <v>94345380</v>
      </c>
      <c r="J145" s="6">
        <f>proc_Cambium22_highElec_gea!AF145-proc_Cambium22_MidCase_gea!AF145</f>
        <v>0</v>
      </c>
      <c r="K145" s="6">
        <f>proc_Cambium22_highElec_gea!AG145-proc_Cambium22_MidCase_gea!AG145</f>
        <v>11221.399999999907</v>
      </c>
      <c r="L145" s="6">
        <f t="shared" si="12"/>
        <v>94334158.599999994</v>
      </c>
      <c r="M145" s="6">
        <f>proc_Cambium22_highElec_gea!AI145-proc_Cambium22_MidCase_gea!AI145</f>
        <v>1388323</v>
      </c>
      <c r="N145" s="6">
        <f>proc_Cambium22_highElec_gea!AJ145-proc_Cambium22_MidCase_gea!AJ145</f>
        <v>3479329.6999999955</v>
      </c>
      <c r="O145" s="6">
        <f>proc_Cambium22_highElec_gea!AK145-proc_Cambium22_MidCase_gea!AK145</f>
        <v>-12.8</v>
      </c>
      <c r="P145" s="6">
        <f>proc_Cambium22_highElec_gea!AL145-proc_Cambium22_MidCase_gea!AL145</f>
        <v>19700</v>
      </c>
      <c r="Q145" s="6">
        <f>proc_Cambium22_highElec_gea!AM145-proc_Cambium22_MidCase_gea!AM145</f>
        <v>89446825.899999976</v>
      </c>
      <c r="R145" s="11">
        <f t="shared" si="13"/>
        <v>1.4717076195981465E-2</v>
      </c>
      <c r="S145" s="11">
        <f t="shared" si="14"/>
        <v>3.6883031042373615E-2</v>
      </c>
      <c r="T145" s="11">
        <f t="shared" si="15"/>
        <v>-1.3568785888338864E-7</v>
      </c>
      <c r="U145" s="11">
        <f t="shared" si="16"/>
        <v>2.0883209531271529E-4</v>
      </c>
      <c r="V145" s="11">
        <f t="shared" si="17"/>
        <v>0.94819127267861147</v>
      </c>
    </row>
    <row r="146" spans="1:22" x14ac:dyDescent="0.3">
      <c r="A146" t="s">
        <v>6</v>
      </c>
      <c r="B146" t="s">
        <v>7</v>
      </c>
      <c r="C146" t="s">
        <v>172</v>
      </c>
      <c r="D146" s="7">
        <v>2024</v>
      </c>
      <c r="E146" s="6">
        <v>0.33</v>
      </c>
      <c r="F146" s="6">
        <v>603.29999999999995</v>
      </c>
      <c r="G146" s="6">
        <v>366.8</v>
      </c>
      <c r="H146" s="6">
        <v>916.8</v>
      </c>
      <c r="I146" s="6">
        <f>proc_Cambium22_highElec_gea!AE146-proc_Cambium22_MidCase_gea!AE146</f>
        <v>1639310</v>
      </c>
      <c r="J146" s="6">
        <f>proc_Cambium22_highElec_gea!AF146-proc_Cambium22_MidCase_gea!AF146</f>
        <v>0</v>
      </c>
      <c r="K146" s="6">
        <f>proc_Cambium22_highElec_gea!AG146-proc_Cambium22_MidCase_gea!AG146</f>
        <v>79.399999999994179</v>
      </c>
      <c r="L146" s="6">
        <f t="shared" si="12"/>
        <v>1639230.6</v>
      </c>
      <c r="M146" s="6">
        <f>proc_Cambium22_highElec_gea!AI146-proc_Cambium22_MidCase_gea!AI146</f>
        <v>544076</v>
      </c>
      <c r="N146" s="6">
        <f>proc_Cambium22_highElec_gea!AJ146-proc_Cambium22_MidCase_gea!AJ146</f>
        <v>207910.5</v>
      </c>
      <c r="O146" s="6">
        <f>proc_Cambium22_highElec_gea!AK146-proc_Cambium22_MidCase_gea!AK146</f>
        <v>-196.90000000000009</v>
      </c>
      <c r="P146" s="6">
        <f>proc_Cambium22_highElec_gea!AL146-proc_Cambium22_MidCase_gea!AL146</f>
        <v>136</v>
      </c>
      <c r="Q146" s="6">
        <f>proc_Cambium22_highElec_gea!AM146-proc_Cambium22_MidCase_gea!AM146</f>
        <v>887310.5</v>
      </c>
      <c r="R146" s="11">
        <f t="shared" si="13"/>
        <v>0.33190937260444014</v>
      </c>
      <c r="S146" s="11">
        <f t="shared" si="14"/>
        <v>0.12683419892234807</v>
      </c>
      <c r="T146" s="11">
        <f t="shared" si="15"/>
        <v>-1.2011732821483449E-4</v>
      </c>
      <c r="U146" s="11">
        <f t="shared" si="16"/>
        <v>8.296575234747325E-5</v>
      </c>
      <c r="V146" s="11">
        <f t="shared" si="17"/>
        <v>0.54129693528171074</v>
      </c>
    </row>
    <row r="147" spans="1:22" x14ac:dyDescent="0.3">
      <c r="A147" t="s">
        <v>6</v>
      </c>
      <c r="B147" t="s">
        <v>7</v>
      </c>
      <c r="C147" t="s">
        <v>172</v>
      </c>
      <c r="D147" s="7">
        <v>2026</v>
      </c>
      <c r="E147" s="6">
        <v>0.4</v>
      </c>
      <c r="F147" s="6">
        <v>522.70000000000005</v>
      </c>
      <c r="G147" s="6">
        <v>358.8</v>
      </c>
      <c r="H147" s="6">
        <v>867.4</v>
      </c>
      <c r="I147" s="6">
        <f>proc_Cambium22_highElec_gea!AE147-proc_Cambium22_MidCase_gea!AE147</f>
        <v>8763160</v>
      </c>
      <c r="J147" s="6">
        <f>proc_Cambium22_highElec_gea!AF147-proc_Cambium22_MidCase_gea!AF147</f>
        <v>0</v>
      </c>
      <c r="K147" s="6">
        <f>proc_Cambium22_highElec_gea!AG147-proc_Cambium22_MidCase_gea!AG147</f>
        <v>102.40000000002328</v>
      </c>
      <c r="L147" s="6">
        <f t="shared" si="12"/>
        <v>8763057.5999999996</v>
      </c>
      <c r="M147" s="6">
        <f>proc_Cambium22_highElec_gea!AI147-proc_Cambium22_MidCase_gea!AI147</f>
        <v>2159436</v>
      </c>
      <c r="N147" s="6">
        <f>proc_Cambium22_highElec_gea!AJ147-proc_Cambium22_MidCase_gea!AJ147</f>
        <v>3056730.8999999985</v>
      </c>
      <c r="O147" s="6">
        <f>proc_Cambium22_highElec_gea!AK147-proc_Cambium22_MidCase_gea!AK147</f>
        <v>-148.10000000000002</v>
      </c>
      <c r="P147" s="6">
        <f>proc_Cambium22_highElec_gea!AL147-proc_Cambium22_MidCase_gea!AL147</f>
        <v>6548</v>
      </c>
      <c r="Q147" s="6">
        <f>proc_Cambium22_highElec_gea!AM147-proc_Cambium22_MidCase_gea!AM147</f>
        <v>3540488</v>
      </c>
      <c r="R147" s="11">
        <f t="shared" si="13"/>
        <v>0.2464249464707387</v>
      </c>
      <c r="S147" s="11">
        <f t="shared" si="14"/>
        <v>0.34882013100085052</v>
      </c>
      <c r="T147" s="11">
        <f t="shared" si="15"/>
        <v>-1.6900493727212296E-5</v>
      </c>
      <c r="U147" s="11">
        <f t="shared" si="16"/>
        <v>7.4722777127472035E-4</v>
      </c>
      <c r="V147" s="11">
        <f t="shared" si="17"/>
        <v>0.40402427572768668</v>
      </c>
    </row>
    <row r="148" spans="1:22" x14ac:dyDescent="0.3">
      <c r="A148" t="s">
        <v>6</v>
      </c>
      <c r="B148" t="s">
        <v>7</v>
      </c>
      <c r="C148" t="s">
        <v>172</v>
      </c>
      <c r="D148" s="7">
        <v>2028</v>
      </c>
      <c r="E148" s="6">
        <v>0.52</v>
      </c>
      <c r="F148" s="6">
        <v>388.5</v>
      </c>
      <c r="G148" s="6">
        <v>366.9</v>
      </c>
      <c r="H148" s="6">
        <v>756.3</v>
      </c>
      <c r="I148" s="6">
        <f>proc_Cambium22_highElec_gea!AE148-proc_Cambium22_MidCase_gea!AE148</f>
        <v>13001740</v>
      </c>
      <c r="J148" s="6">
        <f>proc_Cambium22_highElec_gea!AF148-proc_Cambium22_MidCase_gea!AF148</f>
        <v>0</v>
      </c>
      <c r="K148" s="6">
        <f>proc_Cambium22_highElec_gea!AG148-proc_Cambium22_MidCase_gea!AG148</f>
        <v>2413.2000000000116</v>
      </c>
      <c r="L148" s="6">
        <f t="shared" si="12"/>
        <v>12999326.800000001</v>
      </c>
      <c r="M148" s="6">
        <f>proc_Cambium22_highElec_gea!AI148-proc_Cambium22_MidCase_gea!AI148</f>
        <v>436560</v>
      </c>
      <c r="N148" s="6">
        <f>proc_Cambium22_highElec_gea!AJ148-proc_Cambium22_MidCase_gea!AJ148</f>
        <v>18970277.5</v>
      </c>
      <c r="O148" s="6">
        <f>proc_Cambium22_highElec_gea!AK148-proc_Cambium22_MidCase_gea!AK148</f>
        <v>-189.7</v>
      </c>
      <c r="P148" s="6">
        <f>proc_Cambium22_highElec_gea!AL148-proc_Cambium22_MidCase_gea!AL148</f>
        <v>183394</v>
      </c>
      <c r="Q148" s="6">
        <f>proc_Cambium22_highElec_gea!AM148-proc_Cambium22_MidCase_gea!AM148</f>
        <v>-6590713.299999997</v>
      </c>
      <c r="R148" s="11">
        <f t="shared" si="13"/>
        <v>3.358327755865019E-2</v>
      </c>
      <c r="S148" s="11">
        <f t="shared" si="14"/>
        <v>1.4593276861075606</v>
      </c>
      <c r="T148" s="11">
        <f t="shared" si="15"/>
        <v>-1.4593063388482547E-5</v>
      </c>
      <c r="U148" s="11">
        <f t="shared" si="16"/>
        <v>1.4107961344582859E-2</v>
      </c>
      <c r="V148" s="11">
        <f t="shared" si="17"/>
        <v>-0.50700420117140199</v>
      </c>
    </row>
    <row r="149" spans="1:22" x14ac:dyDescent="0.3">
      <c r="A149" t="s">
        <v>6</v>
      </c>
      <c r="B149" t="s">
        <v>7</v>
      </c>
      <c r="C149" t="s">
        <v>172</v>
      </c>
      <c r="D149" s="7">
        <v>2030</v>
      </c>
      <c r="E149" s="6">
        <v>0.57999999999999996</v>
      </c>
      <c r="F149" s="6">
        <v>335</v>
      </c>
      <c r="G149" s="6">
        <v>434.2</v>
      </c>
      <c r="H149" s="6">
        <v>705.2</v>
      </c>
      <c r="I149" s="6">
        <f>proc_Cambium22_highElec_gea!AE149-proc_Cambium22_MidCase_gea!AE149</f>
        <v>10351090</v>
      </c>
      <c r="J149" s="6">
        <f>proc_Cambium22_highElec_gea!AF149-proc_Cambium22_MidCase_gea!AF149</f>
        <v>0</v>
      </c>
      <c r="K149" s="6">
        <f>proc_Cambium22_highElec_gea!AG149-proc_Cambium22_MidCase_gea!AG149</f>
        <v>791.29999999998836</v>
      </c>
      <c r="L149" s="6">
        <f t="shared" si="12"/>
        <v>10350298.699999999</v>
      </c>
      <c r="M149" s="6">
        <f>proc_Cambium22_highElec_gea!AI149-proc_Cambium22_MidCase_gea!AI149</f>
        <v>2096580</v>
      </c>
      <c r="N149" s="6">
        <f>proc_Cambium22_highElec_gea!AJ149-proc_Cambium22_MidCase_gea!AJ149</f>
        <v>16998806.399999999</v>
      </c>
      <c r="O149" s="6">
        <f>proc_Cambium22_highElec_gea!AK149-proc_Cambium22_MidCase_gea!AK149</f>
        <v>-40.199999999999989</v>
      </c>
      <c r="P149" s="6">
        <f>proc_Cambium22_highElec_gea!AL149-proc_Cambium22_MidCase_gea!AL149</f>
        <v>-121372</v>
      </c>
      <c r="Q149" s="6">
        <f>proc_Cambium22_highElec_gea!AM149-proc_Cambium22_MidCase_gea!AM149</f>
        <v>-8623681.3999999985</v>
      </c>
      <c r="R149" s="11">
        <f t="shared" si="13"/>
        <v>0.20256227001448762</v>
      </c>
      <c r="S149" s="11">
        <f t="shared" si="14"/>
        <v>1.6423493555794675</v>
      </c>
      <c r="T149" s="11">
        <f t="shared" si="15"/>
        <v>-3.8839458807116353E-6</v>
      </c>
      <c r="U149" s="11">
        <f t="shared" si="16"/>
        <v>-1.1726424861535639E-2</v>
      </c>
      <c r="V149" s="11">
        <f t="shared" si="17"/>
        <v>-0.83318188681839678</v>
      </c>
    </row>
    <row r="150" spans="1:22" x14ac:dyDescent="0.3">
      <c r="A150" t="s">
        <v>6</v>
      </c>
      <c r="B150" t="s">
        <v>7</v>
      </c>
      <c r="C150" t="s">
        <v>172</v>
      </c>
      <c r="D150" s="7">
        <v>2035</v>
      </c>
      <c r="E150" s="6">
        <v>0.67</v>
      </c>
      <c r="F150" s="6">
        <v>246.5</v>
      </c>
      <c r="G150" s="6">
        <v>485.5</v>
      </c>
      <c r="H150" s="6">
        <v>646.79999999999995</v>
      </c>
      <c r="I150" s="6">
        <f>proc_Cambium22_highElec_gea!AE150-proc_Cambium22_MidCase_gea!AE150</f>
        <v>25862560</v>
      </c>
      <c r="J150" s="6">
        <f>proc_Cambium22_highElec_gea!AF150-proc_Cambium22_MidCase_gea!AF150</f>
        <v>0</v>
      </c>
      <c r="K150" s="6">
        <f>proc_Cambium22_highElec_gea!AG150-proc_Cambium22_MidCase_gea!AG150</f>
        <v>-2144.2000000000116</v>
      </c>
      <c r="L150" s="6">
        <f t="shared" si="12"/>
        <v>25864704.199999999</v>
      </c>
      <c r="M150" s="6">
        <f>proc_Cambium22_highElec_gea!AI150-proc_Cambium22_MidCase_gea!AI150</f>
        <v>4655676</v>
      </c>
      <c r="N150" s="6">
        <f>proc_Cambium22_highElec_gea!AJ150-proc_Cambium22_MidCase_gea!AJ150</f>
        <v>10446509.199999996</v>
      </c>
      <c r="O150" s="6">
        <f>proc_Cambium22_highElec_gea!AK150-proc_Cambium22_MidCase_gea!AK150</f>
        <v>0</v>
      </c>
      <c r="P150" s="6">
        <f>proc_Cambium22_highElec_gea!AL150-proc_Cambium22_MidCase_gea!AL150</f>
        <v>-196282</v>
      </c>
      <c r="Q150" s="6">
        <f>proc_Cambium22_highElec_gea!AM150-proc_Cambium22_MidCase_gea!AM150</f>
        <v>10958799.700000003</v>
      </c>
      <c r="R150" s="11">
        <f t="shared" si="13"/>
        <v>0.1800011306527913</v>
      </c>
      <c r="S150" s="11">
        <f t="shared" si="14"/>
        <v>0.40389053434448308</v>
      </c>
      <c r="T150" s="11">
        <f t="shared" si="15"/>
        <v>0</v>
      </c>
      <c r="U150" s="11">
        <f t="shared" si="16"/>
        <v>-7.5887974005904154E-3</v>
      </c>
      <c r="V150" s="11">
        <f t="shared" si="17"/>
        <v>0.42369708214177076</v>
      </c>
    </row>
    <row r="151" spans="1:22" x14ac:dyDescent="0.3">
      <c r="A151" t="s">
        <v>6</v>
      </c>
      <c r="B151" t="s">
        <v>7</v>
      </c>
      <c r="C151" t="s">
        <v>172</v>
      </c>
      <c r="D151" s="7">
        <v>2040</v>
      </c>
      <c r="E151" s="6">
        <v>0.77</v>
      </c>
      <c r="F151" s="6">
        <v>168</v>
      </c>
      <c r="G151" s="6">
        <v>479.7</v>
      </c>
      <c r="H151" s="6">
        <v>584.70000000000005</v>
      </c>
      <c r="I151" s="6">
        <f>proc_Cambium22_highElec_gea!AE151-proc_Cambium22_MidCase_gea!AE151</f>
        <v>66085330</v>
      </c>
      <c r="J151" s="6">
        <f>proc_Cambium22_highElec_gea!AF151-proc_Cambium22_MidCase_gea!AF151</f>
        <v>0</v>
      </c>
      <c r="K151" s="6">
        <f>proc_Cambium22_highElec_gea!AG151-proc_Cambium22_MidCase_gea!AG151</f>
        <v>-301.40000000002328</v>
      </c>
      <c r="L151" s="6">
        <f t="shared" si="12"/>
        <v>66085631.399999999</v>
      </c>
      <c r="M151" s="6">
        <f>proc_Cambium22_highElec_gea!AI151-proc_Cambium22_MidCase_gea!AI151</f>
        <v>5895210</v>
      </c>
      <c r="N151" s="6">
        <f>proc_Cambium22_highElec_gea!AJ151-proc_Cambium22_MidCase_gea!AJ151</f>
        <v>11855992.200000003</v>
      </c>
      <c r="O151" s="6">
        <f>proc_Cambium22_highElec_gea!AK151-proc_Cambium22_MidCase_gea!AK151</f>
        <v>-9.8000000000000007</v>
      </c>
      <c r="P151" s="6">
        <f>proc_Cambium22_highElec_gea!AL151-proc_Cambium22_MidCase_gea!AL151</f>
        <v>-311800</v>
      </c>
      <c r="Q151" s="6">
        <f>proc_Cambium22_highElec_gea!AM151-proc_Cambium22_MidCase_gea!AM151</f>
        <v>48646255.699999988</v>
      </c>
      <c r="R151" s="11">
        <f t="shared" si="13"/>
        <v>8.9205624204719336E-2</v>
      </c>
      <c r="S151" s="11">
        <f t="shared" si="14"/>
        <v>0.17940347922589422</v>
      </c>
      <c r="T151" s="11">
        <f t="shared" si="15"/>
        <v>-1.4829244712338485E-7</v>
      </c>
      <c r="U151" s="11">
        <f t="shared" si="16"/>
        <v>-4.7181209197011626E-3</v>
      </c>
      <c r="V151" s="11">
        <f t="shared" si="17"/>
        <v>0.73610941848397005</v>
      </c>
    </row>
    <row r="152" spans="1:22" x14ac:dyDescent="0.3">
      <c r="A152" t="s">
        <v>6</v>
      </c>
      <c r="B152" t="s">
        <v>7</v>
      </c>
      <c r="C152" t="s">
        <v>172</v>
      </c>
      <c r="D152" s="7">
        <v>2045</v>
      </c>
      <c r="E152" s="6">
        <v>0.82</v>
      </c>
      <c r="F152" s="6">
        <v>132.69999999999999</v>
      </c>
      <c r="G152" s="6">
        <v>447.4</v>
      </c>
      <c r="H152" s="6">
        <v>533.9</v>
      </c>
      <c r="I152" s="6">
        <f>proc_Cambium22_highElec_gea!AE152-proc_Cambium22_MidCase_gea!AE152</f>
        <v>33459100</v>
      </c>
      <c r="J152" s="6">
        <f>proc_Cambium22_highElec_gea!AF152-proc_Cambium22_MidCase_gea!AF152</f>
        <v>0</v>
      </c>
      <c r="K152" s="6">
        <f>proc_Cambium22_highElec_gea!AG152-proc_Cambium22_MidCase_gea!AG152</f>
        <v>786.5</v>
      </c>
      <c r="L152" s="6">
        <f t="shared" si="12"/>
        <v>33458313.5</v>
      </c>
      <c r="M152" s="6">
        <f>proc_Cambium22_highElec_gea!AI152-proc_Cambium22_MidCase_gea!AI152</f>
        <v>4883626</v>
      </c>
      <c r="N152" s="6">
        <f>proc_Cambium22_highElec_gea!AJ152-proc_Cambium22_MidCase_gea!AJ152</f>
        <v>12497884.300000004</v>
      </c>
      <c r="O152" s="6">
        <f>proc_Cambium22_highElec_gea!AK152-proc_Cambium22_MidCase_gea!AK152</f>
        <v>0</v>
      </c>
      <c r="P152" s="6">
        <f>proc_Cambium22_highElec_gea!AL152-proc_Cambium22_MidCase_gea!AL152</f>
        <v>-2992</v>
      </c>
      <c r="Q152" s="6">
        <f>proc_Cambium22_highElec_gea!AM152-proc_Cambium22_MidCase_gea!AM152</f>
        <v>16079784.599999994</v>
      </c>
      <c r="R152" s="11">
        <f t="shared" si="13"/>
        <v>0.1459615111801735</v>
      </c>
      <c r="S152" s="11">
        <f t="shared" si="14"/>
        <v>0.37353599128659026</v>
      </c>
      <c r="T152" s="11">
        <f t="shared" si="15"/>
        <v>0</v>
      </c>
      <c r="U152" s="11">
        <f t="shared" si="16"/>
        <v>-8.9424710543165907E-5</v>
      </c>
      <c r="V152" s="11">
        <f t="shared" si="17"/>
        <v>0.48059160543163643</v>
      </c>
    </row>
    <row r="153" spans="1:22" x14ac:dyDescent="0.3">
      <c r="A153" t="s">
        <v>6</v>
      </c>
      <c r="B153" t="s">
        <v>7</v>
      </c>
      <c r="C153" t="s">
        <v>172</v>
      </c>
      <c r="D153" s="7">
        <v>2050</v>
      </c>
      <c r="E153" s="6">
        <v>0.81</v>
      </c>
      <c r="F153" s="6">
        <v>130.19999999999999</v>
      </c>
      <c r="G153" s="6">
        <v>411.6</v>
      </c>
      <c r="H153" s="6">
        <v>529</v>
      </c>
      <c r="I153" s="6">
        <f>proc_Cambium22_highElec_gea!AE153-proc_Cambium22_MidCase_gea!AE153</f>
        <v>73962760</v>
      </c>
      <c r="J153" s="6">
        <f>proc_Cambium22_highElec_gea!AF153-proc_Cambium22_MidCase_gea!AF153</f>
        <v>0</v>
      </c>
      <c r="K153" s="6">
        <f>proc_Cambium22_highElec_gea!AG153-proc_Cambium22_MidCase_gea!AG153</f>
        <v>-2824</v>
      </c>
      <c r="L153" s="6">
        <f t="shared" si="12"/>
        <v>73965584</v>
      </c>
      <c r="M153" s="6">
        <f>proc_Cambium22_highElec_gea!AI153-proc_Cambium22_MidCase_gea!AI153</f>
        <v>2259988</v>
      </c>
      <c r="N153" s="6">
        <f>proc_Cambium22_highElec_gea!AJ153-proc_Cambium22_MidCase_gea!AJ153</f>
        <v>10763083.5</v>
      </c>
      <c r="O153" s="6">
        <f>proc_Cambium22_highElec_gea!AK153-proc_Cambium22_MidCase_gea!AK153</f>
        <v>0</v>
      </c>
      <c r="P153" s="6">
        <f>proc_Cambium22_highElec_gea!AL153-proc_Cambium22_MidCase_gea!AL153</f>
        <v>-58830</v>
      </c>
      <c r="Q153" s="6">
        <f>proc_Cambium22_highElec_gea!AM153-proc_Cambium22_MidCase_gea!AM153</f>
        <v>61001342.099999994</v>
      </c>
      <c r="R153" s="11">
        <f t="shared" si="13"/>
        <v>3.0554588739541352E-2</v>
      </c>
      <c r="S153" s="11">
        <f t="shared" si="14"/>
        <v>0.14551475048179163</v>
      </c>
      <c r="T153" s="11">
        <f t="shared" si="15"/>
        <v>0</v>
      </c>
      <c r="U153" s="11">
        <f t="shared" si="16"/>
        <v>-7.9536991149829902E-4</v>
      </c>
      <c r="V153" s="11">
        <f t="shared" si="17"/>
        <v>0.8247260252822447</v>
      </c>
    </row>
    <row r="154" spans="1:22" x14ac:dyDescent="0.3">
      <c r="A154" t="s">
        <v>6</v>
      </c>
      <c r="B154" t="s">
        <v>7</v>
      </c>
      <c r="C154" t="s">
        <v>173</v>
      </c>
      <c r="D154" s="7">
        <v>2024</v>
      </c>
      <c r="E154" s="6">
        <v>0.56000000000000005</v>
      </c>
      <c r="F154" s="6">
        <v>295.2</v>
      </c>
      <c r="G154" s="6">
        <v>378.3</v>
      </c>
      <c r="H154" s="6">
        <v>869.6</v>
      </c>
      <c r="I154" s="6">
        <f>proc_Cambium22_highElec_gea!AE154-proc_Cambium22_MidCase_gea!AE154</f>
        <v>1134920</v>
      </c>
      <c r="J154" s="6">
        <f>proc_Cambium22_highElec_gea!AF154-proc_Cambium22_MidCase_gea!AF154</f>
        <v>0</v>
      </c>
      <c r="K154" s="6">
        <f>proc_Cambium22_highElec_gea!AG154-proc_Cambium22_MidCase_gea!AG154</f>
        <v>-10647.5</v>
      </c>
      <c r="L154" s="6">
        <f t="shared" si="12"/>
        <v>1145567.5</v>
      </c>
      <c r="M154" s="6">
        <f>proc_Cambium22_highElec_gea!AI154-proc_Cambium22_MidCase_gea!AI154</f>
        <v>397540</v>
      </c>
      <c r="N154" s="6">
        <f>proc_Cambium22_highElec_gea!AJ154-proc_Cambium22_MidCase_gea!AJ154</f>
        <v>270283.79999999702</v>
      </c>
      <c r="O154" s="6">
        <f>proc_Cambium22_highElec_gea!AK154-proc_Cambium22_MidCase_gea!AK154</f>
        <v>-540.80000000000109</v>
      </c>
      <c r="P154" s="6">
        <f>proc_Cambium22_highElec_gea!AL154-proc_Cambium22_MidCase_gea!AL154</f>
        <v>-1340</v>
      </c>
      <c r="Q154" s="6">
        <f>proc_Cambium22_highElec_gea!AM154-proc_Cambium22_MidCase_gea!AM154</f>
        <v>479636.40000000596</v>
      </c>
      <c r="R154" s="11">
        <f t="shared" si="13"/>
        <v>0.34702450968624721</v>
      </c>
      <c r="S154" s="11">
        <f t="shared" si="14"/>
        <v>0.23593878143365365</v>
      </c>
      <c r="T154" s="11">
        <f t="shared" si="15"/>
        <v>-4.7208043175107629E-4</v>
      </c>
      <c r="U154" s="11">
        <f t="shared" si="16"/>
        <v>-1.169725921868419E-3</v>
      </c>
      <c r="V154" s="11">
        <f t="shared" si="17"/>
        <v>0.41868890309825124</v>
      </c>
    </row>
    <row r="155" spans="1:22" x14ac:dyDescent="0.3">
      <c r="A155" t="s">
        <v>6</v>
      </c>
      <c r="B155" t="s">
        <v>7</v>
      </c>
      <c r="C155" t="s">
        <v>173</v>
      </c>
      <c r="D155" s="7">
        <v>2026</v>
      </c>
      <c r="E155" s="6">
        <v>0.61</v>
      </c>
      <c r="F155" s="6">
        <v>260</v>
      </c>
      <c r="G155" s="6">
        <v>279.5</v>
      </c>
      <c r="H155" s="6">
        <v>826.8</v>
      </c>
      <c r="I155" s="6">
        <f>proc_Cambium22_highElec_gea!AE155-proc_Cambium22_MidCase_gea!AE155</f>
        <v>3503930</v>
      </c>
      <c r="J155" s="6">
        <f>proc_Cambium22_highElec_gea!AF155-proc_Cambium22_MidCase_gea!AF155</f>
        <v>0</v>
      </c>
      <c r="K155" s="6">
        <f>proc_Cambium22_highElec_gea!AG155-proc_Cambium22_MidCase_gea!AG155</f>
        <v>18505</v>
      </c>
      <c r="L155" s="6">
        <f t="shared" si="12"/>
        <v>3485425</v>
      </c>
      <c r="M155" s="6">
        <f>proc_Cambium22_highElec_gea!AI155-proc_Cambium22_MidCase_gea!AI155</f>
        <v>2339476</v>
      </c>
      <c r="N155" s="6">
        <f>proc_Cambium22_highElec_gea!AJ155-proc_Cambium22_MidCase_gea!AJ155</f>
        <v>-1983681.5</v>
      </c>
      <c r="O155" s="6">
        <f>proc_Cambium22_highElec_gea!AK155-proc_Cambium22_MidCase_gea!AK155</f>
        <v>-358.60000000000036</v>
      </c>
      <c r="P155" s="6">
        <f>proc_Cambium22_highElec_gea!AL155-proc_Cambium22_MidCase_gea!AL155</f>
        <v>20350</v>
      </c>
      <c r="Q155" s="6">
        <f>proc_Cambium22_highElec_gea!AM155-proc_Cambium22_MidCase_gea!AM155</f>
        <v>3109627.599999994</v>
      </c>
      <c r="R155" s="11">
        <f t="shared" si="13"/>
        <v>0.67121685303800827</v>
      </c>
      <c r="S155" s="11">
        <f t="shared" si="14"/>
        <v>-0.56913618855663228</v>
      </c>
      <c r="T155" s="11">
        <f t="shared" si="15"/>
        <v>-1.0288558784079427E-4</v>
      </c>
      <c r="U155" s="11">
        <f t="shared" si="16"/>
        <v>5.8385993099837183E-3</v>
      </c>
      <c r="V155" s="11">
        <f t="shared" si="17"/>
        <v>0.89218032234232381</v>
      </c>
    </row>
    <row r="156" spans="1:22" x14ac:dyDescent="0.3">
      <c r="A156" t="s">
        <v>6</v>
      </c>
      <c r="B156" t="s">
        <v>7</v>
      </c>
      <c r="C156" t="s">
        <v>173</v>
      </c>
      <c r="D156" s="7">
        <v>2028</v>
      </c>
      <c r="E156" s="6">
        <v>0.7</v>
      </c>
      <c r="F156" s="6">
        <v>183.9</v>
      </c>
      <c r="G156" s="6">
        <v>211.8</v>
      </c>
      <c r="H156" s="6">
        <v>723.5</v>
      </c>
      <c r="I156" s="6">
        <f>proc_Cambium22_highElec_gea!AE156-proc_Cambium22_MidCase_gea!AE156</f>
        <v>3908140</v>
      </c>
      <c r="J156" s="6">
        <f>proc_Cambium22_highElec_gea!AF156-proc_Cambium22_MidCase_gea!AF156</f>
        <v>0</v>
      </c>
      <c r="K156" s="6">
        <f>proc_Cambium22_highElec_gea!AG156-proc_Cambium22_MidCase_gea!AG156</f>
        <v>7693.5999999996275</v>
      </c>
      <c r="L156" s="6">
        <f t="shared" si="12"/>
        <v>3900446.4000000004</v>
      </c>
      <c r="M156" s="6">
        <f>proc_Cambium22_highElec_gea!AI156-proc_Cambium22_MidCase_gea!AI156</f>
        <v>1797116</v>
      </c>
      <c r="N156" s="6">
        <f>proc_Cambium22_highElec_gea!AJ156-proc_Cambium22_MidCase_gea!AJ156</f>
        <v>243774.40000000596</v>
      </c>
      <c r="O156" s="6">
        <f>proc_Cambium22_highElec_gea!AK156-proc_Cambium22_MidCase_gea!AK156</f>
        <v>437.59999999999854</v>
      </c>
      <c r="P156" s="6">
        <f>proc_Cambium22_highElec_gea!AL156-proc_Cambium22_MidCase_gea!AL156</f>
        <v>636470</v>
      </c>
      <c r="Q156" s="6">
        <f>proc_Cambium22_highElec_gea!AM156-proc_Cambium22_MidCase_gea!AM156</f>
        <v>1222652.799999997</v>
      </c>
      <c r="R156" s="11">
        <f t="shared" si="13"/>
        <v>0.4607462366358886</v>
      </c>
      <c r="S156" s="11">
        <f t="shared" si="14"/>
        <v>6.2499102666814223E-2</v>
      </c>
      <c r="T156" s="11">
        <f t="shared" si="15"/>
        <v>1.1219228650341112E-4</v>
      </c>
      <c r="U156" s="11">
        <f t="shared" si="16"/>
        <v>0.16317875820572741</v>
      </c>
      <c r="V156" s="11">
        <f t="shared" si="17"/>
        <v>0.31346483828107391</v>
      </c>
    </row>
    <row r="157" spans="1:22" x14ac:dyDescent="0.3">
      <c r="A157" t="s">
        <v>6</v>
      </c>
      <c r="B157" t="s">
        <v>7</v>
      </c>
      <c r="C157" t="s">
        <v>173</v>
      </c>
      <c r="D157" s="7">
        <v>2030</v>
      </c>
      <c r="E157" s="6">
        <v>0.75</v>
      </c>
      <c r="F157" s="6">
        <v>147.1</v>
      </c>
      <c r="G157" s="6">
        <v>211.7</v>
      </c>
      <c r="H157" s="6">
        <v>662.9</v>
      </c>
      <c r="I157" s="6">
        <f>proc_Cambium22_highElec_gea!AE157-proc_Cambium22_MidCase_gea!AE157</f>
        <v>24466460</v>
      </c>
      <c r="J157" s="6">
        <f>proc_Cambium22_highElec_gea!AF157-proc_Cambium22_MidCase_gea!AF157</f>
        <v>0</v>
      </c>
      <c r="K157" s="6">
        <f>proc_Cambium22_highElec_gea!AG157-proc_Cambium22_MidCase_gea!AG157</f>
        <v>-1954.2000000001863</v>
      </c>
      <c r="L157" s="6">
        <f t="shared" si="12"/>
        <v>24468414.199999999</v>
      </c>
      <c r="M157" s="6">
        <f>proc_Cambium22_highElec_gea!AI157-proc_Cambium22_MidCase_gea!AI157</f>
        <v>248904</v>
      </c>
      <c r="N157" s="6">
        <f>proc_Cambium22_highElec_gea!AJ157-proc_Cambium22_MidCase_gea!AJ157</f>
        <v>-1996695.599999994</v>
      </c>
      <c r="O157" s="6">
        <f>proc_Cambium22_highElec_gea!AK157-proc_Cambium22_MidCase_gea!AK157</f>
        <v>1545.8000000000002</v>
      </c>
      <c r="P157" s="6">
        <f>proc_Cambium22_highElec_gea!AL157-proc_Cambium22_MidCase_gea!AL157</f>
        <v>-610690</v>
      </c>
      <c r="Q157" s="6">
        <f>proc_Cambium22_highElec_gea!AM157-proc_Cambium22_MidCase_gea!AM157</f>
        <v>26825339.699999988</v>
      </c>
      <c r="R157" s="11">
        <f t="shared" si="13"/>
        <v>1.0172461442147731E-2</v>
      </c>
      <c r="S157" s="11">
        <f t="shared" si="14"/>
        <v>-8.1602983490445979E-2</v>
      </c>
      <c r="T157" s="11">
        <f t="shared" si="15"/>
        <v>6.3175324210426359E-5</v>
      </c>
      <c r="U157" s="11">
        <f t="shared" si="16"/>
        <v>-2.4958299095656146E-2</v>
      </c>
      <c r="V157" s="11">
        <f t="shared" si="17"/>
        <v>1.0963252248688837</v>
      </c>
    </row>
    <row r="158" spans="1:22" x14ac:dyDescent="0.3">
      <c r="A158" t="s">
        <v>6</v>
      </c>
      <c r="B158" t="s">
        <v>7</v>
      </c>
      <c r="C158" t="s">
        <v>173</v>
      </c>
      <c r="D158" s="7">
        <v>2035</v>
      </c>
      <c r="E158" s="6">
        <v>0.83</v>
      </c>
      <c r="F158" s="6">
        <v>92.1</v>
      </c>
      <c r="G158" s="6">
        <v>211.6</v>
      </c>
      <c r="H158" s="6">
        <v>583.4</v>
      </c>
      <c r="I158" s="6">
        <f>proc_Cambium22_highElec_gea!AE158-proc_Cambium22_MidCase_gea!AE158</f>
        <v>16818330</v>
      </c>
      <c r="J158" s="6">
        <f>proc_Cambium22_highElec_gea!AF158-proc_Cambium22_MidCase_gea!AF158</f>
        <v>0</v>
      </c>
      <c r="K158" s="6">
        <f>proc_Cambium22_highElec_gea!AG158-proc_Cambium22_MidCase_gea!AG158</f>
        <v>4223</v>
      </c>
      <c r="L158" s="6">
        <f t="shared" si="12"/>
        <v>16814107</v>
      </c>
      <c r="M158" s="6">
        <f>proc_Cambium22_highElec_gea!AI158-proc_Cambium22_MidCase_gea!AI158</f>
        <v>3211842</v>
      </c>
      <c r="N158" s="6">
        <f>proc_Cambium22_highElec_gea!AJ158-proc_Cambium22_MidCase_gea!AJ158</f>
        <v>619520.90000000596</v>
      </c>
      <c r="O158" s="6">
        <f>proc_Cambium22_highElec_gea!AK158-proc_Cambium22_MidCase_gea!AK158</f>
        <v>1044</v>
      </c>
      <c r="P158" s="6">
        <f>proc_Cambium22_highElec_gea!AL158-proc_Cambium22_MidCase_gea!AL158</f>
        <v>-342426</v>
      </c>
      <c r="Q158" s="6">
        <f>proc_Cambium22_highElec_gea!AM158-proc_Cambium22_MidCase_gea!AM158</f>
        <v>13324073.5</v>
      </c>
      <c r="R158" s="11">
        <f t="shared" si="13"/>
        <v>0.1910206709163918</v>
      </c>
      <c r="S158" s="11">
        <f t="shared" si="14"/>
        <v>3.6845304957319823E-2</v>
      </c>
      <c r="T158" s="11">
        <f t="shared" si="15"/>
        <v>6.2090719417926866E-5</v>
      </c>
      <c r="U158" s="11">
        <f t="shared" si="16"/>
        <v>-2.0365399125864967E-2</v>
      </c>
      <c r="V158" s="11">
        <f t="shared" si="17"/>
        <v>0.79243420420721722</v>
      </c>
    </row>
    <row r="159" spans="1:22" x14ac:dyDescent="0.3">
      <c r="A159" t="s">
        <v>6</v>
      </c>
      <c r="B159" t="s">
        <v>7</v>
      </c>
      <c r="C159" t="s">
        <v>173</v>
      </c>
      <c r="D159" s="7">
        <v>2040</v>
      </c>
      <c r="E159" s="6">
        <v>0.86</v>
      </c>
      <c r="F159" s="6">
        <v>75.5</v>
      </c>
      <c r="G159" s="6">
        <v>188.3</v>
      </c>
      <c r="H159" s="6">
        <v>540.5</v>
      </c>
      <c r="I159" s="6">
        <f>proc_Cambium22_highElec_gea!AE159-proc_Cambium22_MidCase_gea!AE159</f>
        <v>50270880</v>
      </c>
      <c r="J159" s="6">
        <f>proc_Cambium22_highElec_gea!AF159-proc_Cambium22_MidCase_gea!AF159</f>
        <v>0</v>
      </c>
      <c r="K159" s="6">
        <f>proc_Cambium22_highElec_gea!AG159-proc_Cambium22_MidCase_gea!AG159</f>
        <v>9346.4000000001397</v>
      </c>
      <c r="L159" s="6">
        <f t="shared" si="12"/>
        <v>50261533.600000001</v>
      </c>
      <c r="M159" s="6">
        <f>proc_Cambium22_highElec_gea!AI159-proc_Cambium22_MidCase_gea!AI159</f>
        <v>4527938.5</v>
      </c>
      <c r="N159" s="6">
        <f>proc_Cambium22_highElec_gea!AJ159-proc_Cambium22_MidCase_gea!AJ159</f>
        <v>10349228.400000006</v>
      </c>
      <c r="O159" s="6">
        <f>proc_Cambium22_highElec_gea!AK159-proc_Cambium22_MidCase_gea!AK159</f>
        <v>-1141.6999999999998</v>
      </c>
      <c r="P159" s="6">
        <f>proc_Cambium22_highElec_gea!AL159-proc_Cambium22_MidCase_gea!AL159</f>
        <v>-119434</v>
      </c>
      <c r="Q159" s="6">
        <f>proc_Cambium22_highElec_gea!AM159-proc_Cambium22_MidCase_gea!AM159</f>
        <v>35504986</v>
      </c>
      <c r="R159" s="11">
        <f t="shared" si="13"/>
        <v>9.008755156647269E-2</v>
      </c>
      <c r="S159" s="11">
        <f t="shared" si="14"/>
        <v>0.2059075332313379</v>
      </c>
      <c r="T159" s="11">
        <f t="shared" si="15"/>
        <v>-2.2715184321395236E-5</v>
      </c>
      <c r="U159" s="11">
        <f t="shared" si="16"/>
        <v>-2.3762506124564414E-3</v>
      </c>
      <c r="V159" s="11">
        <f t="shared" si="17"/>
        <v>0.7064047484615551</v>
      </c>
    </row>
    <row r="160" spans="1:22" x14ac:dyDescent="0.3">
      <c r="A160" t="s">
        <v>6</v>
      </c>
      <c r="B160" t="s">
        <v>7</v>
      </c>
      <c r="C160" t="s">
        <v>173</v>
      </c>
      <c r="D160" s="7">
        <v>2045</v>
      </c>
      <c r="E160" s="6">
        <v>0.93</v>
      </c>
      <c r="F160" s="6">
        <v>38.700000000000003</v>
      </c>
      <c r="G160" s="6">
        <v>142.19999999999999</v>
      </c>
      <c r="H160" s="6">
        <v>497.4</v>
      </c>
      <c r="I160" s="6">
        <f>proc_Cambium22_highElec_gea!AE160-proc_Cambium22_MidCase_gea!AE160</f>
        <v>73666750</v>
      </c>
      <c r="J160" s="6">
        <f>proc_Cambium22_highElec_gea!AF160-proc_Cambium22_MidCase_gea!AF160</f>
        <v>0</v>
      </c>
      <c r="K160" s="6">
        <f>proc_Cambium22_highElec_gea!AG160-proc_Cambium22_MidCase_gea!AG160</f>
        <v>31736.40000000014</v>
      </c>
      <c r="L160" s="6">
        <f t="shared" si="12"/>
        <v>73635013.599999994</v>
      </c>
      <c r="M160" s="6">
        <f>proc_Cambium22_highElec_gea!AI160-proc_Cambium22_MidCase_gea!AI160</f>
        <v>4484876.5</v>
      </c>
      <c r="N160" s="6">
        <f>proc_Cambium22_highElec_gea!AJ160-proc_Cambium22_MidCase_gea!AJ160</f>
        <v>6056693.8999999985</v>
      </c>
      <c r="O160" s="6">
        <f>proc_Cambium22_highElec_gea!AK160-proc_Cambium22_MidCase_gea!AK160</f>
        <v>-686.30000000000007</v>
      </c>
      <c r="P160" s="6">
        <f>proc_Cambium22_highElec_gea!AL160-proc_Cambium22_MidCase_gea!AL160</f>
        <v>282800</v>
      </c>
      <c r="Q160" s="6">
        <f>proc_Cambium22_highElec_gea!AM160-proc_Cambium22_MidCase_gea!AM160</f>
        <v>62811349</v>
      </c>
      <c r="R160" s="11">
        <f t="shared" si="13"/>
        <v>6.0906846902517589E-2</v>
      </c>
      <c r="S160" s="11">
        <f t="shared" si="14"/>
        <v>8.2252906652549307E-2</v>
      </c>
      <c r="T160" s="11">
        <f t="shared" si="15"/>
        <v>-9.3202943334555191E-6</v>
      </c>
      <c r="U160" s="11">
        <f t="shared" si="16"/>
        <v>3.8405642394014582E-3</v>
      </c>
      <c r="V160" s="11">
        <f t="shared" si="17"/>
        <v>0.85300926731953508</v>
      </c>
    </row>
    <row r="161" spans="1:22" x14ac:dyDescent="0.3">
      <c r="A161" t="s">
        <v>6</v>
      </c>
      <c r="B161" t="s">
        <v>7</v>
      </c>
      <c r="C161" t="s">
        <v>173</v>
      </c>
      <c r="D161" s="7">
        <v>2050</v>
      </c>
      <c r="E161" s="6">
        <v>0.93</v>
      </c>
      <c r="F161" s="6">
        <v>38.9</v>
      </c>
      <c r="G161" s="6">
        <v>113.2</v>
      </c>
      <c r="H161" s="6">
        <v>511.2</v>
      </c>
      <c r="I161" s="6">
        <f>proc_Cambium22_highElec_gea!AE161-proc_Cambium22_MidCase_gea!AE161</f>
        <v>126092100</v>
      </c>
      <c r="J161" s="6">
        <f>proc_Cambium22_highElec_gea!AF161-proc_Cambium22_MidCase_gea!AF161</f>
        <v>0</v>
      </c>
      <c r="K161" s="6">
        <f>proc_Cambium22_highElec_gea!AG161-proc_Cambium22_MidCase_gea!AG161</f>
        <v>37700.90000000014</v>
      </c>
      <c r="L161" s="6">
        <f t="shared" si="12"/>
        <v>126054399.09999999</v>
      </c>
      <c r="M161" s="6">
        <f>proc_Cambium22_highElec_gea!AI161-proc_Cambium22_MidCase_gea!AI161</f>
        <v>2080159.8</v>
      </c>
      <c r="N161" s="6">
        <f>proc_Cambium22_highElec_gea!AJ161-proc_Cambium22_MidCase_gea!AJ161</f>
        <v>3735635.799999997</v>
      </c>
      <c r="O161" s="6">
        <f>proc_Cambium22_highElec_gea!AK161-proc_Cambium22_MidCase_gea!AK161</f>
        <v>-17.899999999999999</v>
      </c>
      <c r="P161" s="6">
        <f>proc_Cambium22_highElec_gea!AL161-proc_Cambium22_MidCase_gea!AL161</f>
        <v>3194304</v>
      </c>
      <c r="Q161" s="6">
        <f>proc_Cambium22_highElec_gea!AM161-proc_Cambium22_MidCase_gea!AM161</f>
        <v>117044336</v>
      </c>
      <c r="R161" s="11">
        <f t="shared" si="13"/>
        <v>1.6502080172146886E-2</v>
      </c>
      <c r="S161" s="11">
        <f t="shared" si="14"/>
        <v>2.9635108545767501E-2</v>
      </c>
      <c r="T161" s="11">
        <f t="shared" si="15"/>
        <v>-1.4200218419826649E-7</v>
      </c>
      <c r="U161" s="11">
        <f t="shared" si="16"/>
        <v>2.5340678491243548E-2</v>
      </c>
      <c r="V161" s="11">
        <f t="shared" si="17"/>
        <v>0.92852242234836857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1682-7E2C-444B-8840-F067E139DDB7}">
  <dimension ref="A1:AR161"/>
  <sheetViews>
    <sheetView workbookViewId="0">
      <pane xSplit="4" topLeftCell="M1" activePane="topRight" state="frozen"/>
      <selection pane="topRight" activeCell="Q148" sqref="Q148"/>
    </sheetView>
  </sheetViews>
  <sheetFormatPr defaultRowHeight="14.4" x14ac:dyDescent="0.3"/>
  <cols>
    <col min="1" max="5" width="15.77734375" customWidth="1"/>
    <col min="6" max="6" width="21.77734375" customWidth="1"/>
    <col min="7" max="7" width="22.5546875" customWidth="1"/>
    <col min="8" max="8" width="26.33203125" customWidth="1"/>
    <col min="9" max="9" width="15.77734375" style="5" customWidth="1"/>
    <col min="10" max="10" width="20.5546875" style="5" customWidth="1"/>
    <col min="11" max="31" width="15.77734375" style="5" customWidth="1"/>
    <col min="32" max="32" width="18.6640625" style="5" customWidth="1"/>
    <col min="33" max="33" width="15.77734375" style="5" customWidth="1"/>
    <col min="34" max="34" width="25" style="5" customWidth="1"/>
    <col min="35" max="39" width="15.77734375" style="5" customWidth="1"/>
    <col min="40" max="40" width="15.77734375" customWidth="1"/>
    <col min="41" max="41" width="18.77734375" customWidth="1"/>
    <col min="42" max="43" width="15.77734375" customWidth="1"/>
    <col min="44" max="44" width="17.6640625" customWidth="1"/>
    <col min="46" max="46" width="12" bestFit="1" customWidth="1"/>
    <col min="48" max="48" width="11" bestFit="1" customWidth="1"/>
  </cols>
  <sheetData>
    <row r="1" spans="1:44" s="4" customFormat="1" x14ac:dyDescent="0.3">
      <c r="A1" s="13" t="s">
        <v>197</v>
      </c>
      <c r="B1" s="13" t="s">
        <v>177</v>
      </c>
      <c r="C1" s="8" t="s">
        <v>174</v>
      </c>
      <c r="D1" s="8" t="s">
        <v>175</v>
      </c>
      <c r="E1" s="8" t="s">
        <v>53</v>
      </c>
      <c r="F1" s="8" t="s">
        <v>196</v>
      </c>
      <c r="G1" s="14" t="s">
        <v>194</v>
      </c>
      <c r="H1" s="14" t="s">
        <v>195</v>
      </c>
      <c r="I1" s="8" t="s">
        <v>109</v>
      </c>
      <c r="J1" s="8" t="s">
        <v>110</v>
      </c>
      <c r="K1" s="8" t="s">
        <v>111</v>
      </c>
      <c r="L1" s="8" t="s">
        <v>112</v>
      </c>
      <c r="M1" s="8" t="s">
        <v>113</v>
      </c>
      <c r="N1" s="8" t="s">
        <v>114</v>
      </c>
      <c r="O1" s="8" t="s">
        <v>115</v>
      </c>
      <c r="P1" s="8" t="s">
        <v>116</v>
      </c>
      <c r="Q1" s="8" t="s">
        <v>117</v>
      </c>
      <c r="R1" s="8" t="s">
        <v>118</v>
      </c>
      <c r="S1" s="8" t="s">
        <v>119</v>
      </c>
      <c r="T1" s="8" t="s">
        <v>120</v>
      </c>
      <c r="U1" s="8" t="s">
        <v>121</v>
      </c>
      <c r="V1" s="8" t="s">
        <v>122</v>
      </c>
      <c r="W1" s="8" t="s">
        <v>123</v>
      </c>
      <c r="X1" s="8" t="s">
        <v>124</v>
      </c>
      <c r="Y1" s="8" t="s">
        <v>125</v>
      </c>
      <c r="Z1" s="8" t="s">
        <v>126</v>
      </c>
      <c r="AA1" s="8" t="s">
        <v>127</v>
      </c>
      <c r="AB1" s="8" t="s">
        <v>128</v>
      </c>
      <c r="AC1" s="8" t="s">
        <v>129</v>
      </c>
      <c r="AD1" s="8" t="s">
        <v>130</v>
      </c>
      <c r="AE1" s="8" t="s">
        <v>180</v>
      </c>
      <c r="AF1" s="8" t="s">
        <v>181</v>
      </c>
      <c r="AG1" s="8" t="s">
        <v>182</v>
      </c>
      <c r="AH1" s="8" t="s">
        <v>183</v>
      </c>
      <c r="AI1" s="8" t="s">
        <v>184</v>
      </c>
      <c r="AJ1" s="8" t="s">
        <v>185</v>
      </c>
      <c r="AK1" s="8" t="s">
        <v>186</v>
      </c>
      <c r="AL1" s="8" t="s">
        <v>187</v>
      </c>
      <c r="AM1" s="8" t="s">
        <v>188</v>
      </c>
      <c r="AN1" s="9" t="s">
        <v>189</v>
      </c>
      <c r="AO1" s="9" t="s">
        <v>190</v>
      </c>
      <c r="AP1" s="9" t="s">
        <v>191</v>
      </c>
      <c r="AQ1" s="9" t="s">
        <v>192</v>
      </c>
      <c r="AR1" s="9" t="s">
        <v>193</v>
      </c>
    </row>
    <row r="2" spans="1:44" x14ac:dyDescent="0.3">
      <c r="A2" t="s">
        <v>6</v>
      </c>
      <c r="B2" t="s">
        <v>7</v>
      </c>
      <c r="C2" t="s">
        <v>154</v>
      </c>
      <c r="D2" s="7">
        <v>2024</v>
      </c>
      <c r="E2" s="6">
        <v>0.63</v>
      </c>
      <c r="F2" s="6">
        <v>279.39999999999998</v>
      </c>
      <c r="G2" s="15">
        <v>326.89999999999998</v>
      </c>
      <c r="H2" s="15">
        <v>777.1</v>
      </c>
      <c r="I2" s="6">
        <v>185725700</v>
      </c>
      <c r="J2" s="6">
        <v>74605900</v>
      </c>
      <c r="K2" s="6">
        <v>1058299.8999999999</v>
      </c>
      <c r="L2" s="6">
        <v>268082.59999999998</v>
      </c>
      <c r="M2" s="6">
        <v>0</v>
      </c>
      <c r="N2" s="6">
        <v>0</v>
      </c>
      <c r="O2" s="6">
        <v>22849070</v>
      </c>
      <c r="P2" s="6">
        <v>0</v>
      </c>
      <c r="Q2" s="6">
        <v>610865.5</v>
      </c>
      <c r="R2" s="6">
        <v>4276916</v>
      </c>
      <c r="S2" s="6">
        <v>45641604</v>
      </c>
      <c r="T2" s="6">
        <v>0</v>
      </c>
      <c r="U2" s="6">
        <v>547197.1</v>
      </c>
      <c r="V2" s="6">
        <v>64042.6</v>
      </c>
      <c r="W2" s="6">
        <v>9500686</v>
      </c>
      <c r="X2" s="6">
        <v>30865014</v>
      </c>
      <c r="Y2" s="6">
        <v>35759</v>
      </c>
      <c r="Z2" s="6">
        <v>290045.5</v>
      </c>
      <c r="AA2" s="6">
        <v>0</v>
      </c>
      <c r="AB2" s="6">
        <v>60049544</v>
      </c>
      <c r="AC2" s="6">
        <v>9668579</v>
      </c>
      <c r="AD2" s="6">
        <v>0</v>
      </c>
      <c r="AE2" s="6">
        <f>I2</f>
        <v>185725700</v>
      </c>
      <c r="AF2" s="6">
        <f>N2</f>
        <v>0</v>
      </c>
      <c r="AG2" s="6">
        <f>SUM(L2,M2)</f>
        <v>268082.59999999998</v>
      </c>
      <c r="AH2" s="6">
        <f>AE2-AF2-AG2</f>
        <v>185457617.40000001</v>
      </c>
      <c r="AI2" s="6">
        <f>SUM(O2,P2)</f>
        <v>22849070</v>
      </c>
      <c r="AJ2" s="6">
        <f>SUM(S2,T2,U2)</f>
        <v>46188801.100000001</v>
      </c>
      <c r="AK2" s="6">
        <f>Y2</f>
        <v>35759</v>
      </c>
      <c r="AL2" s="6">
        <f>X2</f>
        <v>30865014</v>
      </c>
      <c r="AM2" s="6">
        <f>SUM(K2,Q2,R2,V2,W2,Z2,AA2,AB2,AC2,AD2)</f>
        <v>85518978.5</v>
      </c>
      <c r="AN2" s="10">
        <f>AI2/AH2</f>
        <v>0.12320372881054817</v>
      </c>
      <c r="AO2" s="10">
        <f>AJ2/AH2</f>
        <v>0.24905313541464705</v>
      </c>
      <c r="AP2" s="10">
        <f>AK2/AH2</f>
        <v>1.9281494338878528E-4</v>
      </c>
      <c r="AQ2" s="10">
        <f>AL2/AH2</f>
        <v>0.16642624030605063</v>
      </c>
      <c r="AR2" s="10">
        <f>AM2/AH2</f>
        <v>0.46112410856411656</v>
      </c>
    </row>
    <row r="3" spans="1:44" x14ac:dyDescent="0.3">
      <c r="A3" t="s">
        <v>6</v>
      </c>
      <c r="B3" t="s">
        <v>7</v>
      </c>
      <c r="C3" t="s">
        <v>154</v>
      </c>
      <c r="D3" s="7">
        <v>2026</v>
      </c>
      <c r="E3" s="6">
        <v>0.69</v>
      </c>
      <c r="F3" s="6">
        <v>237.5</v>
      </c>
      <c r="G3" s="15">
        <v>193.9</v>
      </c>
      <c r="H3" s="15">
        <v>709.7</v>
      </c>
      <c r="I3" s="6">
        <v>192790580</v>
      </c>
      <c r="J3" s="6">
        <v>87517200</v>
      </c>
      <c r="K3" s="6">
        <v>3477472.5</v>
      </c>
      <c r="L3" s="6">
        <v>264561</v>
      </c>
      <c r="M3" s="6">
        <v>0</v>
      </c>
      <c r="N3" s="6">
        <v>0</v>
      </c>
      <c r="O3" s="6">
        <v>21009922</v>
      </c>
      <c r="P3" s="6">
        <v>0</v>
      </c>
      <c r="Q3" s="6">
        <v>608656.19999999995</v>
      </c>
      <c r="R3" s="6">
        <v>5319292.5</v>
      </c>
      <c r="S3" s="6">
        <v>38507870</v>
      </c>
      <c r="T3" s="6">
        <v>0</v>
      </c>
      <c r="U3" s="6">
        <v>421014.4</v>
      </c>
      <c r="V3" s="6">
        <v>63990.2</v>
      </c>
      <c r="W3" s="6">
        <v>10746645</v>
      </c>
      <c r="X3" s="6">
        <v>30392044</v>
      </c>
      <c r="Y3" s="6">
        <v>26155.8</v>
      </c>
      <c r="Z3" s="6">
        <v>363703.8</v>
      </c>
      <c r="AA3" s="6">
        <v>0</v>
      </c>
      <c r="AB3" s="6">
        <v>70623930</v>
      </c>
      <c r="AC3" s="6">
        <v>10965319</v>
      </c>
      <c r="AD3" s="6">
        <v>0</v>
      </c>
      <c r="AE3" s="6">
        <f t="shared" ref="AE3:AE66" si="0">I3</f>
        <v>192790580</v>
      </c>
      <c r="AF3" s="6">
        <f t="shared" ref="AF3:AF66" si="1">N3</f>
        <v>0</v>
      </c>
      <c r="AG3" s="6">
        <f>SUM(L3,M3)</f>
        <v>264561</v>
      </c>
      <c r="AH3" s="6">
        <f t="shared" ref="AH3:AH66" si="2">AE3-AF3-AG3</f>
        <v>192526019</v>
      </c>
      <c r="AI3" s="6">
        <f t="shared" ref="AI3:AI66" si="3">SUM(O3,P3)</f>
        <v>21009922</v>
      </c>
      <c r="AJ3" s="6">
        <f t="shared" ref="AJ3:AJ66" si="4">SUM(S3,T3,U3)</f>
        <v>38928884.399999999</v>
      </c>
      <c r="AK3" s="6">
        <f t="shared" ref="AK3:AK66" si="5">Y3</f>
        <v>26155.8</v>
      </c>
      <c r="AL3" s="6">
        <f t="shared" ref="AL3:AL66" si="6">X3</f>
        <v>30392044</v>
      </c>
      <c r="AM3" s="6">
        <f t="shared" ref="AM3:AM66" si="7">SUM(K3,Q3,R3,V3,W3,Z3,AA3,AB3,AC3,AD3)</f>
        <v>102169009.2</v>
      </c>
      <c r="AN3" s="10">
        <f t="shared" ref="AN3:AN66" si="8">AI3/AH3</f>
        <v>0.10912770185104176</v>
      </c>
      <c r="AO3" s="10">
        <f t="shared" ref="AO3:AO66" si="9">AJ3/AH3</f>
        <v>0.20220064073521407</v>
      </c>
      <c r="AP3" s="10">
        <f t="shared" ref="AP3:AP66" si="10">AK3/AH3</f>
        <v>1.3585592293372046E-4</v>
      </c>
      <c r="AQ3" s="10">
        <f t="shared" ref="AQ3:AQ66" si="11">AL3/AH3</f>
        <v>0.15785941119989605</v>
      </c>
      <c r="AR3" s="10">
        <f t="shared" ref="AR3:AR66" si="12">AM3/AH3</f>
        <v>0.53067637159214309</v>
      </c>
    </row>
    <row r="4" spans="1:44" x14ac:dyDescent="0.3">
      <c r="A4" t="s">
        <v>6</v>
      </c>
      <c r="B4" t="s">
        <v>7</v>
      </c>
      <c r="C4" t="s">
        <v>154</v>
      </c>
      <c r="D4" s="7">
        <v>2028</v>
      </c>
      <c r="E4" s="6">
        <v>0.8</v>
      </c>
      <c r="F4" s="6">
        <v>157.9</v>
      </c>
      <c r="G4" s="15">
        <v>130.5</v>
      </c>
      <c r="H4" s="15">
        <v>576.4</v>
      </c>
      <c r="I4" s="6">
        <v>193906060</v>
      </c>
      <c r="J4" s="6">
        <v>108173544</v>
      </c>
      <c r="K4" s="6">
        <v>5395934.5</v>
      </c>
      <c r="L4" s="6">
        <v>255561.7</v>
      </c>
      <c r="M4" s="6">
        <v>0</v>
      </c>
      <c r="N4" s="6">
        <v>0</v>
      </c>
      <c r="O4" s="6">
        <v>14483350</v>
      </c>
      <c r="P4" s="6">
        <v>0</v>
      </c>
      <c r="Q4" s="6">
        <v>556958.6</v>
      </c>
      <c r="R4" s="6">
        <v>6520668.5</v>
      </c>
      <c r="S4" s="6">
        <v>24957266</v>
      </c>
      <c r="T4" s="6">
        <v>0</v>
      </c>
      <c r="U4" s="6">
        <v>199220.8</v>
      </c>
      <c r="V4" s="6">
        <v>62781.2</v>
      </c>
      <c r="W4" s="6">
        <v>10590049</v>
      </c>
      <c r="X4" s="6">
        <v>29352388</v>
      </c>
      <c r="Y4" s="6">
        <v>19751.400000000001</v>
      </c>
      <c r="Z4" s="6">
        <v>416224.2</v>
      </c>
      <c r="AA4" s="6">
        <v>0</v>
      </c>
      <c r="AB4" s="6">
        <v>81877870</v>
      </c>
      <c r="AC4" s="6">
        <v>19218034</v>
      </c>
      <c r="AD4" s="6">
        <v>0</v>
      </c>
      <c r="AE4" s="6">
        <f t="shared" si="0"/>
        <v>193906060</v>
      </c>
      <c r="AF4" s="6">
        <f t="shared" si="1"/>
        <v>0</v>
      </c>
      <c r="AG4" s="6">
        <f t="shared" ref="AG4:AG66" si="13">SUM(L4,M4)</f>
        <v>255561.7</v>
      </c>
      <c r="AH4" s="6">
        <f t="shared" si="2"/>
        <v>193650498.30000001</v>
      </c>
      <c r="AI4" s="6">
        <f t="shared" si="3"/>
        <v>14483350</v>
      </c>
      <c r="AJ4" s="6">
        <f t="shared" si="4"/>
        <v>25156486.800000001</v>
      </c>
      <c r="AK4" s="6">
        <f t="shared" si="5"/>
        <v>19751.400000000001</v>
      </c>
      <c r="AL4" s="6">
        <f t="shared" si="6"/>
        <v>29352388</v>
      </c>
      <c r="AM4" s="6">
        <f t="shared" si="7"/>
        <v>124638520</v>
      </c>
      <c r="AN4" s="10">
        <f t="shared" si="8"/>
        <v>7.4791183741560241E-2</v>
      </c>
      <c r="AO4" s="10">
        <f t="shared" si="9"/>
        <v>0.12990664635950486</v>
      </c>
      <c r="AP4" s="10">
        <f t="shared" si="10"/>
        <v>1.0199508998629827E-4</v>
      </c>
      <c r="AQ4" s="10">
        <f t="shared" si="11"/>
        <v>0.15157403806174455</v>
      </c>
      <c r="AR4" s="10">
        <f t="shared" si="12"/>
        <v>0.64362612590292512</v>
      </c>
    </row>
    <row r="5" spans="1:44" x14ac:dyDescent="0.3">
      <c r="A5" t="s">
        <v>6</v>
      </c>
      <c r="B5" t="s">
        <v>7</v>
      </c>
      <c r="C5" t="s">
        <v>154</v>
      </c>
      <c r="D5" s="7">
        <v>2030</v>
      </c>
      <c r="E5" s="6">
        <v>0.84</v>
      </c>
      <c r="F5" s="6">
        <v>133.30000000000001</v>
      </c>
      <c r="G5" s="15">
        <v>103.7</v>
      </c>
      <c r="H5" s="15">
        <v>486.7</v>
      </c>
      <c r="I5" s="6">
        <v>193562020</v>
      </c>
      <c r="J5" s="6">
        <v>113367950</v>
      </c>
      <c r="K5" s="6">
        <v>8528383</v>
      </c>
      <c r="L5" s="6">
        <v>248627.6</v>
      </c>
      <c r="M5" s="6">
        <v>0</v>
      </c>
      <c r="N5" s="6">
        <v>0</v>
      </c>
      <c r="O5" s="6">
        <v>13433882</v>
      </c>
      <c r="P5" s="6">
        <v>0</v>
      </c>
      <c r="Q5" s="6">
        <v>441317.3</v>
      </c>
      <c r="R5" s="6">
        <v>7608230.5</v>
      </c>
      <c r="S5" s="6">
        <v>18266398</v>
      </c>
      <c r="T5" s="6">
        <v>0</v>
      </c>
      <c r="U5" s="6">
        <v>137996.4</v>
      </c>
      <c r="V5" s="6">
        <v>61267.8</v>
      </c>
      <c r="W5" s="6">
        <v>10472780</v>
      </c>
      <c r="X5" s="6">
        <v>28571094</v>
      </c>
      <c r="Y5" s="6">
        <v>2684.8</v>
      </c>
      <c r="Z5" s="6">
        <v>470947.8</v>
      </c>
      <c r="AA5" s="6">
        <v>0</v>
      </c>
      <c r="AB5" s="6">
        <v>82395040</v>
      </c>
      <c r="AC5" s="6">
        <v>22923364</v>
      </c>
      <c r="AD5" s="6">
        <v>0</v>
      </c>
      <c r="AE5" s="6">
        <f t="shared" si="0"/>
        <v>193562020</v>
      </c>
      <c r="AF5" s="6">
        <f t="shared" si="1"/>
        <v>0</v>
      </c>
      <c r="AG5" s="6">
        <f t="shared" si="13"/>
        <v>248627.6</v>
      </c>
      <c r="AH5" s="6">
        <f t="shared" si="2"/>
        <v>193313392.40000001</v>
      </c>
      <c r="AI5" s="6">
        <f t="shared" si="3"/>
        <v>13433882</v>
      </c>
      <c r="AJ5" s="6">
        <f t="shared" si="4"/>
        <v>18404394.399999999</v>
      </c>
      <c r="AK5" s="6">
        <f t="shared" si="5"/>
        <v>2684.8</v>
      </c>
      <c r="AL5" s="6">
        <f t="shared" si="6"/>
        <v>28571094</v>
      </c>
      <c r="AM5" s="6">
        <f t="shared" si="7"/>
        <v>132901330.40000001</v>
      </c>
      <c r="AN5" s="10">
        <f t="shared" si="8"/>
        <v>6.9492764227130702E-2</v>
      </c>
      <c r="AO5" s="10">
        <f t="shared" si="9"/>
        <v>9.5204963150809604E-2</v>
      </c>
      <c r="AP5" s="10">
        <f t="shared" si="10"/>
        <v>1.3888329032293161E-5</v>
      </c>
      <c r="AQ5" s="10">
        <f t="shared" si="11"/>
        <v>0.14779676485569759</v>
      </c>
      <c r="AR5" s="10">
        <f t="shared" si="12"/>
        <v>0.68749158426128787</v>
      </c>
    </row>
    <row r="6" spans="1:44" x14ac:dyDescent="0.3">
      <c r="A6" t="s">
        <v>6</v>
      </c>
      <c r="B6" t="s">
        <v>7</v>
      </c>
      <c r="C6" t="s">
        <v>154</v>
      </c>
      <c r="D6" s="7">
        <v>2035</v>
      </c>
      <c r="E6" s="6">
        <v>0.89</v>
      </c>
      <c r="F6" s="6">
        <v>81.900000000000006</v>
      </c>
      <c r="G6" s="15">
        <v>149.4</v>
      </c>
      <c r="H6" s="15">
        <v>398.4</v>
      </c>
      <c r="I6" s="6">
        <v>210627860</v>
      </c>
      <c r="J6" s="6">
        <v>128952530</v>
      </c>
      <c r="K6" s="6">
        <v>20532598</v>
      </c>
      <c r="L6" s="6">
        <v>225081.4</v>
      </c>
      <c r="M6" s="6">
        <v>0</v>
      </c>
      <c r="N6" s="6">
        <v>0</v>
      </c>
      <c r="O6" s="6">
        <v>8231337.5</v>
      </c>
      <c r="P6" s="6">
        <v>0</v>
      </c>
      <c r="Q6" s="6">
        <v>378828.1</v>
      </c>
      <c r="R6" s="6">
        <v>8916487</v>
      </c>
      <c r="S6" s="6">
        <v>14103992</v>
      </c>
      <c r="T6" s="6">
        <v>0</v>
      </c>
      <c r="U6" s="6">
        <v>113331.4</v>
      </c>
      <c r="V6" s="6">
        <v>60463.1</v>
      </c>
      <c r="W6" s="6">
        <v>10419592</v>
      </c>
      <c r="X6" s="6">
        <v>27536908</v>
      </c>
      <c r="Y6" s="6">
        <v>4222.1000000000004</v>
      </c>
      <c r="Z6" s="6">
        <v>447807</v>
      </c>
      <c r="AA6" s="6">
        <v>0</v>
      </c>
      <c r="AB6" s="6">
        <v>96125930</v>
      </c>
      <c r="AC6" s="6">
        <v>23531278</v>
      </c>
      <c r="AD6" s="6">
        <v>0</v>
      </c>
      <c r="AE6" s="6">
        <f t="shared" si="0"/>
        <v>210627860</v>
      </c>
      <c r="AF6" s="6">
        <f t="shared" si="1"/>
        <v>0</v>
      </c>
      <c r="AG6" s="6">
        <f t="shared" si="13"/>
        <v>225081.4</v>
      </c>
      <c r="AH6" s="6">
        <f t="shared" si="2"/>
        <v>210402778.59999999</v>
      </c>
      <c r="AI6" s="6">
        <f t="shared" si="3"/>
        <v>8231337.5</v>
      </c>
      <c r="AJ6" s="6">
        <f t="shared" si="4"/>
        <v>14217323.4</v>
      </c>
      <c r="AK6" s="6">
        <f t="shared" si="5"/>
        <v>4222.1000000000004</v>
      </c>
      <c r="AL6" s="6">
        <f t="shared" si="6"/>
        <v>27536908</v>
      </c>
      <c r="AM6" s="6">
        <f t="shared" si="7"/>
        <v>160412983.19999999</v>
      </c>
      <c r="AN6" s="10">
        <f t="shared" si="8"/>
        <v>3.9121809867581285E-2</v>
      </c>
      <c r="AO6" s="10">
        <f t="shared" si="9"/>
        <v>6.7571937474403682E-2</v>
      </c>
      <c r="AP6" s="10">
        <f t="shared" si="10"/>
        <v>2.0066750202128748E-5</v>
      </c>
      <c r="AQ6" s="10">
        <f t="shared" si="11"/>
        <v>0.13087711190521323</v>
      </c>
      <c r="AR6" s="10">
        <f t="shared" si="12"/>
        <v>0.76240905309032836</v>
      </c>
    </row>
    <row r="7" spans="1:44" x14ac:dyDescent="0.3">
      <c r="A7" t="s">
        <v>6</v>
      </c>
      <c r="B7" t="s">
        <v>7</v>
      </c>
      <c r="C7" t="s">
        <v>154</v>
      </c>
      <c r="D7" s="7">
        <v>2040</v>
      </c>
      <c r="E7" s="6">
        <v>0.94</v>
      </c>
      <c r="F7" s="6">
        <v>50.9</v>
      </c>
      <c r="G7" s="15">
        <v>190.5</v>
      </c>
      <c r="H7" s="15">
        <v>357.2</v>
      </c>
      <c r="I7" s="6">
        <v>241941730</v>
      </c>
      <c r="J7" s="6">
        <v>154730400</v>
      </c>
      <c r="K7" s="6">
        <v>33760680</v>
      </c>
      <c r="L7" s="6">
        <v>218856.6</v>
      </c>
      <c r="M7" s="6">
        <v>0</v>
      </c>
      <c r="N7" s="6">
        <v>0</v>
      </c>
      <c r="O7" s="6">
        <v>6037824</v>
      </c>
      <c r="P7" s="6">
        <v>0</v>
      </c>
      <c r="Q7" s="6">
        <v>368334.2</v>
      </c>
      <c r="R7" s="6">
        <v>8922198</v>
      </c>
      <c r="S7" s="6">
        <v>9530107</v>
      </c>
      <c r="T7" s="6">
        <v>0</v>
      </c>
      <c r="U7" s="6">
        <v>63337.8</v>
      </c>
      <c r="V7" s="6">
        <v>60463.5</v>
      </c>
      <c r="W7" s="6">
        <v>10166571</v>
      </c>
      <c r="X7" s="6">
        <v>26945542</v>
      </c>
      <c r="Y7" s="6">
        <v>535.6</v>
      </c>
      <c r="Z7" s="6">
        <v>427417.8</v>
      </c>
      <c r="AA7" s="6">
        <v>0</v>
      </c>
      <c r="AB7" s="6">
        <v>114344270</v>
      </c>
      <c r="AC7" s="6">
        <v>31095594</v>
      </c>
      <c r="AD7" s="6">
        <v>0</v>
      </c>
      <c r="AE7" s="6">
        <f t="shared" si="0"/>
        <v>241941730</v>
      </c>
      <c r="AF7" s="6">
        <f t="shared" si="1"/>
        <v>0</v>
      </c>
      <c r="AG7" s="6">
        <f t="shared" si="13"/>
        <v>218856.6</v>
      </c>
      <c r="AH7" s="6">
        <f t="shared" si="2"/>
        <v>241722873.40000001</v>
      </c>
      <c r="AI7" s="6">
        <f t="shared" si="3"/>
        <v>6037824</v>
      </c>
      <c r="AJ7" s="6">
        <f t="shared" si="4"/>
        <v>9593444.8000000007</v>
      </c>
      <c r="AK7" s="6">
        <f t="shared" si="5"/>
        <v>535.6</v>
      </c>
      <c r="AL7" s="6">
        <f t="shared" si="6"/>
        <v>26945542</v>
      </c>
      <c r="AM7" s="6">
        <f t="shared" si="7"/>
        <v>199145528.5</v>
      </c>
      <c r="AN7" s="10">
        <f t="shared" si="8"/>
        <v>2.49782898700227E-2</v>
      </c>
      <c r="AO7" s="10">
        <f t="shared" si="9"/>
        <v>3.9687782397509759E-2</v>
      </c>
      <c r="AP7" s="10">
        <f t="shared" si="10"/>
        <v>2.215760521403764E-6</v>
      </c>
      <c r="AQ7" s="10">
        <f t="shared" si="11"/>
        <v>0.11147286816920653</v>
      </c>
      <c r="AR7" s="10">
        <f t="shared" si="12"/>
        <v>0.82385885000819292</v>
      </c>
    </row>
    <row r="8" spans="1:44" x14ac:dyDescent="0.3">
      <c r="A8" t="s">
        <v>6</v>
      </c>
      <c r="B8" t="s">
        <v>7</v>
      </c>
      <c r="C8" t="s">
        <v>154</v>
      </c>
      <c r="D8" s="7">
        <v>2045</v>
      </c>
      <c r="E8" s="6">
        <v>0.95</v>
      </c>
      <c r="F8" s="6">
        <v>38</v>
      </c>
      <c r="G8" s="15">
        <v>189.5</v>
      </c>
      <c r="H8" s="15">
        <v>261.5</v>
      </c>
      <c r="I8" s="6">
        <v>264769330</v>
      </c>
      <c r="J8" s="6">
        <v>171053340</v>
      </c>
      <c r="K8" s="6">
        <v>44897732</v>
      </c>
      <c r="L8" s="6">
        <v>211938</v>
      </c>
      <c r="M8" s="6">
        <v>0</v>
      </c>
      <c r="N8" s="6">
        <v>0</v>
      </c>
      <c r="O8" s="6">
        <v>5122842.5</v>
      </c>
      <c r="P8" s="6">
        <v>0</v>
      </c>
      <c r="Q8" s="6">
        <v>0</v>
      </c>
      <c r="R8" s="6">
        <v>8252094.5</v>
      </c>
      <c r="S8" s="6">
        <v>7293065.5</v>
      </c>
      <c r="T8" s="6">
        <v>0</v>
      </c>
      <c r="U8" s="6">
        <v>38752.400000000001</v>
      </c>
      <c r="V8" s="6">
        <v>48722</v>
      </c>
      <c r="W8" s="6">
        <v>9580631</v>
      </c>
      <c r="X8" s="6">
        <v>26072742</v>
      </c>
      <c r="Y8" s="6">
        <v>107.1</v>
      </c>
      <c r="Z8" s="6">
        <v>449454</v>
      </c>
      <c r="AA8" s="6">
        <v>0</v>
      </c>
      <c r="AB8" s="6">
        <v>132639150</v>
      </c>
      <c r="AC8" s="6">
        <v>30162106</v>
      </c>
      <c r="AD8" s="6">
        <v>0</v>
      </c>
      <c r="AE8" s="6">
        <f t="shared" si="0"/>
        <v>264769330</v>
      </c>
      <c r="AF8" s="6">
        <f t="shared" si="1"/>
        <v>0</v>
      </c>
      <c r="AG8" s="6">
        <f t="shared" si="13"/>
        <v>211938</v>
      </c>
      <c r="AH8" s="6">
        <f t="shared" si="2"/>
        <v>264557392</v>
      </c>
      <c r="AI8" s="6">
        <f t="shared" si="3"/>
        <v>5122842.5</v>
      </c>
      <c r="AJ8" s="6">
        <f t="shared" si="4"/>
        <v>7331817.9000000004</v>
      </c>
      <c r="AK8" s="6">
        <f t="shared" si="5"/>
        <v>107.1</v>
      </c>
      <c r="AL8" s="6">
        <f t="shared" si="6"/>
        <v>26072742</v>
      </c>
      <c r="AM8" s="6">
        <f t="shared" si="7"/>
        <v>226029889.5</v>
      </c>
      <c r="AN8" s="10">
        <f t="shared" si="8"/>
        <v>1.9363822954529278E-2</v>
      </c>
      <c r="AO8" s="10">
        <f t="shared" si="9"/>
        <v>2.7713525010860406E-2</v>
      </c>
      <c r="AP8" s="10">
        <f t="shared" si="10"/>
        <v>4.0482709324561223E-7</v>
      </c>
      <c r="AQ8" s="10">
        <f t="shared" si="11"/>
        <v>9.8552309587327649E-2</v>
      </c>
      <c r="AR8" s="10">
        <f t="shared" si="12"/>
        <v>0.85436996407947652</v>
      </c>
    </row>
    <row r="9" spans="1:44" x14ac:dyDescent="0.3">
      <c r="A9" t="s">
        <v>6</v>
      </c>
      <c r="B9" t="s">
        <v>7</v>
      </c>
      <c r="C9" t="s">
        <v>154</v>
      </c>
      <c r="D9" s="7">
        <v>2050</v>
      </c>
      <c r="E9" s="6">
        <v>0.94</v>
      </c>
      <c r="F9" s="6">
        <v>43</v>
      </c>
      <c r="G9" s="15">
        <v>191.9</v>
      </c>
      <c r="H9" s="15">
        <v>247.7</v>
      </c>
      <c r="I9" s="6">
        <v>271038600</v>
      </c>
      <c r="J9" s="6">
        <v>175808600</v>
      </c>
      <c r="K9" s="6">
        <v>43643510</v>
      </c>
      <c r="L9" s="6">
        <v>193587.6</v>
      </c>
      <c r="M9" s="6">
        <v>0</v>
      </c>
      <c r="N9" s="6">
        <v>0</v>
      </c>
      <c r="O9" s="6">
        <v>5555184</v>
      </c>
      <c r="P9" s="6">
        <v>0</v>
      </c>
      <c r="Q9" s="6">
        <v>0</v>
      </c>
      <c r="R9" s="6">
        <v>8400748</v>
      </c>
      <c r="S9" s="6">
        <v>9447664</v>
      </c>
      <c r="T9" s="6">
        <v>0</v>
      </c>
      <c r="U9" s="6">
        <v>60913.5</v>
      </c>
      <c r="V9" s="6">
        <v>0</v>
      </c>
      <c r="W9" s="6">
        <v>9805172</v>
      </c>
      <c r="X9" s="6">
        <v>26040922</v>
      </c>
      <c r="Y9" s="6">
        <v>142.80000000000001</v>
      </c>
      <c r="Z9" s="6">
        <v>482890.2</v>
      </c>
      <c r="AA9" s="6">
        <v>0</v>
      </c>
      <c r="AB9" s="6">
        <v>137592000</v>
      </c>
      <c r="AC9" s="6">
        <v>29815860</v>
      </c>
      <c r="AD9" s="6">
        <v>0</v>
      </c>
      <c r="AE9" s="6">
        <f t="shared" si="0"/>
        <v>271038600</v>
      </c>
      <c r="AF9" s="6">
        <f t="shared" si="1"/>
        <v>0</v>
      </c>
      <c r="AG9" s="6">
        <f t="shared" si="13"/>
        <v>193587.6</v>
      </c>
      <c r="AH9" s="6">
        <f t="shared" si="2"/>
        <v>270845012.39999998</v>
      </c>
      <c r="AI9" s="6">
        <f t="shared" si="3"/>
        <v>5555184</v>
      </c>
      <c r="AJ9" s="6">
        <f t="shared" si="4"/>
        <v>9508577.5</v>
      </c>
      <c r="AK9" s="6">
        <f t="shared" si="5"/>
        <v>142.80000000000001</v>
      </c>
      <c r="AL9" s="6">
        <f t="shared" si="6"/>
        <v>26040922</v>
      </c>
      <c r="AM9" s="6">
        <f t="shared" si="7"/>
        <v>229740180.19999999</v>
      </c>
      <c r="AN9" s="10">
        <f t="shared" si="8"/>
        <v>2.0510564144322417E-2</v>
      </c>
      <c r="AO9" s="10">
        <f t="shared" si="9"/>
        <v>3.5107079933807933E-2</v>
      </c>
      <c r="AP9" s="10">
        <f t="shared" si="10"/>
        <v>5.2723880249677439E-7</v>
      </c>
      <c r="AQ9" s="10">
        <f t="shared" si="11"/>
        <v>9.6146950498542771E-2</v>
      </c>
      <c r="AR9" s="10">
        <f t="shared" si="12"/>
        <v>0.84823485640084839</v>
      </c>
    </row>
    <row r="10" spans="1:44" x14ac:dyDescent="0.3">
      <c r="A10" t="s">
        <v>6</v>
      </c>
      <c r="B10" t="s">
        <v>7</v>
      </c>
      <c r="C10" t="s">
        <v>155</v>
      </c>
      <c r="D10" s="7">
        <v>2024</v>
      </c>
      <c r="E10" s="6">
        <v>0.71</v>
      </c>
      <c r="F10" s="6">
        <v>144.9</v>
      </c>
      <c r="G10" s="15">
        <v>207.5</v>
      </c>
      <c r="H10" s="15">
        <v>754.3</v>
      </c>
      <c r="I10" s="6">
        <v>246363440</v>
      </c>
      <c r="J10" s="6">
        <v>91679410</v>
      </c>
      <c r="K10" s="6">
        <v>4226390.5</v>
      </c>
      <c r="L10" s="6">
        <v>5366078</v>
      </c>
      <c r="M10" s="6">
        <v>0</v>
      </c>
      <c r="N10" s="6">
        <v>0</v>
      </c>
      <c r="O10" s="6">
        <v>0</v>
      </c>
      <c r="P10" s="6">
        <v>0</v>
      </c>
      <c r="Q10" s="6">
        <v>1918365</v>
      </c>
      <c r="R10" s="6">
        <v>21138596</v>
      </c>
      <c r="S10" s="6">
        <v>70561864</v>
      </c>
      <c r="T10" s="6">
        <v>0</v>
      </c>
      <c r="U10" s="6">
        <v>417473</v>
      </c>
      <c r="V10" s="6">
        <v>23130482</v>
      </c>
      <c r="W10" s="6">
        <v>27932236</v>
      </c>
      <c r="X10" s="6">
        <v>17623994</v>
      </c>
      <c r="Y10" s="6">
        <v>9997.6</v>
      </c>
      <c r="Z10" s="6">
        <v>5415509</v>
      </c>
      <c r="AA10" s="6">
        <v>0</v>
      </c>
      <c r="AB10" s="6">
        <v>53870304</v>
      </c>
      <c r="AC10" s="6">
        <v>14752144</v>
      </c>
      <c r="AD10" s="6">
        <v>0</v>
      </c>
      <c r="AE10" s="6">
        <f t="shared" si="0"/>
        <v>246363440</v>
      </c>
      <c r="AF10" s="6">
        <f t="shared" si="1"/>
        <v>0</v>
      </c>
      <c r="AG10" s="6">
        <f t="shared" si="13"/>
        <v>5366078</v>
      </c>
      <c r="AH10" s="6">
        <f t="shared" si="2"/>
        <v>240997362</v>
      </c>
      <c r="AI10" s="6">
        <f t="shared" si="3"/>
        <v>0</v>
      </c>
      <c r="AJ10" s="6">
        <f t="shared" si="4"/>
        <v>70979337</v>
      </c>
      <c r="AK10" s="6">
        <f t="shared" si="5"/>
        <v>9997.6</v>
      </c>
      <c r="AL10" s="6">
        <f t="shared" si="6"/>
        <v>17623994</v>
      </c>
      <c r="AM10" s="6">
        <f t="shared" si="7"/>
        <v>152384026.5</v>
      </c>
      <c r="AN10" s="10">
        <f t="shared" si="8"/>
        <v>0</v>
      </c>
      <c r="AO10" s="10">
        <f t="shared" si="9"/>
        <v>0.29452329440850894</v>
      </c>
      <c r="AP10" s="10">
        <f t="shared" si="10"/>
        <v>4.1484271516631787E-5</v>
      </c>
      <c r="AQ10" s="10">
        <f t="shared" si="11"/>
        <v>7.3129406287858037E-2</v>
      </c>
      <c r="AR10" s="10">
        <f t="shared" si="12"/>
        <v>0.63230578640109758</v>
      </c>
    </row>
    <row r="11" spans="1:44" x14ac:dyDescent="0.3">
      <c r="A11" t="s">
        <v>6</v>
      </c>
      <c r="B11" t="s">
        <v>7</v>
      </c>
      <c r="C11" t="s">
        <v>155</v>
      </c>
      <c r="D11" s="7">
        <v>2026</v>
      </c>
      <c r="E11" s="6">
        <v>0.74</v>
      </c>
      <c r="F11" s="6">
        <v>129.19999999999999</v>
      </c>
      <c r="G11" s="15">
        <v>118.9</v>
      </c>
      <c r="H11" s="15">
        <v>694.9</v>
      </c>
      <c r="I11" s="6">
        <v>242446260</v>
      </c>
      <c r="J11" s="6">
        <v>95106984</v>
      </c>
      <c r="K11" s="6">
        <v>4705290.5</v>
      </c>
      <c r="L11" s="6">
        <v>5289804.5</v>
      </c>
      <c r="M11" s="6">
        <v>0</v>
      </c>
      <c r="N11" s="6">
        <v>0</v>
      </c>
      <c r="O11" s="6">
        <v>0</v>
      </c>
      <c r="P11" s="6">
        <v>0</v>
      </c>
      <c r="Q11" s="6">
        <v>1916708.4</v>
      </c>
      <c r="R11" s="6">
        <v>24547802</v>
      </c>
      <c r="S11" s="6">
        <v>62213364</v>
      </c>
      <c r="T11" s="6">
        <v>0</v>
      </c>
      <c r="U11" s="6">
        <v>395947.9</v>
      </c>
      <c r="V11" s="6">
        <v>23130482</v>
      </c>
      <c r="W11" s="6">
        <v>28328100</v>
      </c>
      <c r="X11" s="6">
        <v>17396206</v>
      </c>
      <c r="Y11" s="6">
        <v>7732.7</v>
      </c>
      <c r="Z11" s="6">
        <v>5872349</v>
      </c>
      <c r="AA11" s="6">
        <v>0</v>
      </c>
      <c r="AB11" s="6">
        <v>53953190</v>
      </c>
      <c r="AC11" s="6">
        <v>14689280</v>
      </c>
      <c r="AD11" s="6">
        <v>0</v>
      </c>
      <c r="AE11" s="6">
        <f t="shared" si="0"/>
        <v>242446260</v>
      </c>
      <c r="AF11" s="6">
        <f t="shared" si="1"/>
        <v>0</v>
      </c>
      <c r="AG11" s="6">
        <f t="shared" si="13"/>
        <v>5289804.5</v>
      </c>
      <c r="AH11" s="6">
        <f t="shared" si="2"/>
        <v>237156455.5</v>
      </c>
      <c r="AI11" s="6">
        <f t="shared" si="3"/>
        <v>0</v>
      </c>
      <c r="AJ11" s="6">
        <f t="shared" si="4"/>
        <v>62609311.899999999</v>
      </c>
      <c r="AK11" s="6">
        <f t="shared" si="5"/>
        <v>7732.7</v>
      </c>
      <c r="AL11" s="6">
        <f t="shared" si="6"/>
        <v>17396206</v>
      </c>
      <c r="AM11" s="6">
        <f t="shared" si="7"/>
        <v>157143201.90000001</v>
      </c>
      <c r="AN11" s="10">
        <f t="shared" si="8"/>
        <v>0</v>
      </c>
      <c r="AO11" s="10">
        <f t="shared" si="9"/>
        <v>0.26400003224875318</v>
      </c>
      <c r="AP11" s="10">
        <f t="shared" si="10"/>
        <v>3.2605901381419487E-5</v>
      </c>
      <c r="AQ11" s="10">
        <f t="shared" si="11"/>
        <v>7.3353288921962315E-2</v>
      </c>
      <c r="AR11" s="10">
        <f t="shared" si="12"/>
        <v>0.66261406027802605</v>
      </c>
    </row>
    <row r="12" spans="1:44" x14ac:dyDescent="0.3">
      <c r="A12" t="s">
        <v>6</v>
      </c>
      <c r="B12" t="s">
        <v>7</v>
      </c>
      <c r="C12" t="s">
        <v>155</v>
      </c>
      <c r="D12" s="7">
        <v>2028</v>
      </c>
      <c r="E12" s="6">
        <v>0.82</v>
      </c>
      <c r="F12" s="6">
        <v>88.6</v>
      </c>
      <c r="G12" s="15">
        <v>62.8</v>
      </c>
      <c r="H12" s="15">
        <v>590.4</v>
      </c>
      <c r="I12" s="6">
        <v>247660240</v>
      </c>
      <c r="J12" s="6">
        <v>113554160</v>
      </c>
      <c r="K12" s="6">
        <v>8787496</v>
      </c>
      <c r="L12" s="6">
        <v>5138186.5</v>
      </c>
      <c r="M12" s="6">
        <v>0</v>
      </c>
      <c r="N12" s="6">
        <v>0</v>
      </c>
      <c r="O12" s="6">
        <v>0</v>
      </c>
      <c r="P12" s="6">
        <v>0</v>
      </c>
      <c r="Q12" s="6">
        <v>1926788.4</v>
      </c>
      <c r="R12" s="6">
        <v>28361828</v>
      </c>
      <c r="S12" s="6">
        <v>43784080</v>
      </c>
      <c r="T12" s="6">
        <v>0</v>
      </c>
      <c r="U12" s="6">
        <v>423427</v>
      </c>
      <c r="V12" s="6">
        <v>24373016</v>
      </c>
      <c r="W12" s="6">
        <v>27678868</v>
      </c>
      <c r="X12" s="6">
        <v>16964816</v>
      </c>
      <c r="Y12" s="6">
        <v>5966.6</v>
      </c>
      <c r="Z12" s="6">
        <v>6950205</v>
      </c>
      <c r="AA12" s="6">
        <v>0</v>
      </c>
      <c r="AB12" s="6">
        <v>66869516</v>
      </c>
      <c r="AC12" s="6">
        <v>14606058</v>
      </c>
      <c r="AD12" s="6">
        <v>1789975.4</v>
      </c>
      <c r="AE12" s="6">
        <f t="shared" si="0"/>
        <v>247660240</v>
      </c>
      <c r="AF12" s="6">
        <f t="shared" si="1"/>
        <v>0</v>
      </c>
      <c r="AG12" s="6">
        <f t="shared" si="13"/>
        <v>5138186.5</v>
      </c>
      <c r="AH12" s="6">
        <f t="shared" si="2"/>
        <v>242522053.5</v>
      </c>
      <c r="AI12" s="6">
        <f t="shared" si="3"/>
        <v>0</v>
      </c>
      <c r="AJ12" s="6">
        <f t="shared" si="4"/>
        <v>44207507</v>
      </c>
      <c r="AK12" s="6">
        <f t="shared" si="5"/>
        <v>5966.6</v>
      </c>
      <c r="AL12" s="6">
        <f t="shared" si="6"/>
        <v>16964816</v>
      </c>
      <c r="AM12" s="6">
        <f t="shared" si="7"/>
        <v>181343750.80000001</v>
      </c>
      <c r="AN12" s="10">
        <f t="shared" si="8"/>
        <v>0</v>
      </c>
      <c r="AO12" s="10">
        <f t="shared" si="9"/>
        <v>0.18228242076137624</v>
      </c>
      <c r="AP12" s="10">
        <f t="shared" si="10"/>
        <v>2.4602298693632002E-5</v>
      </c>
      <c r="AQ12" s="10">
        <f t="shared" si="11"/>
        <v>6.9951642562683478E-2</v>
      </c>
      <c r="AR12" s="10">
        <f t="shared" si="12"/>
        <v>0.74774128036154042</v>
      </c>
    </row>
    <row r="13" spans="1:44" x14ac:dyDescent="0.3">
      <c r="A13" t="s">
        <v>6</v>
      </c>
      <c r="B13" t="s">
        <v>7</v>
      </c>
      <c r="C13" t="s">
        <v>155</v>
      </c>
      <c r="D13" s="7">
        <v>2030</v>
      </c>
      <c r="E13" s="6">
        <v>0.89</v>
      </c>
      <c r="F13" s="6">
        <v>55.9</v>
      </c>
      <c r="G13" s="15">
        <v>39.9</v>
      </c>
      <c r="H13" s="15">
        <v>494.5</v>
      </c>
      <c r="I13" s="6">
        <v>286100320</v>
      </c>
      <c r="J13" s="6">
        <v>166772110</v>
      </c>
      <c r="K13" s="6">
        <v>18685536</v>
      </c>
      <c r="L13" s="6">
        <v>4815912.5</v>
      </c>
      <c r="M13" s="6">
        <v>0</v>
      </c>
      <c r="N13" s="6">
        <v>0</v>
      </c>
      <c r="O13" s="6">
        <v>0</v>
      </c>
      <c r="P13" s="6">
        <v>0</v>
      </c>
      <c r="Q13" s="6">
        <v>1859431.8</v>
      </c>
      <c r="R13" s="6">
        <v>32213684</v>
      </c>
      <c r="S13" s="6">
        <v>32232058</v>
      </c>
      <c r="T13" s="6">
        <v>0</v>
      </c>
      <c r="U13" s="6">
        <v>350385</v>
      </c>
      <c r="V13" s="6">
        <v>24345480</v>
      </c>
      <c r="W13" s="6">
        <v>26768320</v>
      </c>
      <c r="X13" s="6">
        <v>0</v>
      </c>
      <c r="Y13" s="6">
        <v>4614.1000000000004</v>
      </c>
      <c r="Z13" s="6">
        <v>12125892</v>
      </c>
      <c r="AA13" s="6">
        <v>0</v>
      </c>
      <c r="AB13" s="6">
        <v>110645890</v>
      </c>
      <c r="AC13" s="6">
        <v>14813338</v>
      </c>
      <c r="AD13" s="6">
        <v>7239773</v>
      </c>
      <c r="AE13" s="6">
        <f t="shared" si="0"/>
        <v>286100320</v>
      </c>
      <c r="AF13" s="6">
        <f t="shared" si="1"/>
        <v>0</v>
      </c>
      <c r="AG13" s="6">
        <f t="shared" si="13"/>
        <v>4815912.5</v>
      </c>
      <c r="AH13" s="6">
        <f t="shared" si="2"/>
        <v>281284407.5</v>
      </c>
      <c r="AI13" s="6">
        <f t="shared" si="3"/>
        <v>0</v>
      </c>
      <c r="AJ13" s="6">
        <f t="shared" si="4"/>
        <v>32582443</v>
      </c>
      <c r="AK13" s="6">
        <f t="shared" si="5"/>
        <v>4614.1000000000004</v>
      </c>
      <c r="AL13" s="6">
        <f t="shared" si="6"/>
        <v>0</v>
      </c>
      <c r="AM13" s="6">
        <f t="shared" si="7"/>
        <v>248697344.80000001</v>
      </c>
      <c r="AN13" s="10">
        <f t="shared" si="8"/>
        <v>0</v>
      </c>
      <c r="AO13" s="10">
        <f t="shared" si="9"/>
        <v>0.11583451528503229</v>
      </c>
      <c r="AP13" s="10">
        <f t="shared" si="10"/>
        <v>1.640368209887354E-5</v>
      </c>
      <c r="AQ13" s="10">
        <f t="shared" si="11"/>
        <v>0</v>
      </c>
      <c r="AR13" s="10">
        <f t="shared" si="12"/>
        <v>0.88414906112419334</v>
      </c>
    </row>
    <row r="14" spans="1:44" x14ac:dyDescent="0.3">
      <c r="A14" t="s">
        <v>6</v>
      </c>
      <c r="B14" t="s">
        <v>7</v>
      </c>
      <c r="C14" t="s">
        <v>155</v>
      </c>
      <c r="D14" s="7">
        <v>2035</v>
      </c>
      <c r="E14" s="6">
        <v>0.93</v>
      </c>
      <c r="F14" s="6">
        <v>33.5</v>
      </c>
      <c r="G14" s="15">
        <v>42.5</v>
      </c>
      <c r="H14" s="15">
        <v>409.2</v>
      </c>
      <c r="I14" s="6">
        <v>351632860</v>
      </c>
      <c r="J14" s="6">
        <v>225814560</v>
      </c>
      <c r="K14" s="6">
        <v>28511484</v>
      </c>
      <c r="L14" s="6">
        <v>1867576</v>
      </c>
      <c r="M14" s="6">
        <v>0</v>
      </c>
      <c r="N14" s="6">
        <v>0</v>
      </c>
      <c r="O14" s="6">
        <v>0</v>
      </c>
      <c r="P14" s="6">
        <v>0</v>
      </c>
      <c r="Q14" s="6">
        <v>1660649.2</v>
      </c>
      <c r="R14" s="6">
        <v>37491212</v>
      </c>
      <c r="S14" s="6">
        <v>24006908</v>
      </c>
      <c r="T14" s="6">
        <v>0</v>
      </c>
      <c r="U14" s="6">
        <v>271419</v>
      </c>
      <c r="V14" s="6">
        <v>24158948</v>
      </c>
      <c r="W14" s="6">
        <v>26454136</v>
      </c>
      <c r="X14" s="6">
        <v>0</v>
      </c>
      <c r="Y14" s="6">
        <v>7656.3</v>
      </c>
      <c r="Z14" s="6">
        <v>20540162</v>
      </c>
      <c r="AA14" s="6">
        <v>0</v>
      </c>
      <c r="AB14" s="6">
        <v>146437650</v>
      </c>
      <c r="AC14" s="6">
        <v>14493099</v>
      </c>
      <c r="AD14" s="6">
        <v>25731962</v>
      </c>
      <c r="AE14" s="6">
        <f t="shared" si="0"/>
        <v>351632860</v>
      </c>
      <c r="AF14" s="6">
        <f t="shared" si="1"/>
        <v>0</v>
      </c>
      <c r="AG14" s="6">
        <f t="shared" si="13"/>
        <v>1867576</v>
      </c>
      <c r="AH14" s="6">
        <f t="shared" si="2"/>
        <v>349765284</v>
      </c>
      <c r="AI14" s="6">
        <f t="shared" si="3"/>
        <v>0</v>
      </c>
      <c r="AJ14" s="6">
        <f t="shared" si="4"/>
        <v>24278327</v>
      </c>
      <c r="AK14" s="6">
        <f t="shared" si="5"/>
        <v>7656.3</v>
      </c>
      <c r="AL14" s="6">
        <f t="shared" si="6"/>
        <v>0</v>
      </c>
      <c r="AM14" s="6">
        <f t="shared" si="7"/>
        <v>325479302.19999999</v>
      </c>
      <c r="AN14" s="10">
        <f t="shared" si="8"/>
        <v>0</v>
      </c>
      <c r="AO14" s="10">
        <f t="shared" si="9"/>
        <v>6.9413198252116989E-2</v>
      </c>
      <c r="AP14" s="10">
        <f t="shared" si="10"/>
        <v>2.1889822547397243E-5</v>
      </c>
      <c r="AQ14" s="10">
        <f t="shared" si="11"/>
        <v>0</v>
      </c>
      <c r="AR14" s="10">
        <f t="shared" si="12"/>
        <v>0.9305649162139259</v>
      </c>
    </row>
    <row r="15" spans="1:44" x14ac:dyDescent="0.3">
      <c r="A15" t="s">
        <v>6</v>
      </c>
      <c r="B15" t="s">
        <v>7</v>
      </c>
      <c r="C15" t="s">
        <v>155</v>
      </c>
      <c r="D15" s="7">
        <v>2040</v>
      </c>
      <c r="E15" s="6">
        <v>0.96</v>
      </c>
      <c r="F15" s="6">
        <v>18.5</v>
      </c>
      <c r="G15" s="15">
        <v>20.9</v>
      </c>
      <c r="H15" s="15">
        <v>376.1</v>
      </c>
      <c r="I15" s="6">
        <v>406478620</v>
      </c>
      <c r="J15" s="6">
        <v>283854700</v>
      </c>
      <c r="K15" s="6">
        <v>39506936</v>
      </c>
      <c r="L15" s="6">
        <v>1220886.3999999999</v>
      </c>
      <c r="M15" s="6">
        <v>0</v>
      </c>
      <c r="N15" s="6">
        <v>0</v>
      </c>
      <c r="O15" s="6">
        <v>0</v>
      </c>
      <c r="P15" s="6">
        <v>0</v>
      </c>
      <c r="Q15" s="6">
        <v>1437662.2</v>
      </c>
      <c r="R15" s="6">
        <v>38648770</v>
      </c>
      <c r="S15" s="6">
        <v>15447642</v>
      </c>
      <c r="T15" s="6">
        <v>0</v>
      </c>
      <c r="U15" s="6">
        <v>146986.5</v>
      </c>
      <c r="V15" s="6">
        <v>23853950</v>
      </c>
      <c r="W15" s="6">
        <v>23748570</v>
      </c>
      <c r="X15" s="6">
        <v>0</v>
      </c>
      <c r="Y15" s="6">
        <v>1152</v>
      </c>
      <c r="Z15" s="6">
        <v>18697804</v>
      </c>
      <c r="AA15" s="6">
        <v>0</v>
      </c>
      <c r="AB15" s="6">
        <v>155949010</v>
      </c>
      <c r="AC15" s="6">
        <v>15677990</v>
      </c>
      <c r="AD15" s="6">
        <v>72141270</v>
      </c>
      <c r="AE15" s="6">
        <f t="shared" si="0"/>
        <v>406478620</v>
      </c>
      <c r="AF15" s="6">
        <f t="shared" si="1"/>
        <v>0</v>
      </c>
      <c r="AG15" s="6">
        <f t="shared" si="13"/>
        <v>1220886.3999999999</v>
      </c>
      <c r="AH15" s="6">
        <f t="shared" si="2"/>
        <v>405257733.60000002</v>
      </c>
      <c r="AI15" s="6">
        <f t="shared" si="3"/>
        <v>0</v>
      </c>
      <c r="AJ15" s="6">
        <f t="shared" si="4"/>
        <v>15594628.5</v>
      </c>
      <c r="AK15" s="6">
        <f t="shared" si="5"/>
        <v>1152</v>
      </c>
      <c r="AL15" s="6">
        <f t="shared" si="6"/>
        <v>0</v>
      </c>
      <c r="AM15" s="6">
        <f t="shared" si="7"/>
        <v>389661962.19999999</v>
      </c>
      <c r="AN15" s="10">
        <f t="shared" si="8"/>
        <v>0</v>
      </c>
      <c r="AO15" s="10">
        <f t="shared" si="9"/>
        <v>3.8480767193433268E-2</v>
      </c>
      <c r="AP15" s="10">
        <f t="shared" si="10"/>
        <v>2.8426354502023004E-6</v>
      </c>
      <c r="AQ15" s="10">
        <f t="shared" si="11"/>
        <v>0</v>
      </c>
      <c r="AR15" s="10">
        <f t="shared" si="12"/>
        <v>0.96151641262596244</v>
      </c>
    </row>
    <row r="16" spans="1:44" x14ac:dyDescent="0.3">
      <c r="A16" t="s">
        <v>6</v>
      </c>
      <c r="B16" t="s">
        <v>7</v>
      </c>
      <c r="C16" t="s">
        <v>155</v>
      </c>
      <c r="D16" s="7">
        <v>2045</v>
      </c>
      <c r="E16" s="6">
        <v>0.97</v>
      </c>
      <c r="F16" s="6">
        <v>13.4</v>
      </c>
      <c r="G16" s="15">
        <v>8.5</v>
      </c>
      <c r="H16" s="15">
        <v>279.7</v>
      </c>
      <c r="I16" s="6">
        <v>473901470</v>
      </c>
      <c r="J16" s="6">
        <v>351720160</v>
      </c>
      <c r="K16" s="6">
        <v>45333640</v>
      </c>
      <c r="L16" s="6">
        <v>1064288.8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36740704</v>
      </c>
      <c r="S16" s="6">
        <v>12914269</v>
      </c>
      <c r="T16" s="6">
        <v>0</v>
      </c>
      <c r="U16" s="6">
        <v>119490.9</v>
      </c>
      <c r="V16" s="6">
        <v>22988662</v>
      </c>
      <c r="W16" s="6">
        <v>20249258</v>
      </c>
      <c r="X16" s="6">
        <v>0</v>
      </c>
      <c r="Y16" s="6">
        <v>1064.3</v>
      </c>
      <c r="Z16" s="6">
        <v>19510634</v>
      </c>
      <c r="AA16" s="6">
        <v>0</v>
      </c>
      <c r="AB16" s="6">
        <v>179422080</v>
      </c>
      <c r="AC16" s="6">
        <v>23148018</v>
      </c>
      <c r="AD16" s="6">
        <v>112409370</v>
      </c>
      <c r="AE16" s="6">
        <f t="shared" si="0"/>
        <v>473901470</v>
      </c>
      <c r="AF16" s="6">
        <f t="shared" si="1"/>
        <v>0</v>
      </c>
      <c r="AG16" s="6">
        <f t="shared" si="13"/>
        <v>1064288.8</v>
      </c>
      <c r="AH16" s="6">
        <f t="shared" si="2"/>
        <v>472837181.19999999</v>
      </c>
      <c r="AI16" s="6">
        <f t="shared" si="3"/>
        <v>0</v>
      </c>
      <c r="AJ16" s="6">
        <f t="shared" si="4"/>
        <v>13033759.9</v>
      </c>
      <c r="AK16" s="6">
        <f t="shared" si="5"/>
        <v>1064.3</v>
      </c>
      <c r="AL16" s="6">
        <f t="shared" si="6"/>
        <v>0</v>
      </c>
      <c r="AM16" s="6">
        <f t="shared" si="7"/>
        <v>459802366</v>
      </c>
      <c r="AN16" s="10">
        <f t="shared" si="8"/>
        <v>0</v>
      </c>
      <c r="AO16" s="10">
        <f t="shared" si="9"/>
        <v>2.7565006345148226E-2</v>
      </c>
      <c r="AP16" s="10">
        <f t="shared" si="10"/>
        <v>2.2508805193765503E-6</v>
      </c>
      <c r="AQ16" s="10">
        <f t="shared" si="11"/>
        <v>0</v>
      </c>
      <c r="AR16" s="10">
        <f t="shared" si="12"/>
        <v>0.97243276180836857</v>
      </c>
    </row>
    <row r="17" spans="1:44" x14ac:dyDescent="0.3">
      <c r="A17" t="s">
        <v>6</v>
      </c>
      <c r="B17" t="s">
        <v>7</v>
      </c>
      <c r="C17" t="s">
        <v>155</v>
      </c>
      <c r="D17" s="7">
        <v>2050</v>
      </c>
      <c r="E17" s="6">
        <v>0.96</v>
      </c>
      <c r="F17" s="6">
        <v>17.600000000000001</v>
      </c>
      <c r="G17" s="15">
        <v>0</v>
      </c>
      <c r="H17" s="15">
        <v>287.3</v>
      </c>
      <c r="I17" s="6">
        <v>516398660</v>
      </c>
      <c r="J17" s="6">
        <v>384368700</v>
      </c>
      <c r="K17" s="6">
        <v>55887390</v>
      </c>
      <c r="L17" s="6">
        <v>1076869.8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36734956</v>
      </c>
      <c r="S17" s="6">
        <v>18417282</v>
      </c>
      <c r="T17" s="6">
        <v>0</v>
      </c>
      <c r="U17" s="6">
        <v>148634.6</v>
      </c>
      <c r="V17" s="6">
        <v>15824574</v>
      </c>
      <c r="W17" s="6">
        <v>21590900</v>
      </c>
      <c r="X17" s="6">
        <v>0</v>
      </c>
      <c r="Y17" s="6">
        <v>1057.8</v>
      </c>
      <c r="Z17" s="6">
        <v>19083210</v>
      </c>
      <c r="AA17" s="6">
        <v>0</v>
      </c>
      <c r="AB17" s="6">
        <v>206559500</v>
      </c>
      <c r="AC17" s="6">
        <v>29841734</v>
      </c>
      <c r="AD17" s="6">
        <v>111232500</v>
      </c>
      <c r="AE17" s="6">
        <f t="shared" si="0"/>
        <v>516398660</v>
      </c>
      <c r="AF17" s="6">
        <f t="shared" si="1"/>
        <v>0</v>
      </c>
      <c r="AG17" s="6">
        <f t="shared" si="13"/>
        <v>1076869.8</v>
      </c>
      <c r="AH17" s="6">
        <f t="shared" si="2"/>
        <v>515321790.19999999</v>
      </c>
      <c r="AI17" s="6">
        <f t="shared" si="3"/>
        <v>0</v>
      </c>
      <c r="AJ17" s="6">
        <f t="shared" si="4"/>
        <v>18565916.600000001</v>
      </c>
      <c r="AK17" s="6">
        <f t="shared" si="5"/>
        <v>1057.8</v>
      </c>
      <c r="AL17" s="6">
        <f t="shared" si="6"/>
        <v>0</v>
      </c>
      <c r="AM17" s="6">
        <f t="shared" si="7"/>
        <v>496754764</v>
      </c>
      <c r="AN17" s="10">
        <f t="shared" si="8"/>
        <v>0</v>
      </c>
      <c r="AO17" s="10">
        <f t="shared" si="9"/>
        <v>3.602781204496406E-2</v>
      </c>
      <c r="AP17" s="10">
        <f t="shared" si="10"/>
        <v>2.0526979842817445E-6</v>
      </c>
      <c r="AQ17" s="10">
        <f t="shared" si="11"/>
        <v>0</v>
      </c>
      <c r="AR17" s="10">
        <f t="shared" si="12"/>
        <v>0.96397003473733567</v>
      </c>
    </row>
    <row r="18" spans="1:44" x14ac:dyDescent="0.3">
      <c r="A18" t="s">
        <v>6</v>
      </c>
      <c r="B18" t="s">
        <v>7</v>
      </c>
      <c r="C18" t="s">
        <v>156</v>
      </c>
      <c r="D18" s="7">
        <v>2024</v>
      </c>
      <c r="E18" s="6">
        <v>0.6</v>
      </c>
      <c r="F18" s="6">
        <v>272.2</v>
      </c>
      <c r="G18" s="15">
        <v>294</v>
      </c>
      <c r="H18" s="15">
        <v>655.20000000000005</v>
      </c>
      <c r="I18" s="6">
        <v>402297150</v>
      </c>
      <c r="J18" s="6">
        <v>200993900</v>
      </c>
      <c r="K18" s="6">
        <v>1625282.4</v>
      </c>
      <c r="L18" s="6">
        <v>584395.6</v>
      </c>
      <c r="M18" s="6">
        <v>0</v>
      </c>
      <c r="N18" s="6">
        <v>0</v>
      </c>
      <c r="O18" s="6">
        <v>39003504</v>
      </c>
      <c r="P18" s="6">
        <v>0</v>
      </c>
      <c r="Q18" s="6">
        <v>0</v>
      </c>
      <c r="R18" s="6">
        <v>2615561.2000000002</v>
      </c>
      <c r="S18" s="6">
        <v>116088400</v>
      </c>
      <c r="T18" s="6">
        <v>0</v>
      </c>
      <c r="U18" s="6">
        <v>3252285.5</v>
      </c>
      <c r="V18" s="6">
        <v>0</v>
      </c>
      <c r="W18" s="6">
        <v>579877.19999999995</v>
      </c>
      <c r="X18" s="6">
        <v>37684412</v>
      </c>
      <c r="Y18" s="6">
        <v>2476326</v>
      </c>
      <c r="Z18" s="6">
        <v>8788.9</v>
      </c>
      <c r="AA18" s="6">
        <v>0</v>
      </c>
      <c r="AB18" s="6">
        <v>78896290</v>
      </c>
      <c r="AC18" s="6">
        <v>119482050</v>
      </c>
      <c r="AD18" s="6">
        <v>0</v>
      </c>
      <c r="AE18" s="6">
        <f t="shared" si="0"/>
        <v>402297150</v>
      </c>
      <c r="AF18" s="6">
        <f t="shared" si="1"/>
        <v>0</v>
      </c>
      <c r="AG18" s="6">
        <f t="shared" si="13"/>
        <v>584395.6</v>
      </c>
      <c r="AH18" s="6">
        <f t="shared" si="2"/>
        <v>401712754.39999998</v>
      </c>
      <c r="AI18" s="6">
        <f t="shared" si="3"/>
        <v>39003504</v>
      </c>
      <c r="AJ18" s="6">
        <f t="shared" si="4"/>
        <v>119340685.5</v>
      </c>
      <c r="AK18" s="6">
        <f t="shared" si="5"/>
        <v>2476326</v>
      </c>
      <c r="AL18" s="6">
        <f t="shared" si="6"/>
        <v>37684412</v>
      </c>
      <c r="AM18" s="6">
        <f t="shared" si="7"/>
        <v>203207849.69999999</v>
      </c>
      <c r="AN18" s="10">
        <f t="shared" si="8"/>
        <v>9.709301876226413E-2</v>
      </c>
      <c r="AO18" s="10">
        <f t="shared" si="9"/>
        <v>0.29707965254488322</v>
      </c>
      <c r="AP18" s="10">
        <f t="shared" si="10"/>
        <v>6.1644196577692731E-3</v>
      </c>
      <c r="AQ18" s="10">
        <f t="shared" si="11"/>
        <v>9.3809349061584099E-2</v>
      </c>
      <c r="AR18" s="10">
        <f t="shared" si="12"/>
        <v>0.50585361673047247</v>
      </c>
    </row>
    <row r="19" spans="1:44" x14ac:dyDescent="0.3">
      <c r="A19" t="s">
        <v>6</v>
      </c>
      <c r="B19" t="s">
        <v>7</v>
      </c>
      <c r="C19" t="s">
        <v>156</v>
      </c>
      <c r="D19" s="7">
        <v>2026</v>
      </c>
      <c r="E19" s="6">
        <v>0.7</v>
      </c>
      <c r="F19" s="6">
        <v>191.9</v>
      </c>
      <c r="G19" s="15">
        <v>189.3</v>
      </c>
      <c r="H19" s="15">
        <v>562.4</v>
      </c>
      <c r="I19" s="6">
        <v>415504400</v>
      </c>
      <c r="J19" s="6">
        <v>249312480</v>
      </c>
      <c r="K19" s="6">
        <v>4257701</v>
      </c>
      <c r="L19" s="6">
        <v>488456.9</v>
      </c>
      <c r="M19" s="6">
        <v>0</v>
      </c>
      <c r="N19" s="6">
        <v>0</v>
      </c>
      <c r="O19" s="6">
        <v>23904080</v>
      </c>
      <c r="P19" s="6">
        <v>0</v>
      </c>
      <c r="Q19" s="6">
        <v>0</v>
      </c>
      <c r="R19" s="6">
        <v>4681808.5</v>
      </c>
      <c r="S19" s="6">
        <v>97304480</v>
      </c>
      <c r="T19" s="6">
        <v>0</v>
      </c>
      <c r="U19" s="6">
        <v>2199583.7999999998</v>
      </c>
      <c r="V19" s="6">
        <v>0</v>
      </c>
      <c r="W19" s="6">
        <v>532413</v>
      </c>
      <c r="X19" s="6">
        <v>36206856</v>
      </c>
      <c r="Y19" s="6">
        <v>1288690.8999999999</v>
      </c>
      <c r="Z19" s="6">
        <v>9618.2000000000007</v>
      </c>
      <c r="AA19" s="6">
        <v>0</v>
      </c>
      <c r="AB19" s="6">
        <v>81305350</v>
      </c>
      <c r="AC19" s="6">
        <v>163325330</v>
      </c>
      <c r="AD19" s="6">
        <v>0</v>
      </c>
      <c r="AE19" s="6">
        <f t="shared" si="0"/>
        <v>415504400</v>
      </c>
      <c r="AF19" s="6">
        <f t="shared" si="1"/>
        <v>0</v>
      </c>
      <c r="AG19" s="6">
        <f t="shared" si="13"/>
        <v>488456.9</v>
      </c>
      <c r="AH19" s="6">
        <f t="shared" si="2"/>
        <v>415015943.10000002</v>
      </c>
      <c r="AI19" s="6">
        <f t="shared" si="3"/>
        <v>23904080</v>
      </c>
      <c r="AJ19" s="6">
        <f t="shared" si="4"/>
        <v>99504063.799999997</v>
      </c>
      <c r="AK19" s="6">
        <f t="shared" si="5"/>
        <v>1288690.8999999999</v>
      </c>
      <c r="AL19" s="6">
        <f t="shared" si="6"/>
        <v>36206856</v>
      </c>
      <c r="AM19" s="6">
        <f t="shared" si="7"/>
        <v>254112220.69999999</v>
      </c>
      <c r="AN19" s="10">
        <f t="shared" si="8"/>
        <v>5.7597980023240215E-2</v>
      </c>
      <c r="AO19" s="10">
        <f t="shared" si="9"/>
        <v>0.23975961756250899</v>
      </c>
      <c r="AP19" s="10">
        <f t="shared" si="10"/>
        <v>3.105159985840553E-3</v>
      </c>
      <c r="AQ19" s="10">
        <f t="shared" si="11"/>
        <v>8.7242084555955932E-2</v>
      </c>
      <c r="AR19" s="10">
        <f t="shared" si="12"/>
        <v>0.61229508148984646</v>
      </c>
    </row>
    <row r="20" spans="1:44" x14ac:dyDescent="0.3">
      <c r="A20" t="s">
        <v>6</v>
      </c>
      <c r="B20" t="s">
        <v>7</v>
      </c>
      <c r="C20" t="s">
        <v>156</v>
      </c>
      <c r="D20" s="7">
        <v>2028</v>
      </c>
      <c r="E20" s="6">
        <v>0.82</v>
      </c>
      <c r="F20" s="6">
        <v>110</v>
      </c>
      <c r="G20" s="15">
        <v>73.400000000000006</v>
      </c>
      <c r="H20" s="15">
        <v>431.9</v>
      </c>
      <c r="I20" s="6">
        <v>435697730</v>
      </c>
      <c r="J20" s="6">
        <v>310917600</v>
      </c>
      <c r="K20" s="6">
        <v>9294660</v>
      </c>
      <c r="L20" s="6">
        <v>387076.7</v>
      </c>
      <c r="M20" s="6">
        <v>0</v>
      </c>
      <c r="N20" s="6">
        <v>0</v>
      </c>
      <c r="O20" s="6">
        <v>10449178</v>
      </c>
      <c r="P20" s="6">
        <v>0</v>
      </c>
      <c r="Q20" s="6">
        <v>0</v>
      </c>
      <c r="R20" s="6">
        <v>7814090.5</v>
      </c>
      <c r="S20" s="6">
        <v>67857800</v>
      </c>
      <c r="T20" s="6">
        <v>0</v>
      </c>
      <c r="U20" s="6">
        <v>1248376.8</v>
      </c>
      <c r="V20" s="6">
        <v>0</v>
      </c>
      <c r="W20" s="6">
        <v>468673.6</v>
      </c>
      <c r="X20" s="6">
        <v>34244904</v>
      </c>
      <c r="Y20" s="6">
        <v>821457.2</v>
      </c>
      <c r="Z20" s="6">
        <v>7976.3</v>
      </c>
      <c r="AA20" s="6">
        <v>0</v>
      </c>
      <c r="AB20" s="6">
        <v>84630424</v>
      </c>
      <c r="AC20" s="6">
        <v>218473120</v>
      </c>
      <c r="AD20" s="6">
        <v>0</v>
      </c>
      <c r="AE20" s="6">
        <f t="shared" si="0"/>
        <v>435697730</v>
      </c>
      <c r="AF20" s="6">
        <f t="shared" si="1"/>
        <v>0</v>
      </c>
      <c r="AG20" s="6">
        <f t="shared" si="13"/>
        <v>387076.7</v>
      </c>
      <c r="AH20" s="6">
        <f t="shared" si="2"/>
        <v>435310653.30000001</v>
      </c>
      <c r="AI20" s="6">
        <f t="shared" si="3"/>
        <v>10449178</v>
      </c>
      <c r="AJ20" s="6">
        <f t="shared" si="4"/>
        <v>69106176.799999997</v>
      </c>
      <c r="AK20" s="6">
        <f t="shared" si="5"/>
        <v>821457.2</v>
      </c>
      <c r="AL20" s="6">
        <f t="shared" si="6"/>
        <v>34244904</v>
      </c>
      <c r="AM20" s="6">
        <f t="shared" si="7"/>
        <v>320688944.39999998</v>
      </c>
      <c r="AN20" s="10">
        <f t="shared" si="8"/>
        <v>2.4003956532620885E-2</v>
      </c>
      <c r="AO20" s="10">
        <f t="shared" si="9"/>
        <v>0.15875140265031504</v>
      </c>
      <c r="AP20" s="10">
        <f t="shared" si="10"/>
        <v>1.8870597210812619E-3</v>
      </c>
      <c r="AQ20" s="10">
        <f t="shared" si="11"/>
        <v>7.8667737029628079E-2</v>
      </c>
      <c r="AR20" s="10">
        <f t="shared" si="12"/>
        <v>0.73668986037654582</v>
      </c>
    </row>
    <row r="21" spans="1:44" x14ac:dyDescent="0.3">
      <c r="A21" t="s">
        <v>6</v>
      </c>
      <c r="B21" t="s">
        <v>7</v>
      </c>
      <c r="C21" t="s">
        <v>156</v>
      </c>
      <c r="D21" s="7">
        <v>2030</v>
      </c>
      <c r="E21" s="6">
        <v>0.87</v>
      </c>
      <c r="F21" s="6">
        <v>76.7</v>
      </c>
      <c r="G21" s="15">
        <v>40</v>
      </c>
      <c r="H21" s="15">
        <v>377</v>
      </c>
      <c r="I21" s="6">
        <v>470501980</v>
      </c>
      <c r="J21" s="6">
        <v>363377180</v>
      </c>
      <c r="K21" s="6">
        <v>12823374</v>
      </c>
      <c r="L21" s="6">
        <v>337452.5</v>
      </c>
      <c r="M21" s="6">
        <v>0</v>
      </c>
      <c r="N21" s="6">
        <v>0</v>
      </c>
      <c r="O21" s="6">
        <v>8955824</v>
      </c>
      <c r="P21" s="6">
        <v>0</v>
      </c>
      <c r="Q21" s="6">
        <v>0</v>
      </c>
      <c r="R21" s="6">
        <v>11923816</v>
      </c>
      <c r="S21" s="6">
        <v>49836256</v>
      </c>
      <c r="T21" s="6">
        <v>0</v>
      </c>
      <c r="U21" s="6">
        <v>831156.4</v>
      </c>
      <c r="V21" s="6">
        <v>0</v>
      </c>
      <c r="W21" s="6">
        <v>441150.1</v>
      </c>
      <c r="X21" s="6">
        <v>33279494</v>
      </c>
      <c r="Y21" s="6">
        <v>613017.80000000005</v>
      </c>
      <c r="Z21" s="6">
        <v>7079.1</v>
      </c>
      <c r="AA21" s="6">
        <v>0</v>
      </c>
      <c r="AB21" s="6">
        <v>98402024</v>
      </c>
      <c r="AC21" s="6">
        <v>253051340</v>
      </c>
      <c r="AD21" s="6">
        <v>0</v>
      </c>
      <c r="AE21" s="6">
        <f t="shared" si="0"/>
        <v>470501980</v>
      </c>
      <c r="AF21" s="6">
        <f t="shared" si="1"/>
        <v>0</v>
      </c>
      <c r="AG21" s="6">
        <f t="shared" si="13"/>
        <v>337452.5</v>
      </c>
      <c r="AH21" s="6">
        <f t="shared" si="2"/>
        <v>470164527.5</v>
      </c>
      <c r="AI21" s="6">
        <f t="shared" si="3"/>
        <v>8955824</v>
      </c>
      <c r="AJ21" s="6">
        <f t="shared" si="4"/>
        <v>50667412.399999999</v>
      </c>
      <c r="AK21" s="6">
        <f t="shared" si="5"/>
        <v>613017.80000000005</v>
      </c>
      <c r="AL21" s="6">
        <f t="shared" si="6"/>
        <v>33279494</v>
      </c>
      <c r="AM21" s="6">
        <f t="shared" si="7"/>
        <v>376648783.19999999</v>
      </c>
      <c r="AN21" s="10">
        <f t="shared" si="8"/>
        <v>1.9048276669489914E-2</v>
      </c>
      <c r="AO21" s="10">
        <f t="shared" si="9"/>
        <v>0.10776528095263418</v>
      </c>
      <c r="AP21" s="10">
        <f t="shared" si="10"/>
        <v>1.3038367723307242E-3</v>
      </c>
      <c r="AQ21" s="10">
        <f t="shared" si="11"/>
        <v>7.0782655971424815E-2</v>
      </c>
      <c r="AR21" s="10">
        <f t="shared" si="12"/>
        <v>0.80109995792908895</v>
      </c>
    </row>
    <row r="22" spans="1:44" x14ac:dyDescent="0.3">
      <c r="A22" t="s">
        <v>6</v>
      </c>
      <c r="B22" t="s">
        <v>7</v>
      </c>
      <c r="C22" t="s">
        <v>156</v>
      </c>
      <c r="D22" s="7">
        <v>2035</v>
      </c>
      <c r="E22" s="6">
        <v>0.91</v>
      </c>
      <c r="F22" s="6">
        <v>53.7</v>
      </c>
      <c r="G22" s="15">
        <v>69.599999999999994</v>
      </c>
      <c r="H22" s="15">
        <v>331.2</v>
      </c>
      <c r="I22" s="6">
        <v>516159500</v>
      </c>
      <c r="J22" s="6">
        <v>413010370</v>
      </c>
      <c r="K22" s="6">
        <v>24112970</v>
      </c>
      <c r="L22" s="6">
        <v>300626.5</v>
      </c>
      <c r="M22" s="6">
        <v>0</v>
      </c>
      <c r="N22" s="6">
        <v>0</v>
      </c>
      <c r="O22" s="6">
        <v>7533997</v>
      </c>
      <c r="P22" s="6">
        <v>0</v>
      </c>
      <c r="Q22" s="6">
        <v>0</v>
      </c>
      <c r="R22" s="6">
        <v>16755690</v>
      </c>
      <c r="S22" s="6">
        <v>37001750</v>
      </c>
      <c r="T22" s="6">
        <v>0</v>
      </c>
      <c r="U22" s="6">
        <v>617438.69999999995</v>
      </c>
      <c r="V22" s="6">
        <v>0</v>
      </c>
      <c r="W22" s="6">
        <v>403604.2</v>
      </c>
      <c r="X22" s="6">
        <v>32694092</v>
      </c>
      <c r="Y22" s="6">
        <v>479099.6</v>
      </c>
      <c r="Z22" s="6">
        <v>5521.4</v>
      </c>
      <c r="AA22" s="6">
        <v>0</v>
      </c>
      <c r="AB22" s="6">
        <v>119762420</v>
      </c>
      <c r="AC22" s="6">
        <v>276492260</v>
      </c>
      <c r="AD22" s="6">
        <v>0</v>
      </c>
      <c r="AE22" s="6">
        <f t="shared" si="0"/>
        <v>516159500</v>
      </c>
      <c r="AF22" s="6">
        <f t="shared" si="1"/>
        <v>0</v>
      </c>
      <c r="AG22" s="6">
        <f t="shared" si="13"/>
        <v>300626.5</v>
      </c>
      <c r="AH22" s="6">
        <f t="shared" si="2"/>
        <v>515858873.5</v>
      </c>
      <c r="AI22" s="6">
        <f t="shared" si="3"/>
        <v>7533997</v>
      </c>
      <c r="AJ22" s="6">
        <f t="shared" si="4"/>
        <v>37619188.700000003</v>
      </c>
      <c r="AK22" s="6">
        <f t="shared" si="5"/>
        <v>479099.6</v>
      </c>
      <c r="AL22" s="6">
        <f t="shared" si="6"/>
        <v>32694092</v>
      </c>
      <c r="AM22" s="6">
        <f t="shared" si="7"/>
        <v>437532465.60000002</v>
      </c>
      <c r="AN22" s="10">
        <f t="shared" si="8"/>
        <v>1.4604763796895315E-2</v>
      </c>
      <c r="AO22" s="10">
        <f t="shared" si="9"/>
        <v>7.2925349611147092E-2</v>
      </c>
      <c r="AP22" s="10">
        <f t="shared" si="10"/>
        <v>9.2874160862912829E-4</v>
      </c>
      <c r="AQ22" s="10">
        <f t="shared" si="11"/>
        <v>6.3377977349070455E-2</v>
      </c>
      <c r="AR22" s="10">
        <f t="shared" si="12"/>
        <v>0.84816310831570885</v>
      </c>
    </row>
    <row r="23" spans="1:44" x14ac:dyDescent="0.3">
      <c r="A23" t="s">
        <v>6</v>
      </c>
      <c r="B23" t="s">
        <v>7</v>
      </c>
      <c r="C23" t="s">
        <v>156</v>
      </c>
      <c r="D23" s="7">
        <v>2040</v>
      </c>
      <c r="E23" s="6">
        <v>0.92</v>
      </c>
      <c r="F23" s="6">
        <v>47.6</v>
      </c>
      <c r="G23" s="15">
        <v>93.7</v>
      </c>
      <c r="H23" s="15">
        <v>313.8</v>
      </c>
      <c r="I23" s="6">
        <v>558088400</v>
      </c>
      <c r="J23" s="6">
        <v>449588830</v>
      </c>
      <c r="K23" s="6">
        <v>31076724</v>
      </c>
      <c r="L23" s="6">
        <v>296266.5</v>
      </c>
      <c r="M23" s="6">
        <v>0</v>
      </c>
      <c r="N23" s="6">
        <v>0</v>
      </c>
      <c r="O23" s="6">
        <v>6937382.5</v>
      </c>
      <c r="P23" s="6">
        <v>0</v>
      </c>
      <c r="Q23" s="6">
        <v>0</v>
      </c>
      <c r="R23" s="6">
        <v>17200530</v>
      </c>
      <c r="S23" s="6">
        <v>36064520</v>
      </c>
      <c r="T23" s="6">
        <v>0</v>
      </c>
      <c r="U23" s="6">
        <v>720718.5</v>
      </c>
      <c r="V23" s="6">
        <v>0</v>
      </c>
      <c r="W23" s="6">
        <v>404672.3</v>
      </c>
      <c r="X23" s="6">
        <v>32631706</v>
      </c>
      <c r="Y23" s="6">
        <v>361700.4</v>
      </c>
      <c r="Z23" s="6">
        <v>5864.6</v>
      </c>
      <c r="AA23" s="6">
        <v>0</v>
      </c>
      <c r="AB23" s="6">
        <v>121827520</v>
      </c>
      <c r="AC23" s="6">
        <v>310560800</v>
      </c>
      <c r="AD23" s="6">
        <v>0</v>
      </c>
      <c r="AE23" s="6">
        <f t="shared" si="0"/>
        <v>558088400</v>
      </c>
      <c r="AF23" s="6">
        <f t="shared" si="1"/>
        <v>0</v>
      </c>
      <c r="AG23" s="6">
        <f t="shared" si="13"/>
        <v>296266.5</v>
      </c>
      <c r="AH23" s="6">
        <f t="shared" si="2"/>
        <v>557792133.5</v>
      </c>
      <c r="AI23" s="6">
        <f t="shared" si="3"/>
        <v>6937382.5</v>
      </c>
      <c r="AJ23" s="6">
        <f t="shared" si="4"/>
        <v>36785238.5</v>
      </c>
      <c r="AK23" s="6">
        <f t="shared" si="5"/>
        <v>361700.4</v>
      </c>
      <c r="AL23" s="6">
        <f t="shared" si="6"/>
        <v>32631706</v>
      </c>
      <c r="AM23" s="6">
        <f t="shared" si="7"/>
        <v>481076110.89999998</v>
      </c>
      <c r="AN23" s="10">
        <f t="shared" si="8"/>
        <v>1.2437218245567101E-2</v>
      </c>
      <c r="AO23" s="10">
        <f t="shared" si="9"/>
        <v>6.5947933451807994E-2</v>
      </c>
      <c r="AP23" s="10">
        <f t="shared" si="10"/>
        <v>6.4845016320044606E-4</v>
      </c>
      <c r="AQ23" s="10">
        <f t="shared" si="11"/>
        <v>5.8501552890759798E-2</v>
      </c>
      <c r="AR23" s="10">
        <f t="shared" si="12"/>
        <v>0.86246485385402083</v>
      </c>
    </row>
    <row r="24" spans="1:44" x14ac:dyDescent="0.3">
      <c r="A24" t="s">
        <v>6</v>
      </c>
      <c r="B24" t="s">
        <v>7</v>
      </c>
      <c r="C24" t="s">
        <v>156</v>
      </c>
      <c r="D24" s="7">
        <v>2045</v>
      </c>
      <c r="E24" s="6">
        <v>0.92</v>
      </c>
      <c r="F24" s="6">
        <v>46.3</v>
      </c>
      <c r="G24" s="15">
        <v>83.9</v>
      </c>
      <c r="H24" s="15">
        <v>283.39999999999998</v>
      </c>
      <c r="I24" s="6">
        <v>595048300</v>
      </c>
      <c r="J24" s="6">
        <v>492659970</v>
      </c>
      <c r="K24" s="6">
        <v>38725380</v>
      </c>
      <c r="L24" s="6">
        <v>280945.2</v>
      </c>
      <c r="M24" s="6">
        <v>0</v>
      </c>
      <c r="N24" s="6">
        <v>0</v>
      </c>
      <c r="O24" s="6">
        <v>6006679.5</v>
      </c>
      <c r="P24" s="6">
        <v>0</v>
      </c>
      <c r="Q24" s="6">
        <v>0</v>
      </c>
      <c r="R24" s="6">
        <v>18154944</v>
      </c>
      <c r="S24" s="6">
        <v>39548250</v>
      </c>
      <c r="T24" s="6">
        <v>0</v>
      </c>
      <c r="U24" s="6">
        <v>1731921.2</v>
      </c>
      <c r="V24" s="6">
        <v>0</v>
      </c>
      <c r="W24" s="6">
        <v>387345.4</v>
      </c>
      <c r="X24" s="6">
        <v>15603870</v>
      </c>
      <c r="Y24" s="6">
        <v>98036.5</v>
      </c>
      <c r="Z24" s="6">
        <v>5947.3</v>
      </c>
      <c r="AA24" s="6">
        <v>0</v>
      </c>
      <c r="AB24" s="6">
        <v>144497180</v>
      </c>
      <c r="AC24" s="6">
        <v>330007840</v>
      </c>
      <c r="AD24" s="6">
        <v>0</v>
      </c>
      <c r="AE24" s="6">
        <f t="shared" si="0"/>
        <v>595048300</v>
      </c>
      <c r="AF24" s="6">
        <f t="shared" si="1"/>
        <v>0</v>
      </c>
      <c r="AG24" s="6">
        <f t="shared" si="13"/>
        <v>280945.2</v>
      </c>
      <c r="AH24" s="6">
        <f t="shared" si="2"/>
        <v>594767354.79999995</v>
      </c>
      <c r="AI24" s="6">
        <f t="shared" si="3"/>
        <v>6006679.5</v>
      </c>
      <c r="AJ24" s="6">
        <f t="shared" si="4"/>
        <v>41280171.200000003</v>
      </c>
      <c r="AK24" s="6">
        <f t="shared" si="5"/>
        <v>98036.5</v>
      </c>
      <c r="AL24" s="6">
        <f t="shared" si="6"/>
        <v>15603870</v>
      </c>
      <c r="AM24" s="6">
        <f t="shared" si="7"/>
        <v>531778636.69999999</v>
      </c>
      <c r="AN24" s="10">
        <f t="shared" si="8"/>
        <v>1.0099208457767225E-2</v>
      </c>
      <c r="AO24" s="10">
        <f t="shared" si="9"/>
        <v>6.9405576595375051E-2</v>
      </c>
      <c r="AP24" s="10">
        <f t="shared" si="10"/>
        <v>1.6483167613152934E-4</v>
      </c>
      <c r="AQ24" s="10">
        <f t="shared" si="11"/>
        <v>2.6235249588046156E-2</v>
      </c>
      <c r="AR24" s="10">
        <f t="shared" si="12"/>
        <v>0.89409519942267013</v>
      </c>
    </row>
    <row r="25" spans="1:44" x14ac:dyDescent="0.3">
      <c r="A25" t="s">
        <v>6</v>
      </c>
      <c r="B25" t="s">
        <v>7</v>
      </c>
      <c r="C25" t="s">
        <v>156</v>
      </c>
      <c r="D25" s="7">
        <v>2050</v>
      </c>
      <c r="E25" s="6">
        <v>0.93</v>
      </c>
      <c r="F25" s="6">
        <v>43.1</v>
      </c>
      <c r="G25" s="15">
        <v>59.7</v>
      </c>
      <c r="H25" s="15">
        <v>262.7</v>
      </c>
      <c r="I25" s="6">
        <v>638738750</v>
      </c>
      <c r="J25" s="6">
        <v>553041300</v>
      </c>
      <c r="K25" s="6">
        <v>38849916</v>
      </c>
      <c r="L25" s="6">
        <v>237573.7</v>
      </c>
      <c r="M25" s="6">
        <v>0</v>
      </c>
      <c r="N25" s="6">
        <v>0</v>
      </c>
      <c r="O25" s="6">
        <v>6688204</v>
      </c>
      <c r="P25" s="6">
        <v>0</v>
      </c>
      <c r="Q25" s="6">
        <v>0</v>
      </c>
      <c r="R25" s="6">
        <v>19504834</v>
      </c>
      <c r="S25" s="6">
        <v>36988480</v>
      </c>
      <c r="T25" s="6">
        <v>0</v>
      </c>
      <c r="U25" s="6">
        <v>2555132.7999999998</v>
      </c>
      <c r="V25" s="6">
        <v>0</v>
      </c>
      <c r="W25" s="6">
        <v>347831</v>
      </c>
      <c r="X25" s="6">
        <v>0</v>
      </c>
      <c r="Y25" s="6">
        <v>25100.2</v>
      </c>
      <c r="Z25" s="6">
        <v>5226.6000000000004</v>
      </c>
      <c r="AA25" s="6">
        <v>0</v>
      </c>
      <c r="AB25" s="6">
        <v>139707740</v>
      </c>
      <c r="AC25" s="6">
        <v>393828670</v>
      </c>
      <c r="AD25" s="6">
        <v>0</v>
      </c>
      <c r="AE25" s="6">
        <f t="shared" si="0"/>
        <v>638738750</v>
      </c>
      <c r="AF25" s="6">
        <f t="shared" si="1"/>
        <v>0</v>
      </c>
      <c r="AG25" s="6">
        <f t="shared" si="13"/>
        <v>237573.7</v>
      </c>
      <c r="AH25" s="6">
        <f t="shared" si="2"/>
        <v>638501176.29999995</v>
      </c>
      <c r="AI25" s="6">
        <f t="shared" si="3"/>
        <v>6688204</v>
      </c>
      <c r="AJ25" s="6">
        <f t="shared" si="4"/>
        <v>39543612.799999997</v>
      </c>
      <c r="AK25" s="6">
        <f t="shared" si="5"/>
        <v>25100.2</v>
      </c>
      <c r="AL25" s="6">
        <f t="shared" si="6"/>
        <v>0</v>
      </c>
      <c r="AM25" s="6">
        <f t="shared" si="7"/>
        <v>592244217.60000002</v>
      </c>
      <c r="AN25" s="10">
        <f t="shared" si="8"/>
        <v>1.0474849927069744E-2</v>
      </c>
      <c r="AO25" s="10">
        <f t="shared" si="9"/>
        <v>6.1931934141684998E-2</v>
      </c>
      <c r="AP25" s="10">
        <f t="shared" si="10"/>
        <v>3.9311125698234682E-5</v>
      </c>
      <c r="AQ25" s="10">
        <f t="shared" si="11"/>
        <v>0</v>
      </c>
      <c r="AR25" s="10">
        <f t="shared" si="12"/>
        <v>0.92755383949634873</v>
      </c>
    </row>
    <row r="26" spans="1:44" x14ac:dyDescent="0.3">
      <c r="A26" t="s">
        <v>6</v>
      </c>
      <c r="B26" t="s">
        <v>7</v>
      </c>
      <c r="C26" t="s">
        <v>157</v>
      </c>
      <c r="D26" s="7">
        <v>2024</v>
      </c>
      <c r="E26" s="6">
        <v>0.36</v>
      </c>
      <c r="F26" s="6">
        <v>353.3</v>
      </c>
      <c r="G26" s="15">
        <v>286.8</v>
      </c>
      <c r="H26" s="15">
        <v>772.6</v>
      </c>
      <c r="I26" s="6">
        <v>234797520</v>
      </c>
      <c r="J26" s="6">
        <v>50977324</v>
      </c>
      <c r="K26" s="6">
        <v>391524.5</v>
      </c>
      <c r="L26" s="6">
        <v>3976722.5</v>
      </c>
      <c r="M26" s="6">
        <v>0</v>
      </c>
      <c r="N26" s="6">
        <v>0</v>
      </c>
      <c r="O26" s="6">
        <v>14605453</v>
      </c>
      <c r="P26" s="6">
        <v>0</v>
      </c>
      <c r="Q26" s="6">
        <v>0</v>
      </c>
      <c r="R26" s="6">
        <v>2700809</v>
      </c>
      <c r="S26" s="6">
        <v>134679710</v>
      </c>
      <c r="T26" s="6">
        <v>0</v>
      </c>
      <c r="U26" s="6">
        <v>722766.8</v>
      </c>
      <c r="V26" s="6">
        <v>0</v>
      </c>
      <c r="W26" s="6">
        <v>216461.9</v>
      </c>
      <c r="X26" s="6">
        <v>29227546</v>
      </c>
      <c r="Y26" s="6">
        <v>0</v>
      </c>
      <c r="Z26" s="6">
        <v>0</v>
      </c>
      <c r="AA26" s="6">
        <v>0</v>
      </c>
      <c r="AB26" s="6">
        <v>48276516</v>
      </c>
      <c r="AC26" s="6">
        <v>0</v>
      </c>
      <c r="AD26" s="6">
        <v>0</v>
      </c>
      <c r="AE26" s="6">
        <f t="shared" si="0"/>
        <v>234797520</v>
      </c>
      <c r="AF26" s="6">
        <f t="shared" si="1"/>
        <v>0</v>
      </c>
      <c r="AG26" s="6">
        <f t="shared" si="13"/>
        <v>3976722.5</v>
      </c>
      <c r="AH26" s="6">
        <f t="shared" si="2"/>
        <v>230820797.5</v>
      </c>
      <c r="AI26" s="6">
        <f t="shared" si="3"/>
        <v>14605453</v>
      </c>
      <c r="AJ26" s="6">
        <f t="shared" si="4"/>
        <v>135402476.80000001</v>
      </c>
      <c r="AK26" s="6">
        <f t="shared" si="5"/>
        <v>0</v>
      </c>
      <c r="AL26" s="6">
        <f t="shared" si="6"/>
        <v>29227546</v>
      </c>
      <c r="AM26" s="6">
        <f t="shared" si="7"/>
        <v>51585311.399999999</v>
      </c>
      <c r="AN26" s="10">
        <f t="shared" si="8"/>
        <v>6.3276156906961561E-2</v>
      </c>
      <c r="AO26" s="10">
        <f t="shared" si="9"/>
        <v>0.58661298404014051</v>
      </c>
      <c r="AP26" s="10">
        <f t="shared" si="10"/>
        <v>0</v>
      </c>
      <c r="AQ26" s="10">
        <f t="shared" si="11"/>
        <v>0.12662440437153416</v>
      </c>
      <c r="AR26" s="10">
        <f t="shared" si="12"/>
        <v>0.22348641005800179</v>
      </c>
    </row>
    <row r="27" spans="1:44" x14ac:dyDescent="0.3">
      <c r="A27" t="s">
        <v>6</v>
      </c>
      <c r="B27" t="s">
        <v>7</v>
      </c>
      <c r="C27" t="s">
        <v>157</v>
      </c>
      <c r="D27" s="7">
        <v>2026</v>
      </c>
      <c r="E27" s="6">
        <v>0.48</v>
      </c>
      <c r="F27" s="6">
        <v>283.8</v>
      </c>
      <c r="G27" s="15">
        <v>228.1</v>
      </c>
      <c r="H27" s="15">
        <v>632.4</v>
      </c>
      <c r="I27" s="6">
        <v>251568540</v>
      </c>
      <c r="J27" s="6">
        <v>85497770</v>
      </c>
      <c r="K27" s="6">
        <v>3591514.5</v>
      </c>
      <c r="L27" s="6">
        <v>3774815.5</v>
      </c>
      <c r="M27" s="6">
        <v>0</v>
      </c>
      <c r="N27" s="6">
        <v>0</v>
      </c>
      <c r="O27" s="6">
        <v>12232729</v>
      </c>
      <c r="P27" s="6">
        <v>0</v>
      </c>
      <c r="Q27" s="6">
        <v>0</v>
      </c>
      <c r="R27" s="6">
        <v>4221342</v>
      </c>
      <c r="S27" s="6">
        <v>117386160</v>
      </c>
      <c r="T27" s="6">
        <v>0</v>
      </c>
      <c r="U27" s="6">
        <v>705822.4</v>
      </c>
      <c r="V27" s="6">
        <v>0</v>
      </c>
      <c r="W27" s="6">
        <v>213767.2</v>
      </c>
      <c r="X27" s="6">
        <v>28165948</v>
      </c>
      <c r="Y27" s="6">
        <v>0</v>
      </c>
      <c r="Z27" s="6">
        <v>0</v>
      </c>
      <c r="AA27" s="6">
        <v>0</v>
      </c>
      <c r="AB27" s="6">
        <v>81276424</v>
      </c>
      <c r="AC27" s="6">
        <v>0</v>
      </c>
      <c r="AD27" s="6">
        <v>0</v>
      </c>
      <c r="AE27" s="6">
        <f t="shared" si="0"/>
        <v>251568540</v>
      </c>
      <c r="AF27" s="6">
        <f t="shared" si="1"/>
        <v>0</v>
      </c>
      <c r="AG27" s="6">
        <f t="shared" si="13"/>
        <v>3774815.5</v>
      </c>
      <c r="AH27" s="6">
        <f t="shared" si="2"/>
        <v>247793724.5</v>
      </c>
      <c r="AI27" s="6">
        <f t="shared" si="3"/>
        <v>12232729</v>
      </c>
      <c r="AJ27" s="6">
        <f t="shared" si="4"/>
        <v>118091982.40000001</v>
      </c>
      <c r="AK27" s="6">
        <f t="shared" si="5"/>
        <v>0</v>
      </c>
      <c r="AL27" s="6">
        <f t="shared" si="6"/>
        <v>28165948</v>
      </c>
      <c r="AM27" s="6">
        <f t="shared" si="7"/>
        <v>89303047.700000003</v>
      </c>
      <c r="AN27" s="10">
        <f t="shared" si="8"/>
        <v>4.9366581113719853E-2</v>
      </c>
      <c r="AO27" s="10">
        <f t="shared" si="9"/>
        <v>0.4765737414790745</v>
      </c>
      <c r="AP27" s="10">
        <f t="shared" si="10"/>
        <v>0</v>
      </c>
      <c r="AQ27" s="10">
        <f t="shared" si="11"/>
        <v>0.1136669141110553</v>
      </c>
      <c r="AR27" s="10">
        <f t="shared" si="12"/>
        <v>0.36039269307645444</v>
      </c>
    </row>
    <row r="28" spans="1:44" x14ac:dyDescent="0.3">
      <c r="A28" t="s">
        <v>6</v>
      </c>
      <c r="B28" t="s">
        <v>7</v>
      </c>
      <c r="C28" t="s">
        <v>157</v>
      </c>
      <c r="D28" s="7">
        <v>2028</v>
      </c>
      <c r="E28" s="6">
        <v>0.55000000000000004</v>
      </c>
      <c r="F28" s="6">
        <v>238.3</v>
      </c>
      <c r="G28" s="15">
        <v>173.5</v>
      </c>
      <c r="H28" s="15">
        <v>548.5</v>
      </c>
      <c r="I28" s="6">
        <v>257657810</v>
      </c>
      <c r="J28" s="6">
        <v>102171720</v>
      </c>
      <c r="K28" s="6">
        <v>7287149.5</v>
      </c>
      <c r="L28" s="6">
        <v>3535332.5</v>
      </c>
      <c r="M28" s="6">
        <v>0</v>
      </c>
      <c r="N28" s="6">
        <v>0</v>
      </c>
      <c r="O28" s="6">
        <v>7408961.5</v>
      </c>
      <c r="P28" s="6">
        <v>0</v>
      </c>
      <c r="Q28" s="6">
        <v>0</v>
      </c>
      <c r="R28" s="6">
        <v>7025517</v>
      </c>
      <c r="S28" s="6">
        <v>108844160</v>
      </c>
      <c r="T28" s="6">
        <v>0</v>
      </c>
      <c r="U28" s="6">
        <v>675506</v>
      </c>
      <c r="V28" s="6">
        <v>0</v>
      </c>
      <c r="W28" s="6">
        <v>224774.9</v>
      </c>
      <c r="X28" s="6">
        <v>27510182</v>
      </c>
      <c r="Y28" s="6">
        <v>0</v>
      </c>
      <c r="Z28" s="6">
        <v>0</v>
      </c>
      <c r="AA28" s="6">
        <v>0</v>
      </c>
      <c r="AB28" s="6">
        <v>95146210</v>
      </c>
      <c r="AC28" s="6">
        <v>0</v>
      </c>
      <c r="AD28" s="6">
        <v>0</v>
      </c>
      <c r="AE28" s="6">
        <f t="shared" si="0"/>
        <v>257657810</v>
      </c>
      <c r="AF28" s="6">
        <f t="shared" si="1"/>
        <v>0</v>
      </c>
      <c r="AG28" s="6">
        <f t="shared" si="13"/>
        <v>3535332.5</v>
      </c>
      <c r="AH28" s="6">
        <f t="shared" si="2"/>
        <v>254122477.5</v>
      </c>
      <c r="AI28" s="6">
        <f t="shared" si="3"/>
        <v>7408961.5</v>
      </c>
      <c r="AJ28" s="6">
        <f t="shared" si="4"/>
        <v>109519666</v>
      </c>
      <c r="AK28" s="6">
        <f t="shared" si="5"/>
        <v>0</v>
      </c>
      <c r="AL28" s="6">
        <f t="shared" si="6"/>
        <v>27510182</v>
      </c>
      <c r="AM28" s="6">
        <f t="shared" si="7"/>
        <v>109683651.40000001</v>
      </c>
      <c r="AN28" s="10">
        <f t="shared" si="8"/>
        <v>2.9155081332779782E-2</v>
      </c>
      <c r="AO28" s="10">
        <f t="shared" si="9"/>
        <v>0.43097197492102995</v>
      </c>
      <c r="AP28" s="10">
        <f t="shared" si="10"/>
        <v>0</v>
      </c>
      <c r="AQ28" s="10">
        <f t="shared" si="11"/>
        <v>0.10825560285197519</v>
      </c>
      <c r="AR28" s="10">
        <f t="shared" si="12"/>
        <v>0.43161727557138274</v>
      </c>
    </row>
    <row r="29" spans="1:44" x14ac:dyDescent="0.3">
      <c r="A29" t="s">
        <v>6</v>
      </c>
      <c r="B29" t="s">
        <v>7</v>
      </c>
      <c r="C29" t="s">
        <v>157</v>
      </c>
      <c r="D29" s="7">
        <v>2030</v>
      </c>
      <c r="E29" s="6">
        <v>0.61</v>
      </c>
      <c r="F29" s="6">
        <v>201</v>
      </c>
      <c r="G29" s="15">
        <v>195.8</v>
      </c>
      <c r="H29" s="15">
        <v>504.5</v>
      </c>
      <c r="I29" s="6">
        <v>269284060</v>
      </c>
      <c r="J29" s="6">
        <v>121463510</v>
      </c>
      <c r="K29" s="6">
        <v>13042988</v>
      </c>
      <c r="L29" s="6">
        <v>3362444</v>
      </c>
      <c r="M29" s="6">
        <v>0</v>
      </c>
      <c r="N29" s="6">
        <v>0</v>
      </c>
      <c r="O29" s="6">
        <v>6065688</v>
      </c>
      <c r="P29" s="6">
        <v>0</v>
      </c>
      <c r="Q29" s="6">
        <v>0</v>
      </c>
      <c r="R29" s="6">
        <v>10878983</v>
      </c>
      <c r="S29" s="6">
        <v>97353576</v>
      </c>
      <c r="T29" s="6">
        <v>0</v>
      </c>
      <c r="U29" s="6">
        <v>661493.30000000005</v>
      </c>
      <c r="V29" s="6">
        <v>0</v>
      </c>
      <c r="W29" s="6">
        <v>223900.6</v>
      </c>
      <c r="X29" s="6">
        <v>27110458</v>
      </c>
      <c r="Y29" s="6">
        <v>0</v>
      </c>
      <c r="Z29" s="6">
        <v>0</v>
      </c>
      <c r="AA29" s="6">
        <v>0</v>
      </c>
      <c r="AB29" s="6">
        <v>110584530</v>
      </c>
      <c r="AC29" s="6">
        <v>0</v>
      </c>
      <c r="AD29" s="6">
        <v>0</v>
      </c>
      <c r="AE29" s="6">
        <f t="shared" si="0"/>
        <v>269284060</v>
      </c>
      <c r="AF29" s="6">
        <f t="shared" si="1"/>
        <v>0</v>
      </c>
      <c r="AG29" s="6">
        <f t="shared" si="13"/>
        <v>3362444</v>
      </c>
      <c r="AH29" s="6">
        <f t="shared" si="2"/>
        <v>265921616</v>
      </c>
      <c r="AI29" s="6">
        <f t="shared" si="3"/>
        <v>6065688</v>
      </c>
      <c r="AJ29" s="6">
        <f t="shared" si="4"/>
        <v>98015069.299999997</v>
      </c>
      <c r="AK29" s="6">
        <f t="shared" si="5"/>
        <v>0</v>
      </c>
      <c r="AL29" s="6">
        <f t="shared" si="6"/>
        <v>27110458</v>
      </c>
      <c r="AM29" s="6">
        <f t="shared" si="7"/>
        <v>134730401.59999999</v>
      </c>
      <c r="AN29" s="10">
        <f t="shared" si="8"/>
        <v>2.2810059938865593E-2</v>
      </c>
      <c r="AO29" s="10">
        <f t="shared" si="9"/>
        <v>0.36858631793212326</v>
      </c>
      <c r="AP29" s="10">
        <f t="shared" si="10"/>
        <v>0</v>
      </c>
      <c r="AQ29" s="10">
        <f t="shared" si="11"/>
        <v>0.10194905704844995</v>
      </c>
      <c r="AR29" s="10">
        <f t="shared" si="12"/>
        <v>0.50665456846501711</v>
      </c>
    </row>
    <row r="30" spans="1:44" x14ac:dyDescent="0.3">
      <c r="A30" t="s">
        <v>6</v>
      </c>
      <c r="B30" t="s">
        <v>7</v>
      </c>
      <c r="C30" t="s">
        <v>157</v>
      </c>
      <c r="D30" s="7">
        <v>2035</v>
      </c>
      <c r="E30" s="6">
        <v>0.72</v>
      </c>
      <c r="F30" s="6">
        <v>135.9</v>
      </c>
      <c r="G30" s="15">
        <v>244.3</v>
      </c>
      <c r="H30" s="15">
        <v>439.6</v>
      </c>
      <c r="I30" s="6">
        <v>311626240</v>
      </c>
      <c r="J30" s="6">
        <v>163179340</v>
      </c>
      <c r="K30" s="6">
        <v>32097264</v>
      </c>
      <c r="L30" s="6">
        <v>3122460.5</v>
      </c>
      <c r="M30" s="6">
        <v>0</v>
      </c>
      <c r="N30" s="6">
        <v>0</v>
      </c>
      <c r="O30" s="6">
        <v>1850455.8</v>
      </c>
      <c r="P30" s="6">
        <v>0</v>
      </c>
      <c r="Q30" s="6">
        <v>0</v>
      </c>
      <c r="R30" s="6">
        <v>11855756</v>
      </c>
      <c r="S30" s="6">
        <v>83822424</v>
      </c>
      <c r="T30" s="6">
        <v>0</v>
      </c>
      <c r="U30" s="6">
        <v>634947.30000000005</v>
      </c>
      <c r="V30" s="6">
        <v>0</v>
      </c>
      <c r="W30" s="6">
        <v>221980.4</v>
      </c>
      <c r="X30" s="6">
        <v>26697360</v>
      </c>
      <c r="Y30" s="6">
        <v>0</v>
      </c>
      <c r="Z30" s="6">
        <v>0</v>
      </c>
      <c r="AA30" s="6">
        <v>0</v>
      </c>
      <c r="AB30" s="6">
        <v>151323600</v>
      </c>
      <c r="AC30" s="6">
        <v>0</v>
      </c>
      <c r="AD30" s="6">
        <v>0</v>
      </c>
      <c r="AE30" s="6">
        <f t="shared" si="0"/>
        <v>311626240</v>
      </c>
      <c r="AF30" s="6">
        <f t="shared" si="1"/>
        <v>0</v>
      </c>
      <c r="AG30" s="6">
        <f t="shared" si="13"/>
        <v>3122460.5</v>
      </c>
      <c r="AH30" s="6">
        <f t="shared" si="2"/>
        <v>308503779.5</v>
      </c>
      <c r="AI30" s="6">
        <f t="shared" si="3"/>
        <v>1850455.8</v>
      </c>
      <c r="AJ30" s="6">
        <f t="shared" si="4"/>
        <v>84457371.299999997</v>
      </c>
      <c r="AK30" s="6">
        <f t="shared" si="5"/>
        <v>0</v>
      </c>
      <c r="AL30" s="6">
        <f t="shared" si="6"/>
        <v>26697360</v>
      </c>
      <c r="AM30" s="6">
        <f t="shared" si="7"/>
        <v>195498600.40000001</v>
      </c>
      <c r="AN30" s="10">
        <f t="shared" si="8"/>
        <v>5.9981624957693592E-3</v>
      </c>
      <c r="AO30" s="10">
        <f t="shared" si="9"/>
        <v>0.27376446226001583</v>
      </c>
      <c r="AP30" s="10">
        <f t="shared" si="10"/>
        <v>0</v>
      </c>
      <c r="AQ30" s="10">
        <f t="shared" si="11"/>
        <v>8.6538194258978282E-2</v>
      </c>
      <c r="AR30" s="10">
        <f t="shared" si="12"/>
        <v>0.63369920691684756</v>
      </c>
    </row>
    <row r="31" spans="1:44" x14ac:dyDescent="0.3">
      <c r="A31" t="s">
        <v>6</v>
      </c>
      <c r="B31" t="s">
        <v>7</v>
      </c>
      <c r="C31" t="s">
        <v>157</v>
      </c>
      <c r="D31" s="7">
        <v>2040</v>
      </c>
      <c r="E31" s="6">
        <v>0.75</v>
      </c>
      <c r="F31" s="6">
        <v>121.2</v>
      </c>
      <c r="G31" s="15">
        <v>294.89999999999998</v>
      </c>
      <c r="H31" s="15">
        <v>425.2</v>
      </c>
      <c r="I31" s="6">
        <v>339393700</v>
      </c>
      <c r="J31" s="6">
        <v>181232400</v>
      </c>
      <c r="K31" s="6">
        <v>43422696</v>
      </c>
      <c r="L31" s="6">
        <v>3187635.8</v>
      </c>
      <c r="M31" s="6">
        <v>0</v>
      </c>
      <c r="N31" s="6">
        <v>0</v>
      </c>
      <c r="O31" s="6">
        <v>1368786.4</v>
      </c>
      <c r="P31" s="6">
        <v>0</v>
      </c>
      <c r="Q31" s="6">
        <v>0</v>
      </c>
      <c r="R31" s="6">
        <v>12824179</v>
      </c>
      <c r="S31" s="6">
        <v>82505170</v>
      </c>
      <c r="T31" s="6">
        <v>0</v>
      </c>
      <c r="U31" s="6">
        <v>602483</v>
      </c>
      <c r="V31" s="6">
        <v>0</v>
      </c>
      <c r="W31" s="6">
        <v>222336.6</v>
      </c>
      <c r="X31" s="6">
        <v>26852204</v>
      </c>
      <c r="Y31" s="6">
        <v>0</v>
      </c>
      <c r="Z31" s="6">
        <v>0</v>
      </c>
      <c r="AA31" s="6">
        <v>0</v>
      </c>
      <c r="AB31" s="6">
        <v>168408220</v>
      </c>
      <c r="AC31" s="6">
        <v>0</v>
      </c>
      <c r="AD31" s="6">
        <v>0</v>
      </c>
      <c r="AE31" s="6">
        <f t="shared" si="0"/>
        <v>339393700</v>
      </c>
      <c r="AF31" s="6">
        <f t="shared" si="1"/>
        <v>0</v>
      </c>
      <c r="AG31" s="6">
        <f t="shared" si="13"/>
        <v>3187635.8</v>
      </c>
      <c r="AH31" s="6">
        <f t="shared" si="2"/>
        <v>336206064.19999999</v>
      </c>
      <c r="AI31" s="6">
        <f t="shared" si="3"/>
        <v>1368786.4</v>
      </c>
      <c r="AJ31" s="6">
        <f t="shared" si="4"/>
        <v>83107653</v>
      </c>
      <c r="AK31" s="6">
        <f t="shared" si="5"/>
        <v>0</v>
      </c>
      <c r="AL31" s="6">
        <f t="shared" si="6"/>
        <v>26852204</v>
      </c>
      <c r="AM31" s="6">
        <f t="shared" si="7"/>
        <v>224877431.59999999</v>
      </c>
      <c r="AN31" s="10">
        <f t="shared" si="8"/>
        <v>4.0712721921212745E-3</v>
      </c>
      <c r="AO31" s="10">
        <f t="shared" si="9"/>
        <v>0.24719260551636416</v>
      </c>
      <c r="AP31" s="10">
        <f t="shared" si="10"/>
        <v>0</v>
      </c>
      <c r="AQ31" s="10">
        <f t="shared" si="11"/>
        <v>7.9868291679671619E-2</v>
      </c>
      <c r="AR31" s="10">
        <f t="shared" si="12"/>
        <v>0.66886786273499943</v>
      </c>
    </row>
    <row r="32" spans="1:44" x14ac:dyDescent="0.3">
      <c r="A32" t="s">
        <v>6</v>
      </c>
      <c r="B32" t="s">
        <v>7</v>
      </c>
      <c r="C32" t="s">
        <v>157</v>
      </c>
      <c r="D32" s="7">
        <v>2045</v>
      </c>
      <c r="E32" s="6">
        <v>0.78</v>
      </c>
      <c r="F32" s="6">
        <v>107.1</v>
      </c>
      <c r="G32" s="15">
        <v>339.7</v>
      </c>
      <c r="H32" s="15">
        <v>382.8</v>
      </c>
      <c r="I32" s="6">
        <v>374949920</v>
      </c>
      <c r="J32" s="6">
        <v>204784210</v>
      </c>
      <c r="K32" s="6">
        <v>57528250</v>
      </c>
      <c r="L32" s="6">
        <v>2515949.5</v>
      </c>
      <c r="M32" s="6">
        <v>0</v>
      </c>
      <c r="N32" s="6">
        <v>0</v>
      </c>
      <c r="O32" s="6">
        <v>876720.5</v>
      </c>
      <c r="P32" s="6">
        <v>0</v>
      </c>
      <c r="Q32" s="6">
        <v>0</v>
      </c>
      <c r="R32" s="6">
        <v>12046082</v>
      </c>
      <c r="S32" s="6">
        <v>81879656</v>
      </c>
      <c r="T32" s="6">
        <v>0</v>
      </c>
      <c r="U32" s="6">
        <v>529765.80000000005</v>
      </c>
      <c r="V32" s="6">
        <v>0</v>
      </c>
      <c r="W32" s="6">
        <v>221678.3</v>
      </c>
      <c r="X32" s="6">
        <v>26613694</v>
      </c>
      <c r="Y32" s="6">
        <v>0</v>
      </c>
      <c r="Z32" s="6">
        <v>0</v>
      </c>
      <c r="AA32" s="6">
        <v>0</v>
      </c>
      <c r="AB32" s="6">
        <v>192738130</v>
      </c>
      <c r="AC32" s="6">
        <v>0</v>
      </c>
      <c r="AD32" s="6">
        <v>0</v>
      </c>
      <c r="AE32" s="6">
        <f t="shared" si="0"/>
        <v>374949920</v>
      </c>
      <c r="AF32" s="6">
        <f t="shared" si="1"/>
        <v>0</v>
      </c>
      <c r="AG32" s="6">
        <f t="shared" si="13"/>
        <v>2515949.5</v>
      </c>
      <c r="AH32" s="6">
        <f t="shared" si="2"/>
        <v>372433970.5</v>
      </c>
      <c r="AI32" s="6">
        <f t="shared" si="3"/>
        <v>876720.5</v>
      </c>
      <c r="AJ32" s="6">
        <f t="shared" si="4"/>
        <v>82409421.799999997</v>
      </c>
      <c r="AK32" s="6">
        <f t="shared" si="5"/>
        <v>0</v>
      </c>
      <c r="AL32" s="6">
        <f t="shared" si="6"/>
        <v>26613694</v>
      </c>
      <c r="AM32" s="6">
        <f t="shared" si="7"/>
        <v>262534140.30000001</v>
      </c>
      <c r="AN32" s="10">
        <f t="shared" si="8"/>
        <v>2.3540293567286177E-3</v>
      </c>
      <c r="AO32" s="10">
        <f t="shared" si="9"/>
        <v>0.22127256997895148</v>
      </c>
      <c r="AP32" s="10">
        <f t="shared" si="10"/>
        <v>0</v>
      </c>
      <c r="AQ32" s="10">
        <f t="shared" si="11"/>
        <v>7.1458825209393728E-2</v>
      </c>
      <c r="AR32" s="10">
        <f t="shared" si="12"/>
        <v>0.70491459183366845</v>
      </c>
    </row>
    <row r="33" spans="1:44" x14ac:dyDescent="0.3">
      <c r="A33" t="s">
        <v>6</v>
      </c>
      <c r="B33" t="s">
        <v>7</v>
      </c>
      <c r="C33" t="s">
        <v>157</v>
      </c>
      <c r="D33" s="7">
        <v>2050</v>
      </c>
      <c r="E33" s="6">
        <v>0.74</v>
      </c>
      <c r="F33" s="6">
        <v>126.5</v>
      </c>
      <c r="G33" s="15">
        <v>356.9</v>
      </c>
      <c r="H33" s="15">
        <v>394.3</v>
      </c>
      <c r="I33" s="6">
        <v>387332060</v>
      </c>
      <c r="J33" s="6">
        <v>203463200</v>
      </c>
      <c r="K33" s="6">
        <v>54137460</v>
      </c>
      <c r="L33" s="6">
        <v>2501639</v>
      </c>
      <c r="M33" s="6">
        <v>0</v>
      </c>
      <c r="N33" s="6">
        <v>0</v>
      </c>
      <c r="O33" s="6">
        <v>1245260.6000000001</v>
      </c>
      <c r="P33" s="6">
        <v>0</v>
      </c>
      <c r="Q33" s="6">
        <v>0</v>
      </c>
      <c r="R33" s="6">
        <v>13047015</v>
      </c>
      <c r="S33" s="6">
        <v>98292330</v>
      </c>
      <c r="T33" s="6">
        <v>0</v>
      </c>
      <c r="U33" s="6">
        <v>898889.2</v>
      </c>
      <c r="V33" s="6">
        <v>0</v>
      </c>
      <c r="W33" s="6">
        <v>221651.4</v>
      </c>
      <c r="X33" s="6">
        <v>26571642</v>
      </c>
      <c r="Y33" s="6">
        <v>0</v>
      </c>
      <c r="Z33" s="6">
        <v>0</v>
      </c>
      <c r="AA33" s="6">
        <v>0</v>
      </c>
      <c r="AB33" s="6">
        <v>190416180</v>
      </c>
      <c r="AC33" s="6">
        <v>0</v>
      </c>
      <c r="AD33" s="6">
        <v>0</v>
      </c>
      <c r="AE33" s="6">
        <f t="shared" si="0"/>
        <v>387332060</v>
      </c>
      <c r="AF33" s="6">
        <f t="shared" si="1"/>
        <v>0</v>
      </c>
      <c r="AG33" s="6">
        <f t="shared" si="13"/>
        <v>2501639</v>
      </c>
      <c r="AH33" s="6">
        <f t="shared" si="2"/>
        <v>384830421</v>
      </c>
      <c r="AI33" s="6">
        <f t="shared" si="3"/>
        <v>1245260.6000000001</v>
      </c>
      <c r="AJ33" s="6">
        <f t="shared" si="4"/>
        <v>99191219.200000003</v>
      </c>
      <c r="AK33" s="6">
        <f t="shared" si="5"/>
        <v>0</v>
      </c>
      <c r="AL33" s="6">
        <f t="shared" si="6"/>
        <v>26571642</v>
      </c>
      <c r="AM33" s="6">
        <f t="shared" si="7"/>
        <v>257822306.40000001</v>
      </c>
      <c r="AN33" s="10">
        <f t="shared" si="8"/>
        <v>3.2358684034493211E-3</v>
      </c>
      <c r="AO33" s="10">
        <f t="shared" si="9"/>
        <v>0.25775306157513989</v>
      </c>
      <c r="AP33" s="10">
        <f t="shared" si="10"/>
        <v>0</v>
      </c>
      <c r="AQ33" s="10">
        <f t="shared" si="11"/>
        <v>6.9047665023342836E-2</v>
      </c>
      <c r="AR33" s="10">
        <f t="shared" si="12"/>
        <v>0.66996342370760753</v>
      </c>
    </row>
    <row r="34" spans="1:44" x14ac:dyDescent="0.3">
      <c r="A34" t="s">
        <v>6</v>
      </c>
      <c r="B34" t="s">
        <v>7</v>
      </c>
      <c r="C34" t="s">
        <v>158</v>
      </c>
      <c r="D34" s="7">
        <v>2024</v>
      </c>
      <c r="E34" s="6">
        <v>0.55000000000000004</v>
      </c>
      <c r="F34" s="6">
        <v>284.3</v>
      </c>
      <c r="G34" s="15">
        <v>349</v>
      </c>
      <c r="H34" s="15">
        <v>943.3</v>
      </c>
      <c r="I34" s="6">
        <v>36378740</v>
      </c>
      <c r="J34" s="6">
        <v>7877576</v>
      </c>
      <c r="K34" s="6">
        <v>18</v>
      </c>
      <c r="L34" s="6">
        <v>963797.5</v>
      </c>
      <c r="M34" s="6">
        <v>0</v>
      </c>
      <c r="N34" s="6">
        <v>0</v>
      </c>
      <c r="O34" s="6">
        <v>3032180.2</v>
      </c>
      <c r="P34" s="6">
        <v>0</v>
      </c>
      <c r="Q34" s="6">
        <v>0</v>
      </c>
      <c r="R34" s="6">
        <v>81561.2</v>
      </c>
      <c r="S34" s="6">
        <v>12864336</v>
      </c>
      <c r="T34" s="6">
        <v>0</v>
      </c>
      <c r="U34" s="6">
        <v>523199.4</v>
      </c>
      <c r="V34" s="6">
        <v>0</v>
      </c>
      <c r="W34" s="6">
        <v>1474008.9</v>
      </c>
      <c r="X34" s="6">
        <v>9559418</v>
      </c>
      <c r="Y34" s="6">
        <v>84206</v>
      </c>
      <c r="Z34" s="6">
        <v>0</v>
      </c>
      <c r="AA34" s="6">
        <v>0</v>
      </c>
      <c r="AB34" s="6">
        <v>5064003</v>
      </c>
      <c r="AC34" s="6">
        <v>2732011.8</v>
      </c>
      <c r="AD34" s="6">
        <v>0</v>
      </c>
      <c r="AE34" s="6">
        <f t="shared" si="0"/>
        <v>36378740</v>
      </c>
      <c r="AF34" s="6">
        <f t="shared" si="1"/>
        <v>0</v>
      </c>
      <c r="AG34" s="6">
        <f t="shared" si="13"/>
        <v>963797.5</v>
      </c>
      <c r="AH34" s="6">
        <f t="shared" si="2"/>
        <v>35414942.5</v>
      </c>
      <c r="AI34" s="6">
        <f t="shared" si="3"/>
        <v>3032180.2</v>
      </c>
      <c r="AJ34" s="6">
        <f t="shared" si="4"/>
        <v>13387535.4</v>
      </c>
      <c r="AK34" s="6">
        <f t="shared" si="5"/>
        <v>84206</v>
      </c>
      <c r="AL34" s="6">
        <f t="shared" si="6"/>
        <v>9559418</v>
      </c>
      <c r="AM34" s="6">
        <f t="shared" si="7"/>
        <v>9351602.8999999985</v>
      </c>
      <c r="AN34" s="10">
        <f t="shared" si="8"/>
        <v>8.5618667882914112E-2</v>
      </c>
      <c r="AO34" s="10">
        <f t="shared" si="9"/>
        <v>0.37801940240337817</v>
      </c>
      <c r="AP34" s="10">
        <f t="shared" si="10"/>
        <v>2.3776969283516415E-3</v>
      </c>
      <c r="AQ34" s="10">
        <f t="shared" si="11"/>
        <v>0.26992611946214512</v>
      </c>
      <c r="AR34" s="10">
        <f t="shared" si="12"/>
        <v>0.26405811332321094</v>
      </c>
    </row>
    <row r="35" spans="1:44" x14ac:dyDescent="0.3">
      <c r="A35" t="s">
        <v>6</v>
      </c>
      <c r="B35" t="s">
        <v>7</v>
      </c>
      <c r="C35" t="s">
        <v>158</v>
      </c>
      <c r="D35" s="7">
        <v>2026</v>
      </c>
      <c r="E35" s="6">
        <v>0.62</v>
      </c>
      <c r="F35" s="6">
        <v>231.6</v>
      </c>
      <c r="G35" s="15">
        <v>270.39999999999998</v>
      </c>
      <c r="H35" s="15">
        <v>896</v>
      </c>
      <c r="I35" s="6">
        <v>39367184</v>
      </c>
      <c r="J35" s="6">
        <v>12123652</v>
      </c>
      <c r="K35" s="6">
        <v>491875</v>
      </c>
      <c r="L35" s="6">
        <v>962931.8</v>
      </c>
      <c r="M35" s="6">
        <v>0</v>
      </c>
      <c r="N35" s="6">
        <v>0</v>
      </c>
      <c r="O35" s="6">
        <v>2598254.7999999998</v>
      </c>
      <c r="P35" s="6">
        <v>0</v>
      </c>
      <c r="Q35" s="6">
        <v>0</v>
      </c>
      <c r="R35" s="6">
        <v>136023.79999999999</v>
      </c>
      <c r="S35" s="6">
        <v>11836708</v>
      </c>
      <c r="T35" s="6">
        <v>0</v>
      </c>
      <c r="U35" s="6">
        <v>283329.2</v>
      </c>
      <c r="V35" s="6">
        <v>0</v>
      </c>
      <c r="W35" s="6">
        <v>1473900.1</v>
      </c>
      <c r="X35" s="6">
        <v>9540268</v>
      </c>
      <c r="Y35" s="6">
        <v>56263.1</v>
      </c>
      <c r="Z35" s="6">
        <v>0</v>
      </c>
      <c r="AA35" s="6">
        <v>0</v>
      </c>
      <c r="AB35" s="6">
        <v>9238448</v>
      </c>
      <c r="AC35" s="6">
        <v>2749180.2</v>
      </c>
      <c r="AD35" s="6">
        <v>0</v>
      </c>
      <c r="AE35" s="6">
        <f t="shared" si="0"/>
        <v>39367184</v>
      </c>
      <c r="AF35" s="6">
        <f t="shared" si="1"/>
        <v>0</v>
      </c>
      <c r="AG35" s="6">
        <f t="shared" si="13"/>
        <v>962931.8</v>
      </c>
      <c r="AH35" s="6">
        <f t="shared" si="2"/>
        <v>38404252.200000003</v>
      </c>
      <c r="AI35" s="6">
        <f t="shared" si="3"/>
        <v>2598254.7999999998</v>
      </c>
      <c r="AJ35" s="6">
        <f t="shared" si="4"/>
        <v>12120037.199999999</v>
      </c>
      <c r="AK35" s="6">
        <f t="shared" si="5"/>
        <v>56263.1</v>
      </c>
      <c r="AL35" s="6">
        <f t="shared" si="6"/>
        <v>9540268</v>
      </c>
      <c r="AM35" s="6">
        <f t="shared" si="7"/>
        <v>14089427.100000001</v>
      </c>
      <c r="AN35" s="10">
        <f t="shared" si="8"/>
        <v>6.7655393638936676E-2</v>
      </c>
      <c r="AO35" s="10">
        <f t="shared" si="9"/>
        <v>0.31559102197542588</v>
      </c>
      <c r="AP35" s="10">
        <f t="shared" si="10"/>
        <v>1.4650226674638907E-3</v>
      </c>
      <c r="AQ35" s="10">
        <f t="shared" si="11"/>
        <v>0.2484169708686581</v>
      </c>
      <c r="AR35" s="10">
        <f t="shared" si="12"/>
        <v>0.36687153877194884</v>
      </c>
    </row>
    <row r="36" spans="1:44" x14ac:dyDescent="0.3">
      <c r="A36" t="s">
        <v>6</v>
      </c>
      <c r="B36" t="s">
        <v>7</v>
      </c>
      <c r="C36" t="s">
        <v>158</v>
      </c>
      <c r="D36" s="7">
        <v>2028</v>
      </c>
      <c r="E36" s="6">
        <v>0.7</v>
      </c>
      <c r="F36" s="6">
        <v>172.9</v>
      </c>
      <c r="G36" s="15">
        <v>223.9</v>
      </c>
      <c r="H36" s="15">
        <v>681.1</v>
      </c>
      <c r="I36" s="6">
        <v>35131720</v>
      </c>
      <c r="J36" s="6">
        <v>12599724</v>
      </c>
      <c r="K36" s="6">
        <v>619534</v>
      </c>
      <c r="L36" s="6">
        <v>898749.4</v>
      </c>
      <c r="M36" s="6">
        <v>0</v>
      </c>
      <c r="N36" s="6">
        <v>0</v>
      </c>
      <c r="O36" s="6">
        <v>1197605.3999999999</v>
      </c>
      <c r="P36" s="6">
        <v>0</v>
      </c>
      <c r="Q36" s="6">
        <v>0</v>
      </c>
      <c r="R36" s="6">
        <v>239940.4</v>
      </c>
      <c r="S36" s="6">
        <v>9007560</v>
      </c>
      <c r="T36" s="6">
        <v>0</v>
      </c>
      <c r="U36" s="6">
        <v>214693</v>
      </c>
      <c r="V36" s="6">
        <v>0</v>
      </c>
      <c r="W36" s="6">
        <v>1391404.8</v>
      </c>
      <c r="X36" s="6">
        <v>9155939</v>
      </c>
      <c r="Y36" s="6">
        <v>46509.4</v>
      </c>
      <c r="Z36" s="6">
        <v>0</v>
      </c>
      <c r="AA36" s="6">
        <v>0</v>
      </c>
      <c r="AB36" s="6">
        <v>9315904</v>
      </c>
      <c r="AC36" s="6">
        <v>3043879.8</v>
      </c>
      <c r="AD36" s="6">
        <v>0</v>
      </c>
      <c r="AE36" s="6">
        <f t="shared" si="0"/>
        <v>35131720</v>
      </c>
      <c r="AF36" s="6">
        <f t="shared" si="1"/>
        <v>0</v>
      </c>
      <c r="AG36" s="6">
        <f t="shared" si="13"/>
        <v>898749.4</v>
      </c>
      <c r="AH36" s="6">
        <f t="shared" si="2"/>
        <v>34232970.600000001</v>
      </c>
      <c r="AI36" s="6">
        <f t="shared" si="3"/>
        <v>1197605.3999999999</v>
      </c>
      <c r="AJ36" s="6">
        <f t="shared" si="4"/>
        <v>9222253</v>
      </c>
      <c r="AK36" s="6">
        <f t="shared" si="5"/>
        <v>46509.4</v>
      </c>
      <c r="AL36" s="6">
        <f t="shared" si="6"/>
        <v>9155939</v>
      </c>
      <c r="AM36" s="6">
        <f t="shared" si="7"/>
        <v>14610663</v>
      </c>
      <c r="AN36" s="10">
        <f t="shared" si="8"/>
        <v>3.4983975360876218E-2</v>
      </c>
      <c r="AO36" s="10">
        <f t="shared" si="9"/>
        <v>0.26939680776637009</v>
      </c>
      <c r="AP36" s="10">
        <f t="shared" si="10"/>
        <v>1.3586142010124005E-3</v>
      </c>
      <c r="AQ36" s="10">
        <f t="shared" si="11"/>
        <v>0.26745966942173577</v>
      </c>
      <c r="AR36" s="10">
        <f t="shared" si="12"/>
        <v>0.42680090988072183</v>
      </c>
    </row>
    <row r="37" spans="1:44" x14ac:dyDescent="0.3">
      <c r="A37" t="s">
        <v>6</v>
      </c>
      <c r="B37" t="s">
        <v>7</v>
      </c>
      <c r="C37" t="s">
        <v>158</v>
      </c>
      <c r="D37" s="7">
        <v>2030</v>
      </c>
      <c r="E37" s="6">
        <v>0.77</v>
      </c>
      <c r="F37" s="6">
        <v>135</v>
      </c>
      <c r="G37" s="15">
        <v>213.6</v>
      </c>
      <c r="H37" s="15">
        <v>571.4</v>
      </c>
      <c r="I37" s="6">
        <v>32820314</v>
      </c>
      <c r="J37" s="6">
        <v>14074797</v>
      </c>
      <c r="K37" s="6">
        <v>687328.9</v>
      </c>
      <c r="L37" s="6">
        <v>384387.4</v>
      </c>
      <c r="M37" s="6">
        <v>0</v>
      </c>
      <c r="N37" s="6">
        <v>0</v>
      </c>
      <c r="O37" s="6">
        <v>925301.2</v>
      </c>
      <c r="P37" s="6">
        <v>0</v>
      </c>
      <c r="Q37" s="6">
        <v>0</v>
      </c>
      <c r="R37" s="6">
        <v>437118.4</v>
      </c>
      <c r="S37" s="6">
        <v>6609967.5</v>
      </c>
      <c r="T37" s="6">
        <v>0</v>
      </c>
      <c r="U37" s="6">
        <v>102796.9</v>
      </c>
      <c r="V37" s="6">
        <v>0</v>
      </c>
      <c r="W37" s="6">
        <v>1275118.5</v>
      </c>
      <c r="X37" s="6">
        <v>8760282</v>
      </c>
      <c r="Y37" s="6">
        <v>333.3</v>
      </c>
      <c r="Z37" s="6">
        <v>0</v>
      </c>
      <c r="AA37" s="6">
        <v>0</v>
      </c>
      <c r="AB37" s="6">
        <v>9466725</v>
      </c>
      <c r="AC37" s="6">
        <v>4170953.2</v>
      </c>
      <c r="AD37" s="6">
        <v>0</v>
      </c>
      <c r="AE37" s="6">
        <f t="shared" si="0"/>
        <v>32820314</v>
      </c>
      <c r="AF37" s="6">
        <f t="shared" si="1"/>
        <v>0</v>
      </c>
      <c r="AG37" s="6">
        <f t="shared" si="13"/>
        <v>384387.4</v>
      </c>
      <c r="AH37" s="6">
        <f t="shared" si="2"/>
        <v>32435926.600000001</v>
      </c>
      <c r="AI37" s="6">
        <f t="shared" si="3"/>
        <v>925301.2</v>
      </c>
      <c r="AJ37" s="6">
        <f t="shared" si="4"/>
        <v>6712764.4000000004</v>
      </c>
      <c r="AK37" s="6">
        <f t="shared" si="5"/>
        <v>333.3</v>
      </c>
      <c r="AL37" s="6">
        <f t="shared" si="6"/>
        <v>8760282</v>
      </c>
      <c r="AM37" s="6">
        <f t="shared" si="7"/>
        <v>16037244</v>
      </c>
      <c r="AN37" s="10">
        <f t="shared" si="8"/>
        <v>2.8527046919633859E-2</v>
      </c>
      <c r="AO37" s="10">
        <f t="shared" si="9"/>
        <v>0.20695460569947152</v>
      </c>
      <c r="AP37" s="10">
        <f t="shared" si="10"/>
        <v>1.0275642934769743E-5</v>
      </c>
      <c r="AQ37" s="10">
        <f t="shared" si="11"/>
        <v>0.27007959747941962</v>
      </c>
      <c r="AR37" s="10">
        <f t="shared" si="12"/>
        <v>0.49442842184752012</v>
      </c>
    </row>
    <row r="38" spans="1:44" x14ac:dyDescent="0.3">
      <c r="A38" t="s">
        <v>6</v>
      </c>
      <c r="B38" t="s">
        <v>7</v>
      </c>
      <c r="C38" t="s">
        <v>158</v>
      </c>
      <c r="D38" s="7">
        <v>2035</v>
      </c>
      <c r="E38" s="6">
        <v>0.81</v>
      </c>
      <c r="F38" s="6">
        <v>105.4</v>
      </c>
      <c r="G38" s="15">
        <v>229.9</v>
      </c>
      <c r="H38" s="15">
        <v>526.9</v>
      </c>
      <c r="I38" s="6">
        <v>37387856</v>
      </c>
      <c r="J38" s="6">
        <v>19027606</v>
      </c>
      <c r="K38" s="6">
        <v>1223773.2</v>
      </c>
      <c r="L38" s="6">
        <v>362120.3</v>
      </c>
      <c r="M38" s="6">
        <v>0</v>
      </c>
      <c r="N38" s="6">
        <v>0</v>
      </c>
      <c r="O38" s="6">
        <v>757514.8</v>
      </c>
      <c r="P38" s="6">
        <v>0</v>
      </c>
      <c r="Q38" s="6">
        <v>0</v>
      </c>
      <c r="R38" s="6">
        <v>964628.1</v>
      </c>
      <c r="S38" s="6">
        <v>6057795.5</v>
      </c>
      <c r="T38" s="6">
        <v>0</v>
      </c>
      <c r="U38" s="6">
        <v>115176.1</v>
      </c>
      <c r="V38" s="6">
        <v>0</v>
      </c>
      <c r="W38" s="6">
        <v>1211749.6000000001</v>
      </c>
      <c r="X38" s="6">
        <v>8631984</v>
      </c>
      <c r="Y38" s="6">
        <v>138</v>
      </c>
      <c r="Z38" s="6">
        <v>0</v>
      </c>
      <c r="AA38" s="6">
        <v>0</v>
      </c>
      <c r="AB38" s="6">
        <v>12660536</v>
      </c>
      <c r="AC38" s="6">
        <v>5402442</v>
      </c>
      <c r="AD38" s="6">
        <v>0</v>
      </c>
      <c r="AE38" s="6">
        <f t="shared" si="0"/>
        <v>37387856</v>
      </c>
      <c r="AF38" s="6">
        <f t="shared" si="1"/>
        <v>0</v>
      </c>
      <c r="AG38" s="6">
        <f t="shared" si="13"/>
        <v>362120.3</v>
      </c>
      <c r="AH38" s="6">
        <f t="shared" si="2"/>
        <v>37025735.700000003</v>
      </c>
      <c r="AI38" s="6">
        <f t="shared" si="3"/>
        <v>757514.8</v>
      </c>
      <c r="AJ38" s="6">
        <f t="shared" si="4"/>
        <v>6172971.5999999996</v>
      </c>
      <c r="AK38" s="6">
        <f t="shared" si="5"/>
        <v>138</v>
      </c>
      <c r="AL38" s="6">
        <f t="shared" si="6"/>
        <v>8631984</v>
      </c>
      <c r="AM38" s="6">
        <f t="shared" si="7"/>
        <v>21463128.899999999</v>
      </c>
      <c r="AN38" s="10">
        <f t="shared" si="8"/>
        <v>2.0459142422928275E-2</v>
      </c>
      <c r="AO38" s="10">
        <f t="shared" si="9"/>
        <v>0.16672110582802002</v>
      </c>
      <c r="AP38" s="10">
        <f t="shared" si="10"/>
        <v>3.7271372841350454E-6</v>
      </c>
      <c r="AQ38" s="10">
        <f t="shared" si="11"/>
        <v>0.233134705814907</v>
      </c>
      <c r="AR38" s="10">
        <f t="shared" si="12"/>
        <v>0.57968136201004639</v>
      </c>
    </row>
    <row r="39" spans="1:44" x14ac:dyDescent="0.3">
      <c r="A39" t="s">
        <v>6</v>
      </c>
      <c r="B39" t="s">
        <v>7</v>
      </c>
      <c r="C39" t="s">
        <v>158</v>
      </c>
      <c r="D39" s="7">
        <v>2040</v>
      </c>
      <c r="E39" s="6">
        <v>0.86</v>
      </c>
      <c r="F39" s="6">
        <v>79</v>
      </c>
      <c r="G39" s="15">
        <v>237</v>
      </c>
      <c r="H39" s="15">
        <v>454.5</v>
      </c>
      <c r="I39" s="6">
        <v>46022852</v>
      </c>
      <c r="J39" s="6">
        <v>27573724</v>
      </c>
      <c r="K39" s="6">
        <v>1978941.8</v>
      </c>
      <c r="L39" s="6">
        <v>332045.5</v>
      </c>
      <c r="M39" s="6">
        <v>0</v>
      </c>
      <c r="N39" s="6">
        <v>0</v>
      </c>
      <c r="O39" s="6">
        <v>512263.4</v>
      </c>
      <c r="P39" s="6">
        <v>0</v>
      </c>
      <c r="Q39" s="6">
        <v>0</v>
      </c>
      <c r="R39" s="6">
        <v>992781.4</v>
      </c>
      <c r="S39" s="6">
        <v>5911050.5</v>
      </c>
      <c r="T39" s="6">
        <v>0</v>
      </c>
      <c r="U39" s="6">
        <v>119420.5</v>
      </c>
      <c r="V39" s="6">
        <v>0</v>
      </c>
      <c r="W39" s="6">
        <v>1141939.8999999999</v>
      </c>
      <c r="X39" s="6">
        <v>8453271</v>
      </c>
      <c r="Y39" s="6">
        <v>195.5</v>
      </c>
      <c r="Z39" s="6">
        <v>0</v>
      </c>
      <c r="AA39" s="6">
        <v>0</v>
      </c>
      <c r="AB39" s="6">
        <v>17125132</v>
      </c>
      <c r="AC39" s="6">
        <v>9455811</v>
      </c>
      <c r="AD39" s="6">
        <v>0</v>
      </c>
      <c r="AE39" s="6">
        <f t="shared" si="0"/>
        <v>46022852</v>
      </c>
      <c r="AF39" s="6">
        <f t="shared" si="1"/>
        <v>0</v>
      </c>
      <c r="AG39" s="6">
        <f t="shared" si="13"/>
        <v>332045.5</v>
      </c>
      <c r="AH39" s="6">
        <f t="shared" si="2"/>
        <v>45690806.5</v>
      </c>
      <c r="AI39" s="6">
        <f t="shared" si="3"/>
        <v>512263.4</v>
      </c>
      <c r="AJ39" s="6">
        <f t="shared" si="4"/>
        <v>6030471</v>
      </c>
      <c r="AK39" s="6">
        <f t="shared" si="5"/>
        <v>195.5</v>
      </c>
      <c r="AL39" s="6">
        <f t="shared" si="6"/>
        <v>8453271</v>
      </c>
      <c r="AM39" s="6">
        <f t="shared" si="7"/>
        <v>30694606.100000001</v>
      </c>
      <c r="AN39" s="10">
        <f t="shared" si="8"/>
        <v>1.1211520199364396E-2</v>
      </c>
      <c r="AO39" s="10">
        <f t="shared" si="9"/>
        <v>0.13198434131382644</v>
      </c>
      <c r="AP39" s="10">
        <f t="shared" si="10"/>
        <v>4.2787601046175452E-6</v>
      </c>
      <c r="AQ39" s="10">
        <f t="shared" si="11"/>
        <v>0.18501032587376193</v>
      </c>
      <c r="AR39" s="10">
        <f t="shared" si="12"/>
        <v>0.67178954479606312</v>
      </c>
    </row>
    <row r="40" spans="1:44" x14ac:dyDescent="0.3">
      <c r="A40" t="s">
        <v>6</v>
      </c>
      <c r="B40" t="s">
        <v>7</v>
      </c>
      <c r="C40" t="s">
        <v>158</v>
      </c>
      <c r="D40" s="7">
        <v>2045</v>
      </c>
      <c r="E40" s="6">
        <v>0.82</v>
      </c>
      <c r="F40" s="6">
        <v>103</v>
      </c>
      <c r="G40" s="15">
        <v>262.39999999999998</v>
      </c>
      <c r="H40" s="15">
        <v>441.9</v>
      </c>
      <c r="I40" s="6">
        <v>49778950</v>
      </c>
      <c r="J40" s="6">
        <v>29406502</v>
      </c>
      <c r="K40" s="6">
        <v>1705365.2</v>
      </c>
      <c r="L40" s="6">
        <v>324652.79999999999</v>
      </c>
      <c r="M40" s="6">
        <v>0</v>
      </c>
      <c r="N40" s="6">
        <v>0</v>
      </c>
      <c r="O40" s="6">
        <v>667454</v>
      </c>
      <c r="P40" s="6">
        <v>0</v>
      </c>
      <c r="Q40" s="6">
        <v>0</v>
      </c>
      <c r="R40" s="6">
        <v>1013970.6</v>
      </c>
      <c r="S40" s="6">
        <v>6912091</v>
      </c>
      <c r="T40" s="6">
        <v>0</v>
      </c>
      <c r="U40" s="6">
        <v>1238245.2</v>
      </c>
      <c r="V40" s="6">
        <v>0</v>
      </c>
      <c r="W40" s="6">
        <v>1112389.6000000001</v>
      </c>
      <c r="X40" s="6">
        <v>8412177</v>
      </c>
      <c r="Y40" s="6">
        <v>74.400000000000006</v>
      </c>
      <c r="Z40" s="6">
        <v>0</v>
      </c>
      <c r="AA40" s="6">
        <v>0</v>
      </c>
      <c r="AB40" s="6">
        <v>16900218</v>
      </c>
      <c r="AC40" s="6">
        <v>11492315</v>
      </c>
      <c r="AD40" s="6">
        <v>0</v>
      </c>
      <c r="AE40" s="6">
        <f t="shared" si="0"/>
        <v>49778950</v>
      </c>
      <c r="AF40" s="6">
        <f t="shared" si="1"/>
        <v>0</v>
      </c>
      <c r="AG40" s="6">
        <f t="shared" si="13"/>
        <v>324652.79999999999</v>
      </c>
      <c r="AH40" s="6">
        <f t="shared" si="2"/>
        <v>49454297.200000003</v>
      </c>
      <c r="AI40" s="6">
        <f t="shared" si="3"/>
        <v>667454</v>
      </c>
      <c r="AJ40" s="6">
        <f t="shared" si="4"/>
        <v>8150336.2000000002</v>
      </c>
      <c r="AK40" s="6">
        <f t="shared" si="5"/>
        <v>74.400000000000006</v>
      </c>
      <c r="AL40" s="6">
        <f t="shared" si="6"/>
        <v>8412177</v>
      </c>
      <c r="AM40" s="6">
        <f t="shared" si="7"/>
        <v>32224258.399999999</v>
      </c>
      <c r="AN40" s="10">
        <f t="shared" si="8"/>
        <v>1.3496380249844092E-2</v>
      </c>
      <c r="AO40" s="10">
        <f t="shared" si="9"/>
        <v>0.16480541957838196</v>
      </c>
      <c r="AP40" s="10">
        <f t="shared" si="10"/>
        <v>1.504419316669614E-6</v>
      </c>
      <c r="AQ40" s="10">
        <f t="shared" si="11"/>
        <v>0.17010002115650324</v>
      </c>
      <c r="AR40" s="10">
        <f t="shared" si="12"/>
        <v>0.65159673121388517</v>
      </c>
    </row>
    <row r="41" spans="1:44" x14ac:dyDescent="0.3">
      <c r="A41" t="s">
        <v>6</v>
      </c>
      <c r="B41" t="s">
        <v>7</v>
      </c>
      <c r="C41" t="s">
        <v>158</v>
      </c>
      <c r="D41" s="7">
        <v>2050</v>
      </c>
      <c r="E41" s="6">
        <v>0.78</v>
      </c>
      <c r="F41" s="6">
        <v>136.69999999999999</v>
      </c>
      <c r="G41" s="15">
        <v>267.5</v>
      </c>
      <c r="H41" s="15">
        <v>441.6</v>
      </c>
      <c r="I41" s="6">
        <v>52860496</v>
      </c>
      <c r="J41" s="6">
        <v>34082700</v>
      </c>
      <c r="K41" s="6">
        <v>1452327.6</v>
      </c>
      <c r="L41" s="6">
        <v>323399.2</v>
      </c>
      <c r="M41" s="6">
        <v>0</v>
      </c>
      <c r="N41" s="6">
        <v>0</v>
      </c>
      <c r="O41" s="6">
        <v>1010865.9</v>
      </c>
      <c r="P41" s="6">
        <v>0</v>
      </c>
      <c r="Q41" s="6">
        <v>0</v>
      </c>
      <c r="R41" s="6">
        <v>1083197.8</v>
      </c>
      <c r="S41" s="6">
        <v>7441836</v>
      </c>
      <c r="T41" s="6">
        <v>0</v>
      </c>
      <c r="U41" s="6">
        <v>3226922</v>
      </c>
      <c r="V41" s="6">
        <v>0</v>
      </c>
      <c r="W41" s="6">
        <v>1111080.6000000001</v>
      </c>
      <c r="X41" s="6">
        <v>4211325.5</v>
      </c>
      <c r="Y41" s="6">
        <v>37.200000000000003</v>
      </c>
      <c r="Z41" s="6">
        <v>0</v>
      </c>
      <c r="AA41" s="6">
        <v>0</v>
      </c>
      <c r="AB41" s="6">
        <v>16128422</v>
      </c>
      <c r="AC41" s="6">
        <v>16871082</v>
      </c>
      <c r="AD41" s="6">
        <v>0</v>
      </c>
      <c r="AE41" s="6">
        <f t="shared" si="0"/>
        <v>52860496</v>
      </c>
      <c r="AF41" s="6">
        <f t="shared" si="1"/>
        <v>0</v>
      </c>
      <c r="AG41" s="6">
        <f t="shared" si="13"/>
        <v>323399.2</v>
      </c>
      <c r="AH41" s="6">
        <f t="shared" si="2"/>
        <v>52537096.799999997</v>
      </c>
      <c r="AI41" s="6">
        <f t="shared" si="3"/>
        <v>1010865.9</v>
      </c>
      <c r="AJ41" s="6">
        <f t="shared" si="4"/>
        <v>10668758</v>
      </c>
      <c r="AK41" s="6">
        <f t="shared" si="5"/>
        <v>37.200000000000003</v>
      </c>
      <c r="AL41" s="6">
        <f t="shared" si="6"/>
        <v>4211325.5</v>
      </c>
      <c r="AM41" s="6">
        <f t="shared" si="7"/>
        <v>36646110</v>
      </c>
      <c r="AN41" s="10">
        <f t="shared" si="8"/>
        <v>1.9240992775984532E-2</v>
      </c>
      <c r="AO41" s="10">
        <f t="shared" si="9"/>
        <v>0.20307094700367989</v>
      </c>
      <c r="AP41" s="10">
        <f t="shared" si="10"/>
        <v>7.0807110148499882E-7</v>
      </c>
      <c r="AQ41" s="10">
        <f t="shared" si="11"/>
        <v>8.0159082943464063E-2</v>
      </c>
      <c r="AR41" s="10">
        <f t="shared" si="12"/>
        <v>0.6975282653989362</v>
      </c>
    </row>
    <row r="42" spans="1:44" x14ac:dyDescent="0.3">
      <c r="A42" t="s">
        <v>6</v>
      </c>
      <c r="B42" t="s">
        <v>7</v>
      </c>
      <c r="C42" t="s">
        <v>159</v>
      </c>
      <c r="D42" s="7">
        <v>2024</v>
      </c>
      <c r="E42" s="6">
        <v>0.72</v>
      </c>
      <c r="F42" s="6">
        <v>291.2</v>
      </c>
      <c r="G42" s="15">
        <v>286.60000000000002</v>
      </c>
      <c r="H42" s="15">
        <v>884.6</v>
      </c>
      <c r="I42" s="6">
        <v>268669820</v>
      </c>
      <c r="J42" s="6">
        <v>147602260</v>
      </c>
      <c r="K42" s="6">
        <v>14605.4</v>
      </c>
      <c r="L42" s="6">
        <v>1095240.2</v>
      </c>
      <c r="M42" s="6">
        <v>0</v>
      </c>
      <c r="N42" s="6">
        <v>14641422</v>
      </c>
      <c r="O42" s="6">
        <v>58913292</v>
      </c>
      <c r="P42" s="6">
        <v>0</v>
      </c>
      <c r="Q42" s="6">
        <v>0</v>
      </c>
      <c r="R42" s="6">
        <v>1686599.6</v>
      </c>
      <c r="S42" s="6">
        <v>15284430</v>
      </c>
      <c r="T42" s="6">
        <v>0</v>
      </c>
      <c r="U42" s="6">
        <v>911856.8</v>
      </c>
      <c r="V42" s="6">
        <v>0</v>
      </c>
      <c r="W42" s="6">
        <v>11214647</v>
      </c>
      <c r="X42" s="6">
        <v>18684632</v>
      </c>
      <c r="Y42" s="6">
        <v>307449.59999999998</v>
      </c>
      <c r="Z42" s="6">
        <v>0</v>
      </c>
      <c r="AA42" s="6">
        <v>0</v>
      </c>
      <c r="AB42" s="6">
        <v>14732074</v>
      </c>
      <c r="AC42" s="6">
        <v>131183590</v>
      </c>
      <c r="AD42" s="6">
        <v>0</v>
      </c>
      <c r="AE42" s="6">
        <f t="shared" si="0"/>
        <v>268669820</v>
      </c>
      <c r="AF42" s="6">
        <f t="shared" si="1"/>
        <v>14641422</v>
      </c>
      <c r="AG42" s="6">
        <f t="shared" si="13"/>
        <v>1095240.2</v>
      </c>
      <c r="AH42" s="6">
        <f t="shared" si="2"/>
        <v>252933157.80000001</v>
      </c>
      <c r="AI42" s="6">
        <f t="shared" si="3"/>
        <v>58913292</v>
      </c>
      <c r="AJ42" s="6">
        <f t="shared" si="4"/>
        <v>16196286.800000001</v>
      </c>
      <c r="AK42" s="6">
        <f t="shared" si="5"/>
        <v>307449.59999999998</v>
      </c>
      <c r="AL42" s="6">
        <f t="shared" si="6"/>
        <v>18684632</v>
      </c>
      <c r="AM42" s="6">
        <f t="shared" si="7"/>
        <v>158831516</v>
      </c>
      <c r="AN42" s="10">
        <f t="shared" si="8"/>
        <v>0.23292039886120458</v>
      </c>
      <c r="AO42" s="10">
        <f t="shared" si="9"/>
        <v>6.4033861518491664E-2</v>
      </c>
      <c r="AP42" s="10">
        <f t="shared" si="10"/>
        <v>1.2155369532179223E-3</v>
      </c>
      <c r="AQ42" s="10">
        <f t="shared" si="11"/>
        <v>7.3871817212571092E-2</v>
      </c>
      <c r="AR42" s="10">
        <f t="shared" si="12"/>
        <v>0.62795845899172964</v>
      </c>
    </row>
    <row r="43" spans="1:44" x14ac:dyDescent="0.3">
      <c r="A43" t="s">
        <v>6</v>
      </c>
      <c r="B43" t="s">
        <v>7</v>
      </c>
      <c r="C43" t="s">
        <v>159</v>
      </c>
      <c r="D43" s="7">
        <v>2026</v>
      </c>
      <c r="E43" s="6">
        <v>0.81</v>
      </c>
      <c r="F43" s="6">
        <v>193.5</v>
      </c>
      <c r="G43" s="15">
        <v>167.7</v>
      </c>
      <c r="H43" s="15">
        <v>741.5</v>
      </c>
      <c r="I43" s="6">
        <v>282701760</v>
      </c>
      <c r="J43" s="6">
        <v>184566030</v>
      </c>
      <c r="K43" s="6">
        <v>113481.1</v>
      </c>
      <c r="L43" s="6">
        <v>1023650.5</v>
      </c>
      <c r="M43" s="6">
        <v>0</v>
      </c>
      <c r="N43" s="6">
        <v>13592046</v>
      </c>
      <c r="O43" s="6">
        <v>40523730</v>
      </c>
      <c r="P43" s="6">
        <v>0</v>
      </c>
      <c r="Q43" s="6">
        <v>0</v>
      </c>
      <c r="R43" s="6">
        <v>2130700.2000000002</v>
      </c>
      <c r="S43" s="6">
        <v>12649018</v>
      </c>
      <c r="T43" s="6">
        <v>0</v>
      </c>
      <c r="U43" s="6">
        <v>465180.1</v>
      </c>
      <c r="V43" s="6">
        <v>0</v>
      </c>
      <c r="W43" s="6">
        <v>11684405</v>
      </c>
      <c r="X43" s="6">
        <v>17835076</v>
      </c>
      <c r="Y43" s="6">
        <v>249156.6</v>
      </c>
      <c r="Z43" s="6">
        <v>0</v>
      </c>
      <c r="AA43" s="6">
        <v>0</v>
      </c>
      <c r="AB43" s="6">
        <v>37877810</v>
      </c>
      <c r="AC43" s="6">
        <v>144557520</v>
      </c>
      <c r="AD43" s="6">
        <v>0</v>
      </c>
      <c r="AE43" s="6">
        <f t="shared" si="0"/>
        <v>282701760</v>
      </c>
      <c r="AF43" s="6">
        <f t="shared" si="1"/>
        <v>13592046</v>
      </c>
      <c r="AG43" s="6">
        <f t="shared" si="13"/>
        <v>1023650.5</v>
      </c>
      <c r="AH43" s="6">
        <f t="shared" si="2"/>
        <v>268086063.5</v>
      </c>
      <c r="AI43" s="6">
        <f t="shared" si="3"/>
        <v>40523730</v>
      </c>
      <c r="AJ43" s="6">
        <f t="shared" si="4"/>
        <v>13114198.1</v>
      </c>
      <c r="AK43" s="6">
        <f t="shared" si="5"/>
        <v>249156.6</v>
      </c>
      <c r="AL43" s="6">
        <f t="shared" si="6"/>
        <v>17835076</v>
      </c>
      <c r="AM43" s="6">
        <f t="shared" si="7"/>
        <v>196363916.30000001</v>
      </c>
      <c r="AN43" s="10">
        <f t="shared" si="8"/>
        <v>0.15115940556902541</v>
      </c>
      <c r="AO43" s="10">
        <f t="shared" si="9"/>
        <v>4.8917865885258892E-2</v>
      </c>
      <c r="AP43" s="10">
        <f t="shared" si="10"/>
        <v>9.2939034855871953E-4</v>
      </c>
      <c r="AQ43" s="10">
        <f t="shared" si="11"/>
        <v>6.6527426928330427E-2</v>
      </c>
      <c r="AR43" s="10">
        <f t="shared" si="12"/>
        <v>0.7324659616257897</v>
      </c>
    </row>
    <row r="44" spans="1:44" x14ac:dyDescent="0.3">
      <c r="A44" t="s">
        <v>6</v>
      </c>
      <c r="B44" t="s">
        <v>7</v>
      </c>
      <c r="C44" t="s">
        <v>159</v>
      </c>
      <c r="D44" s="7">
        <v>2028</v>
      </c>
      <c r="E44" s="6">
        <v>0.89</v>
      </c>
      <c r="F44" s="6">
        <v>105.1</v>
      </c>
      <c r="G44" s="15">
        <v>100.9</v>
      </c>
      <c r="H44" s="15">
        <v>570.29999999999995</v>
      </c>
      <c r="I44" s="6">
        <v>315632000</v>
      </c>
      <c r="J44" s="6">
        <v>234223660</v>
      </c>
      <c r="K44" s="6">
        <v>2328474.5</v>
      </c>
      <c r="L44" s="6">
        <v>839348.4</v>
      </c>
      <c r="M44" s="6">
        <v>0</v>
      </c>
      <c r="N44" s="6">
        <v>16607819</v>
      </c>
      <c r="O44" s="6">
        <v>24343110</v>
      </c>
      <c r="P44" s="6">
        <v>0</v>
      </c>
      <c r="Q44" s="6">
        <v>0</v>
      </c>
      <c r="R44" s="6">
        <v>2875825.2</v>
      </c>
      <c r="S44" s="6">
        <v>8598744</v>
      </c>
      <c r="T44" s="6">
        <v>0</v>
      </c>
      <c r="U44" s="6">
        <v>213216.4</v>
      </c>
      <c r="V44" s="6">
        <v>0</v>
      </c>
      <c r="W44" s="6">
        <v>11260508</v>
      </c>
      <c r="X44" s="6">
        <v>17086728</v>
      </c>
      <c r="Y44" s="6">
        <v>130385.8</v>
      </c>
      <c r="Z44" s="6">
        <v>0</v>
      </c>
      <c r="AA44" s="6">
        <v>0</v>
      </c>
      <c r="AB44" s="6">
        <v>38322360</v>
      </c>
      <c r="AC44" s="6">
        <v>193025470</v>
      </c>
      <c r="AD44" s="6">
        <v>0</v>
      </c>
      <c r="AE44" s="6">
        <f t="shared" si="0"/>
        <v>315632000</v>
      </c>
      <c r="AF44" s="6">
        <f t="shared" si="1"/>
        <v>16607819</v>
      </c>
      <c r="AG44" s="6">
        <f t="shared" si="13"/>
        <v>839348.4</v>
      </c>
      <c r="AH44" s="6">
        <f t="shared" si="2"/>
        <v>298184832.60000002</v>
      </c>
      <c r="AI44" s="6">
        <f t="shared" si="3"/>
        <v>24343110</v>
      </c>
      <c r="AJ44" s="6">
        <f t="shared" si="4"/>
        <v>8811960.4000000004</v>
      </c>
      <c r="AK44" s="6">
        <f t="shared" si="5"/>
        <v>130385.8</v>
      </c>
      <c r="AL44" s="6">
        <f t="shared" si="6"/>
        <v>17086728</v>
      </c>
      <c r="AM44" s="6">
        <f t="shared" si="7"/>
        <v>247812637.69999999</v>
      </c>
      <c r="AN44" s="10">
        <f t="shared" si="8"/>
        <v>8.1637653356618101E-2</v>
      </c>
      <c r="AO44" s="10">
        <f t="shared" si="9"/>
        <v>2.9552007468538154E-2</v>
      </c>
      <c r="AP44" s="10">
        <f t="shared" si="10"/>
        <v>4.3726503076333865E-4</v>
      </c>
      <c r="AQ44" s="10">
        <f t="shared" si="11"/>
        <v>5.7302471929955565E-2</v>
      </c>
      <c r="AR44" s="10">
        <f t="shared" si="12"/>
        <v>0.83107056633034115</v>
      </c>
    </row>
    <row r="45" spans="1:44" x14ac:dyDescent="0.3">
      <c r="A45" t="s">
        <v>6</v>
      </c>
      <c r="B45" t="s">
        <v>7</v>
      </c>
      <c r="C45" t="s">
        <v>159</v>
      </c>
      <c r="D45" s="7">
        <v>2030</v>
      </c>
      <c r="E45" s="6">
        <v>0.93</v>
      </c>
      <c r="F45" s="6">
        <v>71.2</v>
      </c>
      <c r="G45" s="15">
        <v>119.9</v>
      </c>
      <c r="H45" s="15">
        <v>483.2</v>
      </c>
      <c r="I45" s="6">
        <v>333374850</v>
      </c>
      <c r="J45" s="6">
        <v>257612060</v>
      </c>
      <c r="K45" s="6">
        <v>5467554.5</v>
      </c>
      <c r="L45" s="6">
        <v>665927.19999999995</v>
      </c>
      <c r="M45" s="6">
        <v>0</v>
      </c>
      <c r="N45" s="6">
        <v>19165756</v>
      </c>
      <c r="O45" s="6">
        <v>17980714</v>
      </c>
      <c r="P45" s="6">
        <v>0</v>
      </c>
      <c r="Q45" s="6">
        <v>0</v>
      </c>
      <c r="R45" s="6">
        <v>4054896</v>
      </c>
      <c r="S45" s="6">
        <v>5022318</v>
      </c>
      <c r="T45" s="6">
        <v>0</v>
      </c>
      <c r="U45" s="6">
        <v>67257.8</v>
      </c>
      <c r="V45" s="6">
        <v>0</v>
      </c>
      <c r="W45" s="6">
        <v>10728802</v>
      </c>
      <c r="X45" s="6">
        <v>16609906</v>
      </c>
      <c r="Y45" s="6">
        <v>54578.8</v>
      </c>
      <c r="Z45" s="6">
        <v>0</v>
      </c>
      <c r="AA45" s="6">
        <v>0</v>
      </c>
      <c r="AB45" s="6">
        <v>42541240</v>
      </c>
      <c r="AC45" s="6">
        <v>211015900</v>
      </c>
      <c r="AD45" s="6">
        <v>0</v>
      </c>
      <c r="AE45" s="6">
        <f t="shared" si="0"/>
        <v>333374850</v>
      </c>
      <c r="AF45" s="6">
        <f t="shared" si="1"/>
        <v>19165756</v>
      </c>
      <c r="AG45" s="6">
        <f t="shared" si="13"/>
        <v>665927.19999999995</v>
      </c>
      <c r="AH45" s="6">
        <f t="shared" si="2"/>
        <v>313543166.80000001</v>
      </c>
      <c r="AI45" s="6">
        <f t="shared" si="3"/>
        <v>17980714</v>
      </c>
      <c r="AJ45" s="6">
        <f t="shared" si="4"/>
        <v>5089575.8</v>
      </c>
      <c r="AK45" s="6">
        <f t="shared" si="5"/>
        <v>54578.8</v>
      </c>
      <c r="AL45" s="6">
        <f t="shared" si="6"/>
        <v>16609906</v>
      </c>
      <c r="AM45" s="6">
        <f t="shared" si="7"/>
        <v>273808392.5</v>
      </c>
      <c r="AN45" s="10">
        <f t="shared" si="8"/>
        <v>5.7346853332859812E-2</v>
      </c>
      <c r="AO45" s="10">
        <f t="shared" si="9"/>
        <v>1.6232456449119463E-2</v>
      </c>
      <c r="AP45" s="10">
        <f t="shared" si="10"/>
        <v>1.7407108742642196E-4</v>
      </c>
      <c r="AQ45" s="10">
        <f t="shared" si="11"/>
        <v>5.2974862024644194E-2</v>
      </c>
      <c r="AR45" s="10">
        <f t="shared" si="12"/>
        <v>0.87327175806275614</v>
      </c>
    </row>
    <row r="46" spans="1:44" x14ac:dyDescent="0.3">
      <c r="A46" t="s">
        <v>6</v>
      </c>
      <c r="B46" t="s">
        <v>7</v>
      </c>
      <c r="C46" t="s">
        <v>159</v>
      </c>
      <c r="D46" s="7">
        <v>2035</v>
      </c>
      <c r="E46" s="6">
        <v>0.95</v>
      </c>
      <c r="F46" s="6">
        <v>52.5</v>
      </c>
      <c r="G46" s="15">
        <v>153.19999999999999</v>
      </c>
      <c r="H46" s="15">
        <v>458.8</v>
      </c>
      <c r="I46" s="6">
        <v>342392860</v>
      </c>
      <c r="J46" s="6">
        <v>273982980</v>
      </c>
      <c r="K46" s="6">
        <v>9451142</v>
      </c>
      <c r="L46" s="6">
        <v>662207</v>
      </c>
      <c r="M46" s="6">
        <v>0</v>
      </c>
      <c r="N46" s="6">
        <v>18926190</v>
      </c>
      <c r="O46" s="6">
        <v>13734346</v>
      </c>
      <c r="P46" s="6">
        <v>0</v>
      </c>
      <c r="Q46" s="6">
        <v>0</v>
      </c>
      <c r="R46" s="6">
        <v>6179694</v>
      </c>
      <c r="S46" s="6">
        <v>3862182</v>
      </c>
      <c r="T46" s="6">
        <v>0</v>
      </c>
      <c r="U46" s="6">
        <v>27600.1</v>
      </c>
      <c r="V46" s="6">
        <v>0</v>
      </c>
      <c r="W46" s="6">
        <v>10379643</v>
      </c>
      <c r="X46" s="6">
        <v>11340396</v>
      </c>
      <c r="Y46" s="6">
        <v>26195.599999999999</v>
      </c>
      <c r="Z46" s="6">
        <v>0</v>
      </c>
      <c r="AA46" s="6">
        <v>0</v>
      </c>
      <c r="AB46" s="6">
        <v>48780900</v>
      </c>
      <c r="AC46" s="6">
        <v>219022370</v>
      </c>
      <c r="AD46" s="6">
        <v>0</v>
      </c>
      <c r="AE46" s="6">
        <f t="shared" si="0"/>
        <v>342392860</v>
      </c>
      <c r="AF46" s="6">
        <f t="shared" si="1"/>
        <v>18926190</v>
      </c>
      <c r="AG46" s="6">
        <f t="shared" si="13"/>
        <v>662207</v>
      </c>
      <c r="AH46" s="6">
        <f t="shared" si="2"/>
        <v>322804463</v>
      </c>
      <c r="AI46" s="6">
        <f t="shared" si="3"/>
        <v>13734346</v>
      </c>
      <c r="AJ46" s="6">
        <f t="shared" si="4"/>
        <v>3889782.1</v>
      </c>
      <c r="AK46" s="6">
        <f t="shared" si="5"/>
        <v>26195.599999999999</v>
      </c>
      <c r="AL46" s="6">
        <f t="shared" si="6"/>
        <v>11340396</v>
      </c>
      <c r="AM46" s="6">
        <f t="shared" si="7"/>
        <v>293813749</v>
      </c>
      <c r="AN46" s="10">
        <f t="shared" si="8"/>
        <v>4.2546952022779187E-2</v>
      </c>
      <c r="AO46" s="10">
        <f t="shared" si="9"/>
        <v>1.2049963819738142E-2</v>
      </c>
      <c r="AP46" s="10">
        <f t="shared" si="10"/>
        <v>8.1150055227086488E-5</v>
      </c>
      <c r="AQ46" s="10">
        <f t="shared" si="11"/>
        <v>3.513085257436481E-2</v>
      </c>
      <c r="AR46" s="10">
        <f t="shared" si="12"/>
        <v>0.91019109918563923</v>
      </c>
    </row>
    <row r="47" spans="1:44" x14ac:dyDescent="0.3">
      <c r="A47" t="s">
        <v>6</v>
      </c>
      <c r="B47" t="s">
        <v>7</v>
      </c>
      <c r="C47" t="s">
        <v>159</v>
      </c>
      <c r="D47" s="7">
        <v>2040</v>
      </c>
      <c r="E47" s="6">
        <v>0.97</v>
      </c>
      <c r="F47" s="6">
        <v>34.299999999999997</v>
      </c>
      <c r="G47" s="15">
        <v>176.2</v>
      </c>
      <c r="H47" s="15">
        <v>386.3</v>
      </c>
      <c r="I47" s="6">
        <v>370737100</v>
      </c>
      <c r="J47" s="6">
        <v>304503200</v>
      </c>
      <c r="K47" s="6">
        <v>13191828</v>
      </c>
      <c r="L47" s="6">
        <v>630517.19999999995</v>
      </c>
      <c r="M47" s="6">
        <v>0</v>
      </c>
      <c r="N47" s="6">
        <v>19024540</v>
      </c>
      <c r="O47" s="6">
        <v>9696122</v>
      </c>
      <c r="P47" s="6">
        <v>0</v>
      </c>
      <c r="Q47" s="6">
        <v>0</v>
      </c>
      <c r="R47" s="6">
        <v>6570208.5</v>
      </c>
      <c r="S47" s="6">
        <v>2767042</v>
      </c>
      <c r="T47" s="6">
        <v>0</v>
      </c>
      <c r="U47" s="6">
        <v>15220.6</v>
      </c>
      <c r="V47" s="6">
        <v>0</v>
      </c>
      <c r="W47" s="6">
        <v>9809969</v>
      </c>
      <c r="X47" s="6">
        <v>11082539</v>
      </c>
      <c r="Y47" s="6">
        <v>16130.2</v>
      </c>
      <c r="Z47" s="6">
        <v>0</v>
      </c>
      <c r="AA47" s="6">
        <v>0</v>
      </c>
      <c r="AB47" s="6">
        <v>61231564</v>
      </c>
      <c r="AC47" s="6">
        <v>236701400</v>
      </c>
      <c r="AD47" s="6">
        <v>0</v>
      </c>
      <c r="AE47" s="6">
        <f t="shared" si="0"/>
        <v>370737100</v>
      </c>
      <c r="AF47" s="6">
        <f t="shared" si="1"/>
        <v>19024540</v>
      </c>
      <c r="AG47" s="6">
        <f t="shared" si="13"/>
        <v>630517.19999999995</v>
      </c>
      <c r="AH47" s="6">
        <f t="shared" si="2"/>
        <v>351082042.80000001</v>
      </c>
      <c r="AI47" s="6">
        <f t="shared" si="3"/>
        <v>9696122</v>
      </c>
      <c r="AJ47" s="6">
        <f t="shared" si="4"/>
        <v>2782262.6</v>
      </c>
      <c r="AK47" s="6">
        <f t="shared" si="5"/>
        <v>16130.2</v>
      </c>
      <c r="AL47" s="6">
        <f t="shared" si="6"/>
        <v>11082539</v>
      </c>
      <c r="AM47" s="6">
        <f t="shared" si="7"/>
        <v>327504969.5</v>
      </c>
      <c r="AN47" s="10">
        <f t="shared" si="8"/>
        <v>2.7617823807421459E-2</v>
      </c>
      <c r="AO47" s="10">
        <f t="shared" si="9"/>
        <v>7.9248217248894283E-3</v>
      </c>
      <c r="AP47" s="10">
        <f t="shared" si="10"/>
        <v>4.594424673889929E-5</v>
      </c>
      <c r="AQ47" s="10">
        <f t="shared" si="11"/>
        <v>3.1566806754378382E-2</v>
      </c>
      <c r="AR47" s="10">
        <f t="shared" si="12"/>
        <v>0.93284454792399873</v>
      </c>
    </row>
    <row r="48" spans="1:44" x14ac:dyDescent="0.3">
      <c r="A48" t="s">
        <v>6</v>
      </c>
      <c r="B48" t="s">
        <v>7</v>
      </c>
      <c r="C48" t="s">
        <v>159</v>
      </c>
      <c r="D48" s="7">
        <v>2045</v>
      </c>
      <c r="E48" s="6">
        <v>0.97</v>
      </c>
      <c r="F48" s="6">
        <v>32.6</v>
      </c>
      <c r="G48" s="15">
        <v>179.7</v>
      </c>
      <c r="H48" s="15">
        <v>366.5</v>
      </c>
      <c r="I48" s="6">
        <v>379137660</v>
      </c>
      <c r="J48" s="6">
        <v>320685380</v>
      </c>
      <c r="K48" s="6">
        <v>15182178</v>
      </c>
      <c r="L48" s="6">
        <v>629948.30000000005</v>
      </c>
      <c r="M48" s="6">
        <v>0</v>
      </c>
      <c r="N48" s="6">
        <v>19209920</v>
      </c>
      <c r="O48" s="6">
        <v>8908457</v>
      </c>
      <c r="P48" s="6">
        <v>0</v>
      </c>
      <c r="Q48" s="6">
        <v>0</v>
      </c>
      <c r="R48" s="6">
        <v>7052172</v>
      </c>
      <c r="S48" s="6">
        <v>3735263.2</v>
      </c>
      <c r="T48" s="6">
        <v>0</v>
      </c>
      <c r="U48" s="6">
        <v>117891.2</v>
      </c>
      <c r="V48" s="6">
        <v>0</v>
      </c>
      <c r="W48" s="6">
        <v>9714425</v>
      </c>
      <c r="X48" s="6">
        <v>954196.8</v>
      </c>
      <c r="Y48" s="6">
        <v>13.9</v>
      </c>
      <c r="Z48" s="6">
        <v>0</v>
      </c>
      <c r="AA48" s="6">
        <v>0</v>
      </c>
      <c r="AB48" s="6">
        <v>70732696</v>
      </c>
      <c r="AC48" s="6">
        <v>242900510</v>
      </c>
      <c r="AD48" s="6">
        <v>0</v>
      </c>
      <c r="AE48" s="6">
        <f t="shared" si="0"/>
        <v>379137660</v>
      </c>
      <c r="AF48" s="6">
        <f t="shared" si="1"/>
        <v>19209920</v>
      </c>
      <c r="AG48" s="6">
        <f t="shared" si="13"/>
        <v>629948.30000000005</v>
      </c>
      <c r="AH48" s="6">
        <f t="shared" si="2"/>
        <v>359297791.69999999</v>
      </c>
      <c r="AI48" s="6">
        <f t="shared" si="3"/>
        <v>8908457</v>
      </c>
      <c r="AJ48" s="6">
        <f t="shared" si="4"/>
        <v>3853154.4000000004</v>
      </c>
      <c r="AK48" s="6">
        <f t="shared" si="5"/>
        <v>13.9</v>
      </c>
      <c r="AL48" s="6">
        <f t="shared" si="6"/>
        <v>954196.8</v>
      </c>
      <c r="AM48" s="6">
        <f t="shared" si="7"/>
        <v>345581981</v>
      </c>
      <c r="AN48" s="10">
        <f t="shared" si="8"/>
        <v>2.4794076684552024E-2</v>
      </c>
      <c r="AO48" s="10">
        <f t="shared" si="9"/>
        <v>1.0724124915349433E-2</v>
      </c>
      <c r="AP48" s="10">
        <f t="shared" si="10"/>
        <v>3.8686572311599324E-8</v>
      </c>
      <c r="AQ48" s="10">
        <f t="shared" si="11"/>
        <v>2.6557268706976027E-3</v>
      </c>
      <c r="AR48" s="10">
        <f t="shared" si="12"/>
        <v>0.96182606457138442</v>
      </c>
    </row>
    <row r="49" spans="1:44" x14ac:dyDescent="0.3">
      <c r="A49" t="s">
        <v>6</v>
      </c>
      <c r="B49" t="s">
        <v>7</v>
      </c>
      <c r="C49" t="s">
        <v>159</v>
      </c>
      <c r="D49" s="7">
        <v>2050</v>
      </c>
      <c r="E49" s="6">
        <v>0.97</v>
      </c>
      <c r="F49" s="6">
        <v>26.8</v>
      </c>
      <c r="G49" s="15">
        <v>183.2</v>
      </c>
      <c r="H49" s="15">
        <v>341.9</v>
      </c>
      <c r="I49" s="6">
        <v>405100400</v>
      </c>
      <c r="J49" s="6">
        <v>346778340</v>
      </c>
      <c r="K49" s="6">
        <v>17077694</v>
      </c>
      <c r="L49" s="6">
        <v>372115</v>
      </c>
      <c r="M49" s="6">
        <v>0</v>
      </c>
      <c r="N49" s="6">
        <v>19306928</v>
      </c>
      <c r="O49" s="6">
        <v>7199694.5</v>
      </c>
      <c r="P49" s="6">
        <v>0</v>
      </c>
      <c r="Q49" s="6">
        <v>0</v>
      </c>
      <c r="R49" s="6">
        <v>7444001.5</v>
      </c>
      <c r="S49" s="6">
        <v>4592516</v>
      </c>
      <c r="T49" s="6">
        <v>0</v>
      </c>
      <c r="U49" s="6">
        <v>235690.7</v>
      </c>
      <c r="V49" s="6">
        <v>0</v>
      </c>
      <c r="W49" s="6">
        <v>9537465</v>
      </c>
      <c r="X49" s="6">
        <v>0</v>
      </c>
      <c r="Y49" s="6">
        <v>0</v>
      </c>
      <c r="Z49" s="6">
        <v>0</v>
      </c>
      <c r="AA49" s="6">
        <v>0</v>
      </c>
      <c r="AB49" s="6">
        <v>88750360</v>
      </c>
      <c r="AC49" s="6">
        <v>250583970</v>
      </c>
      <c r="AD49" s="6">
        <v>0</v>
      </c>
      <c r="AE49" s="6">
        <f t="shared" si="0"/>
        <v>405100400</v>
      </c>
      <c r="AF49" s="6">
        <f t="shared" si="1"/>
        <v>19306928</v>
      </c>
      <c r="AG49" s="6">
        <f t="shared" si="13"/>
        <v>372115</v>
      </c>
      <c r="AH49" s="6">
        <f t="shared" si="2"/>
        <v>385421357</v>
      </c>
      <c r="AI49" s="6">
        <f t="shared" si="3"/>
        <v>7199694.5</v>
      </c>
      <c r="AJ49" s="6">
        <f t="shared" si="4"/>
        <v>4828206.7</v>
      </c>
      <c r="AK49" s="6">
        <f t="shared" si="5"/>
        <v>0</v>
      </c>
      <c r="AL49" s="6">
        <f t="shared" si="6"/>
        <v>0</v>
      </c>
      <c r="AM49" s="6">
        <f t="shared" si="7"/>
        <v>373393490.5</v>
      </c>
      <c r="AN49" s="10">
        <f t="shared" si="8"/>
        <v>1.8680061105176379E-2</v>
      </c>
      <c r="AO49" s="10">
        <f t="shared" si="9"/>
        <v>1.2527086556856267E-2</v>
      </c>
      <c r="AP49" s="10">
        <f t="shared" si="10"/>
        <v>0</v>
      </c>
      <c r="AQ49" s="10">
        <f t="shared" si="11"/>
        <v>0</v>
      </c>
      <c r="AR49" s="10">
        <f t="shared" si="12"/>
        <v>0.96879294236930413</v>
      </c>
    </row>
    <row r="50" spans="1:44" x14ac:dyDescent="0.3">
      <c r="A50" t="s">
        <v>6</v>
      </c>
      <c r="B50" t="s">
        <v>7</v>
      </c>
      <c r="C50" t="s">
        <v>160</v>
      </c>
      <c r="D50" s="7">
        <v>2024</v>
      </c>
      <c r="E50" s="6">
        <v>0.7</v>
      </c>
      <c r="F50" s="6">
        <v>157.30000000000001</v>
      </c>
      <c r="G50" s="15">
        <v>367.4</v>
      </c>
      <c r="H50" s="15">
        <v>758.2</v>
      </c>
      <c r="I50" s="6">
        <v>130210640</v>
      </c>
      <c r="J50" s="6">
        <v>23267522</v>
      </c>
      <c r="K50" s="6">
        <v>102804.6</v>
      </c>
      <c r="L50" s="6">
        <v>6460556.5</v>
      </c>
      <c r="M50" s="6">
        <v>0</v>
      </c>
      <c r="N50" s="6">
        <v>25291684</v>
      </c>
      <c r="O50" s="6">
        <v>308564.2</v>
      </c>
      <c r="P50" s="6">
        <v>0</v>
      </c>
      <c r="Q50" s="6">
        <v>0</v>
      </c>
      <c r="R50" s="6">
        <v>5799717.5</v>
      </c>
      <c r="S50" s="6">
        <v>38884492</v>
      </c>
      <c r="T50" s="6">
        <v>0</v>
      </c>
      <c r="U50" s="6">
        <v>96601.4</v>
      </c>
      <c r="V50" s="6">
        <v>0</v>
      </c>
      <c r="W50" s="6">
        <v>7545445.5</v>
      </c>
      <c r="X50" s="6">
        <v>26513462</v>
      </c>
      <c r="Y50" s="6">
        <v>29147.599999999999</v>
      </c>
      <c r="Z50" s="6">
        <v>1710360.8</v>
      </c>
      <c r="AA50" s="6">
        <v>0</v>
      </c>
      <c r="AB50" s="6">
        <v>5497026</v>
      </c>
      <c r="AC50" s="6">
        <v>6043843</v>
      </c>
      <c r="AD50" s="6">
        <v>5926936</v>
      </c>
      <c r="AE50" s="6">
        <f t="shared" si="0"/>
        <v>130210640</v>
      </c>
      <c r="AF50" s="6">
        <f t="shared" si="1"/>
        <v>25291684</v>
      </c>
      <c r="AG50" s="6">
        <f t="shared" si="13"/>
        <v>6460556.5</v>
      </c>
      <c r="AH50" s="6">
        <f t="shared" si="2"/>
        <v>98458399.5</v>
      </c>
      <c r="AI50" s="6">
        <f t="shared" si="3"/>
        <v>308564.2</v>
      </c>
      <c r="AJ50" s="6">
        <f t="shared" si="4"/>
        <v>38981093.399999999</v>
      </c>
      <c r="AK50" s="6">
        <f t="shared" si="5"/>
        <v>29147.599999999999</v>
      </c>
      <c r="AL50" s="6">
        <f t="shared" si="6"/>
        <v>26513462</v>
      </c>
      <c r="AM50" s="6">
        <f t="shared" si="7"/>
        <v>32626133.399999999</v>
      </c>
      <c r="AN50" s="10">
        <f t="shared" si="8"/>
        <v>3.1339550669823757E-3</v>
      </c>
      <c r="AO50" s="10">
        <f t="shared" si="9"/>
        <v>0.39591435162421057</v>
      </c>
      <c r="AP50" s="10">
        <f t="shared" si="10"/>
        <v>2.9603975027036672E-4</v>
      </c>
      <c r="AQ50" s="10">
        <f t="shared" si="11"/>
        <v>0.2692859332940914</v>
      </c>
      <c r="AR50" s="10">
        <f t="shared" si="12"/>
        <v>0.33136973143667647</v>
      </c>
    </row>
    <row r="51" spans="1:44" x14ac:dyDescent="0.3">
      <c r="A51" t="s">
        <v>6</v>
      </c>
      <c r="B51" t="s">
        <v>7</v>
      </c>
      <c r="C51" t="s">
        <v>160</v>
      </c>
      <c r="D51" s="7">
        <v>2026</v>
      </c>
      <c r="E51" s="6">
        <v>0.71</v>
      </c>
      <c r="F51" s="6">
        <v>152.9</v>
      </c>
      <c r="G51" s="15">
        <v>322.10000000000002</v>
      </c>
      <c r="H51" s="15">
        <v>707.2</v>
      </c>
      <c r="I51" s="6">
        <v>138127820</v>
      </c>
      <c r="J51" s="6">
        <v>30704980</v>
      </c>
      <c r="K51" s="6">
        <v>129960.1</v>
      </c>
      <c r="L51" s="6">
        <v>6460120</v>
      </c>
      <c r="M51" s="6">
        <v>0</v>
      </c>
      <c r="N51" s="6">
        <v>24597320</v>
      </c>
      <c r="O51" s="6">
        <v>155105.4</v>
      </c>
      <c r="P51" s="6">
        <v>0</v>
      </c>
      <c r="Q51" s="6">
        <v>0</v>
      </c>
      <c r="R51" s="6">
        <v>6513414</v>
      </c>
      <c r="S51" s="6">
        <v>40228570</v>
      </c>
      <c r="T51" s="6">
        <v>0</v>
      </c>
      <c r="U51" s="6">
        <v>106248</v>
      </c>
      <c r="V51" s="6">
        <v>0</v>
      </c>
      <c r="W51" s="6">
        <v>7538838.5</v>
      </c>
      <c r="X51" s="6">
        <v>26463058</v>
      </c>
      <c r="Y51" s="6">
        <v>29147.9</v>
      </c>
      <c r="Z51" s="6">
        <v>1714472.8</v>
      </c>
      <c r="AA51" s="6">
        <v>0</v>
      </c>
      <c r="AB51" s="6">
        <v>5668230</v>
      </c>
      <c r="AC51" s="6">
        <v>6416181.5</v>
      </c>
      <c r="AD51" s="6">
        <v>12107156</v>
      </c>
      <c r="AE51" s="6">
        <f t="shared" si="0"/>
        <v>138127820</v>
      </c>
      <c r="AF51" s="6">
        <f t="shared" si="1"/>
        <v>24597320</v>
      </c>
      <c r="AG51" s="6">
        <f t="shared" si="13"/>
        <v>6460120</v>
      </c>
      <c r="AH51" s="6">
        <f t="shared" si="2"/>
        <v>107070380</v>
      </c>
      <c r="AI51" s="6">
        <f t="shared" si="3"/>
        <v>155105.4</v>
      </c>
      <c r="AJ51" s="6">
        <f t="shared" si="4"/>
        <v>40334818</v>
      </c>
      <c r="AK51" s="6">
        <f t="shared" si="5"/>
        <v>29147.9</v>
      </c>
      <c r="AL51" s="6">
        <f t="shared" si="6"/>
        <v>26463058</v>
      </c>
      <c r="AM51" s="6">
        <f t="shared" si="7"/>
        <v>40088252.899999999</v>
      </c>
      <c r="AN51" s="10">
        <f t="shared" si="8"/>
        <v>1.4486303308160482E-3</v>
      </c>
      <c r="AO51" s="10">
        <f t="shared" si="9"/>
        <v>0.37671313018595803</v>
      </c>
      <c r="AP51" s="10">
        <f t="shared" si="10"/>
        <v>2.7223121838177843E-4</v>
      </c>
      <c r="AQ51" s="10">
        <f t="shared" si="11"/>
        <v>0.24715573065118476</v>
      </c>
      <c r="AR51" s="10">
        <f t="shared" si="12"/>
        <v>0.37441029816089194</v>
      </c>
    </row>
    <row r="52" spans="1:44" x14ac:dyDescent="0.3">
      <c r="A52" t="s">
        <v>6</v>
      </c>
      <c r="B52" t="s">
        <v>7</v>
      </c>
      <c r="C52" t="s">
        <v>160</v>
      </c>
      <c r="D52" s="7">
        <v>2028</v>
      </c>
      <c r="E52" s="6">
        <v>0.73</v>
      </c>
      <c r="F52" s="6">
        <v>139.30000000000001</v>
      </c>
      <c r="G52" s="15">
        <v>276.39999999999998</v>
      </c>
      <c r="H52" s="15">
        <v>644.4</v>
      </c>
      <c r="I52" s="6">
        <v>145698220</v>
      </c>
      <c r="J52" s="6">
        <v>39160436</v>
      </c>
      <c r="K52" s="6">
        <v>872755.8</v>
      </c>
      <c r="L52" s="6">
        <v>6436005.5</v>
      </c>
      <c r="M52" s="6">
        <v>0</v>
      </c>
      <c r="N52" s="6">
        <v>24314008</v>
      </c>
      <c r="O52" s="6">
        <v>1853.7</v>
      </c>
      <c r="P52" s="6">
        <v>0</v>
      </c>
      <c r="Q52" s="6">
        <v>0</v>
      </c>
      <c r="R52" s="6">
        <v>7252269</v>
      </c>
      <c r="S52" s="6">
        <v>38988096</v>
      </c>
      <c r="T52" s="6">
        <v>0</v>
      </c>
      <c r="U52" s="6">
        <v>85303.4</v>
      </c>
      <c r="V52" s="6">
        <v>0</v>
      </c>
      <c r="W52" s="6">
        <v>7501107</v>
      </c>
      <c r="X52" s="6">
        <v>26311200</v>
      </c>
      <c r="Y52" s="6">
        <v>37834.6</v>
      </c>
      <c r="Z52" s="6">
        <v>1989616.6</v>
      </c>
      <c r="AA52" s="6">
        <v>0</v>
      </c>
      <c r="AB52" s="6">
        <v>5959445.5</v>
      </c>
      <c r="AC52" s="6">
        <v>7337866.5</v>
      </c>
      <c r="AD52" s="6">
        <v>18610858</v>
      </c>
      <c r="AE52" s="6">
        <f t="shared" si="0"/>
        <v>145698220</v>
      </c>
      <c r="AF52" s="6">
        <f t="shared" si="1"/>
        <v>24314008</v>
      </c>
      <c r="AG52" s="6">
        <f t="shared" si="13"/>
        <v>6436005.5</v>
      </c>
      <c r="AH52" s="6">
        <f t="shared" si="2"/>
        <v>114948206.5</v>
      </c>
      <c r="AI52" s="6">
        <f t="shared" si="3"/>
        <v>1853.7</v>
      </c>
      <c r="AJ52" s="6">
        <f t="shared" si="4"/>
        <v>39073399.399999999</v>
      </c>
      <c r="AK52" s="6">
        <f t="shared" si="5"/>
        <v>37834.6</v>
      </c>
      <c r="AL52" s="6">
        <f t="shared" si="6"/>
        <v>26311200</v>
      </c>
      <c r="AM52" s="6">
        <f t="shared" si="7"/>
        <v>49523918.400000006</v>
      </c>
      <c r="AN52" s="10">
        <f t="shared" si="8"/>
        <v>1.6126393411801516E-5</v>
      </c>
      <c r="AO52" s="10">
        <f t="shared" si="9"/>
        <v>0.33992178381660959</v>
      </c>
      <c r="AP52" s="10">
        <f t="shared" si="10"/>
        <v>3.2914476138433705E-4</v>
      </c>
      <c r="AQ52" s="10">
        <f t="shared" si="11"/>
        <v>0.22889613332070563</v>
      </c>
      <c r="AR52" s="10">
        <f t="shared" si="12"/>
        <v>0.43083680822806059</v>
      </c>
    </row>
    <row r="53" spans="1:44" x14ac:dyDescent="0.3">
      <c r="A53" t="s">
        <v>6</v>
      </c>
      <c r="B53" t="s">
        <v>7</v>
      </c>
      <c r="C53" t="s">
        <v>160</v>
      </c>
      <c r="D53" s="7">
        <v>2030</v>
      </c>
      <c r="E53" s="6">
        <v>0.77</v>
      </c>
      <c r="F53" s="6">
        <v>119.4</v>
      </c>
      <c r="G53" s="15">
        <v>246.9</v>
      </c>
      <c r="H53" s="15">
        <v>606.79999999999995</v>
      </c>
      <c r="I53" s="6">
        <v>148870060</v>
      </c>
      <c r="J53" s="6">
        <v>47420056</v>
      </c>
      <c r="K53" s="6">
        <v>1863237.2</v>
      </c>
      <c r="L53" s="6">
        <v>5675408.5</v>
      </c>
      <c r="M53" s="6">
        <v>0</v>
      </c>
      <c r="N53" s="6">
        <v>23872054</v>
      </c>
      <c r="O53" s="6">
        <v>0</v>
      </c>
      <c r="P53" s="6">
        <v>0</v>
      </c>
      <c r="Q53" s="6">
        <v>0</v>
      </c>
      <c r="R53" s="6">
        <v>8248931</v>
      </c>
      <c r="S53" s="6">
        <v>34189610</v>
      </c>
      <c r="T53" s="6">
        <v>0</v>
      </c>
      <c r="U53" s="6">
        <v>84126.6</v>
      </c>
      <c r="V53" s="6">
        <v>0</v>
      </c>
      <c r="W53" s="6">
        <v>7493241.5</v>
      </c>
      <c r="X53" s="6">
        <v>26081988</v>
      </c>
      <c r="Y53" s="6">
        <v>28349.5</v>
      </c>
      <c r="Z53" s="6">
        <v>2161989.7999999998</v>
      </c>
      <c r="AA53" s="6">
        <v>0</v>
      </c>
      <c r="AB53" s="6">
        <v>6312323</v>
      </c>
      <c r="AC53" s="6">
        <v>10313039</v>
      </c>
      <c r="AD53" s="6">
        <v>22545760</v>
      </c>
      <c r="AE53" s="6">
        <f t="shared" si="0"/>
        <v>148870060</v>
      </c>
      <c r="AF53" s="6">
        <f t="shared" si="1"/>
        <v>23872054</v>
      </c>
      <c r="AG53" s="6">
        <f t="shared" si="13"/>
        <v>5675408.5</v>
      </c>
      <c r="AH53" s="6">
        <f t="shared" si="2"/>
        <v>119322597.5</v>
      </c>
      <c r="AI53" s="6">
        <f t="shared" si="3"/>
        <v>0</v>
      </c>
      <c r="AJ53" s="6">
        <f t="shared" si="4"/>
        <v>34273736.600000001</v>
      </c>
      <c r="AK53" s="6">
        <f t="shared" si="5"/>
        <v>28349.5</v>
      </c>
      <c r="AL53" s="6">
        <f t="shared" si="6"/>
        <v>26081988</v>
      </c>
      <c r="AM53" s="6">
        <f t="shared" si="7"/>
        <v>58938521.5</v>
      </c>
      <c r="AN53" s="10">
        <f t="shared" si="8"/>
        <v>0</v>
      </c>
      <c r="AO53" s="10">
        <f t="shared" si="9"/>
        <v>0.28723592444423612</v>
      </c>
      <c r="AP53" s="10">
        <f t="shared" si="10"/>
        <v>2.3758701699399395E-4</v>
      </c>
      <c r="AQ53" s="10">
        <f t="shared" si="11"/>
        <v>0.21858381016219497</v>
      </c>
      <c r="AR53" s="10">
        <f t="shared" si="12"/>
        <v>0.49394266245335466</v>
      </c>
    </row>
    <row r="54" spans="1:44" x14ac:dyDescent="0.3">
      <c r="A54" t="s">
        <v>6</v>
      </c>
      <c r="B54" t="s">
        <v>7</v>
      </c>
      <c r="C54" t="s">
        <v>160</v>
      </c>
      <c r="D54" s="7">
        <v>2035</v>
      </c>
      <c r="E54" s="6">
        <v>0.81</v>
      </c>
      <c r="F54" s="6">
        <v>97.4</v>
      </c>
      <c r="G54" s="15">
        <v>228.7</v>
      </c>
      <c r="H54" s="15">
        <v>558.29999999999995</v>
      </c>
      <c r="I54" s="6">
        <v>150085440</v>
      </c>
      <c r="J54" s="6">
        <v>57853830</v>
      </c>
      <c r="K54" s="6">
        <v>3268978</v>
      </c>
      <c r="L54" s="6">
        <v>3715485.5</v>
      </c>
      <c r="M54" s="6">
        <v>0</v>
      </c>
      <c r="N54" s="6">
        <v>21660106</v>
      </c>
      <c r="O54" s="6">
        <v>1853.7</v>
      </c>
      <c r="P54" s="6">
        <v>0</v>
      </c>
      <c r="Q54" s="6">
        <v>0</v>
      </c>
      <c r="R54" s="6">
        <v>9285512</v>
      </c>
      <c r="S54" s="6">
        <v>27953834</v>
      </c>
      <c r="T54" s="6">
        <v>0</v>
      </c>
      <c r="U54" s="6">
        <v>305566.90000000002</v>
      </c>
      <c r="V54" s="6">
        <v>0</v>
      </c>
      <c r="W54" s="6">
        <v>7366241</v>
      </c>
      <c r="X54" s="6">
        <v>25842428</v>
      </c>
      <c r="Y54" s="6">
        <v>28500.5</v>
      </c>
      <c r="Z54" s="6">
        <v>2088614.4</v>
      </c>
      <c r="AA54" s="6">
        <v>0</v>
      </c>
      <c r="AB54" s="6">
        <v>6183551.5</v>
      </c>
      <c r="AC54" s="6">
        <v>10179249</v>
      </c>
      <c r="AD54" s="6">
        <v>32205516</v>
      </c>
      <c r="AE54" s="6">
        <f t="shared" si="0"/>
        <v>150085440</v>
      </c>
      <c r="AF54" s="6">
        <f t="shared" si="1"/>
        <v>21660106</v>
      </c>
      <c r="AG54" s="6">
        <f t="shared" si="13"/>
        <v>3715485.5</v>
      </c>
      <c r="AH54" s="6">
        <f t="shared" si="2"/>
        <v>124709848.5</v>
      </c>
      <c r="AI54" s="6">
        <f t="shared" si="3"/>
        <v>1853.7</v>
      </c>
      <c r="AJ54" s="6">
        <f t="shared" si="4"/>
        <v>28259400.899999999</v>
      </c>
      <c r="AK54" s="6">
        <f t="shared" si="5"/>
        <v>28500.5</v>
      </c>
      <c r="AL54" s="6">
        <f t="shared" si="6"/>
        <v>25842428</v>
      </c>
      <c r="AM54" s="6">
        <f t="shared" si="7"/>
        <v>70577661.900000006</v>
      </c>
      <c r="AN54" s="10">
        <f t="shared" si="8"/>
        <v>1.4864102733634546E-5</v>
      </c>
      <c r="AO54" s="10">
        <f t="shared" si="9"/>
        <v>0.22660119661680125</v>
      </c>
      <c r="AP54" s="10">
        <f t="shared" si="10"/>
        <v>2.2853447697035733E-4</v>
      </c>
      <c r="AQ54" s="10">
        <f t="shared" si="11"/>
        <v>0.20722042654073147</v>
      </c>
      <c r="AR54" s="10">
        <f t="shared" si="12"/>
        <v>0.56593495019761819</v>
      </c>
    </row>
    <row r="55" spans="1:44" x14ac:dyDescent="0.3">
      <c r="A55" t="s">
        <v>6</v>
      </c>
      <c r="B55" t="s">
        <v>7</v>
      </c>
      <c r="C55" t="s">
        <v>160</v>
      </c>
      <c r="D55" s="7">
        <v>2040</v>
      </c>
      <c r="E55" s="6">
        <v>0.81</v>
      </c>
      <c r="F55" s="6">
        <v>101</v>
      </c>
      <c r="G55" s="15">
        <v>212.7</v>
      </c>
      <c r="H55" s="15">
        <v>540.5</v>
      </c>
      <c r="I55" s="6">
        <v>152496780</v>
      </c>
      <c r="J55" s="6">
        <v>58122970</v>
      </c>
      <c r="K55" s="6">
        <v>6057572</v>
      </c>
      <c r="L55" s="6">
        <v>3156590</v>
      </c>
      <c r="M55" s="6">
        <v>0</v>
      </c>
      <c r="N55" s="6">
        <v>20470698</v>
      </c>
      <c r="O55" s="6">
        <v>0</v>
      </c>
      <c r="P55" s="6">
        <v>0</v>
      </c>
      <c r="Q55" s="6">
        <v>0</v>
      </c>
      <c r="R55" s="6">
        <v>9303164</v>
      </c>
      <c r="S55" s="6">
        <v>28268806</v>
      </c>
      <c r="T55" s="6">
        <v>0</v>
      </c>
      <c r="U55" s="6">
        <v>1171514</v>
      </c>
      <c r="V55" s="6">
        <v>0</v>
      </c>
      <c r="W55" s="6">
        <v>7346872</v>
      </c>
      <c r="X55" s="6">
        <v>25831508</v>
      </c>
      <c r="Y55" s="6">
        <v>23706.6</v>
      </c>
      <c r="Z55" s="6">
        <v>2046555.6</v>
      </c>
      <c r="AA55" s="6">
        <v>0</v>
      </c>
      <c r="AB55" s="6">
        <v>6970210.5</v>
      </c>
      <c r="AC55" s="6">
        <v>10074486</v>
      </c>
      <c r="AD55" s="6">
        <v>31775108</v>
      </c>
      <c r="AE55" s="6">
        <f t="shared" si="0"/>
        <v>152496780</v>
      </c>
      <c r="AF55" s="6">
        <f t="shared" si="1"/>
        <v>20470698</v>
      </c>
      <c r="AG55" s="6">
        <f t="shared" si="13"/>
        <v>3156590</v>
      </c>
      <c r="AH55" s="6">
        <f t="shared" si="2"/>
        <v>128869492</v>
      </c>
      <c r="AI55" s="6">
        <f t="shared" si="3"/>
        <v>0</v>
      </c>
      <c r="AJ55" s="6">
        <f t="shared" si="4"/>
        <v>29440320</v>
      </c>
      <c r="AK55" s="6">
        <f t="shared" si="5"/>
        <v>23706.6</v>
      </c>
      <c r="AL55" s="6">
        <f t="shared" si="6"/>
        <v>25831508</v>
      </c>
      <c r="AM55" s="6">
        <f t="shared" si="7"/>
        <v>73573968.099999994</v>
      </c>
      <c r="AN55" s="10">
        <f t="shared" si="8"/>
        <v>0</v>
      </c>
      <c r="AO55" s="10">
        <f t="shared" si="9"/>
        <v>0.22845065611029181</v>
      </c>
      <c r="AP55" s="10">
        <f t="shared" si="10"/>
        <v>1.8395820168205519E-4</v>
      </c>
      <c r="AQ55" s="10">
        <f t="shared" si="11"/>
        <v>0.20044703831066549</v>
      </c>
      <c r="AR55" s="10">
        <f t="shared" si="12"/>
        <v>0.57091843040709744</v>
      </c>
    </row>
    <row r="56" spans="1:44" x14ac:dyDescent="0.3">
      <c r="A56" t="s">
        <v>6</v>
      </c>
      <c r="B56" t="s">
        <v>7</v>
      </c>
      <c r="C56" t="s">
        <v>160</v>
      </c>
      <c r="D56" s="7">
        <v>2045</v>
      </c>
      <c r="E56" s="6">
        <v>0.78</v>
      </c>
      <c r="F56" s="6">
        <v>114.4</v>
      </c>
      <c r="G56" s="15">
        <v>194</v>
      </c>
      <c r="H56" s="15">
        <v>560.5</v>
      </c>
      <c r="I56" s="6">
        <v>162950900</v>
      </c>
      <c r="J56" s="6">
        <v>60343296</v>
      </c>
      <c r="K56" s="6">
        <v>8100487</v>
      </c>
      <c r="L56" s="6">
        <v>3209516</v>
      </c>
      <c r="M56" s="6">
        <v>0</v>
      </c>
      <c r="N56" s="6">
        <v>20507206</v>
      </c>
      <c r="O56" s="6">
        <v>0</v>
      </c>
      <c r="P56" s="6">
        <v>0</v>
      </c>
      <c r="Q56" s="6">
        <v>0</v>
      </c>
      <c r="R56" s="6">
        <v>9455518</v>
      </c>
      <c r="S56" s="6">
        <v>33833896</v>
      </c>
      <c r="T56" s="6">
        <v>0</v>
      </c>
      <c r="U56" s="6">
        <v>1645571.2</v>
      </c>
      <c r="V56" s="6">
        <v>0</v>
      </c>
      <c r="W56" s="6">
        <v>7425887</v>
      </c>
      <c r="X56" s="6">
        <v>25994922</v>
      </c>
      <c r="Y56" s="6">
        <v>11025.6</v>
      </c>
      <c r="Z56" s="6">
        <v>1879080.4</v>
      </c>
      <c r="AA56" s="6">
        <v>0</v>
      </c>
      <c r="AB56" s="6">
        <v>8706681</v>
      </c>
      <c r="AC56" s="6">
        <v>10832036</v>
      </c>
      <c r="AD56" s="6">
        <v>31349060</v>
      </c>
      <c r="AE56" s="6">
        <f t="shared" si="0"/>
        <v>162950900</v>
      </c>
      <c r="AF56" s="6">
        <f t="shared" si="1"/>
        <v>20507206</v>
      </c>
      <c r="AG56" s="6">
        <f t="shared" si="13"/>
        <v>3209516</v>
      </c>
      <c r="AH56" s="6">
        <f t="shared" si="2"/>
        <v>139234178</v>
      </c>
      <c r="AI56" s="6">
        <f t="shared" si="3"/>
        <v>0</v>
      </c>
      <c r="AJ56" s="6">
        <f t="shared" si="4"/>
        <v>35479467.200000003</v>
      </c>
      <c r="AK56" s="6">
        <f t="shared" si="5"/>
        <v>11025.6</v>
      </c>
      <c r="AL56" s="6">
        <f t="shared" si="6"/>
        <v>25994922</v>
      </c>
      <c r="AM56" s="6">
        <f t="shared" si="7"/>
        <v>77748749.400000006</v>
      </c>
      <c r="AN56" s="10">
        <f t="shared" si="8"/>
        <v>0</v>
      </c>
      <c r="AO56" s="10">
        <f t="shared" si="9"/>
        <v>0.25481866384846974</v>
      </c>
      <c r="AP56" s="10">
        <f t="shared" si="10"/>
        <v>7.9187453528831121E-5</v>
      </c>
      <c r="AQ56" s="10">
        <f t="shared" si="11"/>
        <v>0.18669928873354644</v>
      </c>
      <c r="AR56" s="10">
        <f t="shared" si="12"/>
        <v>0.55840276085085949</v>
      </c>
    </row>
    <row r="57" spans="1:44" x14ac:dyDescent="0.3">
      <c r="A57" t="s">
        <v>6</v>
      </c>
      <c r="B57" t="s">
        <v>7</v>
      </c>
      <c r="C57" t="s">
        <v>160</v>
      </c>
      <c r="D57" s="7">
        <v>2050</v>
      </c>
      <c r="E57" s="6">
        <v>0.79</v>
      </c>
      <c r="F57" s="6">
        <v>112.8</v>
      </c>
      <c r="G57" s="15">
        <v>182.8</v>
      </c>
      <c r="H57" s="15">
        <v>552.5</v>
      </c>
      <c r="I57" s="6">
        <v>177133400</v>
      </c>
      <c r="J57" s="6">
        <v>70696960</v>
      </c>
      <c r="K57" s="6">
        <v>10015959</v>
      </c>
      <c r="L57" s="6">
        <v>3117859</v>
      </c>
      <c r="M57" s="6">
        <v>0</v>
      </c>
      <c r="N57" s="6">
        <v>20503488</v>
      </c>
      <c r="O57" s="6">
        <v>0</v>
      </c>
      <c r="P57" s="6">
        <v>0</v>
      </c>
      <c r="Q57" s="6">
        <v>0</v>
      </c>
      <c r="R57" s="6">
        <v>9722595</v>
      </c>
      <c r="S57" s="6">
        <v>35079508</v>
      </c>
      <c r="T57" s="6">
        <v>0</v>
      </c>
      <c r="U57" s="6">
        <v>2564300.7999999998</v>
      </c>
      <c r="V57" s="6">
        <v>0</v>
      </c>
      <c r="W57" s="6">
        <v>7258913.5</v>
      </c>
      <c r="X57" s="6">
        <v>25748554</v>
      </c>
      <c r="Y57" s="6">
        <v>7051.2</v>
      </c>
      <c r="Z57" s="6">
        <v>2140811.2000000002</v>
      </c>
      <c r="AA57" s="6">
        <v>0</v>
      </c>
      <c r="AB57" s="6">
        <v>15179402</v>
      </c>
      <c r="AC57" s="6">
        <v>14836563</v>
      </c>
      <c r="AD57" s="6">
        <v>30958396</v>
      </c>
      <c r="AE57" s="6">
        <f t="shared" si="0"/>
        <v>177133400</v>
      </c>
      <c r="AF57" s="6">
        <f t="shared" si="1"/>
        <v>20503488</v>
      </c>
      <c r="AG57" s="6">
        <f t="shared" si="13"/>
        <v>3117859</v>
      </c>
      <c r="AH57" s="6">
        <f t="shared" si="2"/>
        <v>153512053</v>
      </c>
      <c r="AI57" s="6">
        <f t="shared" si="3"/>
        <v>0</v>
      </c>
      <c r="AJ57" s="6">
        <f t="shared" si="4"/>
        <v>37643808.799999997</v>
      </c>
      <c r="AK57" s="6">
        <f t="shared" si="5"/>
        <v>7051.2</v>
      </c>
      <c r="AL57" s="6">
        <f t="shared" si="6"/>
        <v>25748554</v>
      </c>
      <c r="AM57" s="6">
        <f t="shared" si="7"/>
        <v>90112639.700000003</v>
      </c>
      <c r="AN57" s="10">
        <f t="shared" si="8"/>
        <v>0</v>
      </c>
      <c r="AO57" s="10">
        <f t="shared" si="9"/>
        <v>0.24521728466493767</v>
      </c>
      <c r="AP57" s="10">
        <f t="shared" si="10"/>
        <v>4.5932549674128845E-5</v>
      </c>
      <c r="AQ57" s="10">
        <f t="shared" si="11"/>
        <v>0.16772985245660157</v>
      </c>
      <c r="AR57" s="10">
        <f t="shared" si="12"/>
        <v>0.58700693488868916</v>
      </c>
    </row>
    <row r="58" spans="1:44" x14ac:dyDescent="0.3">
      <c r="A58" t="s">
        <v>6</v>
      </c>
      <c r="B58" t="s">
        <v>7</v>
      </c>
      <c r="C58" t="s">
        <v>161</v>
      </c>
      <c r="D58" s="7">
        <v>2024</v>
      </c>
      <c r="E58" s="6">
        <v>0.76</v>
      </c>
      <c r="F58" s="6">
        <v>216.7</v>
      </c>
      <c r="G58" s="15">
        <v>333.9</v>
      </c>
      <c r="H58" s="15">
        <v>793.8</v>
      </c>
      <c r="I58" s="6">
        <v>289099620</v>
      </c>
      <c r="J58" s="6">
        <v>44148724</v>
      </c>
      <c r="K58" s="6">
        <v>351900.6</v>
      </c>
      <c r="L58" s="6">
        <v>1895702.2</v>
      </c>
      <c r="M58" s="6">
        <v>0</v>
      </c>
      <c r="N58" s="6">
        <v>8768596</v>
      </c>
      <c r="O58" s="6">
        <v>39999676</v>
      </c>
      <c r="P58" s="6">
        <v>0</v>
      </c>
      <c r="Q58" s="6">
        <v>223158.39999999999</v>
      </c>
      <c r="R58" s="6">
        <v>2596831.7999999998</v>
      </c>
      <c r="S58" s="6">
        <v>29582748</v>
      </c>
      <c r="T58" s="6">
        <v>0</v>
      </c>
      <c r="U58" s="6">
        <v>45888.800000000003</v>
      </c>
      <c r="V58" s="6">
        <v>5848751.5</v>
      </c>
      <c r="W58" s="6">
        <v>149234580</v>
      </c>
      <c r="X58" s="6">
        <v>9071488</v>
      </c>
      <c r="Y58" s="6">
        <v>4786.3</v>
      </c>
      <c r="Z58" s="6">
        <v>146778.5</v>
      </c>
      <c r="AA58" s="6">
        <v>0</v>
      </c>
      <c r="AB58" s="6">
        <v>11473924</v>
      </c>
      <c r="AC58" s="6">
        <v>29854810</v>
      </c>
      <c r="AD58" s="6">
        <v>0</v>
      </c>
      <c r="AE58" s="6">
        <f t="shared" si="0"/>
        <v>289099620</v>
      </c>
      <c r="AF58" s="6">
        <f t="shared" si="1"/>
        <v>8768596</v>
      </c>
      <c r="AG58" s="6">
        <f t="shared" si="13"/>
        <v>1895702.2</v>
      </c>
      <c r="AH58" s="6">
        <f t="shared" si="2"/>
        <v>278435321.80000001</v>
      </c>
      <c r="AI58" s="6">
        <f t="shared" si="3"/>
        <v>39999676</v>
      </c>
      <c r="AJ58" s="6">
        <f t="shared" si="4"/>
        <v>29628636.800000001</v>
      </c>
      <c r="AK58" s="6">
        <f t="shared" si="5"/>
        <v>4786.3</v>
      </c>
      <c r="AL58" s="6">
        <f t="shared" si="6"/>
        <v>9071488</v>
      </c>
      <c r="AM58" s="6">
        <f t="shared" si="7"/>
        <v>199730734.80000001</v>
      </c>
      <c r="AN58" s="10">
        <f t="shared" si="8"/>
        <v>0.14365877052312978</v>
      </c>
      <c r="AO58" s="10">
        <f t="shared" si="9"/>
        <v>0.10641120030483144</v>
      </c>
      <c r="AP58" s="10">
        <f t="shared" si="10"/>
        <v>1.7189988572778844E-5</v>
      </c>
      <c r="AQ58" s="10">
        <f t="shared" si="11"/>
        <v>3.258023422228034E-2</v>
      </c>
      <c r="AR58" s="10">
        <f t="shared" si="12"/>
        <v>0.71733260532033549</v>
      </c>
    </row>
    <row r="59" spans="1:44" x14ac:dyDescent="0.3">
      <c r="A59" t="s">
        <v>6</v>
      </c>
      <c r="B59" t="s">
        <v>7</v>
      </c>
      <c r="C59" t="s">
        <v>161</v>
      </c>
      <c r="D59" s="7">
        <v>2026</v>
      </c>
      <c r="E59" s="6">
        <v>0.81</v>
      </c>
      <c r="F59" s="6">
        <v>165</v>
      </c>
      <c r="G59" s="15">
        <v>238</v>
      </c>
      <c r="H59" s="15">
        <v>714.2</v>
      </c>
      <c r="I59" s="6">
        <v>286633570</v>
      </c>
      <c r="J59" s="6">
        <v>50077096</v>
      </c>
      <c r="K59" s="6">
        <v>1665078.1</v>
      </c>
      <c r="L59" s="6">
        <v>1861153</v>
      </c>
      <c r="M59" s="6">
        <v>0</v>
      </c>
      <c r="N59" s="6">
        <v>10671875</v>
      </c>
      <c r="O59" s="6">
        <v>29347580</v>
      </c>
      <c r="P59" s="6">
        <v>0</v>
      </c>
      <c r="Q59" s="6">
        <v>224728.6</v>
      </c>
      <c r="R59" s="6">
        <v>3607382.5</v>
      </c>
      <c r="S59" s="6">
        <v>25281858</v>
      </c>
      <c r="T59" s="6">
        <v>0</v>
      </c>
      <c r="U59" s="6">
        <v>35797.800000000003</v>
      </c>
      <c r="V59" s="6">
        <v>5848751.5</v>
      </c>
      <c r="W59" s="6">
        <v>152647650</v>
      </c>
      <c r="X59" s="6">
        <v>8958378</v>
      </c>
      <c r="Y59" s="6">
        <v>3059.9</v>
      </c>
      <c r="Z59" s="6">
        <v>235274.1</v>
      </c>
      <c r="AA59" s="6">
        <v>0</v>
      </c>
      <c r="AB59" s="6">
        <v>16531562</v>
      </c>
      <c r="AC59" s="6">
        <v>29713424</v>
      </c>
      <c r="AD59" s="6">
        <v>0</v>
      </c>
      <c r="AE59" s="6">
        <f t="shared" si="0"/>
        <v>286633570</v>
      </c>
      <c r="AF59" s="6">
        <f t="shared" si="1"/>
        <v>10671875</v>
      </c>
      <c r="AG59" s="6">
        <f t="shared" si="13"/>
        <v>1861153</v>
      </c>
      <c r="AH59" s="6">
        <f t="shared" si="2"/>
        <v>274100542</v>
      </c>
      <c r="AI59" s="6">
        <f t="shared" si="3"/>
        <v>29347580</v>
      </c>
      <c r="AJ59" s="6">
        <f t="shared" si="4"/>
        <v>25317655.800000001</v>
      </c>
      <c r="AK59" s="6">
        <f t="shared" si="5"/>
        <v>3059.9</v>
      </c>
      <c r="AL59" s="6">
        <f t="shared" si="6"/>
        <v>8958378</v>
      </c>
      <c r="AM59" s="6">
        <f t="shared" si="7"/>
        <v>210473850.79999998</v>
      </c>
      <c r="AN59" s="10">
        <f t="shared" si="8"/>
        <v>0.10706866825531487</v>
      </c>
      <c r="AO59" s="10">
        <f t="shared" si="9"/>
        <v>9.2366310607295332E-2</v>
      </c>
      <c r="AP59" s="10">
        <f t="shared" si="10"/>
        <v>1.1163421924207652E-5</v>
      </c>
      <c r="AQ59" s="10">
        <f t="shared" si="11"/>
        <v>3.2682817533429026E-2</v>
      </c>
      <c r="AR59" s="10">
        <f t="shared" si="12"/>
        <v>0.76787097633685086</v>
      </c>
    </row>
    <row r="60" spans="1:44" x14ac:dyDescent="0.3">
      <c r="A60" t="s">
        <v>6</v>
      </c>
      <c r="B60" t="s">
        <v>7</v>
      </c>
      <c r="C60" t="s">
        <v>161</v>
      </c>
      <c r="D60" s="7">
        <v>2028</v>
      </c>
      <c r="E60" s="6">
        <v>0.86</v>
      </c>
      <c r="F60" s="6">
        <v>125.3</v>
      </c>
      <c r="G60" s="15">
        <v>149.9</v>
      </c>
      <c r="H60" s="15">
        <v>626.6</v>
      </c>
      <c r="I60" s="6">
        <v>280275740</v>
      </c>
      <c r="J60" s="6">
        <v>58111870</v>
      </c>
      <c r="K60" s="6">
        <v>2677546.5</v>
      </c>
      <c r="L60" s="6">
        <v>1342711.8</v>
      </c>
      <c r="M60" s="6">
        <v>0</v>
      </c>
      <c r="N60" s="6">
        <v>10473821</v>
      </c>
      <c r="O60" s="6">
        <v>22426418</v>
      </c>
      <c r="P60" s="6">
        <v>0</v>
      </c>
      <c r="Q60" s="6">
        <v>221165</v>
      </c>
      <c r="R60" s="6">
        <v>4756781</v>
      </c>
      <c r="S60" s="6">
        <v>17527062</v>
      </c>
      <c r="T60" s="6">
        <v>0</v>
      </c>
      <c r="U60" s="6">
        <v>3343.4</v>
      </c>
      <c r="V60" s="6">
        <v>7832711</v>
      </c>
      <c r="W60" s="6">
        <v>150769630</v>
      </c>
      <c r="X60" s="6">
        <v>8729332</v>
      </c>
      <c r="Y60" s="6">
        <v>361.9</v>
      </c>
      <c r="Z60" s="6">
        <v>380909.8</v>
      </c>
      <c r="AA60" s="6">
        <v>0</v>
      </c>
      <c r="AB60" s="6">
        <v>19576828</v>
      </c>
      <c r="AC60" s="6">
        <v>33557100</v>
      </c>
      <c r="AD60" s="6">
        <v>0</v>
      </c>
      <c r="AE60" s="6">
        <f t="shared" si="0"/>
        <v>280275740</v>
      </c>
      <c r="AF60" s="6">
        <f t="shared" si="1"/>
        <v>10473821</v>
      </c>
      <c r="AG60" s="6">
        <f t="shared" si="13"/>
        <v>1342711.8</v>
      </c>
      <c r="AH60" s="6">
        <f t="shared" si="2"/>
        <v>268459207.19999999</v>
      </c>
      <c r="AI60" s="6">
        <f t="shared" si="3"/>
        <v>22426418</v>
      </c>
      <c r="AJ60" s="6">
        <f t="shared" si="4"/>
        <v>17530405.399999999</v>
      </c>
      <c r="AK60" s="6">
        <f t="shared" si="5"/>
        <v>361.9</v>
      </c>
      <c r="AL60" s="6">
        <f t="shared" si="6"/>
        <v>8729332</v>
      </c>
      <c r="AM60" s="6">
        <f t="shared" si="7"/>
        <v>219772671.30000001</v>
      </c>
      <c r="AN60" s="10">
        <f t="shared" si="8"/>
        <v>8.3537525994750089E-2</v>
      </c>
      <c r="AO60" s="10">
        <f t="shared" si="9"/>
        <v>6.5300071406900875E-2</v>
      </c>
      <c r="AP60" s="10">
        <f t="shared" si="10"/>
        <v>1.3480632822192139E-6</v>
      </c>
      <c r="AQ60" s="10">
        <f t="shared" si="11"/>
        <v>3.2516418755184344E-2</v>
      </c>
      <c r="AR60" s="10">
        <f t="shared" si="12"/>
        <v>0.81864456649561324</v>
      </c>
    </row>
    <row r="61" spans="1:44" x14ac:dyDescent="0.3">
      <c r="A61" t="s">
        <v>6</v>
      </c>
      <c r="B61" t="s">
        <v>7</v>
      </c>
      <c r="C61" t="s">
        <v>161</v>
      </c>
      <c r="D61" s="7">
        <v>2030</v>
      </c>
      <c r="E61" s="6">
        <v>0.88</v>
      </c>
      <c r="F61" s="6">
        <v>109.4</v>
      </c>
      <c r="G61" s="15">
        <v>86.7</v>
      </c>
      <c r="H61" s="15">
        <v>535.29999999999995</v>
      </c>
      <c r="I61" s="6">
        <v>280538460</v>
      </c>
      <c r="J61" s="6">
        <v>67375980</v>
      </c>
      <c r="K61" s="6">
        <v>3844197.5</v>
      </c>
      <c r="L61" s="6">
        <v>1102021.3999999999</v>
      </c>
      <c r="M61" s="6">
        <v>0</v>
      </c>
      <c r="N61" s="6">
        <v>10254136</v>
      </c>
      <c r="O61" s="6">
        <v>20060306</v>
      </c>
      <c r="P61" s="6">
        <v>0</v>
      </c>
      <c r="Q61" s="6">
        <v>221549.8</v>
      </c>
      <c r="R61" s="6">
        <v>6530977</v>
      </c>
      <c r="S61" s="6">
        <v>14266789</v>
      </c>
      <c r="T61" s="6">
        <v>0</v>
      </c>
      <c r="U61" s="6">
        <v>23168.6</v>
      </c>
      <c r="V61" s="6">
        <v>7832711</v>
      </c>
      <c r="W61" s="6">
        <v>146907700</v>
      </c>
      <c r="X61" s="6">
        <v>8430975</v>
      </c>
      <c r="Y61" s="6">
        <v>141.69999999999999</v>
      </c>
      <c r="Z61" s="6">
        <v>440325</v>
      </c>
      <c r="AA61" s="6">
        <v>0</v>
      </c>
      <c r="AB61" s="6">
        <v>22816128</v>
      </c>
      <c r="AC61" s="6">
        <v>37807324</v>
      </c>
      <c r="AD61" s="6">
        <v>0</v>
      </c>
      <c r="AE61" s="6">
        <f t="shared" si="0"/>
        <v>280538460</v>
      </c>
      <c r="AF61" s="6">
        <f t="shared" si="1"/>
        <v>10254136</v>
      </c>
      <c r="AG61" s="6">
        <f t="shared" si="13"/>
        <v>1102021.3999999999</v>
      </c>
      <c r="AH61" s="6">
        <f t="shared" si="2"/>
        <v>269182302.60000002</v>
      </c>
      <c r="AI61" s="6">
        <f t="shared" si="3"/>
        <v>20060306</v>
      </c>
      <c r="AJ61" s="6">
        <f t="shared" si="4"/>
        <v>14289957.6</v>
      </c>
      <c r="AK61" s="6">
        <f t="shared" si="5"/>
        <v>141.69999999999999</v>
      </c>
      <c r="AL61" s="6">
        <f t="shared" si="6"/>
        <v>8430975</v>
      </c>
      <c r="AM61" s="6">
        <f t="shared" si="7"/>
        <v>226400912.30000001</v>
      </c>
      <c r="AN61" s="10">
        <f t="shared" si="8"/>
        <v>7.4523123571794567E-2</v>
      </c>
      <c r="AO61" s="10">
        <f t="shared" si="9"/>
        <v>5.3086541953074141E-2</v>
      </c>
      <c r="AP61" s="10">
        <f t="shared" si="10"/>
        <v>5.2640904929981076E-7</v>
      </c>
      <c r="AQ61" s="10">
        <f t="shared" si="11"/>
        <v>3.1320688316305377E-2</v>
      </c>
      <c r="AR61" s="10">
        <f t="shared" si="12"/>
        <v>0.84106908260023183</v>
      </c>
    </row>
    <row r="62" spans="1:44" x14ac:dyDescent="0.3">
      <c r="A62" t="s">
        <v>6</v>
      </c>
      <c r="B62" t="s">
        <v>7</v>
      </c>
      <c r="C62" t="s">
        <v>161</v>
      </c>
      <c r="D62" s="7">
        <v>2035</v>
      </c>
      <c r="E62" s="6">
        <v>0.9</v>
      </c>
      <c r="F62" s="6">
        <v>84.3</v>
      </c>
      <c r="G62" s="15">
        <v>81.7</v>
      </c>
      <c r="H62" s="15">
        <v>447.2</v>
      </c>
      <c r="I62" s="6">
        <v>304503650</v>
      </c>
      <c r="J62" s="6">
        <v>99148190</v>
      </c>
      <c r="K62" s="6">
        <v>7145430.5</v>
      </c>
      <c r="L62" s="6">
        <v>697627.3</v>
      </c>
      <c r="M62" s="6">
        <v>0</v>
      </c>
      <c r="N62" s="6">
        <v>9740400</v>
      </c>
      <c r="O62" s="6">
        <v>16421213</v>
      </c>
      <c r="P62" s="6">
        <v>0</v>
      </c>
      <c r="Q62" s="6">
        <v>221845.2</v>
      </c>
      <c r="R62" s="6">
        <v>8596439</v>
      </c>
      <c r="S62" s="6">
        <v>12445308</v>
      </c>
      <c r="T62" s="6">
        <v>0</v>
      </c>
      <c r="U62" s="6">
        <v>92656.3</v>
      </c>
      <c r="V62" s="6">
        <v>7832531</v>
      </c>
      <c r="W62" s="6">
        <v>141930400</v>
      </c>
      <c r="X62" s="6">
        <v>8186439</v>
      </c>
      <c r="Y62" s="6">
        <v>170.4</v>
      </c>
      <c r="Z62" s="6">
        <v>863274.5</v>
      </c>
      <c r="AA62" s="6">
        <v>0</v>
      </c>
      <c r="AB62" s="6">
        <v>34311550</v>
      </c>
      <c r="AC62" s="6">
        <v>56018356</v>
      </c>
      <c r="AD62" s="6">
        <v>0</v>
      </c>
      <c r="AE62" s="6">
        <f t="shared" si="0"/>
        <v>304503650</v>
      </c>
      <c r="AF62" s="6">
        <f t="shared" si="1"/>
        <v>9740400</v>
      </c>
      <c r="AG62" s="6">
        <f t="shared" si="13"/>
        <v>697627.3</v>
      </c>
      <c r="AH62" s="6">
        <f t="shared" si="2"/>
        <v>294065622.69999999</v>
      </c>
      <c r="AI62" s="6">
        <f t="shared" si="3"/>
        <v>16421213</v>
      </c>
      <c r="AJ62" s="6">
        <f t="shared" si="4"/>
        <v>12537964.300000001</v>
      </c>
      <c r="AK62" s="6">
        <f t="shared" si="5"/>
        <v>170.4</v>
      </c>
      <c r="AL62" s="6">
        <f t="shared" si="6"/>
        <v>8186439</v>
      </c>
      <c r="AM62" s="6">
        <f t="shared" si="7"/>
        <v>256919826.19999999</v>
      </c>
      <c r="AN62" s="10">
        <f t="shared" si="8"/>
        <v>5.5842001690733507E-2</v>
      </c>
      <c r="AO62" s="10">
        <f t="shared" si="9"/>
        <v>4.2636620305634934E-2</v>
      </c>
      <c r="AP62" s="10">
        <f t="shared" si="10"/>
        <v>5.7946249696054662E-7</v>
      </c>
      <c r="AQ62" s="10">
        <f t="shared" si="11"/>
        <v>2.783881680842254E-2</v>
      </c>
      <c r="AR62" s="10">
        <f t="shared" si="12"/>
        <v>0.87368194840681723</v>
      </c>
    </row>
    <row r="63" spans="1:44" x14ac:dyDescent="0.3">
      <c r="A63" t="s">
        <v>6</v>
      </c>
      <c r="B63" t="s">
        <v>7</v>
      </c>
      <c r="C63" t="s">
        <v>161</v>
      </c>
      <c r="D63" s="7">
        <v>2040</v>
      </c>
      <c r="E63" s="6">
        <v>0.93</v>
      </c>
      <c r="F63" s="6">
        <v>64</v>
      </c>
      <c r="G63" s="15">
        <v>89.7</v>
      </c>
      <c r="H63" s="15">
        <v>424.5</v>
      </c>
      <c r="I63" s="6">
        <v>327691650</v>
      </c>
      <c r="J63" s="6">
        <v>132228940</v>
      </c>
      <c r="K63" s="6">
        <v>11530153</v>
      </c>
      <c r="L63" s="6">
        <v>639405.1</v>
      </c>
      <c r="M63" s="6">
        <v>0</v>
      </c>
      <c r="N63" s="6">
        <v>9855291</v>
      </c>
      <c r="O63" s="6">
        <v>13228244</v>
      </c>
      <c r="P63" s="6">
        <v>0</v>
      </c>
      <c r="Q63" s="6">
        <v>220253.9</v>
      </c>
      <c r="R63" s="6">
        <v>8694907</v>
      </c>
      <c r="S63" s="6">
        <v>10803421</v>
      </c>
      <c r="T63" s="6">
        <v>0</v>
      </c>
      <c r="U63" s="6">
        <v>131794.4</v>
      </c>
      <c r="V63" s="6">
        <v>7049069</v>
      </c>
      <c r="W63" s="6">
        <v>132477580</v>
      </c>
      <c r="X63" s="6">
        <v>8082529</v>
      </c>
      <c r="Y63" s="6">
        <v>104.1</v>
      </c>
      <c r="Z63" s="6">
        <v>1665121.4</v>
      </c>
      <c r="AA63" s="6">
        <v>0</v>
      </c>
      <c r="AB63" s="6">
        <v>53510480</v>
      </c>
      <c r="AC63" s="6">
        <v>69803304</v>
      </c>
      <c r="AD63" s="6">
        <v>0</v>
      </c>
      <c r="AE63" s="6">
        <f t="shared" si="0"/>
        <v>327691650</v>
      </c>
      <c r="AF63" s="6">
        <f t="shared" si="1"/>
        <v>9855291</v>
      </c>
      <c r="AG63" s="6">
        <f t="shared" si="13"/>
        <v>639405.1</v>
      </c>
      <c r="AH63" s="6">
        <f t="shared" si="2"/>
        <v>317196953.89999998</v>
      </c>
      <c r="AI63" s="6">
        <f t="shared" si="3"/>
        <v>13228244</v>
      </c>
      <c r="AJ63" s="6">
        <f t="shared" si="4"/>
        <v>10935215.4</v>
      </c>
      <c r="AK63" s="6">
        <f t="shared" si="5"/>
        <v>104.1</v>
      </c>
      <c r="AL63" s="6">
        <f t="shared" si="6"/>
        <v>8082529</v>
      </c>
      <c r="AM63" s="6">
        <f t="shared" si="7"/>
        <v>284950868.30000001</v>
      </c>
      <c r="AN63" s="10">
        <f t="shared" si="8"/>
        <v>4.1703565678535351E-2</v>
      </c>
      <c r="AO63" s="10">
        <f t="shared" si="9"/>
        <v>3.4474528413811482E-2</v>
      </c>
      <c r="AP63" s="10">
        <f t="shared" si="10"/>
        <v>3.2818726258266253E-7</v>
      </c>
      <c r="AQ63" s="10">
        <f t="shared" si="11"/>
        <v>2.5481105353073824E-2</v>
      </c>
      <c r="AR63" s="10">
        <f t="shared" si="12"/>
        <v>0.8983404941203631</v>
      </c>
    </row>
    <row r="64" spans="1:44" x14ac:dyDescent="0.3">
      <c r="A64" t="s">
        <v>6</v>
      </c>
      <c r="B64" t="s">
        <v>7</v>
      </c>
      <c r="C64" t="s">
        <v>161</v>
      </c>
      <c r="D64" s="7">
        <v>2045</v>
      </c>
      <c r="E64" s="6">
        <v>0.94</v>
      </c>
      <c r="F64" s="6">
        <v>50.7</v>
      </c>
      <c r="G64" s="15">
        <v>83.8</v>
      </c>
      <c r="H64" s="15">
        <v>358.8</v>
      </c>
      <c r="I64" s="6">
        <v>343564030</v>
      </c>
      <c r="J64" s="6">
        <v>152918540</v>
      </c>
      <c r="K64" s="6">
        <v>18175754</v>
      </c>
      <c r="L64" s="6">
        <v>585333</v>
      </c>
      <c r="M64" s="6">
        <v>0</v>
      </c>
      <c r="N64" s="6">
        <v>9670921</v>
      </c>
      <c r="O64" s="6">
        <v>10247970</v>
      </c>
      <c r="P64" s="6">
        <v>0</v>
      </c>
      <c r="Q64" s="6">
        <v>205508.9</v>
      </c>
      <c r="R64" s="6">
        <v>8797574</v>
      </c>
      <c r="S64" s="6">
        <v>10412306</v>
      </c>
      <c r="T64" s="6">
        <v>0</v>
      </c>
      <c r="U64" s="6">
        <v>173998.4</v>
      </c>
      <c r="V64" s="6">
        <v>6374805</v>
      </c>
      <c r="W64" s="6">
        <v>125241420</v>
      </c>
      <c r="X64" s="6">
        <v>7896798.5</v>
      </c>
      <c r="Y64" s="6">
        <v>54</v>
      </c>
      <c r="Z64" s="6">
        <v>1866129.6</v>
      </c>
      <c r="AA64" s="6">
        <v>0</v>
      </c>
      <c r="AB64" s="6">
        <v>72931460</v>
      </c>
      <c r="AC64" s="6">
        <v>70983990</v>
      </c>
      <c r="AD64" s="6">
        <v>0</v>
      </c>
      <c r="AE64" s="6">
        <f t="shared" si="0"/>
        <v>343564030</v>
      </c>
      <c r="AF64" s="6">
        <f t="shared" si="1"/>
        <v>9670921</v>
      </c>
      <c r="AG64" s="6">
        <f t="shared" si="13"/>
        <v>585333</v>
      </c>
      <c r="AH64" s="6">
        <f t="shared" si="2"/>
        <v>333307776</v>
      </c>
      <c r="AI64" s="6">
        <f t="shared" si="3"/>
        <v>10247970</v>
      </c>
      <c r="AJ64" s="6">
        <f t="shared" si="4"/>
        <v>10586304.4</v>
      </c>
      <c r="AK64" s="6">
        <f t="shared" si="5"/>
        <v>54</v>
      </c>
      <c r="AL64" s="6">
        <f t="shared" si="6"/>
        <v>7896798.5</v>
      </c>
      <c r="AM64" s="6">
        <f t="shared" si="7"/>
        <v>304576641.5</v>
      </c>
      <c r="AN64" s="10">
        <f t="shared" si="8"/>
        <v>3.0746267377812393E-2</v>
      </c>
      <c r="AO64" s="10">
        <f t="shared" si="9"/>
        <v>3.1761348406104992E-2</v>
      </c>
      <c r="AP64" s="10">
        <f t="shared" si="10"/>
        <v>1.6201242181640551E-7</v>
      </c>
      <c r="AQ64" s="10">
        <f t="shared" si="11"/>
        <v>2.369221202928071E-2</v>
      </c>
      <c r="AR64" s="10">
        <f t="shared" si="12"/>
        <v>0.91379998737263179</v>
      </c>
    </row>
    <row r="65" spans="1:44" x14ac:dyDescent="0.3">
      <c r="A65" t="s">
        <v>6</v>
      </c>
      <c r="B65" t="s">
        <v>7</v>
      </c>
      <c r="C65" t="s">
        <v>161</v>
      </c>
      <c r="D65" s="7">
        <v>2050</v>
      </c>
      <c r="E65" s="6">
        <v>0.95</v>
      </c>
      <c r="F65" s="6">
        <v>40.700000000000003</v>
      </c>
      <c r="G65" s="15">
        <v>87.6</v>
      </c>
      <c r="H65" s="15">
        <v>364.8</v>
      </c>
      <c r="I65" s="6">
        <v>389590140</v>
      </c>
      <c r="J65" s="6">
        <v>197033710</v>
      </c>
      <c r="K65" s="6">
        <v>22415258</v>
      </c>
      <c r="L65" s="6">
        <v>593402.19999999995</v>
      </c>
      <c r="M65" s="6">
        <v>0</v>
      </c>
      <c r="N65" s="6">
        <v>9904730</v>
      </c>
      <c r="O65" s="6">
        <v>8156198.5</v>
      </c>
      <c r="P65" s="6">
        <v>0</v>
      </c>
      <c r="Q65" s="6">
        <v>0</v>
      </c>
      <c r="R65" s="6">
        <v>8961576</v>
      </c>
      <c r="S65" s="6">
        <v>11382034</v>
      </c>
      <c r="T65" s="6">
        <v>0</v>
      </c>
      <c r="U65" s="6">
        <v>569009</v>
      </c>
      <c r="V65" s="6">
        <v>5385158</v>
      </c>
      <c r="W65" s="6">
        <v>124376880</v>
      </c>
      <c r="X65" s="6">
        <v>7906249.5</v>
      </c>
      <c r="Y65" s="6">
        <v>24.3</v>
      </c>
      <c r="Z65" s="6">
        <v>1867495.2</v>
      </c>
      <c r="AA65" s="6">
        <v>0</v>
      </c>
      <c r="AB65" s="6">
        <v>81998940</v>
      </c>
      <c r="AC65" s="6">
        <v>106073190</v>
      </c>
      <c r="AD65" s="6">
        <v>0</v>
      </c>
      <c r="AE65" s="6">
        <f t="shared" si="0"/>
        <v>389590140</v>
      </c>
      <c r="AF65" s="6">
        <f t="shared" si="1"/>
        <v>9904730</v>
      </c>
      <c r="AG65" s="6">
        <f t="shared" si="13"/>
        <v>593402.19999999995</v>
      </c>
      <c r="AH65" s="6">
        <f t="shared" si="2"/>
        <v>379092007.80000001</v>
      </c>
      <c r="AI65" s="6">
        <f t="shared" si="3"/>
        <v>8156198.5</v>
      </c>
      <c r="AJ65" s="6">
        <f t="shared" si="4"/>
        <v>11951043</v>
      </c>
      <c r="AK65" s="6">
        <f t="shared" si="5"/>
        <v>24.3</v>
      </c>
      <c r="AL65" s="6">
        <f t="shared" si="6"/>
        <v>7906249.5</v>
      </c>
      <c r="AM65" s="6">
        <f t="shared" si="7"/>
        <v>351078497.19999999</v>
      </c>
      <c r="AN65" s="10">
        <f t="shared" si="8"/>
        <v>2.1515089561853853E-2</v>
      </c>
      <c r="AO65" s="10">
        <f t="shared" si="9"/>
        <v>3.1525441724176595E-2</v>
      </c>
      <c r="AP65" s="10">
        <f t="shared" si="10"/>
        <v>6.4100533643590046E-8</v>
      </c>
      <c r="AQ65" s="10">
        <f t="shared" si="11"/>
        <v>2.085575358310152E-2</v>
      </c>
      <c r="AR65" s="10">
        <f t="shared" si="12"/>
        <v>0.92610366342837991</v>
      </c>
    </row>
    <row r="66" spans="1:44" x14ac:dyDescent="0.3">
      <c r="A66" t="s">
        <v>6</v>
      </c>
      <c r="B66" t="s">
        <v>7</v>
      </c>
      <c r="C66" t="s">
        <v>162</v>
      </c>
      <c r="D66" s="7">
        <v>2024</v>
      </c>
      <c r="E66" s="6">
        <v>0.68</v>
      </c>
      <c r="F66" s="6">
        <v>202.5</v>
      </c>
      <c r="G66" s="15">
        <v>307.3</v>
      </c>
      <c r="H66" s="15">
        <v>823.8</v>
      </c>
      <c r="I66" s="6">
        <v>143947660</v>
      </c>
      <c r="J66" s="6">
        <v>27038692</v>
      </c>
      <c r="K66" s="6">
        <v>1426944</v>
      </c>
      <c r="L66" s="6">
        <v>2012466.8</v>
      </c>
      <c r="M66" s="6">
        <v>0</v>
      </c>
      <c r="N66" s="6">
        <v>13723090</v>
      </c>
      <c r="O66" s="6">
        <v>1649607.2</v>
      </c>
      <c r="P66" s="6">
        <v>0</v>
      </c>
      <c r="Q66" s="6">
        <v>0</v>
      </c>
      <c r="R66" s="6">
        <v>2489203.7999999998</v>
      </c>
      <c r="S66" s="6">
        <v>36841290</v>
      </c>
      <c r="T66" s="6">
        <v>0</v>
      </c>
      <c r="U66" s="6">
        <v>1360266.1</v>
      </c>
      <c r="V66" s="6">
        <v>0</v>
      </c>
      <c r="W66" s="6">
        <v>26825330</v>
      </c>
      <c r="X66" s="6">
        <v>25580812</v>
      </c>
      <c r="Y66" s="6">
        <v>6372602.5</v>
      </c>
      <c r="Z66" s="6">
        <v>1116574.1000000001</v>
      </c>
      <c r="AA66" s="6">
        <v>0</v>
      </c>
      <c r="AB66" s="6">
        <v>7190846.5</v>
      </c>
      <c r="AC66" s="6">
        <v>16875878</v>
      </c>
      <c r="AD66" s="6">
        <v>482764.3</v>
      </c>
      <c r="AE66" s="6">
        <f t="shared" si="0"/>
        <v>143947660</v>
      </c>
      <c r="AF66" s="6">
        <f t="shared" si="1"/>
        <v>13723090</v>
      </c>
      <c r="AG66" s="6">
        <f t="shared" si="13"/>
        <v>2012466.8</v>
      </c>
      <c r="AH66" s="6">
        <f t="shared" si="2"/>
        <v>128212103.2</v>
      </c>
      <c r="AI66" s="6">
        <f t="shared" si="3"/>
        <v>1649607.2</v>
      </c>
      <c r="AJ66" s="6">
        <f t="shared" si="4"/>
        <v>38201556.100000001</v>
      </c>
      <c r="AK66" s="6">
        <f t="shared" si="5"/>
        <v>6372602.5</v>
      </c>
      <c r="AL66" s="6">
        <f t="shared" si="6"/>
        <v>25580812</v>
      </c>
      <c r="AM66" s="6">
        <f t="shared" si="7"/>
        <v>56407540.700000003</v>
      </c>
      <c r="AN66" s="10">
        <f t="shared" si="8"/>
        <v>1.286623617293566E-2</v>
      </c>
      <c r="AO66" s="10">
        <f t="shared" si="9"/>
        <v>0.2979559272996935</v>
      </c>
      <c r="AP66" s="10">
        <f t="shared" si="10"/>
        <v>4.9703595377881611E-2</v>
      </c>
      <c r="AQ66" s="10">
        <f t="shared" si="11"/>
        <v>0.19951947875073933</v>
      </c>
      <c r="AR66" s="10">
        <f t="shared" si="12"/>
        <v>0.43995488173225755</v>
      </c>
    </row>
    <row r="67" spans="1:44" x14ac:dyDescent="0.3">
      <c r="A67" t="s">
        <v>6</v>
      </c>
      <c r="B67" t="s">
        <v>7</v>
      </c>
      <c r="C67" t="s">
        <v>162</v>
      </c>
      <c r="D67" s="7">
        <v>2026</v>
      </c>
      <c r="E67" s="6">
        <v>0.75</v>
      </c>
      <c r="F67" s="6">
        <v>142.6</v>
      </c>
      <c r="G67" s="15">
        <v>266.39999999999998</v>
      </c>
      <c r="H67" s="15">
        <v>759.6</v>
      </c>
      <c r="I67" s="6">
        <v>157177250</v>
      </c>
      <c r="J67" s="6">
        <v>37839550</v>
      </c>
      <c r="K67" s="6">
        <v>1607114.6</v>
      </c>
      <c r="L67" s="6">
        <v>2001249.8</v>
      </c>
      <c r="M67" s="6">
        <v>0</v>
      </c>
      <c r="N67" s="6">
        <v>22661086</v>
      </c>
      <c r="O67" s="6">
        <v>927272.9</v>
      </c>
      <c r="P67" s="6">
        <v>0</v>
      </c>
      <c r="Q67" s="6">
        <v>0</v>
      </c>
      <c r="R67" s="6">
        <v>2833035.2</v>
      </c>
      <c r="S67" s="6">
        <v>33723550</v>
      </c>
      <c r="T67" s="6">
        <v>0</v>
      </c>
      <c r="U67" s="6">
        <v>809784.1</v>
      </c>
      <c r="V67" s="6">
        <v>0</v>
      </c>
      <c r="W67" s="6">
        <v>27635302</v>
      </c>
      <c r="X67" s="6">
        <v>25553040</v>
      </c>
      <c r="Y67" s="6">
        <v>3147550.8</v>
      </c>
      <c r="Z67" s="6">
        <v>1271744.8</v>
      </c>
      <c r="AA67" s="6">
        <v>0</v>
      </c>
      <c r="AB67" s="6">
        <v>7075147</v>
      </c>
      <c r="AC67" s="6">
        <v>16784872</v>
      </c>
      <c r="AD67" s="6">
        <v>11146498</v>
      </c>
      <c r="AE67" s="6">
        <f t="shared" ref="AE67:AE130" si="14">I67</f>
        <v>157177250</v>
      </c>
      <c r="AF67" s="6">
        <f t="shared" ref="AF67:AF130" si="15">N67</f>
        <v>22661086</v>
      </c>
      <c r="AG67" s="6">
        <f t="shared" ref="AG67:AG130" si="16">SUM(L67,M67)</f>
        <v>2001249.8</v>
      </c>
      <c r="AH67" s="6">
        <f t="shared" ref="AH67:AH130" si="17">AE67-AF67-AG67</f>
        <v>132514914.2</v>
      </c>
      <c r="AI67" s="6">
        <f t="shared" ref="AI67:AI130" si="18">SUM(O67,P67)</f>
        <v>927272.9</v>
      </c>
      <c r="AJ67" s="6">
        <f t="shared" ref="AJ67:AJ130" si="19">SUM(S67,T67,U67)</f>
        <v>34533334.100000001</v>
      </c>
      <c r="AK67" s="6">
        <f t="shared" ref="AK67:AK130" si="20">Y67</f>
        <v>3147550.8</v>
      </c>
      <c r="AL67" s="6">
        <f t="shared" ref="AL67:AL130" si="21">X67</f>
        <v>25553040</v>
      </c>
      <c r="AM67" s="6">
        <f t="shared" ref="AM67:AM130" si="22">SUM(K67,Q67,R67,V67,W67,Z67,AA67,AB67,AC67,AD67)</f>
        <v>68353713.599999994</v>
      </c>
      <c r="AN67" s="10">
        <f t="shared" ref="AN67:AN130" si="23">AI67/AH67</f>
        <v>6.9974983993160217E-3</v>
      </c>
      <c r="AO67" s="10">
        <f t="shared" ref="AO67:AO130" si="24">AJ67/AH67</f>
        <v>0.26059960351240224</v>
      </c>
      <c r="AP67" s="10">
        <f t="shared" ref="AP67:AP130" si="25">AK67/AH67</f>
        <v>2.3752426804197407E-2</v>
      </c>
      <c r="AQ67" s="10">
        <f t="shared" ref="AQ67:AQ130" si="26">AL67/AH67</f>
        <v>0.19283142697005196</v>
      </c>
      <c r="AR67" s="10">
        <f t="shared" ref="AR67:AR130" si="27">AM67/AH67</f>
        <v>0.51581902318433526</v>
      </c>
    </row>
    <row r="68" spans="1:44" x14ac:dyDescent="0.3">
      <c r="A68" t="s">
        <v>6</v>
      </c>
      <c r="B68" t="s">
        <v>7</v>
      </c>
      <c r="C68" t="s">
        <v>162</v>
      </c>
      <c r="D68" s="7">
        <v>2028</v>
      </c>
      <c r="E68" s="6">
        <v>0.78</v>
      </c>
      <c r="F68" s="6">
        <v>124.4</v>
      </c>
      <c r="G68" s="15">
        <v>174.6</v>
      </c>
      <c r="H68" s="15">
        <v>693.3</v>
      </c>
      <c r="I68" s="6">
        <v>161944130</v>
      </c>
      <c r="J68" s="6">
        <v>42530976</v>
      </c>
      <c r="K68" s="6">
        <v>2159781.2000000002</v>
      </c>
      <c r="L68" s="6">
        <v>1980483.4</v>
      </c>
      <c r="M68" s="6">
        <v>0</v>
      </c>
      <c r="N68" s="6">
        <v>25161198</v>
      </c>
      <c r="O68" s="6">
        <v>551808.19999999995</v>
      </c>
      <c r="P68" s="6">
        <v>0</v>
      </c>
      <c r="Q68" s="6">
        <v>0</v>
      </c>
      <c r="R68" s="6">
        <v>3372916.8</v>
      </c>
      <c r="S68" s="6">
        <v>31539120</v>
      </c>
      <c r="T68" s="6">
        <v>0</v>
      </c>
      <c r="U68" s="6">
        <v>709943</v>
      </c>
      <c r="V68" s="6">
        <v>0</v>
      </c>
      <c r="W68" s="6">
        <v>27822364</v>
      </c>
      <c r="X68" s="6">
        <v>25447464</v>
      </c>
      <c r="Y68" s="6">
        <v>2630115</v>
      </c>
      <c r="Z68" s="6">
        <v>1410871.2</v>
      </c>
      <c r="AA68" s="6">
        <v>0</v>
      </c>
      <c r="AB68" s="6">
        <v>6957111</v>
      </c>
      <c r="AC68" s="6">
        <v>16694354</v>
      </c>
      <c r="AD68" s="6">
        <v>15506594</v>
      </c>
      <c r="AE68" s="6">
        <f t="shared" si="14"/>
        <v>161944130</v>
      </c>
      <c r="AF68" s="6">
        <f t="shared" si="15"/>
        <v>25161198</v>
      </c>
      <c r="AG68" s="6">
        <f t="shared" si="16"/>
        <v>1980483.4</v>
      </c>
      <c r="AH68" s="6">
        <f t="shared" si="17"/>
        <v>134802448.59999999</v>
      </c>
      <c r="AI68" s="6">
        <f t="shared" si="18"/>
        <v>551808.19999999995</v>
      </c>
      <c r="AJ68" s="6">
        <f t="shared" si="19"/>
        <v>32249063</v>
      </c>
      <c r="AK68" s="6">
        <f t="shared" si="20"/>
        <v>2630115</v>
      </c>
      <c r="AL68" s="6">
        <f t="shared" si="21"/>
        <v>25447464</v>
      </c>
      <c r="AM68" s="6">
        <f t="shared" si="22"/>
        <v>73923992.200000003</v>
      </c>
      <c r="AN68" s="10">
        <f t="shared" si="23"/>
        <v>4.0934582845552252E-3</v>
      </c>
      <c r="AO68" s="10">
        <f t="shared" si="24"/>
        <v>0.23923202682833167</v>
      </c>
      <c r="AP68" s="10">
        <f t="shared" si="25"/>
        <v>1.9510884463266345E-2</v>
      </c>
      <c r="AQ68" s="10">
        <f t="shared" si="26"/>
        <v>0.18877597747137659</v>
      </c>
      <c r="AR68" s="10">
        <f t="shared" si="27"/>
        <v>0.54838760695924038</v>
      </c>
    </row>
    <row r="69" spans="1:44" x14ac:dyDescent="0.3">
      <c r="A69" t="s">
        <v>6</v>
      </c>
      <c r="B69" t="s">
        <v>7</v>
      </c>
      <c r="C69" t="s">
        <v>162</v>
      </c>
      <c r="D69" s="7">
        <v>2030</v>
      </c>
      <c r="E69" s="6">
        <v>0.82</v>
      </c>
      <c r="F69" s="6">
        <v>103.6</v>
      </c>
      <c r="G69" s="15">
        <v>102</v>
      </c>
      <c r="H69" s="15">
        <v>646.4</v>
      </c>
      <c r="I69" s="6">
        <v>170528720</v>
      </c>
      <c r="J69" s="6">
        <v>54342772</v>
      </c>
      <c r="K69" s="6">
        <v>3904798</v>
      </c>
      <c r="L69" s="6">
        <v>1948413.4</v>
      </c>
      <c r="M69" s="6">
        <v>0</v>
      </c>
      <c r="N69" s="6">
        <v>24765420</v>
      </c>
      <c r="O69" s="6">
        <v>371687</v>
      </c>
      <c r="P69" s="6">
        <v>0</v>
      </c>
      <c r="Q69" s="6">
        <v>0</v>
      </c>
      <c r="R69" s="6">
        <v>4248445</v>
      </c>
      <c r="S69" s="6">
        <v>27744876</v>
      </c>
      <c r="T69" s="6">
        <v>0</v>
      </c>
      <c r="U69" s="6">
        <v>641974</v>
      </c>
      <c r="V69" s="6">
        <v>0</v>
      </c>
      <c r="W69" s="6">
        <v>27697132</v>
      </c>
      <c r="X69" s="6">
        <v>25165082</v>
      </c>
      <c r="Y69" s="6">
        <v>2372179.5</v>
      </c>
      <c r="Z69" s="6">
        <v>1574388.9</v>
      </c>
      <c r="AA69" s="6">
        <v>0</v>
      </c>
      <c r="AB69" s="6">
        <v>18064484</v>
      </c>
      <c r="AC69" s="6">
        <v>16604243</v>
      </c>
      <c r="AD69" s="6">
        <v>15425594</v>
      </c>
      <c r="AE69" s="6">
        <f t="shared" si="14"/>
        <v>170528720</v>
      </c>
      <c r="AF69" s="6">
        <f t="shared" si="15"/>
        <v>24765420</v>
      </c>
      <c r="AG69" s="6">
        <f t="shared" si="16"/>
        <v>1948413.4</v>
      </c>
      <c r="AH69" s="6">
        <f t="shared" si="17"/>
        <v>143814886.59999999</v>
      </c>
      <c r="AI69" s="6">
        <f t="shared" si="18"/>
        <v>371687</v>
      </c>
      <c r="AJ69" s="6">
        <f t="shared" si="19"/>
        <v>28386850</v>
      </c>
      <c r="AK69" s="6">
        <f t="shared" si="20"/>
        <v>2372179.5</v>
      </c>
      <c r="AL69" s="6">
        <f t="shared" si="21"/>
        <v>25165082</v>
      </c>
      <c r="AM69" s="6">
        <f t="shared" si="22"/>
        <v>87519084.900000006</v>
      </c>
      <c r="AN69" s="10">
        <f t="shared" si="23"/>
        <v>2.5844820990875085E-3</v>
      </c>
      <c r="AO69" s="10">
        <f t="shared" si="24"/>
        <v>0.19738464265492806</v>
      </c>
      <c r="AP69" s="10">
        <f t="shared" si="25"/>
        <v>1.6494672812265042E-2</v>
      </c>
      <c r="AQ69" s="10">
        <f t="shared" si="26"/>
        <v>0.17498245553669964</v>
      </c>
      <c r="AR69" s="10">
        <f t="shared" si="27"/>
        <v>0.60855372464619395</v>
      </c>
    </row>
    <row r="70" spans="1:44" x14ac:dyDescent="0.3">
      <c r="A70" t="s">
        <v>6</v>
      </c>
      <c r="B70" t="s">
        <v>7</v>
      </c>
      <c r="C70" t="s">
        <v>162</v>
      </c>
      <c r="D70" s="7">
        <v>2035</v>
      </c>
      <c r="E70" s="6">
        <v>0.85</v>
      </c>
      <c r="F70" s="6">
        <v>82.3</v>
      </c>
      <c r="G70" s="15">
        <v>31.2</v>
      </c>
      <c r="H70" s="15">
        <v>582.4</v>
      </c>
      <c r="I70" s="6">
        <v>182936580</v>
      </c>
      <c r="J70" s="6">
        <v>70963464</v>
      </c>
      <c r="K70" s="6">
        <v>5602665</v>
      </c>
      <c r="L70" s="6">
        <v>1507715.8</v>
      </c>
      <c r="M70" s="6">
        <v>0</v>
      </c>
      <c r="N70" s="6">
        <v>24039834</v>
      </c>
      <c r="O70" s="6">
        <v>0</v>
      </c>
      <c r="P70" s="6">
        <v>0</v>
      </c>
      <c r="Q70" s="6">
        <v>0</v>
      </c>
      <c r="R70" s="6">
        <v>5277882.5</v>
      </c>
      <c r="S70" s="6">
        <v>23497018</v>
      </c>
      <c r="T70" s="6">
        <v>0</v>
      </c>
      <c r="U70" s="6">
        <v>1770253.2</v>
      </c>
      <c r="V70" s="6">
        <v>0</v>
      </c>
      <c r="W70" s="6">
        <v>27427226</v>
      </c>
      <c r="X70" s="6">
        <v>24922274</v>
      </c>
      <c r="Y70" s="6">
        <v>1691023.2</v>
      </c>
      <c r="Z70" s="6">
        <v>1515112.2</v>
      </c>
      <c r="AA70" s="6">
        <v>0</v>
      </c>
      <c r="AB70" s="6">
        <v>17448220</v>
      </c>
      <c r="AC70" s="6">
        <v>16585222</v>
      </c>
      <c r="AD70" s="6">
        <v>31652134</v>
      </c>
      <c r="AE70" s="6">
        <f t="shared" si="14"/>
        <v>182936580</v>
      </c>
      <c r="AF70" s="6">
        <f t="shared" si="15"/>
        <v>24039834</v>
      </c>
      <c r="AG70" s="6">
        <f t="shared" si="16"/>
        <v>1507715.8</v>
      </c>
      <c r="AH70" s="6">
        <f t="shared" si="17"/>
        <v>157389030.19999999</v>
      </c>
      <c r="AI70" s="6">
        <f t="shared" si="18"/>
        <v>0</v>
      </c>
      <c r="AJ70" s="6">
        <f t="shared" si="19"/>
        <v>25267271.199999999</v>
      </c>
      <c r="AK70" s="6">
        <f t="shared" si="20"/>
        <v>1691023.2</v>
      </c>
      <c r="AL70" s="6">
        <f t="shared" si="21"/>
        <v>24922274</v>
      </c>
      <c r="AM70" s="6">
        <f t="shared" si="22"/>
        <v>105508461.7</v>
      </c>
      <c r="AN70" s="10">
        <f t="shared" si="23"/>
        <v>0</v>
      </c>
      <c r="AO70" s="10">
        <f t="shared" si="24"/>
        <v>0.16054023058590522</v>
      </c>
      <c r="AP70" s="10">
        <f t="shared" si="25"/>
        <v>1.074422529861932E-2</v>
      </c>
      <c r="AQ70" s="10">
        <f t="shared" si="26"/>
        <v>0.15834822775342319</v>
      </c>
      <c r="AR70" s="10">
        <f t="shared" si="27"/>
        <v>0.67036731572668407</v>
      </c>
    </row>
    <row r="71" spans="1:44" x14ac:dyDescent="0.3">
      <c r="A71" t="s">
        <v>6</v>
      </c>
      <c r="B71" t="s">
        <v>7</v>
      </c>
      <c r="C71" t="s">
        <v>162</v>
      </c>
      <c r="D71" s="7">
        <v>2040</v>
      </c>
      <c r="E71" s="6">
        <v>0.86</v>
      </c>
      <c r="F71" s="6">
        <v>81</v>
      </c>
      <c r="G71" s="15">
        <v>9</v>
      </c>
      <c r="H71" s="15">
        <v>559.29999999999995</v>
      </c>
      <c r="I71" s="6">
        <v>204323940</v>
      </c>
      <c r="J71" s="6">
        <v>88532390</v>
      </c>
      <c r="K71" s="6">
        <v>7900216</v>
      </c>
      <c r="L71" s="6">
        <v>1488370.2</v>
      </c>
      <c r="M71" s="6">
        <v>0</v>
      </c>
      <c r="N71" s="6">
        <v>23039164</v>
      </c>
      <c r="O71" s="6">
        <v>0</v>
      </c>
      <c r="P71" s="6">
        <v>0</v>
      </c>
      <c r="Q71" s="6">
        <v>0</v>
      </c>
      <c r="R71" s="6">
        <v>5474068</v>
      </c>
      <c r="S71" s="6">
        <v>24565338</v>
      </c>
      <c r="T71" s="6">
        <v>0</v>
      </c>
      <c r="U71" s="6">
        <v>3946722</v>
      </c>
      <c r="V71" s="6">
        <v>0</v>
      </c>
      <c r="W71" s="6">
        <v>27253242</v>
      </c>
      <c r="X71" s="6">
        <v>24776306</v>
      </c>
      <c r="Y71" s="6">
        <v>1008618.7</v>
      </c>
      <c r="Z71" s="6">
        <v>1813566.2</v>
      </c>
      <c r="AA71" s="6">
        <v>0</v>
      </c>
      <c r="AB71" s="6">
        <v>31298970</v>
      </c>
      <c r="AC71" s="6">
        <v>20523480</v>
      </c>
      <c r="AD71" s="6">
        <v>31235876</v>
      </c>
      <c r="AE71" s="6">
        <f t="shared" si="14"/>
        <v>204323940</v>
      </c>
      <c r="AF71" s="6">
        <f t="shared" si="15"/>
        <v>23039164</v>
      </c>
      <c r="AG71" s="6">
        <f t="shared" si="16"/>
        <v>1488370.2</v>
      </c>
      <c r="AH71" s="6">
        <f t="shared" si="17"/>
        <v>179796405.80000001</v>
      </c>
      <c r="AI71" s="6">
        <f t="shared" si="18"/>
        <v>0</v>
      </c>
      <c r="AJ71" s="6">
        <f t="shared" si="19"/>
        <v>28512060</v>
      </c>
      <c r="AK71" s="6">
        <f t="shared" si="20"/>
        <v>1008618.7</v>
      </c>
      <c r="AL71" s="6">
        <f t="shared" si="21"/>
        <v>24776306</v>
      </c>
      <c r="AM71" s="6">
        <f t="shared" si="22"/>
        <v>125499418.2</v>
      </c>
      <c r="AN71" s="10">
        <f t="shared" si="23"/>
        <v>0</v>
      </c>
      <c r="AO71" s="10">
        <f t="shared" si="24"/>
        <v>0.1585796994836256</v>
      </c>
      <c r="AP71" s="10">
        <f t="shared" si="25"/>
        <v>5.6097823285853462E-3</v>
      </c>
      <c r="AQ71" s="10">
        <f t="shared" si="26"/>
        <v>0.1378020093881098</v>
      </c>
      <c r="AR71" s="10">
        <f t="shared" si="27"/>
        <v>0.6980084926703245</v>
      </c>
    </row>
    <row r="72" spans="1:44" x14ac:dyDescent="0.3">
      <c r="A72" t="s">
        <v>6</v>
      </c>
      <c r="B72" t="s">
        <v>7</v>
      </c>
      <c r="C72" t="s">
        <v>162</v>
      </c>
      <c r="D72" s="7">
        <v>2045</v>
      </c>
      <c r="E72" s="6">
        <v>0.84</v>
      </c>
      <c r="F72" s="6">
        <v>91.9</v>
      </c>
      <c r="G72" s="15">
        <v>0</v>
      </c>
      <c r="H72" s="15">
        <v>577.5</v>
      </c>
      <c r="I72" s="6">
        <v>219006750</v>
      </c>
      <c r="J72" s="6">
        <v>94959140</v>
      </c>
      <c r="K72" s="6">
        <v>9273931</v>
      </c>
      <c r="L72" s="6">
        <v>1515029.8</v>
      </c>
      <c r="M72" s="6">
        <v>0</v>
      </c>
      <c r="N72" s="6">
        <v>23079352</v>
      </c>
      <c r="O72" s="6">
        <v>0</v>
      </c>
      <c r="P72" s="6">
        <v>0</v>
      </c>
      <c r="Q72" s="6">
        <v>0</v>
      </c>
      <c r="R72" s="6">
        <v>6293379</v>
      </c>
      <c r="S72" s="6">
        <v>29700516</v>
      </c>
      <c r="T72" s="6">
        <v>0</v>
      </c>
      <c r="U72" s="6">
        <v>5226634.5</v>
      </c>
      <c r="V72" s="6">
        <v>0</v>
      </c>
      <c r="W72" s="6">
        <v>27421824</v>
      </c>
      <c r="X72" s="6">
        <v>24925642</v>
      </c>
      <c r="Y72" s="6">
        <v>1122312.3999999999</v>
      </c>
      <c r="Z72" s="6">
        <v>1782368.8</v>
      </c>
      <c r="AA72" s="6">
        <v>0</v>
      </c>
      <c r="AB72" s="6">
        <v>35474988</v>
      </c>
      <c r="AC72" s="6">
        <v>22362578</v>
      </c>
      <c r="AD72" s="6">
        <v>30828186</v>
      </c>
      <c r="AE72" s="6">
        <f t="shared" si="14"/>
        <v>219006750</v>
      </c>
      <c r="AF72" s="6">
        <f t="shared" si="15"/>
        <v>23079352</v>
      </c>
      <c r="AG72" s="6">
        <f t="shared" si="16"/>
        <v>1515029.8</v>
      </c>
      <c r="AH72" s="6">
        <f t="shared" si="17"/>
        <v>194412368.19999999</v>
      </c>
      <c r="AI72" s="6">
        <f t="shared" si="18"/>
        <v>0</v>
      </c>
      <c r="AJ72" s="6">
        <f t="shared" si="19"/>
        <v>34927150.5</v>
      </c>
      <c r="AK72" s="6">
        <f t="shared" si="20"/>
        <v>1122312.3999999999</v>
      </c>
      <c r="AL72" s="6">
        <f t="shared" si="21"/>
        <v>24925642</v>
      </c>
      <c r="AM72" s="6">
        <f t="shared" si="22"/>
        <v>133437254.8</v>
      </c>
      <c r="AN72" s="10">
        <f t="shared" si="23"/>
        <v>0</v>
      </c>
      <c r="AO72" s="10">
        <f t="shared" si="24"/>
        <v>0.179654981950886</v>
      </c>
      <c r="AP72" s="10">
        <f t="shared" si="25"/>
        <v>5.7728446517632615E-3</v>
      </c>
      <c r="AQ72" s="10">
        <f t="shared" si="26"/>
        <v>0.12821016600321419</v>
      </c>
      <c r="AR72" s="10">
        <f t="shared" si="27"/>
        <v>0.68636196367263846</v>
      </c>
    </row>
    <row r="73" spans="1:44" x14ac:dyDescent="0.3">
      <c r="A73" t="s">
        <v>6</v>
      </c>
      <c r="B73" t="s">
        <v>7</v>
      </c>
      <c r="C73" t="s">
        <v>162</v>
      </c>
      <c r="D73" s="7">
        <v>2050</v>
      </c>
      <c r="E73" s="6">
        <v>0.82</v>
      </c>
      <c r="F73" s="6">
        <v>103.8</v>
      </c>
      <c r="G73" s="15">
        <v>0</v>
      </c>
      <c r="H73" s="15">
        <v>563.9</v>
      </c>
      <c r="I73" s="6">
        <v>238265950</v>
      </c>
      <c r="J73" s="6">
        <v>115322776</v>
      </c>
      <c r="K73" s="6">
        <v>11031965</v>
      </c>
      <c r="L73" s="6">
        <v>1477852.2</v>
      </c>
      <c r="M73" s="6">
        <v>0</v>
      </c>
      <c r="N73" s="6">
        <v>23078046</v>
      </c>
      <c r="O73" s="6">
        <v>0</v>
      </c>
      <c r="P73" s="6">
        <v>0</v>
      </c>
      <c r="Q73" s="6">
        <v>0</v>
      </c>
      <c r="R73" s="6">
        <v>6878811</v>
      </c>
      <c r="S73" s="6">
        <v>30087612</v>
      </c>
      <c r="T73" s="6">
        <v>0</v>
      </c>
      <c r="U73" s="6">
        <v>12594924</v>
      </c>
      <c r="V73" s="6">
        <v>0</v>
      </c>
      <c r="W73" s="6">
        <v>27093300</v>
      </c>
      <c r="X73" s="6">
        <v>15306237</v>
      </c>
      <c r="Y73" s="6">
        <v>289845.8</v>
      </c>
      <c r="Z73" s="6">
        <v>1983410.2</v>
      </c>
      <c r="AA73" s="6">
        <v>0</v>
      </c>
      <c r="AB73" s="6">
        <v>50628260</v>
      </c>
      <c r="AC73" s="6">
        <v>27449760</v>
      </c>
      <c r="AD73" s="6">
        <v>30365946</v>
      </c>
      <c r="AE73" s="6">
        <f t="shared" si="14"/>
        <v>238265950</v>
      </c>
      <c r="AF73" s="6">
        <f t="shared" si="15"/>
        <v>23078046</v>
      </c>
      <c r="AG73" s="6">
        <f t="shared" si="16"/>
        <v>1477852.2</v>
      </c>
      <c r="AH73" s="6">
        <f t="shared" si="17"/>
        <v>213710051.80000001</v>
      </c>
      <c r="AI73" s="6">
        <f t="shared" si="18"/>
        <v>0</v>
      </c>
      <c r="AJ73" s="6">
        <f t="shared" si="19"/>
        <v>42682536</v>
      </c>
      <c r="AK73" s="6">
        <f t="shared" si="20"/>
        <v>289845.8</v>
      </c>
      <c r="AL73" s="6">
        <f t="shared" si="21"/>
        <v>15306237</v>
      </c>
      <c r="AM73" s="6">
        <f t="shared" si="22"/>
        <v>155431452.19999999</v>
      </c>
      <c r="AN73" s="10">
        <f t="shared" si="23"/>
        <v>0</v>
      </c>
      <c r="AO73" s="10">
        <f t="shared" si="24"/>
        <v>0.19972170536903122</v>
      </c>
      <c r="AP73" s="10">
        <f t="shared" si="25"/>
        <v>1.3562572165358483E-3</v>
      </c>
      <c r="AQ73" s="10">
        <f t="shared" si="26"/>
        <v>7.1621511815103123E-2</v>
      </c>
      <c r="AR73" s="10">
        <f t="shared" si="27"/>
        <v>0.72730061544068181</v>
      </c>
    </row>
    <row r="74" spans="1:44" x14ac:dyDescent="0.3">
      <c r="A74" t="s">
        <v>6</v>
      </c>
      <c r="B74" t="s">
        <v>7</v>
      </c>
      <c r="C74" t="s">
        <v>163</v>
      </c>
      <c r="D74" s="7">
        <v>2024</v>
      </c>
      <c r="E74" s="6">
        <v>0.47</v>
      </c>
      <c r="F74" s="6">
        <v>292.89999999999998</v>
      </c>
      <c r="G74" s="15">
        <v>417.1</v>
      </c>
      <c r="H74" s="15">
        <v>857.8</v>
      </c>
      <c r="I74" s="6">
        <v>335006700</v>
      </c>
      <c r="J74" s="6">
        <v>48273770</v>
      </c>
      <c r="K74" s="6">
        <v>920591.1</v>
      </c>
      <c r="L74" s="6">
        <v>2688081.5</v>
      </c>
      <c r="M74" s="6">
        <v>0</v>
      </c>
      <c r="N74" s="6">
        <v>0</v>
      </c>
      <c r="O74" s="6">
        <v>14348781</v>
      </c>
      <c r="P74" s="6">
        <v>0</v>
      </c>
      <c r="Q74" s="6">
        <v>0</v>
      </c>
      <c r="R74" s="6">
        <v>7439134.5</v>
      </c>
      <c r="S74" s="6">
        <v>161994580</v>
      </c>
      <c r="T74" s="6">
        <v>0</v>
      </c>
      <c r="U74" s="6">
        <v>754619.2</v>
      </c>
      <c r="V74" s="6">
        <v>0</v>
      </c>
      <c r="W74" s="6">
        <v>4541562</v>
      </c>
      <c r="X74" s="6">
        <v>99559470</v>
      </c>
      <c r="Y74" s="6">
        <v>547121.5</v>
      </c>
      <c r="Z74" s="6">
        <v>1378104.2</v>
      </c>
      <c r="AA74" s="6">
        <v>0</v>
      </c>
      <c r="AB74" s="6">
        <v>22120764</v>
      </c>
      <c r="AC74" s="6">
        <v>9439877</v>
      </c>
      <c r="AD74" s="6">
        <v>9273992</v>
      </c>
      <c r="AE74" s="6">
        <f t="shared" si="14"/>
        <v>335006700</v>
      </c>
      <c r="AF74" s="6">
        <f t="shared" si="15"/>
        <v>0</v>
      </c>
      <c r="AG74" s="6">
        <f t="shared" si="16"/>
        <v>2688081.5</v>
      </c>
      <c r="AH74" s="6">
        <f t="shared" si="17"/>
        <v>332318618.5</v>
      </c>
      <c r="AI74" s="6">
        <f t="shared" si="18"/>
        <v>14348781</v>
      </c>
      <c r="AJ74" s="6">
        <f t="shared" si="19"/>
        <v>162749199.19999999</v>
      </c>
      <c r="AK74" s="6">
        <f t="shared" si="20"/>
        <v>547121.5</v>
      </c>
      <c r="AL74" s="6">
        <f t="shared" si="21"/>
        <v>99559470</v>
      </c>
      <c r="AM74" s="6">
        <f t="shared" si="22"/>
        <v>55114024.799999997</v>
      </c>
      <c r="AN74" s="10">
        <f t="shared" si="23"/>
        <v>4.3177782408842076E-2</v>
      </c>
      <c r="AO74" s="10">
        <f t="shared" si="24"/>
        <v>0.48973843215468227</v>
      </c>
      <c r="AP74" s="10">
        <f t="shared" si="25"/>
        <v>1.6463763073810444E-3</v>
      </c>
      <c r="AQ74" s="10">
        <f t="shared" si="26"/>
        <v>0.29959040648816371</v>
      </c>
      <c r="AR74" s="10">
        <f t="shared" si="27"/>
        <v>0.16584693643940385</v>
      </c>
    </row>
    <row r="75" spans="1:44" x14ac:dyDescent="0.3">
      <c r="A75" t="s">
        <v>6</v>
      </c>
      <c r="B75" t="s">
        <v>7</v>
      </c>
      <c r="C75" t="s">
        <v>163</v>
      </c>
      <c r="D75" s="7">
        <v>2026</v>
      </c>
      <c r="E75" s="6">
        <v>0.5</v>
      </c>
      <c r="F75" s="6">
        <v>272.5</v>
      </c>
      <c r="G75" s="15">
        <v>369.4</v>
      </c>
      <c r="H75" s="15">
        <v>802.2</v>
      </c>
      <c r="I75" s="6">
        <v>335880500</v>
      </c>
      <c r="J75" s="6">
        <v>56463690</v>
      </c>
      <c r="K75" s="6">
        <v>1498775.6</v>
      </c>
      <c r="L75" s="6">
        <v>2684401.8</v>
      </c>
      <c r="M75" s="6">
        <v>0</v>
      </c>
      <c r="N75" s="6">
        <v>0</v>
      </c>
      <c r="O75" s="6">
        <v>10881668</v>
      </c>
      <c r="P75" s="6">
        <v>0</v>
      </c>
      <c r="Q75" s="6">
        <v>0</v>
      </c>
      <c r="R75" s="6">
        <v>9485922</v>
      </c>
      <c r="S75" s="6">
        <v>157608800</v>
      </c>
      <c r="T75" s="6">
        <v>0</v>
      </c>
      <c r="U75" s="6">
        <v>653693.69999999995</v>
      </c>
      <c r="V75" s="6">
        <v>0</v>
      </c>
      <c r="W75" s="6">
        <v>4729960</v>
      </c>
      <c r="X75" s="6">
        <v>99465040</v>
      </c>
      <c r="Y75" s="6">
        <v>441971.4</v>
      </c>
      <c r="Z75" s="6">
        <v>1452505</v>
      </c>
      <c r="AA75" s="6">
        <v>0</v>
      </c>
      <c r="AB75" s="6">
        <v>21819928</v>
      </c>
      <c r="AC75" s="6">
        <v>9388973</v>
      </c>
      <c r="AD75" s="6">
        <v>15768867</v>
      </c>
      <c r="AE75" s="6">
        <f t="shared" si="14"/>
        <v>335880500</v>
      </c>
      <c r="AF75" s="6">
        <f t="shared" si="15"/>
        <v>0</v>
      </c>
      <c r="AG75" s="6">
        <f t="shared" si="16"/>
        <v>2684401.8</v>
      </c>
      <c r="AH75" s="6">
        <f t="shared" si="17"/>
        <v>333196098.19999999</v>
      </c>
      <c r="AI75" s="6">
        <f t="shared" si="18"/>
        <v>10881668</v>
      </c>
      <c r="AJ75" s="6">
        <f t="shared" si="19"/>
        <v>158262493.69999999</v>
      </c>
      <c r="AK75" s="6">
        <f t="shared" si="20"/>
        <v>441971.4</v>
      </c>
      <c r="AL75" s="6">
        <f t="shared" si="21"/>
        <v>99465040</v>
      </c>
      <c r="AM75" s="6">
        <f t="shared" si="22"/>
        <v>64144930.600000001</v>
      </c>
      <c r="AN75" s="10">
        <f t="shared" si="23"/>
        <v>3.2658449660080684E-2</v>
      </c>
      <c r="AO75" s="10">
        <f t="shared" si="24"/>
        <v>0.47498303418008031</v>
      </c>
      <c r="AP75" s="10">
        <f t="shared" si="25"/>
        <v>1.3264603108728722E-3</v>
      </c>
      <c r="AQ75" s="10">
        <f t="shared" si="26"/>
        <v>0.29851802148144124</v>
      </c>
      <c r="AR75" s="10">
        <f t="shared" si="27"/>
        <v>0.19251405087432086</v>
      </c>
    </row>
    <row r="76" spans="1:44" x14ac:dyDescent="0.3">
      <c r="A76" t="s">
        <v>6</v>
      </c>
      <c r="B76" t="s">
        <v>7</v>
      </c>
      <c r="C76" t="s">
        <v>163</v>
      </c>
      <c r="D76" s="7">
        <v>2028</v>
      </c>
      <c r="E76" s="6">
        <v>0.53</v>
      </c>
      <c r="F76" s="6">
        <v>250.2</v>
      </c>
      <c r="G76" s="15">
        <v>307.5</v>
      </c>
      <c r="H76" s="15">
        <v>730.8</v>
      </c>
      <c r="I76" s="6">
        <v>340865800</v>
      </c>
      <c r="J76" s="6">
        <v>68354300</v>
      </c>
      <c r="K76" s="6">
        <v>2240619.5</v>
      </c>
      <c r="L76" s="6">
        <v>2653348</v>
      </c>
      <c r="M76" s="6">
        <v>0</v>
      </c>
      <c r="N76" s="6">
        <v>0</v>
      </c>
      <c r="O76" s="6">
        <v>7203283</v>
      </c>
      <c r="P76" s="6">
        <v>0</v>
      </c>
      <c r="Q76" s="6">
        <v>0</v>
      </c>
      <c r="R76" s="6">
        <v>11954572</v>
      </c>
      <c r="S76" s="6">
        <v>153536830</v>
      </c>
      <c r="T76" s="6">
        <v>0</v>
      </c>
      <c r="U76" s="6">
        <v>655517.6</v>
      </c>
      <c r="V76" s="6">
        <v>0</v>
      </c>
      <c r="W76" s="6">
        <v>4690955</v>
      </c>
      <c r="X76" s="6">
        <v>98980480</v>
      </c>
      <c r="Y76" s="6">
        <v>417275.4</v>
      </c>
      <c r="Z76" s="6">
        <v>2133185.2000000002</v>
      </c>
      <c r="AA76" s="6">
        <v>0</v>
      </c>
      <c r="AB76" s="6">
        <v>21510380</v>
      </c>
      <c r="AC76" s="6">
        <v>9338336</v>
      </c>
      <c r="AD76" s="6">
        <v>25551012</v>
      </c>
      <c r="AE76" s="6">
        <f t="shared" si="14"/>
        <v>340865800</v>
      </c>
      <c r="AF76" s="6">
        <f t="shared" si="15"/>
        <v>0</v>
      </c>
      <c r="AG76" s="6">
        <f t="shared" si="16"/>
        <v>2653348</v>
      </c>
      <c r="AH76" s="6">
        <f t="shared" si="17"/>
        <v>338212452</v>
      </c>
      <c r="AI76" s="6">
        <f t="shared" si="18"/>
        <v>7203283</v>
      </c>
      <c r="AJ76" s="6">
        <f t="shared" si="19"/>
        <v>154192347.59999999</v>
      </c>
      <c r="AK76" s="6">
        <f t="shared" si="20"/>
        <v>417275.4</v>
      </c>
      <c r="AL76" s="6">
        <f t="shared" si="21"/>
        <v>98980480</v>
      </c>
      <c r="AM76" s="6">
        <f t="shared" si="22"/>
        <v>77419059.700000003</v>
      </c>
      <c r="AN76" s="10">
        <f t="shared" si="23"/>
        <v>2.1298101111901106E-2</v>
      </c>
      <c r="AO76" s="10">
        <f t="shared" si="24"/>
        <v>0.45590381633849481</v>
      </c>
      <c r="AP76" s="10">
        <f t="shared" si="25"/>
        <v>1.2337671115669035E-3</v>
      </c>
      <c r="AQ76" s="10">
        <f t="shared" si="26"/>
        <v>0.29265770498597726</v>
      </c>
      <c r="AR76" s="10">
        <f t="shared" si="27"/>
        <v>0.22890659182471496</v>
      </c>
    </row>
    <row r="77" spans="1:44" x14ac:dyDescent="0.3">
      <c r="A77" t="s">
        <v>6</v>
      </c>
      <c r="B77" t="s">
        <v>7</v>
      </c>
      <c r="C77" t="s">
        <v>163</v>
      </c>
      <c r="D77" s="7">
        <v>2030</v>
      </c>
      <c r="E77" s="6">
        <v>0.55000000000000004</v>
      </c>
      <c r="F77" s="6">
        <v>236.3</v>
      </c>
      <c r="G77" s="15">
        <v>313.39999999999998</v>
      </c>
      <c r="H77" s="15">
        <v>682</v>
      </c>
      <c r="I77" s="6">
        <v>331169000</v>
      </c>
      <c r="J77" s="6">
        <v>71191800</v>
      </c>
      <c r="K77" s="6">
        <v>2288478.7999999998</v>
      </c>
      <c r="L77" s="6">
        <v>2601434.5</v>
      </c>
      <c r="M77" s="6">
        <v>0</v>
      </c>
      <c r="N77" s="6">
        <v>0</v>
      </c>
      <c r="O77" s="6">
        <v>6499398.5</v>
      </c>
      <c r="P77" s="6">
        <v>0</v>
      </c>
      <c r="Q77" s="6">
        <v>0</v>
      </c>
      <c r="R77" s="6">
        <v>15240286</v>
      </c>
      <c r="S77" s="6">
        <v>142801060</v>
      </c>
      <c r="T77" s="6">
        <v>0</v>
      </c>
      <c r="U77" s="6">
        <v>409400.8</v>
      </c>
      <c r="V77" s="6">
        <v>0</v>
      </c>
      <c r="W77" s="6">
        <v>4609221.5</v>
      </c>
      <c r="X77" s="6">
        <v>98087080</v>
      </c>
      <c r="Y77" s="6">
        <v>292899.20000000001</v>
      </c>
      <c r="Z77" s="6">
        <v>2388228.7999999998</v>
      </c>
      <c r="AA77" s="6">
        <v>0</v>
      </c>
      <c r="AB77" s="6">
        <v>21212490</v>
      </c>
      <c r="AC77" s="6">
        <v>9287980</v>
      </c>
      <c r="AD77" s="6">
        <v>25451048</v>
      </c>
      <c r="AE77" s="6">
        <f t="shared" si="14"/>
        <v>331169000</v>
      </c>
      <c r="AF77" s="6">
        <f t="shared" si="15"/>
        <v>0</v>
      </c>
      <c r="AG77" s="6">
        <f t="shared" si="16"/>
        <v>2601434.5</v>
      </c>
      <c r="AH77" s="6">
        <f t="shared" si="17"/>
        <v>328567565.5</v>
      </c>
      <c r="AI77" s="6">
        <f t="shared" si="18"/>
        <v>6499398.5</v>
      </c>
      <c r="AJ77" s="6">
        <f t="shared" si="19"/>
        <v>143210460.80000001</v>
      </c>
      <c r="AK77" s="6">
        <f t="shared" si="20"/>
        <v>292899.20000000001</v>
      </c>
      <c r="AL77" s="6">
        <f t="shared" si="21"/>
        <v>98087080</v>
      </c>
      <c r="AM77" s="6">
        <f t="shared" si="22"/>
        <v>80477733.099999994</v>
      </c>
      <c r="AN77" s="10">
        <f t="shared" si="23"/>
        <v>1.9781010612260206E-2</v>
      </c>
      <c r="AO77" s="10">
        <f t="shared" si="24"/>
        <v>0.43586304869157882</v>
      </c>
      <c r="AP77" s="10">
        <f t="shared" si="25"/>
        <v>8.9144282867445728E-4</v>
      </c>
      <c r="AQ77" s="10">
        <f t="shared" si="26"/>
        <v>0.29852940551431273</v>
      </c>
      <c r="AR77" s="10">
        <f t="shared" si="27"/>
        <v>0.24493511091860951</v>
      </c>
    </row>
    <row r="78" spans="1:44" x14ac:dyDescent="0.3">
      <c r="A78" t="s">
        <v>6</v>
      </c>
      <c r="B78" t="s">
        <v>7</v>
      </c>
      <c r="C78" t="s">
        <v>163</v>
      </c>
      <c r="D78" s="7">
        <v>2035</v>
      </c>
      <c r="E78" s="6">
        <v>0.61</v>
      </c>
      <c r="F78" s="6">
        <v>204</v>
      </c>
      <c r="G78" s="15">
        <v>332.6</v>
      </c>
      <c r="H78" s="15">
        <v>637.79999999999995</v>
      </c>
      <c r="I78" s="6">
        <v>338221150</v>
      </c>
      <c r="J78" s="6">
        <v>93660640</v>
      </c>
      <c r="K78" s="6">
        <v>5690398.5</v>
      </c>
      <c r="L78" s="6">
        <v>2527155.7999999998</v>
      </c>
      <c r="M78" s="6">
        <v>0</v>
      </c>
      <c r="N78" s="6">
        <v>0</v>
      </c>
      <c r="O78" s="6">
        <v>6038583.5</v>
      </c>
      <c r="P78" s="6">
        <v>0</v>
      </c>
      <c r="Q78" s="6">
        <v>0</v>
      </c>
      <c r="R78" s="6">
        <v>16541214</v>
      </c>
      <c r="S78" s="6">
        <v>125462890</v>
      </c>
      <c r="T78" s="6">
        <v>0</v>
      </c>
      <c r="U78" s="6">
        <v>385319.4</v>
      </c>
      <c r="V78" s="6">
        <v>0</v>
      </c>
      <c r="W78" s="6">
        <v>4455752.5</v>
      </c>
      <c r="X78" s="6">
        <v>97256880</v>
      </c>
      <c r="Y78" s="6">
        <v>210899.6</v>
      </c>
      <c r="Z78" s="6">
        <v>2532651.5</v>
      </c>
      <c r="AA78" s="6">
        <v>0</v>
      </c>
      <c r="AB78" s="6">
        <v>21101226</v>
      </c>
      <c r="AC78" s="6">
        <v>9317112</v>
      </c>
      <c r="AD78" s="6">
        <v>46701084</v>
      </c>
      <c r="AE78" s="6">
        <f t="shared" si="14"/>
        <v>338221150</v>
      </c>
      <c r="AF78" s="6">
        <f t="shared" si="15"/>
        <v>0</v>
      </c>
      <c r="AG78" s="6">
        <f t="shared" si="16"/>
        <v>2527155.7999999998</v>
      </c>
      <c r="AH78" s="6">
        <f t="shared" si="17"/>
        <v>335693994.19999999</v>
      </c>
      <c r="AI78" s="6">
        <f t="shared" si="18"/>
        <v>6038583.5</v>
      </c>
      <c r="AJ78" s="6">
        <f t="shared" si="19"/>
        <v>125848209.40000001</v>
      </c>
      <c r="AK78" s="6">
        <f t="shared" si="20"/>
        <v>210899.6</v>
      </c>
      <c r="AL78" s="6">
        <f t="shared" si="21"/>
        <v>97256880</v>
      </c>
      <c r="AM78" s="6">
        <f t="shared" si="22"/>
        <v>106339438.5</v>
      </c>
      <c r="AN78" s="10">
        <f t="shared" si="23"/>
        <v>1.7988357266833701E-2</v>
      </c>
      <c r="AO78" s="10">
        <f t="shared" si="24"/>
        <v>0.37488966610770547</v>
      </c>
      <c r="AP78" s="10">
        <f t="shared" si="25"/>
        <v>6.282495476351898E-4</v>
      </c>
      <c r="AQ78" s="10">
        <f t="shared" si="26"/>
        <v>0.28971885610219239</v>
      </c>
      <c r="AR78" s="10">
        <f t="shared" si="27"/>
        <v>0.31677492102121141</v>
      </c>
    </row>
    <row r="79" spans="1:44" x14ac:dyDescent="0.3">
      <c r="A79" t="s">
        <v>6</v>
      </c>
      <c r="B79" t="s">
        <v>7</v>
      </c>
      <c r="C79" t="s">
        <v>163</v>
      </c>
      <c r="D79" s="7">
        <v>2040</v>
      </c>
      <c r="E79" s="6">
        <v>0.62</v>
      </c>
      <c r="F79" s="6">
        <v>193.2</v>
      </c>
      <c r="G79" s="15">
        <v>355.8</v>
      </c>
      <c r="H79" s="15">
        <v>589.1</v>
      </c>
      <c r="I79" s="6">
        <v>335996320</v>
      </c>
      <c r="J79" s="6">
        <v>95379970</v>
      </c>
      <c r="K79" s="6">
        <v>8191985.5</v>
      </c>
      <c r="L79" s="6">
        <v>2463737.2000000002</v>
      </c>
      <c r="M79" s="6">
        <v>0</v>
      </c>
      <c r="N79" s="6">
        <v>0</v>
      </c>
      <c r="O79" s="6">
        <v>3703305.5</v>
      </c>
      <c r="P79" s="6">
        <v>0</v>
      </c>
      <c r="Q79" s="6">
        <v>0</v>
      </c>
      <c r="R79" s="6">
        <v>16120506</v>
      </c>
      <c r="S79" s="6">
        <v>121901976</v>
      </c>
      <c r="T79" s="6">
        <v>0</v>
      </c>
      <c r="U79" s="6">
        <v>661602.5</v>
      </c>
      <c r="V79" s="6">
        <v>0</v>
      </c>
      <c r="W79" s="6">
        <v>4308134.5</v>
      </c>
      <c r="X79" s="6">
        <v>96380410</v>
      </c>
      <c r="Y79" s="6">
        <v>260611.4</v>
      </c>
      <c r="Z79" s="6">
        <v>2744578.5</v>
      </c>
      <c r="AA79" s="6">
        <v>0</v>
      </c>
      <c r="AB79" s="6">
        <v>20398788</v>
      </c>
      <c r="AC79" s="6">
        <v>12675896</v>
      </c>
      <c r="AD79" s="6">
        <v>46184776</v>
      </c>
      <c r="AE79" s="6">
        <f t="shared" si="14"/>
        <v>335996320</v>
      </c>
      <c r="AF79" s="6">
        <f t="shared" si="15"/>
        <v>0</v>
      </c>
      <c r="AG79" s="6">
        <f t="shared" si="16"/>
        <v>2463737.2000000002</v>
      </c>
      <c r="AH79" s="6">
        <f t="shared" si="17"/>
        <v>333532582.80000001</v>
      </c>
      <c r="AI79" s="6">
        <f t="shared" si="18"/>
        <v>3703305.5</v>
      </c>
      <c r="AJ79" s="6">
        <f t="shared" si="19"/>
        <v>122563578.5</v>
      </c>
      <c r="AK79" s="6">
        <f t="shared" si="20"/>
        <v>260611.4</v>
      </c>
      <c r="AL79" s="6">
        <f t="shared" si="21"/>
        <v>96380410</v>
      </c>
      <c r="AM79" s="6">
        <f t="shared" si="22"/>
        <v>110624664.5</v>
      </c>
      <c r="AN79" s="10">
        <f t="shared" si="23"/>
        <v>1.110327953242474E-2</v>
      </c>
      <c r="AO79" s="10">
        <f t="shared" si="24"/>
        <v>0.36747108024973446</v>
      </c>
      <c r="AP79" s="10">
        <f t="shared" si="25"/>
        <v>7.813671390428245E-4</v>
      </c>
      <c r="AQ79" s="10">
        <f t="shared" si="26"/>
        <v>0.28896849954174852</v>
      </c>
      <c r="AR79" s="10">
        <f t="shared" si="27"/>
        <v>0.33167573486016849</v>
      </c>
    </row>
    <row r="80" spans="1:44" x14ac:dyDescent="0.3">
      <c r="A80" t="s">
        <v>6</v>
      </c>
      <c r="B80" t="s">
        <v>7</v>
      </c>
      <c r="C80" t="s">
        <v>163</v>
      </c>
      <c r="D80" s="7">
        <v>2045</v>
      </c>
      <c r="E80" s="6">
        <v>0.61</v>
      </c>
      <c r="F80" s="6">
        <v>198.2</v>
      </c>
      <c r="G80" s="15">
        <v>358.1</v>
      </c>
      <c r="H80" s="15">
        <v>600.4</v>
      </c>
      <c r="I80" s="6">
        <v>355156350</v>
      </c>
      <c r="J80" s="6">
        <v>99555864</v>
      </c>
      <c r="K80" s="6">
        <v>12558779</v>
      </c>
      <c r="L80" s="6">
        <v>2498270</v>
      </c>
      <c r="M80" s="6">
        <v>0</v>
      </c>
      <c r="N80" s="6">
        <v>0</v>
      </c>
      <c r="O80" s="6">
        <v>2880144.8</v>
      </c>
      <c r="P80" s="6">
        <v>0</v>
      </c>
      <c r="Q80" s="6">
        <v>0</v>
      </c>
      <c r="R80" s="6">
        <v>15883600</v>
      </c>
      <c r="S80" s="6">
        <v>130569704</v>
      </c>
      <c r="T80" s="6">
        <v>0</v>
      </c>
      <c r="U80" s="6">
        <v>3194315.2</v>
      </c>
      <c r="V80" s="6">
        <v>0</v>
      </c>
      <c r="W80" s="6">
        <v>4357410</v>
      </c>
      <c r="X80" s="6">
        <v>96930136</v>
      </c>
      <c r="Y80" s="6">
        <v>127804.6</v>
      </c>
      <c r="Z80" s="6">
        <v>2483916.7999999998</v>
      </c>
      <c r="AA80" s="6">
        <v>0</v>
      </c>
      <c r="AB80" s="6">
        <v>19493230</v>
      </c>
      <c r="AC80" s="6">
        <v>18380542</v>
      </c>
      <c r="AD80" s="6">
        <v>45798496</v>
      </c>
      <c r="AE80" s="6">
        <f t="shared" si="14"/>
        <v>355156350</v>
      </c>
      <c r="AF80" s="6">
        <f t="shared" si="15"/>
        <v>0</v>
      </c>
      <c r="AG80" s="6">
        <f t="shared" si="16"/>
        <v>2498270</v>
      </c>
      <c r="AH80" s="6">
        <f t="shared" si="17"/>
        <v>352658080</v>
      </c>
      <c r="AI80" s="6">
        <f t="shared" si="18"/>
        <v>2880144.8</v>
      </c>
      <c r="AJ80" s="6">
        <f t="shared" si="19"/>
        <v>133764019.2</v>
      </c>
      <c r="AK80" s="6">
        <f t="shared" si="20"/>
        <v>127804.6</v>
      </c>
      <c r="AL80" s="6">
        <f t="shared" si="21"/>
        <v>96930136</v>
      </c>
      <c r="AM80" s="6">
        <f t="shared" si="22"/>
        <v>118955973.8</v>
      </c>
      <c r="AN80" s="10">
        <f t="shared" si="23"/>
        <v>8.166961040563709E-3</v>
      </c>
      <c r="AO80" s="10">
        <f t="shared" si="24"/>
        <v>0.37930229529974191</v>
      </c>
      <c r="AP80" s="10">
        <f t="shared" si="25"/>
        <v>3.6240371977298808E-4</v>
      </c>
      <c r="AQ80" s="10">
        <f t="shared" si="26"/>
        <v>0.27485584904222243</v>
      </c>
      <c r="AR80" s="10">
        <f t="shared" si="27"/>
        <v>0.33731248636072653</v>
      </c>
    </row>
    <row r="81" spans="1:44" x14ac:dyDescent="0.3">
      <c r="A81" t="s">
        <v>6</v>
      </c>
      <c r="B81" t="s">
        <v>7</v>
      </c>
      <c r="C81" t="s">
        <v>163</v>
      </c>
      <c r="D81" s="7">
        <v>2050</v>
      </c>
      <c r="E81" s="6">
        <v>0.6</v>
      </c>
      <c r="F81" s="6">
        <v>207.7</v>
      </c>
      <c r="G81" s="15">
        <v>354.3</v>
      </c>
      <c r="H81" s="15">
        <v>601.5</v>
      </c>
      <c r="I81" s="6">
        <v>362609570</v>
      </c>
      <c r="J81" s="6">
        <v>99916270</v>
      </c>
      <c r="K81" s="6">
        <v>12664554</v>
      </c>
      <c r="L81" s="6">
        <v>2459965</v>
      </c>
      <c r="M81" s="6">
        <v>0</v>
      </c>
      <c r="N81" s="6">
        <v>0</v>
      </c>
      <c r="O81" s="6">
        <v>896330.1</v>
      </c>
      <c r="P81" s="6">
        <v>0</v>
      </c>
      <c r="Q81" s="6">
        <v>0</v>
      </c>
      <c r="R81" s="6">
        <v>15912382</v>
      </c>
      <c r="S81" s="6">
        <v>127611220</v>
      </c>
      <c r="T81" s="6">
        <v>0</v>
      </c>
      <c r="U81" s="6">
        <v>15381054</v>
      </c>
      <c r="V81" s="6">
        <v>0</v>
      </c>
      <c r="W81" s="6">
        <v>4322455</v>
      </c>
      <c r="X81" s="6">
        <v>96415170</v>
      </c>
      <c r="Y81" s="6">
        <v>68743.899999999994</v>
      </c>
      <c r="Z81" s="6">
        <v>2873808.2</v>
      </c>
      <c r="AA81" s="6">
        <v>0</v>
      </c>
      <c r="AB81" s="6">
        <v>19541176</v>
      </c>
      <c r="AC81" s="6">
        <v>19126706</v>
      </c>
      <c r="AD81" s="6">
        <v>45336010</v>
      </c>
      <c r="AE81" s="6">
        <f t="shared" si="14"/>
        <v>362609570</v>
      </c>
      <c r="AF81" s="6">
        <f t="shared" si="15"/>
        <v>0</v>
      </c>
      <c r="AG81" s="6">
        <f t="shared" si="16"/>
        <v>2459965</v>
      </c>
      <c r="AH81" s="6">
        <f t="shared" si="17"/>
        <v>360149605</v>
      </c>
      <c r="AI81" s="6">
        <f t="shared" si="18"/>
        <v>896330.1</v>
      </c>
      <c r="AJ81" s="6">
        <f t="shared" si="19"/>
        <v>142992274</v>
      </c>
      <c r="AK81" s="6">
        <f t="shared" si="20"/>
        <v>68743.899999999994</v>
      </c>
      <c r="AL81" s="6">
        <f t="shared" si="21"/>
        <v>96415170</v>
      </c>
      <c r="AM81" s="6">
        <f t="shared" si="22"/>
        <v>119777091.2</v>
      </c>
      <c r="AN81" s="10">
        <f t="shared" si="23"/>
        <v>2.4887715759121824E-3</v>
      </c>
      <c r="AO81" s="10">
        <f t="shared" si="24"/>
        <v>0.39703576517875122</v>
      </c>
      <c r="AP81" s="10">
        <f t="shared" si="25"/>
        <v>1.9087595556296666E-4</v>
      </c>
      <c r="AQ81" s="10">
        <f t="shared" si="26"/>
        <v>0.26770866512542751</v>
      </c>
      <c r="AR81" s="10">
        <f t="shared" si="27"/>
        <v>0.33257593382616651</v>
      </c>
    </row>
    <row r="82" spans="1:44" x14ac:dyDescent="0.3">
      <c r="A82" t="s">
        <v>6</v>
      </c>
      <c r="B82" t="s">
        <v>7</v>
      </c>
      <c r="C82" t="s">
        <v>164</v>
      </c>
      <c r="D82" s="7">
        <v>2024</v>
      </c>
      <c r="E82" s="6">
        <v>0.39</v>
      </c>
      <c r="F82" s="6">
        <v>516.79999999999995</v>
      </c>
      <c r="G82" s="15">
        <v>436</v>
      </c>
      <c r="H82" s="15">
        <v>923.4</v>
      </c>
      <c r="I82" s="6">
        <v>114153256</v>
      </c>
      <c r="J82" s="6">
        <v>12849710</v>
      </c>
      <c r="K82" s="6">
        <v>678.8</v>
      </c>
      <c r="L82" s="6">
        <v>1918568.8</v>
      </c>
      <c r="M82" s="6">
        <v>0</v>
      </c>
      <c r="N82" s="6">
        <v>1680363.8</v>
      </c>
      <c r="O82" s="6">
        <v>33172444</v>
      </c>
      <c r="P82" s="6">
        <v>0</v>
      </c>
      <c r="Q82" s="6">
        <v>0</v>
      </c>
      <c r="R82" s="6">
        <v>294164</v>
      </c>
      <c r="S82" s="6">
        <v>32590598</v>
      </c>
      <c r="T82" s="6">
        <v>0</v>
      </c>
      <c r="U82" s="6">
        <v>1881272.2</v>
      </c>
      <c r="V82" s="6">
        <v>0</v>
      </c>
      <c r="W82" s="6">
        <v>629257.4</v>
      </c>
      <c r="X82" s="6">
        <v>26501848</v>
      </c>
      <c r="Y82" s="6">
        <v>1714456.4</v>
      </c>
      <c r="Z82" s="6">
        <v>1214052.8999999999</v>
      </c>
      <c r="AA82" s="6">
        <v>0</v>
      </c>
      <c r="AB82" s="6">
        <v>2450471</v>
      </c>
      <c r="AC82" s="6">
        <v>10105075</v>
      </c>
      <c r="AD82" s="6">
        <v>0</v>
      </c>
      <c r="AE82" s="6">
        <f t="shared" si="14"/>
        <v>114153256</v>
      </c>
      <c r="AF82" s="6">
        <f t="shared" si="15"/>
        <v>1680363.8</v>
      </c>
      <c r="AG82" s="6">
        <f t="shared" si="16"/>
        <v>1918568.8</v>
      </c>
      <c r="AH82" s="6">
        <f t="shared" si="17"/>
        <v>110554323.40000001</v>
      </c>
      <c r="AI82" s="6">
        <f t="shared" si="18"/>
        <v>33172444</v>
      </c>
      <c r="AJ82" s="6">
        <f t="shared" si="19"/>
        <v>34471870.200000003</v>
      </c>
      <c r="AK82" s="6">
        <f t="shared" si="20"/>
        <v>1714456.4</v>
      </c>
      <c r="AL82" s="6">
        <f t="shared" si="21"/>
        <v>26501848</v>
      </c>
      <c r="AM82" s="6">
        <f t="shared" si="22"/>
        <v>14693699.1</v>
      </c>
      <c r="AN82" s="10">
        <f t="shared" si="23"/>
        <v>0.30005560144380566</v>
      </c>
      <c r="AO82" s="10">
        <f t="shared" si="24"/>
        <v>0.31180933625975227</v>
      </c>
      <c r="AP82" s="10">
        <f t="shared" si="25"/>
        <v>1.5507818665732975E-2</v>
      </c>
      <c r="AQ82" s="10">
        <f t="shared" si="26"/>
        <v>0.23971787972608585</v>
      </c>
      <c r="AR82" s="10">
        <f t="shared" si="27"/>
        <v>0.13290931234625963</v>
      </c>
    </row>
    <row r="83" spans="1:44" x14ac:dyDescent="0.3">
      <c r="A83" t="s">
        <v>6</v>
      </c>
      <c r="B83" t="s">
        <v>7</v>
      </c>
      <c r="C83" t="s">
        <v>164</v>
      </c>
      <c r="D83" s="7">
        <v>2026</v>
      </c>
      <c r="E83" s="6">
        <v>0.37</v>
      </c>
      <c r="F83" s="6">
        <v>438.7</v>
      </c>
      <c r="G83" s="15">
        <v>424.2</v>
      </c>
      <c r="H83" s="15">
        <v>874.1</v>
      </c>
      <c r="I83" s="6">
        <v>119962770</v>
      </c>
      <c r="J83" s="6">
        <v>13034385</v>
      </c>
      <c r="K83" s="6">
        <v>28254.400000000001</v>
      </c>
      <c r="L83" s="6">
        <v>1918432.4</v>
      </c>
      <c r="M83" s="6">
        <v>0</v>
      </c>
      <c r="N83" s="6">
        <v>586552.69999999995</v>
      </c>
      <c r="O83" s="6">
        <v>21679692</v>
      </c>
      <c r="P83" s="6">
        <v>0</v>
      </c>
      <c r="Q83" s="6">
        <v>0</v>
      </c>
      <c r="R83" s="6">
        <v>567520.4</v>
      </c>
      <c r="S83" s="6">
        <v>51384716</v>
      </c>
      <c r="T83" s="6">
        <v>0</v>
      </c>
      <c r="U83" s="6">
        <v>1120950.3999999999</v>
      </c>
      <c r="V83" s="6">
        <v>0</v>
      </c>
      <c r="W83" s="6">
        <v>629187.80000000005</v>
      </c>
      <c r="X83" s="6">
        <v>26494382</v>
      </c>
      <c r="Y83" s="6">
        <v>1349593.2</v>
      </c>
      <c r="Z83" s="6">
        <v>1736614.4</v>
      </c>
      <c r="AA83" s="6">
        <v>0</v>
      </c>
      <c r="AB83" s="6">
        <v>2416285</v>
      </c>
      <c r="AC83" s="6">
        <v>10050580</v>
      </c>
      <c r="AD83" s="6">
        <v>0</v>
      </c>
      <c r="AE83" s="6">
        <f t="shared" si="14"/>
        <v>119962770</v>
      </c>
      <c r="AF83" s="6">
        <f t="shared" si="15"/>
        <v>586552.69999999995</v>
      </c>
      <c r="AG83" s="6">
        <f t="shared" si="16"/>
        <v>1918432.4</v>
      </c>
      <c r="AH83" s="6">
        <f t="shared" si="17"/>
        <v>117457784.89999999</v>
      </c>
      <c r="AI83" s="6">
        <f t="shared" si="18"/>
        <v>21679692</v>
      </c>
      <c r="AJ83" s="6">
        <f t="shared" si="19"/>
        <v>52505666.399999999</v>
      </c>
      <c r="AK83" s="6">
        <f t="shared" si="20"/>
        <v>1349593.2</v>
      </c>
      <c r="AL83" s="6">
        <f t="shared" si="21"/>
        <v>26494382</v>
      </c>
      <c r="AM83" s="6">
        <f t="shared" si="22"/>
        <v>15428442</v>
      </c>
      <c r="AN83" s="10">
        <f t="shared" si="23"/>
        <v>0.18457433041545465</v>
      </c>
      <c r="AO83" s="10">
        <f t="shared" si="24"/>
        <v>0.44701733856722853</v>
      </c>
      <c r="AP83" s="10">
        <f t="shared" si="25"/>
        <v>1.1490027682277533E-2</v>
      </c>
      <c r="AQ83" s="10">
        <f t="shared" si="26"/>
        <v>0.22556514259618055</v>
      </c>
      <c r="AR83" s="10">
        <f t="shared" si="27"/>
        <v>0.13135308156147599</v>
      </c>
    </row>
    <row r="84" spans="1:44" x14ac:dyDescent="0.3">
      <c r="A84" t="s">
        <v>6</v>
      </c>
      <c r="B84" t="s">
        <v>7</v>
      </c>
      <c r="C84" t="s">
        <v>164</v>
      </c>
      <c r="D84" s="7">
        <v>2028</v>
      </c>
      <c r="E84" s="6">
        <v>0.39</v>
      </c>
      <c r="F84" s="6">
        <v>390.9</v>
      </c>
      <c r="G84" s="15">
        <v>418.7</v>
      </c>
      <c r="H84" s="15">
        <v>787.9</v>
      </c>
      <c r="I84" s="6">
        <v>122795220</v>
      </c>
      <c r="J84" s="6">
        <v>13642701</v>
      </c>
      <c r="K84" s="6">
        <v>102156.8</v>
      </c>
      <c r="L84" s="6">
        <v>1909904.2</v>
      </c>
      <c r="M84" s="6">
        <v>0</v>
      </c>
      <c r="N84" s="6">
        <v>3221663.8</v>
      </c>
      <c r="O84" s="6">
        <v>16185565</v>
      </c>
      <c r="P84" s="6">
        <v>0</v>
      </c>
      <c r="Q84" s="6">
        <v>0</v>
      </c>
      <c r="R84" s="6">
        <v>1122784.1000000001</v>
      </c>
      <c r="S84" s="6">
        <v>56054056</v>
      </c>
      <c r="T84" s="6">
        <v>0</v>
      </c>
      <c r="U84" s="6">
        <v>977623.3</v>
      </c>
      <c r="V84" s="6">
        <v>0</v>
      </c>
      <c r="W84" s="6">
        <v>624602.9</v>
      </c>
      <c r="X84" s="6">
        <v>26386752</v>
      </c>
      <c r="Y84" s="6">
        <v>1268740.6000000001</v>
      </c>
      <c r="Z84" s="6">
        <v>2421449.7999999998</v>
      </c>
      <c r="AA84" s="6">
        <v>0</v>
      </c>
      <c r="AB84" s="6">
        <v>2523530.5</v>
      </c>
      <c r="AC84" s="6">
        <v>9996385</v>
      </c>
      <c r="AD84" s="6">
        <v>0</v>
      </c>
      <c r="AE84" s="6">
        <f t="shared" si="14"/>
        <v>122795220</v>
      </c>
      <c r="AF84" s="6">
        <f t="shared" si="15"/>
        <v>3221663.8</v>
      </c>
      <c r="AG84" s="6">
        <f t="shared" si="16"/>
        <v>1909904.2</v>
      </c>
      <c r="AH84" s="6">
        <f t="shared" si="17"/>
        <v>117663652</v>
      </c>
      <c r="AI84" s="6">
        <f t="shared" si="18"/>
        <v>16185565</v>
      </c>
      <c r="AJ84" s="6">
        <f t="shared" si="19"/>
        <v>57031679.299999997</v>
      </c>
      <c r="AK84" s="6">
        <f t="shared" si="20"/>
        <v>1268740.6000000001</v>
      </c>
      <c r="AL84" s="6">
        <f t="shared" si="21"/>
        <v>26386752</v>
      </c>
      <c r="AM84" s="6">
        <f t="shared" si="22"/>
        <v>16790909.100000001</v>
      </c>
      <c r="AN84" s="10">
        <f t="shared" si="23"/>
        <v>0.13755790105851889</v>
      </c>
      <c r="AO84" s="10">
        <f t="shared" si="24"/>
        <v>0.48470091086412986</v>
      </c>
      <c r="AP84" s="10">
        <f t="shared" si="25"/>
        <v>1.0782774275950572E-2</v>
      </c>
      <c r="AQ84" s="10">
        <f t="shared" si="26"/>
        <v>0.22425576251874282</v>
      </c>
      <c r="AR84" s="10">
        <f t="shared" si="27"/>
        <v>0.14270260028984993</v>
      </c>
    </row>
    <row r="85" spans="1:44" x14ac:dyDescent="0.3">
      <c r="A85" t="s">
        <v>6</v>
      </c>
      <c r="B85" t="s">
        <v>7</v>
      </c>
      <c r="C85" t="s">
        <v>164</v>
      </c>
      <c r="D85" s="7">
        <v>2030</v>
      </c>
      <c r="E85" s="6">
        <v>0.43</v>
      </c>
      <c r="F85" s="6">
        <v>333.2</v>
      </c>
      <c r="G85" s="15">
        <v>418.2</v>
      </c>
      <c r="H85" s="15">
        <v>735.6</v>
      </c>
      <c r="I85" s="6">
        <v>120252850</v>
      </c>
      <c r="J85" s="6">
        <v>17479160</v>
      </c>
      <c r="K85" s="6">
        <v>717587</v>
      </c>
      <c r="L85" s="6">
        <v>1889525.2</v>
      </c>
      <c r="M85" s="6">
        <v>0</v>
      </c>
      <c r="N85" s="6">
        <v>3146304.5</v>
      </c>
      <c r="O85" s="6">
        <v>10532470</v>
      </c>
      <c r="P85" s="6">
        <v>0</v>
      </c>
      <c r="Q85" s="6">
        <v>0</v>
      </c>
      <c r="R85" s="6">
        <v>2054073</v>
      </c>
      <c r="S85" s="6">
        <v>56346636</v>
      </c>
      <c r="T85" s="6">
        <v>0</v>
      </c>
      <c r="U85" s="6">
        <v>502152.6</v>
      </c>
      <c r="V85" s="6">
        <v>0</v>
      </c>
      <c r="W85" s="6">
        <v>614225.4</v>
      </c>
      <c r="X85" s="6">
        <v>26133804</v>
      </c>
      <c r="Y85" s="6">
        <v>667409.30000000005</v>
      </c>
      <c r="Z85" s="6">
        <v>2223583.5</v>
      </c>
      <c r="AA85" s="6">
        <v>0</v>
      </c>
      <c r="AB85" s="6">
        <v>2908140.8</v>
      </c>
      <c r="AC85" s="6">
        <v>12516946</v>
      </c>
      <c r="AD85" s="6">
        <v>0</v>
      </c>
      <c r="AE85" s="6">
        <f t="shared" si="14"/>
        <v>120252850</v>
      </c>
      <c r="AF85" s="6">
        <f t="shared" si="15"/>
        <v>3146304.5</v>
      </c>
      <c r="AG85" s="6">
        <f t="shared" si="16"/>
        <v>1889525.2</v>
      </c>
      <c r="AH85" s="6">
        <f t="shared" si="17"/>
        <v>115217020.3</v>
      </c>
      <c r="AI85" s="6">
        <f t="shared" si="18"/>
        <v>10532470</v>
      </c>
      <c r="AJ85" s="6">
        <f t="shared" si="19"/>
        <v>56848788.600000001</v>
      </c>
      <c r="AK85" s="6">
        <f t="shared" si="20"/>
        <v>667409.30000000005</v>
      </c>
      <c r="AL85" s="6">
        <f t="shared" si="21"/>
        <v>26133804</v>
      </c>
      <c r="AM85" s="6">
        <f t="shared" si="22"/>
        <v>21034555.699999999</v>
      </c>
      <c r="AN85" s="10">
        <f t="shared" si="23"/>
        <v>9.1414184923162778E-2</v>
      </c>
      <c r="AO85" s="10">
        <f t="shared" si="24"/>
        <v>0.49340616908837037</v>
      </c>
      <c r="AP85" s="10">
        <f t="shared" si="25"/>
        <v>5.7926276713476162E-3</v>
      </c>
      <c r="AQ85" s="10">
        <f t="shared" si="26"/>
        <v>0.22682242547110898</v>
      </c>
      <c r="AR85" s="10">
        <f t="shared" si="27"/>
        <v>0.18256465620470486</v>
      </c>
    </row>
    <row r="86" spans="1:44" x14ac:dyDescent="0.3">
      <c r="A86" t="s">
        <v>6</v>
      </c>
      <c r="B86" t="s">
        <v>7</v>
      </c>
      <c r="C86" t="s">
        <v>164</v>
      </c>
      <c r="D86" s="7">
        <v>2035</v>
      </c>
      <c r="E86" s="6">
        <v>0.4</v>
      </c>
      <c r="F86" s="6">
        <v>310.2</v>
      </c>
      <c r="G86" s="15">
        <v>433.6</v>
      </c>
      <c r="H86" s="15">
        <v>673.1</v>
      </c>
      <c r="I86" s="6">
        <v>154591630</v>
      </c>
      <c r="J86" s="6">
        <v>25783738</v>
      </c>
      <c r="K86" s="6">
        <v>1498277.8</v>
      </c>
      <c r="L86" s="6">
        <v>1489418.5</v>
      </c>
      <c r="M86" s="6">
        <v>0</v>
      </c>
      <c r="N86" s="6">
        <v>3549533.5</v>
      </c>
      <c r="O86" s="6">
        <v>6210839.5</v>
      </c>
      <c r="P86" s="6">
        <v>0</v>
      </c>
      <c r="Q86" s="6">
        <v>0</v>
      </c>
      <c r="R86" s="6">
        <v>4387108.5</v>
      </c>
      <c r="S86" s="6">
        <v>86450456</v>
      </c>
      <c r="T86" s="6">
        <v>0</v>
      </c>
      <c r="U86" s="6">
        <v>294433.40000000002</v>
      </c>
      <c r="V86" s="6">
        <v>0</v>
      </c>
      <c r="W86" s="6">
        <v>590138</v>
      </c>
      <c r="X86" s="6">
        <v>25852374</v>
      </c>
      <c r="Y86" s="6">
        <v>391363</v>
      </c>
      <c r="Z86" s="6">
        <v>2481067.2000000002</v>
      </c>
      <c r="AA86" s="6">
        <v>0</v>
      </c>
      <c r="AB86" s="6">
        <v>3221686.2</v>
      </c>
      <c r="AC86" s="6">
        <v>18174944</v>
      </c>
      <c r="AD86" s="6">
        <v>0</v>
      </c>
      <c r="AE86" s="6">
        <f t="shared" si="14"/>
        <v>154591630</v>
      </c>
      <c r="AF86" s="6">
        <f t="shared" si="15"/>
        <v>3549533.5</v>
      </c>
      <c r="AG86" s="6">
        <f t="shared" si="16"/>
        <v>1489418.5</v>
      </c>
      <c r="AH86" s="6">
        <f t="shared" si="17"/>
        <v>149552678</v>
      </c>
      <c r="AI86" s="6">
        <f t="shared" si="18"/>
        <v>6210839.5</v>
      </c>
      <c r="AJ86" s="6">
        <f t="shared" si="19"/>
        <v>86744889.400000006</v>
      </c>
      <c r="AK86" s="6">
        <f t="shared" si="20"/>
        <v>391363</v>
      </c>
      <c r="AL86" s="6">
        <f t="shared" si="21"/>
        <v>25852374</v>
      </c>
      <c r="AM86" s="6">
        <f t="shared" si="22"/>
        <v>30353221.699999999</v>
      </c>
      <c r="AN86" s="10">
        <f t="shared" si="23"/>
        <v>4.1529443558342698E-2</v>
      </c>
      <c r="AO86" s="10">
        <f t="shared" si="24"/>
        <v>0.58002899419828513</v>
      </c>
      <c r="AP86" s="10">
        <f t="shared" si="25"/>
        <v>2.6168906183010646E-3</v>
      </c>
      <c r="AQ86" s="10">
        <f t="shared" si="26"/>
        <v>0.17286466779284287</v>
      </c>
      <c r="AR86" s="10">
        <f t="shared" si="27"/>
        <v>0.20296006802365651</v>
      </c>
    </row>
    <row r="87" spans="1:44" x14ac:dyDescent="0.3">
      <c r="A87" t="s">
        <v>6</v>
      </c>
      <c r="B87" t="s">
        <v>7</v>
      </c>
      <c r="C87" t="s">
        <v>164</v>
      </c>
      <c r="D87" s="7">
        <v>2040</v>
      </c>
      <c r="E87" s="6">
        <v>0.43</v>
      </c>
      <c r="F87" s="6">
        <v>289.60000000000002</v>
      </c>
      <c r="G87" s="15">
        <v>436.4</v>
      </c>
      <c r="H87" s="15">
        <v>596.79999999999995</v>
      </c>
      <c r="I87" s="6">
        <v>159688590</v>
      </c>
      <c r="J87" s="6">
        <v>32718886</v>
      </c>
      <c r="K87" s="6">
        <v>2637274.7999999998</v>
      </c>
      <c r="L87" s="6">
        <v>890805.8</v>
      </c>
      <c r="M87" s="6">
        <v>0</v>
      </c>
      <c r="N87" s="6">
        <v>3187669.2</v>
      </c>
      <c r="O87" s="6">
        <v>4898216.5</v>
      </c>
      <c r="P87" s="6">
        <v>0</v>
      </c>
      <c r="Q87" s="6">
        <v>0</v>
      </c>
      <c r="R87" s="6">
        <v>4866289.5</v>
      </c>
      <c r="S87" s="6">
        <v>85309980</v>
      </c>
      <c r="T87" s="6">
        <v>0</v>
      </c>
      <c r="U87" s="6">
        <v>606822.9</v>
      </c>
      <c r="V87" s="6">
        <v>0</v>
      </c>
      <c r="W87" s="6">
        <v>552524.9</v>
      </c>
      <c r="X87" s="6">
        <v>25337036</v>
      </c>
      <c r="Y87" s="6">
        <v>485925.2</v>
      </c>
      <c r="Z87" s="6">
        <v>3063443.5</v>
      </c>
      <c r="AA87" s="6">
        <v>0</v>
      </c>
      <c r="AB87" s="6">
        <v>4724549.5</v>
      </c>
      <c r="AC87" s="6">
        <v>23128048</v>
      </c>
      <c r="AD87" s="6">
        <v>0</v>
      </c>
      <c r="AE87" s="6">
        <f t="shared" si="14"/>
        <v>159688590</v>
      </c>
      <c r="AF87" s="6">
        <f t="shared" si="15"/>
        <v>3187669.2</v>
      </c>
      <c r="AG87" s="6">
        <f t="shared" si="16"/>
        <v>890805.8</v>
      </c>
      <c r="AH87" s="6">
        <f t="shared" si="17"/>
        <v>155610115</v>
      </c>
      <c r="AI87" s="6">
        <f t="shared" si="18"/>
        <v>4898216.5</v>
      </c>
      <c r="AJ87" s="6">
        <f t="shared" si="19"/>
        <v>85916802.900000006</v>
      </c>
      <c r="AK87" s="6">
        <f t="shared" si="20"/>
        <v>485925.2</v>
      </c>
      <c r="AL87" s="6">
        <f t="shared" si="21"/>
        <v>25337036</v>
      </c>
      <c r="AM87" s="6">
        <f t="shared" si="22"/>
        <v>38972130.200000003</v>
      </c>
      <c r="AN87" s="10">
        <f t="shared" si="23"/>
        <v>3.147749424900817E-2</v>
      </c>
      <c r="AO87" s="10">
        <f t="shared" si="24"/>
        <v>0.55212865114841669</v>
      </c>
      <c r="AP87" s="10">
        <f t="shared" si="25"/>
        <v>3.122709600208187E-3</v>
      </c>
      <c r="AQ87" s="10">
        <f t="shared" si="26"/>
        <v>0.16282383699799977</v>
      </c>
      <c r="AR87" s="10">
        <f t="shared" si="27"/>
        <v>0.25044728101383384</v>
      </c>
    </row>
    <row r="88" spans="1:44" x14ac:dyDescent="0.3">
      <c r="A88" t="s">
        <v>6</v>
      </c>
      <c r="B88" t="s">
        <v>7</v>
      </c>
      <c r="C88" t="s">
        <v>164</v>
      </c>
      <c r="D88" s="7">
        <v>2045</v>
      </c>
      <c r="E88" s="6">
        <v>0.48</v>
      </c>
      <c r="F88" s="6">
        <v>271.60000000000002</v>
      </c>
      <c r="G88" s="15">
        <v>433.1</v>
      </c>
      <c r="H88" s="15">
        <v>606</v>
      </c>
      <c r="I88" s="6">
        <v>180373800</v>
      </c>
      <c r="J88" s="6">
        <v>48126200</v>
      </c>
      <c r="K88" s="6">
        <v>4938408.5</v>
      </c>
      <c r="L88" s="6">
        <v>889429.2</v>
      </c>
      <c r="M88" s="6">
        <v>0</v>
      </c>
      <c r="N88" s="6">
        <v>3191491.8</v>
      </c>
      <c r="O88" s="6">
        <v>5282825</v>
      </c>
      <c r="P88" s="6">
        <v>0</v>
      </c>
      <c r="Q88" s="6">
        <v>0</v>
      </c>
      <c r="R88" s="6">
        <v>5387100</v>
      </c>
      <c r="S88" s="6">
        <v>84250136</v>
      </c>
      <c r="T88" s="6">
        <v>0</v>
      </c>
      <c r="U88" s="6">
        <v>3701085.5</v>
      </c>
      <c r="V88" s="6">
        <v>0</v>
      </c>
      <c r="W88" s="6">
        <v>548776.4</v>
      </c>
      <c r="X88" s="6">
        <v>25266572</v>
      </c>
      <c r="Y88" s="6">
        <v>981656.8</v>
      </c>
      <c r="Z88" s="6">
        <v>3197202.8</v>
      </c>
      <c r="AA88" s="6">
        <v>0</v>
      </c>
      <c r="AB88" s="6">
        <v>7691953</v>
      </c>
      <c r="AC88" s="6">
        <v>35047148</v>
      </c>
      <c r="AD88" s="6">
        <v>0</v>
      </c>
      <c r="AE88" s="6">
        <f t="shared" si="14"/>
        <v>180373800</v>
      </c>
      <c r="AF88" s="6">
        <f t="shared" si="15"/>
        <v>3191491.8</v>
      </c>
      <c r="AG88" s="6">
        <f t="shared" si="16"/>
        <v>889429.2</v>
      </c>
      <c r="AH88" s="6">
        <f t="shared" si="17"/>
        <v>176292879</v>
      </c>
      <c r="AI88" s="6">
        <f t="shared" si="18"/>
        <v>5282825</v>
      </c>
      <c r="AJ88" s="6">
        <f t="shared" si="19"/>
        <v>87951221.5</v>
      </c>
      <c r="AK88" s="6">
        <f t="shared" si="20"/>
        <v>981656.8</v>
      </c>
      <c r="AL88" s="6">
        <f t="shared" si="21"/>
        <v>25266572</v>
      </c>
      <c r="AM88" s="6">
        <f t="shared" si="22"/>
        <v>56810588.700000003</v>
      </c>
      <c r="AN88" s="10">
        <f t="shared" si="23"/>
        <v>2.9966184850835638E-2</v>
      </c>
      <c r="AO88" s="10">
        <f t="shared" si="24"/>
        <v>0.49889264954371754</v>
      </c>
      <c r="AP88" s="10">
        <f t="shared" si="25"/>
        <v>5.5683292800499332E-3</v>
      </c>
      <c r="AQ88" s="10">
        <f t="shared" si="26"/>
        <v>0.14332156887630157</v>
      </c>
      <c r="AR88" s="10">
        <f t="shared" si="27"/>
        <v>0.32225118236341244</v>
      </c>
    </row>
    <row r="89" spans="1:44" x14ac:dyDescent="0.3">
      <c r="A89" t="s">
        <v>6</v>
      </c>
      <c r="B89" t="s">
        <v>7</v>
      </c>
      <c r="C89" t="s">
        <v>164</v>
      </c>
      <c r="D89" s="7">
        <v>2050</v>
      </c>
      <c r="E89" s="6">
        <v>0.49</v>
      </c>
      <c r="F89" s="6">
        <v>259.60000000000002</v>
      </c>
      <c r="G89" s="15">
        <v>418</v>
      </c>
      <c r="H89" s="15">
        <v>572.1</v>
      </c>
      <c r="I89" s="6">
        <v>187273780</v>
      </c>
      <c r="J89" s="6">
        <v>52773350</v>
      </c>
      <c r="K89" s="6">
        <v>4937727</v>
      </c>
      <c r="L89" s="6">
        <v>871743.7</v>
      </c>
      <c r="M89" s="6">
        <v>0</v>
      </c>
      <c r="N89" s="6">
        <v>3191438</v>
      </c>
      <c r="O89" s="6">
        <v>10763.3</v>
      </c>
      <c r="P89" s="6">
        <v>0</v>
      </c>
      <c r="Q89" s="6">
        <v>0</v>
      </c>
      <c r="R89" s="6">
        <v>6018477</v>
      </c>
      <c r="S89" s="6">
        <v>83381530</v>
      </c>
      <c r="T89" s="6">
        <v>0</v>
      </c>
      <c r="U89" s="6">
        <v>12065832</v>
      </c>
      <c r="V89" s="6">
        <v>0</v>
      </c>
      <c r="W89" s="6">
        <v>536280.6</v>
      </c>
      <c r="X89" s="6">
        <v>25096020</v>
      </c>
      <c r="Y89" s="6">
        <v>708516</v>
      </c>
      <c r="Z89" s="6">
        <v>3700586.8</v>
      </c>
      <c r="AA89" s="6">
        <v>0</v>
      </c>
      <c r="AB89" s="6">
        <v>14103422</v>
      </c>
      <c r="AC89" s="6">
        <v>32651452</v>
      </c>
      <c r="AD89" s="6">
        <v>0</v>
      </c>
      <c r="AE89" s="6">
        <f t="shared" si="14"/>
        <v>187273780</v>
      </c>
      <c r="AF89" s="6">
        <f t="shared" si="15"/>
        <v>3191438</v>
      </c>
      <c r="AG89" s="6">
        <f t="shared" si="16"/>
        <v>871743.7</v>
      </c>
      <c r="AH89" s="6">
        <f t="shared" si="17"/>
        <v>183210598.30000001</v>
      </c>
      <c r="AI89" s="6">
        <f t="shared" si="18"/>
        <v>10763.3</v>
      </c>
      <c r="AJ89" s="6">
        <f t="shared" si="19"/>
        <v>95447362</v>
      </c>
      <c r="AK89" s="6">
        <f t="shared" si="20"/>
        <v>708516</v>
      </c>
      <c r="AL89" s="6">
        <f t="shared" si="21"/>
        <v>25096020</v>
      </c>
      <c r="AM89" s="6">
        <f t="shared" si="22"/>
        <v>61947945.399999999</v>
      </c>
      <c r="AN89" s="10">
        <f t="shared" si="23"/>
        <v>5.8748238911242061E-5</v>
      </c>
      <c r="AO89" s="10">
        <f t="shared" si="24"/>
        <v>0.52097074560997159</v>
      </c>
      <c r="AP89" s="10">
        <f t="shared" si="25"/>
        <v>3.8672216922725914E-3</v>
      </c>
      <c r="AQ89" s="10">
        <f t="shared" si="26"/>
        <v>0.13697908435900785</v>
      </c>
      <c r="AR89" s="10">
        <f t="shared" si="27"/>
        <v>0.33812424594871265</v>
      </c>
    </row>
    <row r="90" spans="1:44" x14ac:dyDescent="0.3">
      <c r="A90" t="s">
        <v>6</v>
      </c>
      <c r="B90" t="s">
        <v>7</v>
      </c>
      <c r="C90" t="s">
        <v>165</v>
      </c>
      <c r="D90" s="7">
        <v>2024</v>
      </c>
      <c r="E90" s="6">
        <v>0.33</v>
      </c>
      <c r="F90" s="6">
        <v>520.79999999999995</v>
      </c>
      <c r="G90" s="15">
        <v>449.1</v>
      </c>
      <c r="H90" s="15">
        <v>916</v>
      </c>
      <c r="I90" s="6">
        <v>424803400</v>
      </c>
      <c r="J90" s="6">
        <v>33859224</v>
      </c>
      <c r="K90" s="6">
        <v>251462</v>
      </c>
      <c r="L90" s="6">
        <v>1419620.6</v>
      </c>
      <c r="M90" s="6">
        <v>0</v>
      </c>
      <c r="N90" s="6">
        <v>0</v>
      </c>
      <c r="O90" s="6">
        <v>123103090</v>
      </c>
      <c r="P90" s="6">
        <v>0</v>
      </c>
      <c r="Q90" s="6">
        <v>0</v>
      </c>
      <c r="R90" s="6">
        <v>2249480.2000000002</v>
      </c>
      <c r="S90" s="6">
        <v>158898640</v>
      </c>
      <c r="T90" s="6">
        <v>0</v>
      </c>
      <c r="U90" s="6">
        <v>2752566</v>
      </c>
      <c r="V90" s="6">
        <v>0</v>
      </c>
      <c r="W90" s="6">
        <v>3054887.5</v>
      </c>
      <c r="X90" s="6">
        <v>100921600</v>
      </c>
      <c r="Y90" s="6">
        <v>542310.6</v>
      </c>
      <c r="Z90" s="6">
        <v>0</v>
      </c>
      <c r="AA90" s="6">
        <v>0</v>
      </c>
      <c r="AB90" s="6">
        <v>8665660</v>
      </c>
      <c r="AC90" s="6">
        <v>22875294</v>
      </c>
      <c r="AD90" s="6">
        <v>68789.7</v>
      </c>
      <c r="AE90" s="6">
        <f t="shared" si="14"/>
        <v>424803400</v>
      </c>
      <c r="AF90" s="6">
        <f t="shared" si="15"/>
        <v>0</v>
      </c>
      <c r="AG90" s="6">
        <f t="shared" si="16"/>
        <v>1419620.6</v>
      </c>
      <c r="AH90" s="6">
        <f t="shared" si="17"/>
        <v>423383779.39999998</v>
      </c>
      <c r="AI90" s="6">
        <f t="shared" si="18"/>
        <v>123103090</v>
      </c>
      <c r="AJ90" s="6">
        <f t="shared" si="19"/>
        <v>161651206</v>
      </c>
      <c r="AK90" s="6">
        <f t="shared" si="20"/>
        <v>542310.6</v>
      </c>
      <c r="AL90" s="6">
        <f t="shared" si="21"/>
        <v>100921600</v>
      </c>
      <c r="AM90" s="6">
        <f t="shared" si="22"/>
        <v>37165573.400000006</v>
      </c>
      <c r="AN90" s="10">
        <f t="shared" si="23"/>
        <v>0.29076005267480026</v>
      </c>
      <c r="AO90" s="10">
        <f t="shared" si="24"/>
        <v>0.3818077448056339</v>
      </c>
      <c r="AP90" s="10">
        <f t="shared" si="25"/>
        <v>1.2808960248041094E-3</v>
      </c>
      <c r="AQ90" s="10">
        <f t="shared" si="26"/>
        <v>0.23836907531748489</v>
      </c>
      <c r="AR90" s="10">
        <f t="shared" si="27"/>
        <v>8.7782232594430867E-2</v>
      </c>
    </row>
    <row r="91" spans="1:44" x14ac:dyDescent="0.3">
      <c r="A91" t="s">
        <v>6</v>
      </c>
      <c r="B91" t="s">
        <v>7</v>
      </c>
      <c r="C91" t="s">
        <v>165</v>
      </c>
      <c r="D91" s="7">
        <v>2026</v>
      </c>
      <c r="E91" s="6">
        <v>0.35</v>
      </c>
      <c r="F91" s="6">
        <v>486.1</v>
      </c>
      <c r="G91" s="15">
        <v>422</v>
      </c>
      <c r="H91" s="15">
        <v>869.4</v>
      </c>
      <c r="I91" s="6">
        <v>405766460</v>
      </c>
      <c r="J91" s="6">
        <v>36811960</v>
      </c>
      <c r="K91" s="6">
        <v>894780.2</v>
      </c>
      <c r="L91" s="6">
        <v>1418475.2</v>
      </c>
      <c r="M91" s="6">
        <v>0</v>
      </c>
      <c r="N91" s="6">
        <v>0</v>
      </c>
      <c r="O91" s="6">
        <v>104935060</v>
      </c>
      <c r="P91" s="6">
        <v>0</v>
      </c>
      <c r="Q91" s="6">
        <v>0</v>
      </c>
      <c r="R91" s="6">
        <v>3699378</v>
      </c>
      <c r="S91" s="6">
        <v>155893730</v>
      </c>
      <c r="T91" s="6">
        <v>0</v>
      </c>
      <c r="U91" s="6">
        <v>1591476</v>
      </c>
      <c r="V91" s="6">
        <v>0</v>
      </c>
      <c r="W91" s="6">
        <v>3054170</v>
      </c>
      <c r="X91" s="6">
        <v>100841920</v>
      </c>
      <c r="Y91" s="6">
        <v>324897.3</v>
      </c>
      <c r="Z91" s="6">
        <v>0</v>
      </c>
      <c r="AA91" s="6">
        <v>0</v>
      </c>
      <c r="AB91" s="6">
        <v>10295901</v>
      </c>
      <c r="AC91" s="6">
        <v>22748262</v>
      </c>
      <c r="AD91" s="6">
        <v>68418.8</v>
      </c>
      <c r="AE91" s="6">
        <f t="shared" si="14"/>
        <v>405766460</v>
      </c>
      <c r="AF91" s="6">
        <f t="shared" si="15"/>
        <v>0</v>
      </c>
      <c r="AG91" s="6">
        <f t="shared" si="16"/>
        <v>1418475.2</v>
      </c>
      <c r="AH91" s="6">
        <f t="shared" si="17"/>
        <v>404347984.80000001</v>
      </c>
      <c r="AI91" s="6">
        <f t="shared" si="18"/>
        <v>104935060</v>
      </c>
      <c r="AJ91" s="6">
        <f t="shared" si="19"/>
        <v>157485206</v>
      </c>
      <c r="AK91" s="6">
        <f t="shared" si="20"/>
        <v>324897.3</v>
      </c>
      <c r="AL91" s="6">
        <f t="shared" si="21"/>
        <v>100841920</v>
      </c>
      <c r="AM91" s="6">
        <f t="shared" si="22"/>
        <v>40760910</v>
      </c>
      <c r="AN91" s="10">
        <f t="shared" si="23"/>
        <v>0.25951671318926778</v>
      </c>
      <c r="AO91" s="10">
        <f t="shared" si="24"/>
        <v>0.38947938884348804</v>
      </c>
      <c r="AP91" s="10">
        <f t="shared" si="25"/>
        <v>8.0350913622260741E-4</v>
      </c>
      <c r="AQ91" s="10">
        <f t="shared" si="26"/>
        <v>0.24939389780779736</v>
      </c>
      <c r="AR91" s="10">
        <f t="shared" si="27"/>
        <v>0.10080651204472134</v>
      </c>
    </row>
    <row r="92" spans="1:44" x14ac:dyDescent="0.3">
      <c r="A92" t="s">
        <v>6</v>
      </c>
      <c r="B92" t="s">
        <v>7</v>
      </c>
      <c r="C92" t="s">
        <v>165</v>
      </c>
      <c r="D92" s="7">
        <v>2028</v>
      </c>
      <c r="E92" s="6">
        <v>0.43</v>
      </c>
      <c r="F92" s="6">
        <v>374.9</v>
      </c>
      <c r="G92" s="15">
        <v>371.9</v>
      </c>
      <c r="H92" s="15">
        <v>755.5</v>
      </c>
      <c r="I92" s="6">
        <v>362992770</v>
      </c>
      <c r="J92" s="6">
        <v>49448336</v>
      </c>
      <c r="K92" s="6">
        <v>4085871.2</v>
      </c>
      <c r="L92" s="6">
        <v>1327731.2</v>
      </c>
      <c r="M92" s="6">
        <v>0</v>
      </c>
      <c r="N92" s="6">
        <v>0</v>
      </c>
      <c r="O92" s="6">
        <v>53565172</v>
      </c>
      <c r="P92" s="6">
        <v>0</v>
      </c>
      <c r="Q92" s="6">
        <v>0</v>
      </c>
      <c r="R92" s="6">
        <v>5854171.5</v>
      </c>
      <c r="S92" s="6">
        <v>152626580</v>
      </c>
      <c r="T92" s="6">
        <v>0</v>
      </c>
      <c r="U92" s="6">
        <v>1252653</v>
      </c>
      <c r="V92" s="6">
        <v>0</v>
      </c>
      <c r="W92" s="6">
        <v>3065929.5</v>
      </c>
      <c r="X92" s="6">
        <v>97477816</v>
      </c>
      <c r="Y92" s="6">
        <v>142679.20000000001</v>
      </c>
      <c r="Z92" s="6">
        <v>0</v>
      </c>
      <c r="AA92" s="6">
        <v>0</v>
      </c>
      <c r="AB92" s="6">
        <v>20386574</v>
      </c>
      <c r="AC92" s="6">
        <v>23139540</v>
      </c>
      <c r="AD92" s="6">
        <v>68049.8</v>
      </c>
      <c r="AE92" s="6">
        <f t="shared" si="14"/>
        <v>362992770</v>
      </c>
      <c r="AF92" s="6">
        <f t="shared" si="15"/>
        <v>0</v>
      </c>
      <c r="AG92" s="6">
        <f t="shared" si="16"/>
        <v>1327731.2</v>
      </c>
      <c r="AH92" s="6">
        <f t="shared" si="17"/>
        <v>361665038.80000001</v>
      </c>
      <c r="AI92" s="6">
        <f t="shared" si="18"/>
        <v>53565172</v>
      </c>
      <c r="AJ92" s="6">
        <f t="shared" si="19"/>
        <v>153879233</v>
      </c>
      <c r="AK92" s="6">
        <f t="shared" si="20"/>
        <v>142679.20000000001</v>
      </c>
      <c r="AL92" s="6">
        <f t="shared" si="21"/>
        <v>97477816</v>
      </c>
      <c r="AM92" s="6">
        <f t="shared" si="22"/>
        <v>56600136</v>
      </c>
      <c r="AN92" s="10">
        <f t="shared" si="23"/>
        <v>0.14810713299170017</v>
      </c>
      <c r="AO92" s="10">
        <f t="shared" si="24"/>
        <v>0.42547444870692874</v>
      </c>
      <c r="AP92" s="10">
        <f t="shared" si="25"/>
        <v>3.9450647613993264E-4</v>
      </c>
      <c r="AQ92" s="10">
        <f t="shared" si="26"/>
        <v>0.26952512834370207</v>
      </c>
      <c r="AR92" s="10">
        <f t="shared" si="27"/>
        <v>0.1564987762925566</v>
      </c>
    </row>
    <row r="93" spans="1:44" x14ac:dyDescent="0.3">
      <c r="A93" t="s">
        <v>6</v>
      </c>
      <c r="B93" t="s">
        <v>7</v>
      </c>
      <c r="C93" t="s">
        <v>165</v>
      </c>
      <c r="D93" s="7">
        <v>2030</v>
      </c>
      <c r="E93" s="6">
        <v>0.53</v>
      </c>
      <c r="F93" s="6">
        <v>293.8</v>
      </c>
      <c r="G93" s="15">
        <v>368.1</v>
      </c>
      <c r="H93" s="15">
        <v>690.1</v>
      </c>
      <c r="I93" s="6">
        <v>382234620</v>
      </c>
      <c r="J93" s="6">
        <v>92104450</v>
      </c>
      <c r="K93" s="6">
        <v>13080060</v>
      </c>
      <c r="L93" s="6">
        <v>1242780.2</v>
      </c>
      <c r="M93" s="6">
        <v>0</v>
      </c>
      <c r="N93" s="6">
        <v>0</v>
      </c>
      <c r="O93" s="6">
        <v>40018790</v>
      </c>
      <c r="P93" s="6">
        <v>0</v>
      </c>
      <c r="Q93" s="6">
        <v>0</v>
      </c>
      <c r="R93" s="6">
        <v>9042149</v>
      </c>
      <c r="S93" s="6">
        <v>137664620</v>
      </c>
      <c r="T93" s="6">
        <v>0</v>
      </c>
      <c r="U93" s="6">
        <v>728215.2</v>
      </c>
      <c r="V93" s="6">
        <v>0</v>
      </c>
      <c r="W93" s="6">
        <v>3001034.5</v>
      </c>
      <c r="X93" s="6">
        <v>94346100</v>
      </c>
      <c r="Y93" s="6">
        <v>48560.2</v>
      </c>
      <c r="Z93" s="6">
        <v>0</v>
      </c>
      <c r="AA93" s="6">
        <v>0</v>
      </c>
      <c r="AB93" s="6">
        <v>45543572</v>
      </c>
      <c r="AC93" s="6">
        <v>37451050</v>
      </c>
      <c r="AD93" s="6">
        <v>67682.8</v>
      </c>
      <c r="AE93" s="6">
        <f t="shared" si="14"/>
        <v>382234620</v>
      </c>
      <c r="AF93" s="6">
        <f t="shared" si="15"/>
        <v>0</v>
      </c>
      <c r="AG93" s="6">
        <f t="shared" si="16"/>
        <v>1242780.2</v>
      </c>
      <c r="AH93" s="6">
        <f t="shared" si="17"/>
        <v>380991839.80000001</v>
      </c>
      <c r="AI93" s="6">
        <f t="shared" si="18"/>
        <v>40018790</v>
      </c>
      <c r="AJ93" s="6">
        <f t="shared" si="19"/>
        <v>138392835.19999999</v>
      </c>
      <c r="AK93" s="6">
        <f t="shared" si="20"/>
        <v>48560.2</v>
      </c>
      <c r="AL93" s="6">
        <f t="shared" si="21"/>
        <v>94346100</v>
      </c>
      <c r="AM93" s="6">
        <f t="shared" si="22"/>
        <v>108185548.3</v>
      </c>
      <c r="AN93" s="10">
        <f t="shared" si="23"/>
        <v>0.10503844392312363</v>
      </c>
      <c r="AO93" s="10">
        <f t="shared" si="24"/>
        <v>0.36324356782194783</v>
      </c>
      <c r="AP93" s="10">
        <f t="shared" si="25"/>
        <v>1.2745732303739486E-4</v>
      </c>
      <c r="AQ93" s="10">
        <f t="shared" si="26"/>
        <v>0.24763286281807656</v>
      </c>
      <c r="AR93" s="10">
        <f t="shared" si="27"/>
        <v>0.28395765210297291</v>
      </c>
    </row>
    <row r="94" spans="1:44" x14ac:dyDescent="0.3">
      <c r="A94" t="s">
        <v>6</v>
      </c>
      <c r="B94" t="s">
        <v>7</v>
      </c>
      <c r="C94" t="s">
        <v>165</v>
      </c>
      <c r="D94" s="7">
        <v>2035</v>
      </c>
      <c r="E94" s="6">
        <v>0.59</v>
      </c>
      <c r="F94" s="6">
        <v>234.8</v>
      </c>
      <c r="G94" s="15">
        <v>376.4</v>
      </c>
      <c r="H94" s="15">
        <v>632.1</v>
      </c>
      <c r="I94" s="6">
        <v>445515700</v>
      </c>
      <c r="J94" s="6">
        <v>142627140</v>
      </c>
      <c r="K94" s="6">
        <v>21914142</v>
      </c>
      <c r="L94" s="6">
        <v>1192581.8</v>
      </c>
      <c r="M94" s="6">
        <v>0</v>
      </c>
      <c r="N94" s="6">
        <v>0</v>
      </c>
      <c r="O94" s="6">
        <v>26011304</v>
      </c>
      <c r="P94" s="6">
        <v>0</v>
      </c>
      <c r="Q94" s="6">
        <v>0</v>
      </c>
      <c r="R94" s="6">
        <v>14449515</v>
      </c>
      <c r="S94" s="6">
        <v>156273630</v>
      </c>
      <c r="T94" s="6">
        <v>0</v>
      </c>
      <c r="U94" s="6">
        <v>1394751.9</v>
      </c>
      <c r="V94" s="6">
        <v>0</v>
      </c>
      <c r="W94" s="6">
        <v>2938283.2</v>
      </c>
      <c r="X94" s="6">
        <v>93155496</v>
      </c>
      <c r="Y94" s="6">
        <v>8425.6</v>
      </c>
      <c r="Z94" s="6">
        <v>0</v>
      </c>
      <c r="AA94" s="6">
        <v>0</v>
      </c>
      <c r="AB94" s="6">
        <v>79442610</v>
      </c>
      <c r="AC94" s="6">
        <v>48668228</v>
      </c>
      <c r="AD94" s="6">
        <v>66774.100000000006</v>
      </c>
      <c r="AE94" s="6">
        <f t="shared" si="14"/>
        <v>445515700</v>
      </c>
      <c r="AF94" s="6">
        <f t="shared" si="15"/>
        <v>0</v>
      </c>
      <c r="AG94" s="6">
        <f t="shared" si="16"/>
        <v>1192581.8</v>
      </c>
      <c r="AH94" s="6">
        <f t="shared" si="17"/>
        <v>444323118.19999999</v>
      </c>
      <c r="AI94" s="6">
        <f t="shared" si="18"/>
        <v>26011304</v>
      </c>
      <c r="AJ94" s="6">
        <f t="shared" si="19"/>
        <v>157668381.90000001</v>
      </c>
      <c r="AK94" s="6">
        <f t="shared" si="20"/>
        <v>8425.6</v>
      </c>
      <c r="AL94" s="6">
        <f t="shared" si="21"/>
        <v>93155496</v>
      </c>
      <c r="AM94" s="6">
        <f t="shared" si="22"/>
        <v>167479552.29999998</v>
      </c>
      <c r="AN94" s="10">
        <f t="shared" si="23"/>
        <v>5.8541414872524636E-2</v>
      </c>
      <c r="AO94" s="10">
        <f t="shared" si="24"/>
        <v>0.35485072786383776</v>
      </c>
      <c r="AP94" s="10">
        <f t="shared" si="25"/>
        <v>1.8962776535537918E-5</v>
      </c>
      <c r="AQ94" s="10">
        <f t="shared" si="26"/>
        <v>0.20965709904400828</v>
      </c>
      <c r="AR94" s="10">
        <f t="shared" si="27"/>
        <v>0.3769318890686521</v>
      </c>
    </row>
    <row r="95" spans="1:44" x14ac:dyDescent="0.3">
      <c r="A95" t="s">
        <v>6</v>
      </c>
      <c r="B95" t="s">
        <v>7</v>
      </c>
      <c r="C95" t="s">
        <v>165</v>
      </c>
      <c r="D95" s="7">
        <v>2040</v>
      </c>
      <c r="E95" s="6">
        <v>0.7</v>
      </c>
      <c r="F95" s="6">
        <v>158.30000000000001</v>
      </c>
      <c r="G95" s="15">
        <v>374.4</v>
      </c>
      <c r="H95" s="15">
        <v>563</v>
      </c>
      <c r="I95" s="6">
        <v>575107000</v>
      </c>
      <c r="J95" s="6">
        <v>260570200</v>
      </c>
      <c r="K95" s="6">
        <v>49491244</v>
      </c>
      <c r="L95" s="6">
        <v>1055101.1000000001</v>
      </c>
      <c r="M95" s="6">
        <v>0</v>
      </c>
      <c r="N95" s="6">
        <v>0</v>
      </c>
      <c r="O95" s="6">
        <v>15635395</v>
      </c>
      <c r="P95" s="6">
        <v>0</v>
      </c>
      <c r="Q95" s="6">
        <v>0</v>
      </c>
      <c r="R95" s="6">
        <v>16928448</v>
      </c>
      <c r="S95" s="6">
        <v>152435600</v>
      </c>
      <c r="T95" s="6">
        <v>0</v>
      </c>
      <c r="U95" s="6">
        <v>1699745.2</v>
      </c>
      <c r="V95" s="6">
        <v>0</v>
      </c>
      <c r="W95" s="6">
        <v>2769008.2</v>
      </c>
      <c r="X95" s="6">
        <v>91441060</v>
      </c>
      <c r="Y95" s="6">
        <v>9611.9</v>
      </c>
      <c r="Z95" s="6">
        <v>0</v>
      </c>
      <c r="AA95" s="6">
        <v>0</v>
      </c>
      <c r="AB95" s="6">
        <v>188630640</v>
      </c>
      <c r="AC95" s="6">
        <v>54945336</v>
      </c>
      <c r="AD95" s="6">
        <v>65792.800000000003</v>
      </c>
      <c r="AE95" s="6">
        <f t="shared" si="14"/>
        <v>575107000</v>
      </c>
      <c r="AF95" s="6">
        <f t="shared" si="15"/>
        <v>0</v>
      </c>
      <c r="AG95" s="6">
        <f t="shared" si="16"/>
        <v>1055101.1000000001</v>
      </c>
      <c r="AH95" s="6">
        <f t="shared" si="17"/>
        <v>574051898.89999998</v>
      </c>
      <c r="AI95" s="6">
        <f t="shared" si="18"/>
        <v>15635395</v>
      </c>
      <c r="AJ95" s="6">
        <f t="shared" si="19"/>
        <v>154135345.19999999</v>
      </c>
      <c r="AK95" s="6">
        <f t="shared" si="20"/>
        <v>9611.9</v>
      </c>
      <c r="AL95" s="6">
        <f t="shared" si="21"/>
        <v>91441060</v>
      </c>
      <c r="AM95" s="6">
        <f t="shared" si="22"/>
        <v>312830469</v>
      </c>
      <c r="AN95" s="10">
        <f t="shared" si="23"/>
        <v>2.7236901454312044E-2</v>
      </c>
      <c r="AO95" s="10">
        <f t="shared" si="24"/>
        <v>0.26850419882828469</v>
      </c>
      <c r="AP95" s="10">
        <f t="shared" si="25"/>
        <v>1.6743956458324331E-5</v>
      </c>
      <c r="AQ95" s="10">
        <f t="shared" si="26"/>
        <v>0.15929058012911312</v>
      </c>
      <c r="AR95" s="10">
        <f t="shared" si="27"/>
        <v>0.54495154462418238</v>
      </c>
    </row>
    <row r="96" spans="1:44" x14ac:dyDescent="0.3">
      <c r="A96" t="s">
        <v>6</v>
      </c>
      <c r="B96" t="s">
        <v>7</v>
      </c>
      <c r="C96" t="s">
        <v>165</v>
      </c>
      <c r="D96" s="7">
        <v>2045</v>
      </c>
      <c r="E96" s="6">
        <v>0.72</v>
      </c>
      <c r="F96" s="6">
        <v>154.9</v>
      </c>
      <c r="G96" s="15">
        <v>344.8</v>
      </c>
      <c r="H96" s="15">
        <v>559.5</v>
      </c>
      <c r="I96" s="6">
        <v>594416830</v>
      </c>
      <c r="J96" s="6">
        <v>283714600</v>
      </c>
      <c r="K96" s="6">
        <v>47596612</v>
      </c>
      <c r="L96" s="6">
        <v>1038482.8</v>
      </c>
      <c r="M96" s="6">
        <v>0</v>
      </c>
      <c r="N96" s="6">
        <v>0</v>
      </c>
      <c r="O96" s="6">
        <v>15849923</v>
      </c>
      <c r="P96" s="6">
        <v>0</v>
      </c>
      <c r="Q96" s="6">
        <v>0</v>
      </c>
      <c r="R96" s="6">
        <v>18500606</v>
      </c>
      <c r="S96" s="6">
        <v>145165550</v>
      </c>
      <c r="T96" s="6">
        <v>0</v>
      </c>
      <c r="U96" s="6">
        <v>7120481</v>
      </c>
      <c r="V96" s="6">
        <v>0</v>
      </c>
      <c r="W96" s="6">
        <v>2743768.5</v>
      </c>
      <c r="X96" s="6">
        <v>91180296</v>
      </c>
      <c r="Y96" s="6">
        <v>7125.7</v>
      </c>
      <c r="Z96" s="6">
        <v>0</v>
      </c>
      <c r="AA96" s="6">
        <v>0</v>
      </c>
      <c r="AB96" s="6">
        <v>195671760</v>
      </c>
      <c r="AC96" s="6">
        <v>69477260</v>
      </c>
      <c r="AD96" s="6">
        <v>64975.5</v>
      </c>
      <c r="AE96" s="6">
        <f t="shared" si="14"/>
        <v>594416830</v>
      </c>
      <c r="AF96" s="6">
        <f t="shared" si="15"/>
        <v>0</v>
      </c>
      <c r="AG96" s="6">
        <f t="shared" si="16"/>
        <v>1038482.8</v>
      </c>
      <c r="AH96" s="6">
        <f t="shared" si="17"/>
        <v>593378347.20000005</v>
      </c>
      <c r="AI96" s="6">
        <f t="shared" si="18"/>
        <v>15849923</v>
      </c>
      <c r="AJ96" s="6">
        <f t="shared" si="19"/>
        <v>152286031</v>
      </c>
      <c r="AK96" s="6">
        <f t="shared" si="20"/>
        <v>7125.7</v>
      </c>
      <c r="AL96" s="6">
        <f t="shared" si="21"/>
        <v>91180296</v>
      </c>
      <c r="AM96" s="6">
        <f t="shared" si="22"/>
        <v>334054982</v>
      </c>
      <c r="AN96" s="10">
        <f t="shared" si="23"/>
        <v>2.6711326887460106E-2</v>
      </c>
      <c r="AO96" s="10">
        <f t="shared" si="24"/>
        <v>0.25664237955193114</v>
      </c>
      <c r="AP96" s="10">
        <f t="shared" si="25"/>
        <v>1.2008695689056312E-5</v>
      </c>
      <c r="AQ96" s="10">
        <f t="shared" si="26"/>
        <v>0.15366299837238145</v>
      </c>
      <c r="AR96" s="10">
        <f t="shared" si="27"/>
        <v>0.56297130418782493</v>
      </c>
    </row>
    <row r="97" spans="1:44" x14ac:dyDescent="0.3">
      <c r="A97" t="s">
        <v>6</v>
      </c>
      <c r="B97" t="s">
        <v>7</v>
      </c>
      <c r="C97" t="s">
        <v>165</v>
      </c>
      <c r="D97" s="7">
        <v>2050</v>
      </c>
      <c r="E97" s="6">
        <v>0.68</v>
      </c>
      <c r="F97" s="6">
        <v>174.7</v>
      </c>
      <c r="G97" s="15">
        <v>319.7</v>
      </c>
      <c r="H97" s="15">
        <v>553.9</v>
      </c>
      <c r="I97" s="6">
        <v>636549800</v>
      </c>
      <c r="J97" s="6">
        <v>309021000</v>
      </c>
      <c r="K97" s="6">
        <v>50232028</v>
      </c>
      <c r="L97" s="6">
        <v>1023978.1</v>
      </c>
      <c r="M97" s="6">
        <v>0</v>
      </c>
      <c r="N97" s="6">
        <v>0</v>
      </c>
      <c r="O97" s="6">
        <v>12590691</v>
      </c>
      <c r="P97" s="6">
        <v>0</v>
      </c>
      <c r="Q97" s="6">
        <v>0</v>
      </c>
      <c r="R97" s="6">
        <v>20063226</v>
      </c>
      <c r="S97" s="6">
        <v>171353740</v>
      </c>
      <c r="T97" s="6">
        <v>0</v>
      </c>
      <c r="U97" s="6">
        <v>21307080</v>
      </c>
      <c r="V97" s="6">
        <v>0</v>
      </c>
      <c r="W97" s="6">
        <v>2717223.5</v>
      </c>
      <c r="X97" s="6">
        <v>68299540</v>
      </c>
      <c r="Y97" s="6">
        <v>4560.6000000000004</v>
      </c>
      <c r="Z97" s="6">
        <v>0</v>
      </c>
      <c r="AA97" s="6">
        <v>0</v>
      </c>
      <c r="AB97" s="6">
        <v>210810930</v>
      </c>
      <c r="AC97" s="6">
        <v>78082750</v>
      </c>
      <c r="AD97" s="6">
        <v>64085.5</v>
      </c>
      <c r="AE97" s="6">
        <f t="shared" si="14"/>
        <v>636549800</v>
      </c>
      <c r="AF97" s="6">
        <f t="shared" si="15"/>
        <v>0</v>
      </c>
      <c r="AG97" s="6">
        <f t="shared" si="16"/>
        <v>1023978.1</v>
      </c>
      <c r="AH97" s="6">
        <f t="shared" si="17"/>
        <v>635525821.89999998</v>
      </c>
      <c r="AI97" s="6">
        <f t="shared" si="18"/>
        <v>12590691</v>
      </c>
      <c r="AJ97" s="6">
        <f t="shared" si="19"/>
        <v>192660820</v>
      </c>
      <c r="AK97" s="6">
        <f t="shared" si="20"/>
        <v>4560.6000000000004</v>
      </c>
      <c r="AL97" s="6">
        <f t="shared" si="21"/>
        <v>68299540</v>
      </c>
      <c r="AM97" s="6">
        <f t="shared" si="22"/>
        <v>361970243</v>
      </c>
      <c r="AN97" s="10">
        <f t="shared" si="23"/>
        <v>1.9811454650824786E-2</v>
      </c>
      <c r="AO97" s="10">
        <f t="shared" si="24"/>
        <v>0.30315183641793109</v>
      </c>
      <c r="AP97" s="10">
        <f t="shared" si="25"/>
        <v>7.176104955681267E-6</v>
      </c>
      <c r="AQ97" s="10">
        <f t="shared" si="26"/>
        <v>0.1074693390046816</v>
      </c>
      <c r="AR97" s="10">
        <f t="shared" si="27"/>
        <v>0.56956024527506299</v>
      </c>
    </row>
    <row r="98" spans="1:44" x14ac:dyDescent="0.3">
      <c r="A98" t="s">
        <v>6</v>
      </c>
      <c r="B98" t="s">
        <v>7</v>
      </c>
      <c r="C98" t="s">
        <v>166</v>
      </c>
      <c r="D98" s="7">
        <v>2024</v>
      </c>
      <c r="E98" s="6">
        <v>0.41</v>
      </c>
      <c r="F98" s="6">
        <v>589.1</v>
      </c>
      <c r="G98" s="15">
        <v>393.5</v>
      </c>
      <c r="H98" s="15">
        <v>876.7</v>
      </c>
      <c r="I98" s="6">
        <v>83213736</v>
      </c>
      <c r="J98" s="6">
        <v>31311760</v>
      </c>
      <c r="K98" s="6">
        <v>2403.9</v>
      </c>
      <c r="L98" s="6">
        <v>190174</v>
      </c>
      <c r="M98" s="6">
        <v>0</v>
      </c>
      <c r="N98" s="6">
        <v>0</v>
      </c>
      <c r="O98" s="6">
        <v>37376744</v>
      </c>
      <c r="P98" s="6">
        <v>0</v>
      </c>
      <c r="Q98" s="6">
        <v>0</v>
      </c>
      <c r="R98" s="6">
        <v>1469627</v>
      </c>
      <c r="S98" s="6">
        <v>11313681</v>
      </c>
      <c r="T98" s="6">
        <v>0</v>
      </c>
      <c r="U98" s="6">
        <v>1825</v>
      </c>
      <c r="V98" s="6">
        <v>0</v>
      </c>
      <c r="W98" s="6">
        <v>2623418</v>
      </c>
      <c r="X98" s="6">
        <v>0</v>
      </c>
      <c r="Y98" s="6">
        <v>258.3</v>
      </c>
      <c r="Z98" s="6">
        <v>393470.5</v>
      </c>
      <c r="AA98" s="6">
        <v>0</v>
      </c>
      <c r="AB98" s="6">
        <v>4391109</v>
      </c>
      <c r="AC98" s="6">
        <v>25451024</v>
      </c>
      <c r="AD98" s="6">
        <v>0</v>
      </c>
      <c r="AE98" s="6">
        <f t="shared" si="14"/>
        <v>83213736</v>
      </c>
      <c r="AF98" s="6">
        <f t="shared" si="15"/>
        <v>0</v>
      </c>
      <c r="AG98" s="6">
        <f t="shared" si="16"/>
        <v>190174</v>
      </c>
      <c r="AH98" s="6">
        <f t="shared" si="17"/>
        <v>83023562</v>
      </c>
      <c r="AI98" s="6">
        <f t="shared" si="18"/>
        <v>37376744</v>
      </c>
      <c r="AJ98" s="6">
        <f t="shared" si="19"/>
        <v>11315506</v>
      </c>
      <c r="AK98" s="6">
        <f t="shared" si="20"/>
        <v>258.3</v>
      </c>
      <c r="AL98" s="6">
        <f t="shared" si="21"/>
        <v>0</v>
      </c>
      <c r="AM98" s="6">
        <f t="shared" si="22"/>
        <v>34331052.399999999</v>
      </c>
      <c r="AN98" s="10">
        <f t="shared" si="23"/>
        <v>0.45019441589364717</v>
      </c>
      <c r="AO98" s="10">
        <f t="shared" si="24"/>
        <v>0.1362927068824149</v>
      </c>
      <c r="AP98" s="10">
        <f t="shared" si="25"/>
        <v>3.1111649967511633E-6</v>
      </c>
      <c r="AQ98" s="10">
        <f t="shared" si="26"/>
        <v>0</v>
      </c>
      <c r="AR98" s="10">
        <f t="shared" si="27"/>
        <v>0.41350975040073562</v>
      </c>
    </row>
    <row r="99" spans="1:44" x14ac:dyDescent="0.3">
      <c r="A99" t="s">
        <v>6</v>
      </c>
      <c r="B99" t="s">
        <v>7</v>
      </c>
      <c r="C99" t="s">
        <v>166</v>
      </c>
      <c r="D99" s="7">
        <v>2026</v>
      </c>
      <c r="E99" s="6">
        <v>0.54</v>
      </c>
      <c r="F99" s="6">
        <v>453.1</v>
      </c>
      <c r="G99" s="15">
        <v>309.7</v>
      </c>
      <c r="H99" s="15">
        <v>777.4</v>
      </c>
      <c r="I99" s="6">
        <v>89963400</v>
      </c>
      <c r="J99" s="6">
        <v>45230260</v>
      </c>
      <c r="K99" s="6">
        <v>5921.1</v>
      </c>
      <c r="L99" s="6">
        <v>185117.8</v>
      </c>
      <c r="M99" s="6">
        <v>0</v>
      </c>
      <c r="N99" s="6">
        <v>0</v>
      </c>
      <c r="O99" s="6">
        <v>31105344</v>
      </c>
      <c r="P99" s="6">
        <v>0</v>
      </c>
      <c r="Q99" s="6">
        <v>0</v>
      </c>
      <c r="R99" s="6">
        <v>1841646.4</v>
      </c>
      <c r="S99" s="6">
        <v>10277343</v>
      </c>
      <c r="T99" s="6">
        <v>0</v>
      </c>
      <c r="U99" s="6">
        <v>558.4</v>
      </c>
      <c r="V99" s="6">
        <v>0</v>
      </c>
      <c r="W99" s="6">
        <v>2590111.7999999998</v>
      </c>
      <c r="X99" s="6">
        <v>0</v>
      </c>
      <c r="Y99" s="6">
        <v>88.3</v>
      </c>
      <c r="Z99" s="6">
        <v>568656.4</v>
      </c>
      <c r="AA99" s="6">
        <v>0</v>
      </c>
      <c r="AB99" s="6">
        <v>4330341</v>
      </c>
      <c r="AC99" s="6">
        <v>39058276</v>
      </c>
      <c r="AD99" s="6">
        <v>0</v>
      </c>
      <c r="AE99" s="6">
        <f t="shared" si="14"/>
        <v>89963400</v>
      </c>
      <c r="AF99" s="6">
        <f t="shared" si="15"/>
        <v>0</v>
      </c>
      <c r="AG99" s="6">
        <f t="shared" si="16"/>
        <v>185117.8</v>
      </c>
      <c r="AH99" s="6">
        <f t="shared" si="17"/>
        <v>89778282.200000003</v>
      </c>
      <c r="AI99" s="6">
        <f t="shared" si="18"/>
        <v>31105344</v>
      </c>
      <c r="AJ99" s="6">
        <f t="shared" si="19"/>
        <v>10277901.4</v>
      </c>
      <c r="AK99" s="6">
        <f t="shared" si="20"/>
        <v>88.3</v>
      </c>
      <c r="AL99" s="6">
        <f t="shared" si="21"/>
        <v>0</v>
      </c>
      <c r="AM99" s="6">
        <f t="shared" si="22"/>
        <v>48394952.700000003</v>
      </c>
      <c r="AN99" s="10">
        <f t="shared" si="23"/>
        <v>0.34646846918619256</v>
      </c>
      <c r="AO99" s="10">
        <f t="shared" si="24"/>
        <v>0.11448093178151721</v>
      </c>
      <c r="AP99" s="10">
        <f t="shared" si="25"/>
        <v>9.8353407791088254E-7</v>
      </c>
      <c r="AQ99" s="10">
        <f t="shared" si="26"/>
        <v>0</v>
      </c>
      <c r="AR99" s="10">
        <f t="shared" si="27"/>
        <v>0.53904966228012774</v>
      </c>
    </row>
    <row r="100" spans="1:44" x14ac:dyDescent="0.3">
      <c r="A100" t="s">
        <v>6</v>
      </c>
      <c r="B100" t="s">
        <v>7</v>
      </c>
      <c r="C100" t="s">
        <v>166</v>
      </c>
      <c r="D100" s="7">
        <v>2028</v>
      </c>
      <c r="E100" s="6">
        <v>0.78</v>
      </c>
      <c r="F100" s="6">
        <v>213.3</v>
      </c>
      <c r="G100" s="15">
        <v>214.5</v>
      </c>
      <c r="H100" s="15">
        <v>679.8</v>
      </c>
      <c r="I100" s="6">
        <v>98631010</v>
      </c>
      <c r="J100" s="6">
        <v>73691624</v>
      </c>
      <c r="K100" s="6">
        <v>78781.2</v>
      </c>
      <c r="L100" s="6">
        <v>172774.6</v>
      </c>
      <c r="M100" s="6">
        <v>0</v>
      </c>
      <c r="N100" s="6">
        <v>0</v>
      </c>
      <c r="O100" s="6">
        <v>16236067</v>
      </c>
      <c r="P100" s="6">
        <v>0</v>
      </c>
      <c r="Q100" s="6">
        <v>0</v>
      </c>
      <c r="R100" s="6">
        <v>2283432.2000000002</v>
      </c>
      <c r="S100" s="6">
        <v>5148881.5</v>
      </c>
      <c r="T100" s="6">
        <v>0</v>
      </c>
      <c r="U100" s="6">
        <v>0</v>
      </c>
      <c r="V100" s="6">
        <v>0</v>
      </c>
      <c r="W100" s="6">
        <v>2428877</v>
      </c>
      <c r="X100" s="6">
        <v>0</v>
      </c>
      <c r="Y100" s="6">
        <v>2.4</v>
      </c>
      <c r="Z100" s="6">
        <v>873998.4</v>
      </c>
      <c r="AA100" s="6">
        <v>0</v>
      </c>
      <c r="AB100" s="6">
        <v>7356133.5</v>
      </c>
      <c r="AC100" s="6">
        <v>64052056</v>
      </c>
      <c r="AD100" s="6">
        <v>0</v>
      </c>
      <c r="AE100" s="6">
        <f t="shared" si="14"/>
        <v>98631010</v>
      </c>
      <c r="AF100" s="6">
        <f t="shared" si="15"/>
        <v>0</v>
      </c>
      <c r="AG100" s="6">
        <f t="shared" si="16"/>
        <v>172774.6</v>
      </c>
      <c r="AH100" s="6">
        <f t="shared" si="17"/>
        <v>98458235.400000006</v>
      </c>
      <c r="AI100" s="6">
        <f t="shared" si="18"/>
        <v>16236067</v>
      </c>
      <c r="AJ100" s="6">
        <f t="shared" si="19"/>
        <v>5148881.5</v>
      </c>
      <c r="AK100" s="6">
        <f t="shared" si="20"/>
        <v>2.4</v>
      </c>
      <c r="AL100" s="6">
        <f t="shared" si="21"/>
        <v>0</v>
      </c>
      <c r="AM100" s="6">
        <f t="shared" si="22"/>
        <v>77073278.299999997</v>
      </c>
      <c r="AN100" s="10">
        <f t="shared" si="23"/>
        <v>0.16490308742624488</v>
      </c>
      <c r="AO100" s="10">
        <f t="shared" si="24"/>
        <v>5.2295082062784964E-2</v>
      </c>
      <c r="AP100" s="10">
        <f t="shared" si="25"/>
        <v>2.4375817728701644E-8</v>
      </c>
      <c r="AQ100" s="10">
        <f t="shared" si="26"/>
        <v>0</v>
      </c>
      <c r="AR100" s="10">
        <f t="shared" si="27"/>
        <v>0.78280174316428985</v>
      </c>
    </row>
    <row r="101" spans="1:44" x14ac:dyDescent="0.3">
      <c r="A101" t="s">
        <v>6</v>
      </c>
      <c r="B101" t="s">
        <v>7</v>
      </c>
      <c r="C101" t="s">
        <v>166</v>
      </c>
      <c r="D101" s="7">
        <v>2030</v>
      </c>
      <c r="E101" s="6">
        <v>0.91</v>
      </c>
      <c r="F101" s="6">
        <v>86.6</v>
      </c>
      <c r="G101" s="15">
        <v>154</v>
      </c>
      <c r="H101" s="15">
        <v>507</v>
      </c>
      <c r="I101" s="6">
        <v>119986320</v>
      </c>
      <c r="J101" s="6">
        <v>105656410</v>
      </c>
      <c r="K101" s="6">
        <v>454503</v>
      </c>
      <c r="L101" s="6">
        <v>111322.8</v>
      </c>
      <c r="M101" s="6">
        <v>0</v>
      </c>
      <c r="N101" s="6">
        <v>0</v>
      </c>
      <c r="O101" s="6">
        <v>8265769.5</v>
      </c>
      <c r="P101" s="6">
        <v>0</v>
      </c>
      <c r="Q101" s="6">
        <v>0</v>
      </c>
      <c r="R101" s="6">
        <v>2837223.8</v>
      </c>
      <c r="S101" s="6">
        <v>2229094.2000000002</v>
      </c>
      <c r="T101" s="6">
        <v>0</v>
      </c>
      <c r="U101" s="6">
        <v>269.39999999999998</v>
      </c>
      <c r="V101" s="6">
        <v>0</v>
      </c>
      <c r="W101" s="6">
        <v>2260124.7999999998</v>
      </c>
      <c r="X101" s="6">
        <v>0</v>
      </c>
      <c r="Y101" s="6">
        <v>0</v>
      </c>
      <c r="Z101" s="6">
        <v>1008831.9</v>
      </c>
      <c r="AA101" s="6">
        <v>0</v>
      </c>
      <c r="AB101" s="6">
        <v>12516185</v>
      </c>
      <c r="AC101" s="6">
        <v>90302990</v>
      </c>
      <c r="AD101" s="6">
        <v>0</v>
      </c>
      <c r="AE101" s="6">
        <f t="shared" si="14"/>
        <v>119986320</v>
      </c>
      <c r="AF101" s="6">
        <f t="shared" si="15"/>
        <v>0</v>
      </c>
      <c r="AG101" s="6">
        <f t="shared" si="16"/>
        <v>111322.8</v>
      </c>
      <c r="AH101" s="6">
        <f t="shared" si="17"/>
        <v>119874997.2</v>
      </c>
      <c r="AI101" s="6">
        <f t="shared" si="18"/>
        <v>8265769.5</v>
      </c>
      <c r="AJ101" s="6">
        <f t="shared" si="19"/>
        <v>2229363.6</v>
      </c>
      <c r="AK101" s="6">
        <f t="shared" si="20"/>
        <v>0</v>
      </c>
      <c r="AL101" s="6">
        <f t="shared" si="21"/>
        <v>0</v>
      </c>
      <c r="AM101" s="6">
        <f t="shared" si="22"/>
        <v>109379858.5</v>
      </c>
      <c r="AN101" s="10">
        <f t="shared" si="23"/>
        <v>6.8953240400993307E-2</v>
      </c>
      <c r="AO101" s="10">
        <f t="shared" si="24"/>
        <v>1.8597402728448197E-2</v>
      </c>
      <c r="AP101" s="10">
        <f t="shared" si="25"/>
        <v>0</v>
      </c>
      <c r="AQ101" s="10">
        <f t="shared" si="26"/>
        <v>0</v>
      </c>
      <c r="AR101" s="10">
        <f t="shared" si="27"/>
        <v>0.9124493101552289</v>
      </c>
    </row>
    <row r="102" spans="1:44" x14ac:dyDescent="0.3">
      <c r="A102" t="s">
        <v>6</v>
      </c>
      <c r="B102" t="s">
        <v>7</v>
      </c>
      <c r="C102" t="s">
        <v>166</v>
      </c>
      <c r="D102" s="7">
        <v>2035</v>
      </c>
      <c r="E102" s="6">
        <v>0.93</v>
      </c>
      <c r="F102" s="6">
        <v>70.7</v>
      </c>
      <c r="G102" s="15">
        <v>144.4</v>
      </c>
      <c r="H102" s="15">
        <v>405.7</v>
      </c>
      <c r="I102" s="6">
        <v>134076264</v>
      </c>
      <c r="J102" s="6">
        <v>121045736</v>
      </c>
      <c r="K102" s="6">
        <v>896967</v>
      </c>
      <c r="L102" s="6">
        <v>94662.2</v>
      </c>
      <c r="M102" s="6">
        <v>0</v>
      </c>
      <c r="N102" s="6">
        <v>0</v>
      </c>
      <c r="O102" s="6">
        <v>7947613.5</v>
      </c>
      <c r="P102" s="6">
        <v>0</v>
      </c>
      <c r="Q102" s="6">
        <v>0</v>
      </c>
      <c r="R102" s="6">
        <v>3734357.5</v>
      </c>
      <c r="S102" s="6">
        <v>1046983.2</v>
      </c>
      <c r="T102" s="6">
        <v>0</v>
      </c>
      <c r="U102" s="6">
        <v>1981.2</v>
      </c>
      <c r="V102" s="6">
        <v>0</v>
      </c>
      <c r="W102" s="6">
        <v>2122998.7999999998</v>
      </c>
      <c r="X102" s="6">
        <v>0</v>
      </c>
      <c r="Y102" s="6">
        <v>0</v>
      </c>
      <c r="Z102" s="6">
        <v>919324.1</v>
      </c>
      <c r="AA102" s="6">
        <v>0</v>
      </c>
      <c r="AB102" s="6">
        <v>14111186</v>
      </c>
      <c r="AC102" s="6">
        <v>103200190</v>
      </c>
      <c r="AD102" s="6">
        <v>0</v>
      </c>
      <c r="AE102" s="6">
        <f t="shared" si="14"/>
        <v>134076264</v>
      </c>
      <c r="AF102" s="6">
        <f t="shared" si="15"/>
        <v>0</v>
      </c>
      <c r="AG102" s="6">
        <f t="shared" si="16"/>
        <v>94662.2</v>
      </c>
      <c r="AH102" s="6">
        <f t="shared" si="17"/>
        <v>133981601.8</v>
      </c>
      <c r="AI102" s="6">
        <f t="shared" si="18"/>
        <v>7947613.5</v>
      </c>
      <c r="AJ102" s="6">
        <f t="shared" si="19"/>
        <v>1048964.3999999999</v>
      </c>
      <c r="AK102" s="6">
        <f t="shared" si="20"/>
        <v>0</v>
      </c>
      <c r="AL102" s="6">
        <f t="shared" si="21"/>
        <v>0</v>
      </c>
      <c r="AM102" s="6">
        <f t="shared" si="22"/>
        <v>124985023.40000001</v>
      </c>
      <c r="AN102" s="10">
        <f t="shared" si="23"/>
        <v>5.9318692964006645E-2</v>
      </c>
      <c r="AO102" s="10">
        <f t="shared" si="24"/>
        <v>7.8291674820087122E-3</v>
      </c>
      <c r="AP102" s="10">
        <f t="shared" si="25"/>
        <v>0</v>
      </c>
      <c r="AQ102" s="10">
        <f t="shared" si="26"/>
        <v>0</v>
      </c>
      <c r="AR102" s="10">
        <f t="shared" si="27"/>
        <v>0.932852135822129</v>
      </c>
    </row>
    <row r="103" spans="1:44" x14ac:dyDescent="0.3">
      <c r="A103" t="s">
        <v>6</v>
      </c>
      <c r="B103" t="s">
        <v>7</v>
      </c>
      <c r="C103" t="s">
        <v>166</v>
      </c>
      <c r="D103" s="7">
        <v>2040</v>
      </c>
      <c r="E103" s="6">
        <v>0.95</v>
      </c>
      <c r="F103" s="6">
        <v>49.2</v>
      </c>
      <c r="G103" s="15">
        <v>160</v>
      </c>
      <c r="H103" s="15">
        <v>346.7</v>
      </c>
      <c r="I103" s="6">
        <v>140371260</v>
      </c>
      <c r="J103" s="6">
        <v>129665840</v>
      </c>
      <c r="K103" s="6">
        <v>1246382.1000000001</v>
      </c>
      <c r="L103" s="6">
        <v>83933.4</v>
      </c>
      <c r="M103" s="6">
        <v>0</v>
      </c>
      <c r="N103" s="6">
        <v>0</v>
      </c>
      <c r="O103" s="6">
        <v>5814429.5</v>
      </c>
      <c r="P103" s="6">
        <v>0</v>
      </c>
      <c r="Q103" s="6">
        <v>0</v>
      </c>
      <c r="R103" s="6">
        <v>3995823.5</v>
      </c>
      <c r="S103" s="6">
        <v>818411.9</v>
      </c>
      <c r="T103" s="6">
        <v>0</v>
      </c>
      <c r="U103" s="6">
        <v>2535.8000000000002</v>
      </c>
      <c r="V103" s="6">
        <v>0</v>
      </c>
      <c r="W103" s="6">
        <v>1927136.4</v>
      </c>
      <c r="X103" s="6">
        <v>0</v>
      </c>
      <c r="Y103" s="6">
        <v>0</v>
      </c>
      <c r="Z103" s="6">
        <v>812592.7</v>
      </c>
      <c r="AA103" s="6">
        <v>0</v>
      </c>
      <c r="AB103" s="6">
        <v>13695864</v>
      </c>
      <c r="AC103" s="6">
        <v>111974160</v>
      </c>
      <c r="AD103" s="6">
        <v>0</v>
      </c>
      <c r="AE103" s="6">
        <f t="shared" si="14"/>
        <v>140371260</v>
      </c>
      <c r="AF103" s="6">
        <f t="shared" si="15"/>
        <v>0</v>
      </c>
      <c r="AG103" s="6">
        <f t="shared" si="16"/>
        <v>83933.4</v>
      </c>
      <c r="AH103" s="6">
        <f t="shared" si="17"/>
        <v>140287326.59999999</v>
      </c>
      <c r="AI103" s="6">
        <f t="shared" si="18"/>
        <v>5814429.5</v>
      </c>
      <c r="AJ103" s="6">
        <f t="shared" si="19"/>
        <v>820947.70000000007</v>
      </c>
      <c r="AK103" s="6">
        <f t="shared" si="20"/>
        <v>0</v>
      </c>
      <c r="AL103" s="6">
        <f t="shared" si="21"/>
        <v>0</v>
      </c>
      <c r="AM103" s="6">
        <f t="shared" si="22"/>
        <v>133651958.7</v>
      </c>
      <c r="AN103" s="10">
        <f t="shared" si="23"/>
        <v>4.1446577113687759E-2</v>
      </c>
      <c r="AO103" s="10">
        <f t="shared" si="24"/>
        <v>5.8519020919171189E-3</v>
      </c>
      <c r="AP103" s="10">
        <f t="shared" si="25"/>
        <v>0</v>
      </c>
      <c r="AQ103" s="10">
        <f t="shared" si="26"/>
        <v>0</v>
      </c>
      <c r="AR103" s="10">
        <f t="shared" si="27"/>
        <v>0.95270158708691233</v>
      </c>
    </row>
    <row r="104" spans="1:44" x14ac:dyDescent="0.3">
      <c r="A104" t="s">
        <v>6</v>
      </c>
      <c r="B104" t="s">
        <v>7</v>
      </c>
      <c r="C104" t="s">
        <v>166</v>
      </c>
      <c r="D104" s="7">
        <v>2045</v>
      </c>
      <c r="E104" s="6">
        <v>0.98</v>
      </c>
      <c r="F104" s="6">
        <v>19.5</v>
      </c>
      <c r="G104" s="15">
        <v>157.19999999999999</v>
      </c>
      <c r="H104" s="15">
        <v>223</v>
      </c>
      <c r="I104" s="6">
        <v>173456770</v>
      </c>
      <c r="J104" s="6">
        <v>164618380</v>
      </c>
      <c r="K104" s="6">
        <v>3210915.8</v>
      </c>
      <c r="L104" s="6">
        <v>28235.1</v>
      </c>
      <c r="M104" s="6">
        <v>0</v>
      </c>
      <c r="N104" s="6">
        <v>0</v>
      </c>
      <c r="O104" s="6">
        <v>2928431</v>
      </c>
      <c r="P104" s="6">
        <v>0</v>
      </c>
      <c r="Q104" s="6">
        <v>0</v>
      </c>
      <c r="R104" s="6">
        <v>4242076</v>
      </c>
      <c r="S104" s="6">
        <v>345427.9</v>
      </c>
      <c r="T104" s="6">
        <v>0</v>
      </c>
      <c r="U104" s="6">
        <v>2275.9</v>
      </c>
      <c r="V104" s="6">
        <v>0</v>
      </c>
      <c r="W104" s="6">
        <v>1707011.8</v>
      </c>
      <c r="X104" s="6">
        <v>0</v>
      </c>
      <c r="Y104" s="6">
        <v>0</v>
      </c>
      <c r="Z104" s="6">
        <v>616102</v>
      </c>
      <c r="AA104" s="6">
        <v>0</v>
      </c>
      <c r="AB104" s="6">
        <v>16788436</v>
      </c>
      <c r="AC104" s="6">
        <v>143587860</v>
      </c>
      <c r="AD104" s="6">
        <v>0</v>
      </c>
      <c r="AE104" s="6">
        <f t="shared" si="14"/>
        <v>173456770</v>
      </c>
      <c r="AF104" s="6">
        <f t="shared" si="15"/>
        <v>0</v>
      </c>
      <c r="AG104" s="6">
        <f t="shared" si="16"/>
        <v>28235.1</v>
      </c>
      <c r="AH104" s="6">
        <f t="shared" si="17"/>
        <v>173428534.90000001</v>
      </c>
      <c r="AI104" s="6">
        <f t="shared" si="18"/>
        <v>2928431</v>
      </c>
      <c r="AJ104" s="6">
        <f t="shared" si="19"/>
        <v>347703.80000000005</v>
      </c>
      <c r="AK104" s="6">
        <f t="shared" si="20"/>
        <v>0</v>
      </c>
      <c r="AL104" s="6">
        <f t="shared" si="21"/>
        <v>0</v>
      </c>
      <c r="AM104" s="6">
        <f t="shared" si="22"/>
        <v>170152401.59999999</v>
      </c>
      <c r="AN104" s="10">
        <f t="shared" si="23"/>
        <v>1.6885520030994621E-2</v>
      </c>
      <c r="AO104" s="10">
        <f t="shared" si="24"/>
        <v>2.0048823003693613E-3</v>
      </c>
      <c r="AP104" s="10">
        <f t="shared" si="25"/>
        <v>0</v>
      </c>
      <c r="AQ104" s="10">
        <f t="shared" si="26"/>
        <v>0</v>
      </c>
      <c r="AR104" s="10">
        <f t="shared" si="27"/>
        <v>0.9811096063177317</v>
      </c>
    </row>
    <row r="105" spans="1:44" x14ac:dyDescent="0.3">
      <c r="A105" t="s">
        <v>6</v>
      </c>
      <c r="B105" t="s">
        <v>7</v>
      </c>
      <c r="C105" t="s">
        <v>166</v>
      </c>
      <c r="D105" s="7">
        <v>2050</v>
      </c>
      <c r="E105" s="6">
        <v>0.98</v>
      </c>
      <c r="F105" s="6">
        <v>22.9</v>
      </c>
      <c r="G105" s="15">
        <v>171.6</v>
      </c>
      <c r="H105" s="15">
        <v>225.8</v>
      </c>
      <c r="I105" s="6">
        <v>175580860</v>
      </c>
      <c r="J105" s="6">
        <v>165921390</v>
      </c>
      <c r="K105" s="6">
        <v>3182578.5</v>
      </c>
      <c r="L105" s="6">
        <v>30917.3</v>
      </c>
      <c r="M105" s="6">
        <v>0</v>
      </c>
      <c r="N105" s="6">
        <v>0</v>
      </c>
      <c r="O105" s="6">
        <v>3453226.5</v>
      </c>
      <c r="P105" s="6">
        <v>0</v>
      </c>
      <c r="Q105" s="6">
        <v>0</v>
      </c>
      <c r="R105" s="6">
        <v>4577755.5</v>
      </c>
      <c r="S105" s="6">
        <v>562049.30000000005</v>
      </c>
      <c r="T105" s="6">
        <v>0</v>
      </c>
      <c r="U105" s="6">
        <v>5404.1</v>
      </c>
      <c r="V105" s="6">
        <v>0</v>
      </c>
      <c r="W105" s="6">
        <v>1746087.4</v>
      </c>
      <c r="X105" s="6">
        <v>0</v>
      </c>
      <c r="Y105" s="6">
        <v>0</v>
      </c>
      <c r="Z105" s="6">
        <v>679217</v>
      </c>
      <c r="AA105" s="6">
        <v>0</v>
      </c>
      <c r="AB105" s="6">
        <v>17097906</v>
      </c>
      <c r="AC105" s="6">
        <v>144245730</v>
      </c>
      <c r="AD105" s="6">
        <v>0</v>
      </c>
      <c r="AE105" s="6">
        <f t="shared" si="14"/>
        <v>175580860</v>
      </c>
      <c r="AF105" s="6">
        <f t="shared" si="15"/>
        <v>0</v>
      </c>
      <c r="AG105" s="6">
        <f t="shared" si="16"/>
        <v>30917.3</v>
      </c>
      <c r="AH105" s="6">
        <f t="shared" si="17"/>
        <v>175549942.69999999</v>
      </c>
      <c r="AI105" s="6">
        <f t="shared" si="18"/>
        <v>3453226.5</v>
      </c>
      <c r="AJ105" s="6">
        <f t="shared" si="19"/>
        <v>567453.4</v>
      </c>
      <c r="AK105" s="6">
        <f t="shared" si="20"/>
        <v>0</v>
      </c>
      <c r="AL105" s="6">
        <f t="shared" si="21"/>
        <v>0</v>
      </c>
      <c r="AM105" s="6">
        <f t="shared" si="22"/>
        <v>171529274.40000001</v>
      </c>
      <c r="AN105" s="10">
        <f t="shared" si="23"/>
        <v>1.9670906449119566E-2</v>
      </c>
      <c r="AO105" s="10">
        <f t="shared" si="24"/>
        <v>3.232432840890925E-3</v>
      </c>
      <c r="AP105" s="10">
        <f t="shared" si="25"/>
        <v>0</v>
      </c>
      <c r="AQ105" s="10">
        <f t="shared" si="26"/>
        <v>0</v>
      </c>
      <c r="AR105" s="10">
        <f t="shared" si="27"/>
        <v>0.97709672678805159</v>
      </c>
    </row>
    <row r="106" spans="1:44" x14ac:dyDescent="0.3">
      <c r="A106" t="s">
        <v>6</v>
      </c>
      <c r="B106" t="s">
        <v>7</v>
      </c>
      <c r="C106" t="s">
        <v>167</v>
      </c>
      <c r="D106" s="7">
        <v>2024</v>
      </c>
      <c r="E106" s="6">
        <v>0.61</v>
      </c>
      <c r="F106" s="6">
        <v>416.8</v>
      </c>
      <c r="G106" s="15">
        <v>353.9</v>
      </c>
      <c r="H106" s="15">
        <v>821.1</v>
      </c>
      <c r="I106" s="6">
        <v>81459380</v>
      </c>
      <c r="J106" s="6">
        <v>39945764</v>
      </c>
      <c r="K106" s="6">
        <v>1355.5</v>
      </c>
      <c r="L106" s="6">
        <v>52775</v>
      </c>
      <c r="M106" s="6">
        <v>0</v>
      </c>
      <c r="N106" s="6">
        <v>0</v>
      </c>
      <c r="O106" s="6">
        <v>27300052</v>
      </c>
      <c r="P106" s="6">
        <v>0</v>
      </c>
      <c r="Q106" s="6">
        <v>0</v>
      </c>
      <c r="R106" s="6">
        <v>303214.59999999998</v>
      </c>
      <c r="S106" s="6">
        <v>4247383</v>
      </c>
      <c r="T106" s="6">
        <v>0</v>
      </c>
      <c r="U106" s="6">
        <v>27945.5</v>
      </c>
      <c r="V106" s="6">
        <v>0</v>
      </c>
      <c r="W106" s="6">
        <v>581274</v>
      </c>
      <c r="X106" s="6">
        <v>9105591</v>
      </c>
      <c r="Y106" s="6">
        <v>392.8</v>
      </c>
      <c r="Z106" s="6">
        <v>196843.3</v>
      </c>
      <c r="AA106" s="6">
        <v>0</v>
      </c>
      <c r="AB106" s="6">
        <v>3629506</v>
      </c>
      <c r="AC106" s="6">
        <v>36013044</v>
      </c>
      <c r="AD106" s="6">
        <v>0</v>
      </c>
      <c r="AE106" s="6">
        <f t="shared" si="14"/>
        <v>81459380</v>
      </c>
      <c r="AF106" s="6">
        <f t="shared" si="15"/>
        <v>0</v>
      </c>
      <c r="AG106" s="6">
        <f t="shared" si="16"/>
        <v>52775</v>
      </c>
      <c r="AH106" s="6">
        <f t="shared" si="17"/>
        <v>81406605</v>
      </c>
      <c r="AI106" s="6">
        <f t="shared" si="18"/>
        <v>27300052</v>
      </c>
      <c r="AJ106" s="6">
        <f t="shared" si="19"/>
        <v>4275328.5</v>
      </c>
      <c r="AK106" s="6">
        <f t="shared" si="20"/>
        <v>392.8</v>
      </c>
      <c r="AL106" s="6">
        <f t="shared" si="21"/>
        <v>9105591</v>
      </c>
      <c r="AM106" s="6">
        <f t="shared" si="22"/>
        <v>40725237.399999999</v>
      </c>
      <c r="AN106" s="10">
        <f t="shared" si="23"/>
        <v>0.33535426271615182</v>
      </c>
      <c r="AO106" s="10">
        <f t="shared" si="24"/>
        <v>5.2518201686460209E-2</v>
      </c>
      <c r="AP106" s="10">
        <f t="shared" si="25"/>
        <v>4.8251612998724121E-6</v>
      </c>
      <c r="AQ106" s="10">
        <f t="shared" si="26"/>
        <v>0.11185322124660524</v>
      </c>
      <c r="AR106" s="10">
        <f t="shared" si="27"/>
        <v>0.50026944865223155</v>
      </c>
    </row>
    <row r="107" spans="1:44" x14ac:dyDescent="0.3">
      <c r="A107" t="s">
        <v>6</v>
      </c>
      <c r="B107" t="s">
        <v>7</v>
      </c>
      <c r="C107" t="s">
        <v>167</v>
      </c>
      <c r="D107" s="7">
        <v>2026</v>
      </c>
      <c r="E107" s="6">
        <v>0.79</v>
      </c>
      <c r="F107" s="6">
        <v>223.5</v>
      </c>
      <c r="G107" s="15">
        <v>219.3</v>
      </c>
      <c r="H107" s="15">
        <v>681.8</v>
      </c>
      <c r="I107" s="6">
        <v>103265896</v>
      </c>
      <c r="J107" s="6">
        <v>71776140</v>
      </c>
      <c r="K107" s="6">
        <v>6417.5</v>
      </c>
      <c r="L107" s="6">
        <v>45596.9</v>
      </c>
      <c r="M107" s="6">
        <v>0</v>
      </c>
      <c r="N107" s="6">
        <v>0</v>
      </c>
      <c r="O107" s="6">
        <v>18366208</v>
      </c>
      <c r="P107" s="6">
        <v>0</v>
      </c>
      <c r="Q107" s="6">
        <v>0</v>
      </c>
      <c r="R107" s="6">
        <v>390130.9</v>
      </c>
      <c r="S107" s="6">
        <v>3592825.2</v>
      </c>
      <c r="T107" s="6">
        <v>0</v>
      </c>
      <c r="U107" s="6">
        <v>11852.8</v>
      </c>
      <c r="V107" s="6">
        <v>0</v>
      </c>
      <c r="W107" s="6">
        <v>526704.4</v>
      </c>
      <c r="X107" s="6">
        <v>8710807</v>
      </c>
      <c r="Y107" s="6">
        <v>53.6</v>
      </c>
      <c r="Z107" s="6">
        <v>229288</v>
      </c>
      <c r="AA107" s="6">
        <v>0</v>
      </c>
      <c r="AB107" s="6">
        <v>10998099</v>
      </c>
      <c r="AC107" s="6">
        <v>60387910</v>
      </c>
      <c r="AD107" s="6">
        <v>0</v>
      </c>
      <c r="AE107" s="6">
        <f t="shared" si="14"/>
        <v>103265896</v>
      </c>
      <c r="AF107" s="6">
        <f t="shared" si="15"/>
        <v>0</v>
      </c>
      <c r="AG107" s="6">
        <f t="shared" si="16"/>
        <v>45596.9</v>
      </c>
      <c r="AH107" s="6">
        <f t="shared" si="17"/>
        <v>103220299.09999999</v>
      </c>
      <c r="AI107" s="6">
        <f t="shared" si="18"/>
        <v>18366208</v>
      </c>
      <c r="AJ107" s="6">
        <f t="shared" si="19"/>
        <v>3604678</v>
      </c>
      <c r="AK107" s="6">
        <f t="shared" si="20"/>
        <v>53.6</v>
      </c>
      <c r="AL107" s="6">
        <f t="shared" si="21"/>
        <v>8710807</v>
      </c>
      <c r="AM107" s="6">
        <f t="shared" si="22"/>
        <v>72538549.799999997</v>
      </c>
      <c r="AN107" s="10">
        <f t="shared" si="23"/>
        <v>0.17793213311857184</v>
      </c>
      <c r="AO107" s="10">
        <f t="shared" si="24"/>
        <v>3.4922181309587005E-2</v>
      </c>
      <c r="AP107" s="10">
        <f t="shared" si="25"/>
        <v>5.1927770474751511E-7</v>
      </c>
      <c r="AQ107" s="10">
        <f t="shared" si="26"/>
        <v>8.4390445251093057E-2</v>
      </c>
      <c r="AR107" s="10">
        <f t="shared" si="27"/>
        <v>0.70275469488539777</v>
      </c>
    </row>
    <row r="108" spans="1:44" x14ac:dyDescent="0.3">
      <c r="A108" t="s">
        <v>6</v>
      </c>
      <c r="B108" t="s">
        <v>7</v>
      </c>
      <c r="C108" t="s">
        <v>167</v>
      </c>
      <c r="D108" s="7">
        <v>2028</v>
      </c>
      <c r="E108" s="6">
        <v>0.9</v>
      </c>
      <c r="F108" s="6">
        <v>103.4</v>
      </c>
      <c r="G108" s="15">
        <v>98.4</v>
      </c>
      <c r="H108" s="15">
        <v>544.1</v>
      </c>
      <c r="I108" s="6">
        <v>139078460</v>
      </c>
      <c r="J108" s="6">
        <v>115518000</v>
      </c>
      <c r="K108" s="6">
        <v>469283.5</v>
      </c>
      <c r="L108" s="6">
        <v>39638.1</v>
      </c>
      <c r="M108" s="6">
        <v>0</v>
      </c>
      <c r="N108" s="6">
        <v>0</v>
      </c>
      <c r="O108" s="6">
        <v>11312891</v>
      </c>
      <c r="P108" s="6">
        <v>0</v>
      </c>
      <c r="Q108" s="6">
        <v>0</v>
      </c>
      <c r="R108" s="6">
        <v>556214.1</v>
      </c>
      <c r="S108" s="6">
        <v>2564309.5</v>
      </c>
      <c r="T108" s="6">
        <v>0</v>
      </c>
      <c r="U108" s="6">
        <v>4751.2</v>
      </c>
      <c r="V108" s="6">
        <v>0</v>
      </c>
      <c r="W108" s="6">
        <v>457499</v>
      </c>
      <c r="X108" s="6">
        <v>8455493</v>
      </c>
      <c r="Y108" s="6">
        <v>0</v>
      </c>
      <c r="Z108" s="6">
        <v>256601.2</v>
      </c>
      <c r="AA108" s="6">
        <v>0</v>
      </c>
      <c r="AB108" s="6">
        <v>23664444</v>
      </c>
      <c r="AC108" s="6">
        <v>91297340</v>
      </c>
      <c r="AD108" s="6">
        <v>0</v>
      </c>
      <c r="AE108" s="6">
        <f t="shared" si="14"/>
        <v>139078460</v>
      </c>
      <c r="AF108" s="6">
        <f t="shared" si="15"/>
        <v>0</v>
      </c>
      <c r="AG108" s="6">
        <f t="shared" si="16"/>
        <v>39638.1</v>
      </c>
      <c r="AH108" s="6">
        <f t="shared" si="17"/>
        <v>139038821.90000001</v>
      </c>
      <c r="AI108" s="6">
        <f t="shared" si="18"/>
        <v>11312891</v>
      </c>
      <c r="AJ108" s="6">
        <f t="shared" si="19"/>
        <v>2569060.7000000002</v>
      </c>
      <c r="AK108" s="6">
        <f t="shared" si="20"/>
        <v>0</v>
      </c>
      <c r="AL108" s="6">
        <f t="shared" si="21"/>
        <v>8455493</v>
      </c>
      <c r="AM108" s="6">
        <f t="shared" si="22"/>
        <v>116701381.8</v>
      </c>
      <c r="AN108" s="10">
        <f t="shared" si="23"/>
        <v>8.1364980265270781E-2</v>
      </c>
      <c r="AO108" s="10">
        <f t="shared" si="24"/>
        <v>1.8477290478250235E-2</v>
      </c>
      <c r="AP108" s="10">
        <f t="shared" si="25"/>
        <v>0</v>
      </c>
      <c r="AQ108" s="10">
        <f t="shared" si="26"/>
        <v>6.0813899919846773E-2</v>
      </c>
      <c r="AR108" s="10">
        <f t="shared" si="27"/>
        <v>0.83934386242091708</v>
      </c>
    </row>
    <row r="109" spans="1:44" x14ac:dyDescent="0.3">
      <c r="A109" t="s">
        <v>6</v>
      </c>
      <c r="B109" t="s">
        <v>7</v>
      </c>
      <c r="C109" t="s">
        <v>167</v>
      </c>
      <c r="D109" s="7">
        <v>2030</v>
      </c>
      <c r="E109" s="6">
        <v>0.93</v>
      </c>
      <c r="F109" s="6">
        <v>73.5</v>
      </c>
      <c r="G109" s="15">
        <v>105.6</v>
      </c>
      <c r="H109" s="15">
        <v>476.8</v>
      </c>
      <c r="I109" s="6">
        <v>152750240</v>
      </c>
      <c r="J109" s="6">
        <v>130778136</v>
      </c>
      <c r="K109" s="6">
        <v>2437960.2000000002</v>
      </c>
      <c r="L109" s="6">
        <v>35264</v>
      </c>
      <c r="M109" s="6">
        <v>0</v>
      </c>
      <c r="N109" s="6">
        <v>0</v>
      </c>
      <c r="O109" s="6">
        <v>9005006</v>
      </c>
      <c r="P109" s="6">
        <v>0</v>
      </c>
      <c r="Q109" s="6">
        <v>0</v>
      </c>
      <c r="R109" s="6">
        <v>824040.4</v>
      </c>
      <c r="S109" s="6">
        <v>1544627</v>
      </c>
      <c r="T109" s="6">
        <v>0</v>
      </c>
      <c r="U109" s="6">
        <v>2189</v>
      </c>
      <c r="V109" s="6">
        <v>0</v>
      </c>
      <c r="W109" s="6">
        <v>404448</v>
      </c>
      <c r="X109" s="6">
        <v>8281153</v>
      </c>
      <c r="Y109" s="6">
        <v>0</v>
      </c>
      <c r="Z109" s="6">
        <v>261441</v>
      </c>
      <c r="AA109" s="6">
        <v>0</v>
      </c>
      <c r="AB109" s="6">
        <v>27758300</v>
      </c>
      <c r="AC109" s="6">
        <v>102195810</v>
      </c>
      <c r="AD109" s="6">
        <v>0</v>
      </c>
      <c r="AE109" s="6">
        <f t="shared" si="14"/>
        <v>152750240</v>
      </c>
      <c r="AF109" s="6">
        <f t="shared" si="15"/>
        <v>0</v>
      </c>
      <c r="AG109" s="6">
        <f t="shared" si="16"/>
        <v>35264</v>
      </c>
      <c r="AH109" s="6">
        <f t="shared" si="17"/>
        <v>152714976</v>
      </c>
      <c r="AI109" s="6">
        <f t="shared" si="18"/>
        <v>9005006</v>
      </c>
      <c r="AJ109" s="6">
        <f t="shared" si="19"/>
        <v>1546816</v>
      </c>
      <c r="AK109" s="6">
        <f t="shared" si="20"/>
        <v>0</v>
      </c>
      <c r="AL109" s="6">
        <f t="shared" si="21"/>
        <v>8281153</v>
      </c>
      <c r="AM109" s="6">
        <f t="shared" si="22"/>
        <v>133881999.59999999</v>
      </c>
      <c r="AN109" s="10">
        <f t="shared" si="23"/>
        <v>5.896609642265864E-2</v>
      </c>
      <c r="AO109" s="10">
        <f t="shared" si="24"/>
        <v>1.0128777416040716E-2</v>
      </c>
      <c r="AP109" s="10">
        <f t="shared" si="25"/>
        <v>0</v>
      </c>
      <c r="AQ109" s="10">
        <f t="shared" si="26"/>
        <v>5.4226201102896415E-2</v>
      </c>
      <c r="AR109" s="10">
        <f t="shared" si="27"/>
        <v>0.87667891589099944</v>
      </c>
    </row>
    <row r="110" spans="1:44" x14ac:dyDescent="0.3">
      <c r="A110" t="s">
        <v>6</v>
      </c>
      <c r="B110" t="s">
        <v>7</v>
      </c>
      <c r="C110" t="s">
        <v>167</v>
      </c>
      <c r="D110" s="7">
        <v>2035</v>
      </c>
      <c r="E110" s="6">
        <v>0.94</v>
      </c>
      <c r="F110" s="6">
        <v>60.1</v>
      </c>
      <c r="G110" s="15">
        <v>142.69999999999999</v>
      </c>
      <c r="H110" s="15">
        <v>442.1</v>
      </c>
      <c r="I110" s="6">
        <v>162047660</v>
      </c>
      <c r="J110" s="6">
        <v>139237840</v>
      </c>
      <c r="K110" s="6">
        <v>4834731.5</v>
      </c>
      <c r="L110" s="6">
        <v>33218.400000000001</v>
      </c>
      <c r="M110" s="6">
        <v>0</v>
      </c>
      <c r="N110" s="6">
        <v>0</v>
      </c>
      <c r="O110" s="6">
        <v>7947599</v>
      </c>
      <c r="P110" s="6">
        <v>0</v>
      </c>
      <c r="Q110" s="6">
        <v>0</v>
      </c>
      <c r="R110" s="6">
        <v>1495340.1</v>
      </c>
      <c r="S110" s="6">
        <v>1185408.3999999999</v>
      </c>
      <c r="T110" s="6">
        <v>0</v>
      </c>
      <c r="U110" s="6">
        <v>545.4</v>
      </c>
      <c r="V110" s="6">
        <v>0</v>
      </c>
      <c r="W110" s="6">
        <v>373841.8</v>
      </c>
      <c r="X110" s="6">
        <v>8185299</v>
      </c>
      <c r="Y110" s="6">
        <v>0</v>
      </c>
      <c r="Z110" s="6">
        <v>249167.2</v>
      </c>
      <c r="AA110" s="6">
        <v>0</v>
      </c>
      <c r="AB110" s="6">
        <v>30889370</v>
      </c>
      <c r="AC110" s="6">
        <v>106853140</v>
      </c>
      <c r="AD110" s="6">
        <v>0</v>
      </c>
      <c r="AE110" s="6">
        <f t="shared" si="14"/>
        <v>162047660</v>
      </c>
      <c r="AF110" s="6">
        <f t="shared" si="15"/>
        <v>0</v>
      </c>
      <c r="AG110" s="6">
        <f t="shared" si="16"/>
        <v>33218.400000000001</v>
      </c>
      <c r="AH110" s="6">
        <f t="shared" si="17"/>
        <v>162014441.59999999</v>
      </c>
      <c r="AI110" s="6">
        <f t="shared" si="18"/>
        <v>7947599</v>
      </c>
      <c r="AJ110" s="6">
        <f t="shared" si="19"/>
        <v>1185953.7999999998</v>
      </c>
      <c r="AK110" s="6">
        <f t="shared" si="20"/>
        <v>0</v>
      </c>
      <c r="AL110" s="6">
        <f t="shared" si="21"/>
        <v>8185299</v>
      </c>
      <c r="AM110" s="6">
        <f t="shared" si="22"/>
        <v>144695590.59999999</v>
      </c>
      <c r="AN110" s="10">
        <f t="shared" si="23"/>
        <v>4.9054880055828309E-2</v>
      </c>
      <c r="AO110" s="10">
        <f t="shared" si="24"/>
        <v>7.3200499183154293E-3</v>
      </c>
      <c r="AP110" s="10">
        <f t="shared" si="25"/>
        <v>0</v>
      </c>
      <c r="AQ110" s="10">
        <f t="shared" si="26"/>
        <v>5.0522033216080904E-2</v>
      </c>
      <c r="AR110" s="10">
        <f t="shared" si="27"/>
        <v>0.8931030417476068</v>
      </c>
    </row>
    <row r="111" spans="1:44" x14ac:dyDescent="0.3">
      <c r="A111" t="s">
        <v>6</v>
      </c>
      <c r="B111" t="s">
        <v>7</v>
      </c>
      <c r="C111" t="s">
        <v>167</v>
      </c>
      <c r="D111" s="7">
        <v>2040</v>
      </c>
      <c r="E111" s="6">
        <v>0.96</v>
      </c>
      <c r="F111" s="6">
        <v>42.8</v>
      </c>
      <c r="G111" s="15">
        <v>174.5</v>
      </c>
      <c r="H111" s="15">
        <v>383.3</v>
      </c>
      <c r="I111" s="6">
        <v>167943120</v>
      </c>
      <c r="J111" s="6">
        <v>146913810</v>
      </c>
      <c r="K111" s="6">
        <v>5593400.5</v>
      </c>
      <c r="L111" s="6">
        <v>29922.3</v>
      </c>
      <c r="M111" s="6">
        <v>0</v>
      </c>
      <c r="N111" s="6">
        <v>0</v>
      </c>
      <c r="O111" s="6">
        <v>5790506.5</v>
      </c>
      <c r="P111" s="6">
        <v>0</v>
      </c>
      <c r="Q111" s="6">
        <v>0</v>
      </c>
      <c r="R111" s="6">
        <v>2206599.7999999998</v>
      </c>
      <c r="S111" s="6">
        <v>979299.4</v>
      </c>
      <c r="T111" s="6">
        <v>0</v>
      </c>
      <c r="U111" s="6">
        <v>419.6</v>
      </c>
      <c r="V111" s="6">
        <v>0</v>
      </c>
      <c r="W111" s="6">
        <v>345274.3</v>
      </c>
      <c r="X111" s="6">
        <v>8030335</v>
      </c>
      <c r="Y111" s="6">
        <v>0</v>
      </c>
      <c r="Z111" s="6">
        <v>260148.4</v>
      </c>
      <c r="AA111" s="6">
        <v>0</v>
      </c>
      <c r="AB111" s="6">
        <v>31277926</v>
      </c>
      <c r="AC111" s="6">
        <v>113429270</v>
      </c>
      <c r="AD111" s="6">
        <v>0</v>
      </c>
      <c r="AE111" s="6">
        <f t="shared" si="14"/>
        <v>167943120</v>
      </c>
      <c r="AF111" s="6">
        <f t="shared" si="15"/>
        <v>0</v>
      </c>
      <c r="AG111" s="6">
        <f t="shared" si="16"/>
        <v>29922.3</v>
      </c>
      <c r="AH111" s="6">
        <f t="shared" si="17"/>
        <v>167913197.69999999</v>
      </c>
      <c r="AI111" s="6">
        <f t="shared" si="18"/>
        <v>5790506.5</v>
      </c>
      <c r="AJ111" s="6">
        <f t="shared" si="19"/>
        <v>979719</v>
      </c>
      <c r="AK111" s="6">
        <f t="shared" si="20"/>
        <v>0</v>
      </c>
      <c r="AL111" s="6">
        <f t="shared" si="21"/>
        <v>8030335</v>
      </c>
      <c r="AM111" s="6">
        <f t="shared" si="22"/>
        <v>153112619</v>
      </c>
      <c r="AN111" s="10">
        <f t="shared" si="23"/>
        <v>3.4485118378518025E-2</v>
      </c>
      <c r="AO111" s="10">
        <f t="shared" si="24"/>
        <v>5.8346753764430279E-3</v>
      </c>
      <c r="AP111" s="10">
        <f t="shared" si="25"/>
        <v>0</v>
      </c>
      <c r="AQ111" s="10">
        <f t="shared" si="26"/>
        <v>4.7824322983517339E-2</v>
      </c>
      <c r="AR111" s="10">
        <f t="shared" si="27"/>
        <v>0.91185577487218572</v>
      </c>
    </row>
    <row r="112" spans="1:44" x14ac:dyDescent="0.3">
      <c r="A112" t="s">
        <v>6</v>
      </c>
      <c r="B112" t="s">
        <v>7</v>
      </c>
      <c r="C112" t="s">
        <v>167</v>
      </c>
      <c r="D112" s="7">
        <v>2045</v>
      </c>
      <c r="E112" s="6">
        <v>0.97</v>
      </c>
      <c r="F112" s="6">
        <v>25.5</v>
      </c>
      <c r="G112" s="15">
        <v>187.9</v>
      </c>
      <c r="H112" s="15">
        <v>326</v>
      </c>
      <c r="I112" s="6">
        <v>184405360</v>
      </c>
      <c r="J112" s="6">
        <v>166178880</v>
      </c>
      <c r="K112" s="6">
        <v>12867255</v>
      </c>
      <c r="L112" s="6">
        <v>26514.2</v>
      </c>
      <c r="M112" s="6">
        <v>0</v>
      </c>
      <c r="N112" s="6">
        <v>0</v>
      </c>
      <c r="O112" s="6">
        <v>3592008.8</v>
      </c>
      <c r="P112" s="6">
        <v>0</v>
      </c>
      <c r="Q112" s="6">
        <v>0</v>
      </c>
      <c r="R112" s="6">
        <v>2820658.2</v>
      </c>
      <c r="S112" s="6">
        <v>1155707.1000000001</v>
      </c>
      <c r="T112" s="6">
        <v>0</v>
      </c>
      <c r="U112" s="6">
        <v>428.7</v>
      </c>
      <c r="V112" s="6">
        <v>0</v>
      </c>
      <c r="W112" s="6">
        <v>308702.59999999998</v>
      </c>
      <c r="X112" s="6">
        <v>0</v>
      </c>
      <c r="Y112" s="6">
        <v>0</v>
      </c>
      <c r="Z112" s="6">
        <v>275866</v>
      </c>
      <c r="AA112" s="6">
        <v>0</v>
      </c>
      <c r="AB112" s="6">
        <v>45961796</v>
      </c>
      <c r="AC112" s="6">
        <v>117396430</v>
      </c>
      <c r="AD112" s="6">
        <v>0</v>
      </c>
      <c r="AE112" s="6">
        <f t="shared" si="14"/>
        <v>184405360</v>
      </c>
      <c r="AF112" s="6">
        <f t="shared" si="15"/>
        <v>0</v>
      </c>
      <c r="AG112" s="6">
        <f t="shared" si="16"/>
        <v>26514.2</v>
      </c>
      <c r="AH112" s="6">
        <f t="shared" si="17"/>
        <v>184378845.80000001</v>
      </c>
      <c r="AI112" s="6">
        <f t="shared" si="18"/>
        <v>3592008.8</v>
      </c>
      <c r="AJ112" s="6">
        <f t="shared" si="19"/>
        <v>1156135.8</v>
      </c>
      <c r="AK112" s="6">
        <f t="shared" si="20"/>
        <v>0</v>
      </c>
      <c r="AL112" s="6">
        <f t="shared" si="21"/>
        <v>0</v>
      </c>
      <c r="AM112" s="6">
        <f t="shared" si="22"/>
        <v>179630707.80000001</v>
      </c>
      <c r="AN112" s="10">
        <f t="shared" si="23"/>
        <v>1.9481675267109193E-2</v>
      </c>
      <c r="AO112" s="10">
        <f t="shared" si="24"/>
        <v>6.2704362584745064E-3</v>
      </c>
      <c r="AP112" s="10">
        <f t="shared" si="25"/>
        <v>0</v>
      </c>
      <c r="AQ112" s="10">
        <f t="shared" si="26"/>
        <v>0</v>
      </c>
      <c r="AR112" s="10">
        <f t="shared" si="27"/>
        <v>0.97424792427027984</v>
      </c>
    </row>
    <row r="113" spans="1:44" x14ac:dyDescent="0.3">
      <c r="A113" t="s">
        <v>6</v>
      </c>
      <c r="B113" t="s">
        <v>7</v>
      </c>
      <c r="C113" t="s">
        <v>167</v>
      </c>
      <c r="D113" s="7">
        <v>2050</v>
      </c>
      <c r="E113" s="6">
        <v>0.98</v>
      </c>
      <c r="F113" s="6">
        <v>21.7</v>
      </c>
      <c r="G113" s="15">
        <v>194.5</v>
      </c>
      <c r="H113" s="15">
        <v>306.60000000000002</v>
      </c>
      <c r="I113" s="6">
        <v>197935330</v>
      </c>
      <c r="J113" s="6">
        <v>179073970</v>
      </c>
      <c r="K113" s="6">
        <v>13616893</v>
      </c>
      <c r="L113" s="6">
        <v>25421.599999999999</v>
      </c>
      <c r="M113" s="6">
        <v>0</v>
      </c>
      <c r="N113" s="6">
        <v>0</v>
      </c>
      <c r="O113" s="6">
        <v>3147941.2</v>
      </c>
      <c r="P113" s="6">
        <v>0</v>
      </c>
      <c r="Q113" s="6">
        <v>0</v>
      </c>
      <c r="R113" s="6">
        <v>3476038.8</v>
      </c>
      <c r="S113" s="6">
        <v>1490927.5</v>
      </c>
      <c r="T113" s="6">
        <v>0</v>
      </c>
      <c r="U113" s="6">
        <v>59.9</v>
      </c>
      <c r="V113" s="6">
        <v>0</v>
      </c>
      <c r="W113" s="6">
        <v>294069.2</v>
      </c>
      <c r="X113" s="6">
        <v>0</v>
      </c>
      <c r="Y113" s="6">
        <v>0</v>
      </c>
      <c r="Z113" s="6">
        <v>286050.5</v>
      </c>
      <c r="AA113" s="6">
        <v>0</v>
      </c>
      <c r="AB113" s="6">
        <v>50433324</v>
      </c>
      <c r="AC113" s="6">
        <v>125164590</v>
      </c>
      <c r="AD113" s="6">
        <v>0</v>
      </c>
      <c r="AE113" s="6">
        <f t="shared" si="14"/>
        <v>197935330</v>
      </c>
      <c r="AF113" s="6">
        <f t="shared" si="15"/>
        <v>0</v>
      </c>
      <c r="AG113" s="6">
        <f t="shared" si="16"/>
        <v>25421.599999999999</v>
      </c>
      <c r="AH113" s="6">
        <f t="shared" si="17"/>
        <v>197909908.40000001</v>
      </c>
      <c r="AI113" s="6">
        <f t="shared" si="18"/>
        <v>3147941.2</v>
      </c>
      <c r="AJ113" s="6">
        <f t="shared" si="19"/>
        <v>1490987.4</v>
      </c>
      <c r="AK113" s="6">
        <f t="shared" si="20"/>
        <v>0</v>
      </c>
      <c r="AL113" s="6">
        <f t="shared" si="21"/>
        <v>0</v>
      </c>
      <c r="AM113" s="6">
        <f t="shared" si="22"/>
        <v>193270965.5</v>
      </c>
      <c r="AN113" s="10">
        <f t="shared" si="23"/>
        <v>1.5905930256092222E-2</v>
      </c>
      <c r="AO113" s="10">
        <f t="shared" si="24"/>
        <v>7.5336672734269217E-3</v>
      </c>
      <c r="AP113" s="10">
        <f t="shared" si="25"/>
        <v>0</v>
      </c>
      <c r="AQ113" s="10">
        <f t="shared" si="26"/>
        <v>0</v>
      </c>
      <c r="AR113" s="10">
        <f t="shared" si="27"/>
        <v>0.97656033021538191</v>
      </c>
    </row>
    <row r="114" spans="1:44" x14ac:dyDescent="0.3">
      <c r="A114" t="s">
        <v>6</v>
      </c>
      <c r="B114" t="s">
        <v>7</v>
      </c>
      <c r="C114" t="s">
        <v>168</v>
      </c>
      <c r="D114" s="7">
        <v>2024</v>
      </c>
      <c r="E114" s="6">
        <v>0.82</v>
      </c>
      <c r="F114" s="6">
        <v>120.4</v>
      </c>
      <c r="G114" s="15">
        <v>402</v>
      </c>
      <c r="H114" s="15">
        <v>680.7</v>
      </c>
      <c r="I114" s="6">
        <v>160916690</v>
      </c>
      <c r="J114" s="6">
        <v>129758480</v>
      </c>
      <c r="K114" s="6">
        <v>9346.2999999999993</v>
      </c>
      <c r="L114" s="6">
        <v>36560.300000000003</v>
      </c>
      <c r="M114" s="6">
        <v>0</v>
      </c>
      <c r="N114" s="6">
        <v>0</v>
      </c>
      <c r="O114" s="6">
        <v>6191877.5</v>
      </c>
      <c r="P114" s="6">
        <v>0</v>
      </c>
      <c r="Q114" s="6">
        <v>0</v>
      </c>
      <c r="R114" s="6">
        <v>534319.9</v>
      </c>
      <c r="S114" s="6">
        <v>21617812</v>
      </c>
      <c r="T114" s="6">
        <v>0</v>
      </c>
      <c r="U114" s="6">
        <v>203273.3</v>
      </c>
      <c r="V114" s="6">
        <v>0</v>
      </c>
      <c r="W114" s="6">
        <v>2510041</v>
      </c>
      <c r="X114" s="6">
        <v>0</v>
      </c>
      <c r="Y114" s="6">
        <v>234790.8</v>
      </c>
      <c r="Z114" s="6">
        <v>354511.3</v>
      </c>
      <c r="AA114" s="6">
        <v>0</v>
      </c>
      <c r="AB114" s="6">
        <v>27115088</v>
      </c>
      <c r="AC114" s="6">
        <v>102109064</v>
      </c>
      <c r="AD114" s="6">
        <v>0</v>
      </c>
      <c r="AE114" s="6">
        <f t="shared" si="14"/>
        <v>160916690</v>
      </c>
      <c r="AF114" s="6">
        <f t="shared" si="15"/>
        <v>0</v>
      </c>
      <c r="AG114" s="6">
        <f t="shared" si="16"/>
        <v>36560.300000000003</v>
      </c>
      <c r="AH114" s="6">
        <f t="shared" si="17"/>
        <v>160880129.69999999</v>
      </c>
      <c r="AI114" s="6">
        <f t="shared" si="18"/>
        <v>6191877.5</v>
      </c>
      <c r="AJ114" s="6">
        <f t="shared" si="19"/>
        <v>21821085.300000001</v>
      </c>
      <c r="AK114" s="6">
        <f t="shared" si="20"/>
        <v>234790.8</v>
      </c>
      <c r="AL114" s="6">
        <f t="shared" si="21"/>
        <v>0</v>
      </c>
      <c r="AM114" s="6">
        <f t="shared" si="22"/>
        <v>132632370.5</v>
      </c>
      <c r="AN114" s="10">
        <f t="shared" si="23"/>
        <v>3.8487521806118988E-2</v>
      </c>
      <c r="AO114" s="10">
        <f t="shared" si="24"/>
        <v>0.13563567695209289</v>
      </c>
      <c r="AP114" s="10">
        <f t="shared" si="25"/>
        <v>1.459414537008544E-3</v>
      </c>
      <c r="AQ114" s="10">
        <f t="shared" si="26"/>
        <v>0</v>
      </c>
      <c r="AR114" s="10">
        <f t="shared" si="27"/>
        <v>0.82441735189625476</v>
      </c>
    </row>
    <row r="115" spans="1:44" x14ac:dyDescent="0.3">
      <c r="A115" t="s">
        <v>6</v>
      </c>
      <c r="B115" t="s">
        <v>7</v>
      </c>
      <c r="C115" t="s">
        <v>168</v>
      </c>
      <c r="D115" s="7">
        <v>2026</v>
      </c>
      <c r="E115" s="6">
        <v>0.88</v>
      </c>
      <c r="F115" s="6">
        <v>81.099999999999994</v>
      </c>
      <c r="G115" s="15">
        <v>282.10000000000002</v>
      </c>
      <c r="H115" s="15">
        <v>588.20000000000005</v>
      </c>
      <c r="I115" s="6">
        <v>178190900</v>
      </c>
      <c r="J115" s="6">
        <v>152819400</v>
      </c>
      <c r="K115" s="6">
        <v>679966.9</v>
      </c>
      <c r="L115" s="6">
        <v>32133.9</v>
      </c>
      <c r="M115" s="6">
        <v>0</v>
      </c>
      <c r="N115" s="6">
        <v>0</v>
      </c>
      <c r="O115" s="6">
        <v>4134512</v>
      </c>
      <c r="P115" s="6">
        <v>0</v>
      </c>
      <c r="Q115" s="6">
        <v>0</v>
      </c>
      <c r="R115" s="6">
        <v>1084021.1000000001</v>
      </c>
      <c r="S115" s="6">
        <v>17492966</v>
      </c>
      <c r="T115" s="6">
        <v>0</v>
      </c>
      <c r="U115" s="6">
        <v>164534.9</v>
      </c>
      <c r="V115" s="6">
        <v>0</v>
      </c>
      <c r="W115" s="6">
        <v>2390127.5</v>
      </c>
      <c r="X115" s="6">
        <v>0</v>
      </c>
      <c r="Y115" s="6">
        <v>116739.2</v>
      </c>
      <c r="Z115" s="6">
        <v>360530.4</v>
      </c>
      <c r="AA115" s="6">
        <v>0</v>
      </c>
      <c r="AB115" s="6">
        <v>32022924</v>
      </c>
      <c r="AC115" s="6">
        <v>119712450</v>
      </c>
      <c r="AD115" s="6">
        <v>0</v>
      </c>
      <c r="AE115" s="6">
        <f t="shared" si="14"/>
        <v>178190900</v>
      </c>
      <c r="AF115" s="6">
        <f t="shared" si="15"/>
        <v>0</v>
      </c>
      <c r="AG115" s="6">
        <f t="shared" si="16"/>
        <v>32133.9</v>
      </c>
      <c r="AH115" s="6">
        <f t="shared" si="17"/>
        <v>178158766.09999999</v>
      </c>
      <c r="AI115" s="6">
        <f t="shared" si="18"/>
        <v>4134512</v>
      </c>
      <c r="AJ115" s="6">
        <f t="shared" si="19"/>
        <v>17657500.899999999</v>
      </c>
      <c r="AK115" s="6">
        <f t="shared" si="20"/>
        <v>116739.2</v>
      </c>
      <c r="AL115" s="6">
        <f t="shared" si="21"/>
        <v>0</v>
      </c>
      <c r="AM115" s="6">
        <f t="shared" si="22"/>
        <v>156250019.90000001</v>
      </c>
      <c r="AN115" s="10">
        <f t="shared" si="23"/>
        <v>2.3206896244888173E-2</v>
      </c>
      <c r="AO115" s="10">
        <f t="shared" si="24"/>
        <v>9.9111041721567011E-2</v>
      </c>
      <c r="AP115" s="10">
        <f t="shared" si="25"/>
        <v>6.552537523439886E-4</v>
      </c>
      <c r="AQ115" s="10">
        <f t="shared" si="26"/>
        <v>0</v>
      </c>
      <c r="AR115" s="10">
        <f t="shared" si="27"/>
        <v>0.87702684139773024</v>
      </c>
    </row>
    <row r="116" spans="1:44" x14ac:dyDescent="0.3">
      <c r="A116" t="s">
        <v>6</v>
      </c>
      <c r="B116" t="s">
        <v>7</v>
      </c>
      <c r="C116" t="s">
        <v>168</v>
      </c>
      <c r="D116" s="7">
        <v>2028</v>
      </c>
      <c r="E116" s="6">
        <v>0.93</v>
      </c>
      <c r="F116" s="6">
        <v>42.3</v>
      </c>
      <c r="G116" s="15">
        <v>177.5</v>
      </c>
      <c r="H116" s="15">
        <v>476.4</v>
      </c>
      <c r="I116" s="6">
        <v>216708530</v>
      </c>
      <c r="J116" s="6">
        <v>197896510</v>
      </c>
      <c r="K116" s="6">
        <v>947550.2</v>
      </c>
      <c r="L116" s="6">
        <v>28569.9</v>
      </c>
      <c r="M116" s="6">
        <v>0</v>
      </c>
      <c r="N116" s="6">
        <v>0</v>
      </c>
      <c r="O116" s="6">
        <v>1750309.4</v>
      </c>
      <c r="P116" s="6">
        <v>0</v>
      </c>
      <c r="Q116" s="6">
        <v>0</v>
      </c>
      <c r="R116" s="6">
        <v>1824935.6</v>
      </c>
      <c r="S116" s="6">
        <v>13223498</v>
      </c>
      <c r="T116" s="6">
        <v>0</v>
      </c>
      <c r="U116" s="6">
        <v>101658.5</v>
      </c>
      <c r="V116" s="6">
        <v>0</v>
      </c>
      <c r="W116" s="6">
        <v>2364779.2000000002</v>
      </c>
      <c r="X116" s="6">
        <v>0</v>
      </c>
      <c r="Y116" s="6">
        <v>76852</v>
      </c>
      <c r="Z116" s="6">
        <v>318812.40000000002</v>
      </c>
      <c r="AA116" s="6">
        <v>0</v>
      </c>
      <c r="AB116" s="6">
        <v>43887116</v>
      </c>
      <c r="AC116" s="6">
        <v>152184450</v>
      </c>
      <c r="AD116" s="6">
        <v>0</v>
      </c>
      <c r="AE116" s="6">
        <f t="shared" si="14"/>
        <v>216708530</v>
      </c>
      <c r="AF116" s="6">
        <f t="shared" si="15"/>
        <v>0</v>
      </c>
      <c r="AG116" s="6">
        <f t="shared" si="16"/>
        <v>28569.9</v>
      </c>
      <c r="AH116" s="6">
        <f t="shared" si="17"/>
        <v>216679960.09999999</v>
      </c>
      <c r="AI116" s="6">
        <f t="shared" si="18"/>
        <v>1750309.4</v>
      </c>
      <c r="AJ116" s="6">
        <f t="shared" si="19"/>
        <v>13325156.5</v>
      </c>
      <c r="AK116" s="6">
        <f t="shared" si="20"/>
        <v>76852</v>
      </c>
      <c r="AL116" s="6">
        <f t="shared" si="21"/>
        <v>0</v>
      </c>
      <c r="AM116" s="6">
        <f t="shared" si="22"/>
        <v>201527643.40000001</v>
      </c>
      <c r="AN116" s="10">
        <f t="shared" si="23"/>
        <v>8.0778554656933399E-3</v>
      </c>
      <c r="AO116" s="10">
        <f t="shared" si="24"/>
        <v>6.149694920494865E-2</v>
      </c>
      <c r="AP116" s="10">
        <f t="shared" si="25"/>
        <v>3.5467977732934797E-4</v>
      </c>
      <c r="AQ116" s="10">
        <f t="shared" si="26"/>
        <v>0</v>
      </c>
      <c r="AR116" s="10">
        <f t="shared" si="27"/>
        <v>0.93007052109015043</v>
      </c>
    </row>
    <row r="117" spans="1:44" x14ac:dyDescent="0.3">
      <c r="A117" t="s">
        <v>6</v>
      </c>
      <c r="B117" t="s">
        <v>7</v>
      </c>
      <c r="C117" t="s">
        <v>168</v>
      </c>
      <c r="D117" s="7">
        <v>2030</v>
      </c>
      <c r="E117" s="6">
        <v>0.95</v>
      </c>
      <c r="F117" s="6">
        <v>29.4</v>
      </c>
      <c r="G117" s="15">
        <v>120.8</v>
      </c>
      <c r="H117" s="15">
        <v>425.3</v>
      </c>
      <c r="I117" s="6">
        <v>218504420</v>
      </c>
      <c r="J117" s="6">
        <v>204027700</v>
      </c>
      <c r="K117" s="6">
        <v>1490269.4</v>
      </c>
      <c r="L117" s="6">
        <v>26257.5</v>
      </c>
      <c r="M117" s="6">
        <v>0</v>
      </c>
      <c r="N117" s="6">
        <v>0</v>
      </c>
      <c r="O117" s="6">
        <v>1507262.2</v>
      </c>
      <c r="P117" s="6">
        <v>0</v>
      </c>
      <c r="Q117" s="6">
        <v>0</v>
      </c>
      <c r="R117" s="6">
        <v>2905321.2</v>
      </c>
      <c r="S117" s="6">
        <v>8734374</v>
      </c>
      <c r="T117" s="6">
        <v>0</v>
      </c>
      <c r="U117" s="6">
        <v>49385</v>
      </c>
      <c r="V117" s="6">
        <v>0</v>
      </c>
      <c r="W117" s="6">
        <v>2309894.2000000002</v>
      </c>
      <c r="X117" s="6">
        <v>0</v>
      </c>
      <c r="Y117" s="6">
        <v>42156.7</v>
      </c>
      <c r="Z117" s="6">
        <v>317124.7</v>
      </c>
      <c r="AA117" s="6">
        <v>0</v>
      </c>
      <c r="AB117" s="6">
        <v>42816004</v>
      </c>
      <c r="AC117" s="6">
        <v>158306370</v>
      </c>
      <c r="AD117" s="6">
        <v>0</v>
      </c>
      <c r="AE117" s="6">
        <f t="shared" si="14"/>
        <v>218504420</v>
      </c>
      <c r="AF117" s="6">
        <f t="shared" si="15"/>
        <v>0</v>
      </c>
      <c r="AG117" s="6">
        <f t="shared" si="16"/>
        <v>26257.5</v>
      </c>
      <c r="AH117" s="6">
        <f t="shared" si="17"/>
        <v>218478162.5</v>
      </c>
      <c r="AI117" s="6">
        <f t="shared" si="18"/>
        <v>1507262.2</v>
      </c>
      <c r="AJ117" s="6">
        <f t="shared" si="19"/>
        <v>8783759</v>
      </c>
      <c r="AK117" s="6">
        <f t="shared" si="20"/>
        <v>42156.7</v>
      </c>
      <c r="AL117" s="6">
        <f t="shared" si="21"/>
        <v>0</v>
      </c>
      <c r="AM117" s="6">
        <f t="shared" si="22"/>
        <v>208144983.5</v>
      </c>
      <c r="AN117" s="10">
        <f t="shared" si="23"/>
        <v>6.8989146684168036E-3</v>
      </c>
      <c r="AO117" s="10">
        <f t="shared" si="24"/>
        <v>4.0204288151681977E-2</v>
      </c>
      <c r="AP117" s="10">
        <f t="shared" si="25"/>
        <v>1.9295612667925106E-4</v>
      </c>
      <c r="AQ117" s="10">
        <f t="shared" si="26"/>
        <v>0</v>
      </c>
      <c r="AR117" s="10">
        <f t="shared" si="27"/>
        <v>0.95270383601839381</v>
      </c>
    </row>
    <row r="118" spans="1:44" x14ac:dyDescent="0.3">
      <c r="A118" t="s">
        <v>6</v>
      </c>
      <c r="B118" t="s">
        <v>7</v>
      </c>
      <c r="C118" t="s">
        <v>168</v>
      </c>
      <c r="D118" s="7">
        <v>2035</v>
      </c>
      <c r="E118" s="6">
        <v>0.97</v>
      </c>
      <c r="F118" s="6">
        <v>20</v>
      </c>
      <c r="G118" s="15">
        <v>148.19999999999999</v>
      </c>
      <c r="H118" s="15">
        <v>383.6</v>
      </c>
      <c r="I118" s="6">
        <v>233729800</v>
      </c>
      <c r="J118" s="6">
        <v>219834110</v>
      </c>
      <c r="K118" s="6">
        <v>3865037.5</v>
      </c>
      <c r="L118" s="6">
        <v>24775.8</v>
      </c>
      <c r="M118" s="6">
        <v>0</v>
      </c>
      <c r="N118" s="6">
        <v>0</v>
      </c>
      <c r="O118" s="6">
        <v>1210587.3999999999</v>
      </c>
      <c r="P118" s="6">
        <v>0</v>
      </c>
      <c r="Q118" s="6">
        <v>0</v>
      </c>
      <c r="R118" s="6">
        <v>4824715</v>
      </c>
      <c r="S118" s="6">
        <v>6079635.5</v>
      </c>
      <c r="T118" s="6">
        <v>0</v>
      </c>
      <c r="U118" s="6">
        <v>127336</v>
      </c>
      <c r="V118" s="6">
        <v>0</v>
      </c>
      <c r="W118" s="6">
        <v>2263501.2000000002</v>
      </c>
      <c r="X118" s="6">
        <v>0</v>
      </c>
      <c r="Y118" s="6">
        <v>13246.1</v>
      </c>
      <c r="Z118" s="6">
        <v>311558.40000000002</v>
      </c>
      <c r="AA118" s="6">
        <v>0</v>
      </c>
      <c r="AB118" s="6">
        <v>45756464</v>
      </c>
      <c r="AC118" s="6">
        <v>169252930</v>
      </c>
      <c r="AD118" s="6">
        <v>0</v>
      </c>
      <c r="AE118" s="6">
        <f t="shared" si="14"/>
        <v>233729800</v>
      </c>
      <c r="AF118" s="6">
        <f t="shared" si="15"/>
        <v>0</v>
      </c>
      <c r="AG118" s="6">
        <f t="shared" si="16"/>
        <v>24775.8</v>
      </c>
      <c r="AH118" s="6">
        <f t="shared" si="17"/>
        <v>233705024.19999999</v>
      </c>
      <c r="AI118" s="6">
        <f t="shared" si="18"/>
        <v>1210587.3999999999</v>
      </c>
      <c r="AJ118" s="6">
        <f t="shared" si="19"/>
        <v>6206971.5</v>
      </c>
      <c r="AK118" s="6">
        <f t="shared" si="20"/>
        <v>13246.1</v>
      </c>
      <c r="AL118" s="6">
        <f t="shared" si="21"/>
        <v>0</v>
      </c>
      <c r="AM118" s="6">
        <f t="shared" si="22"/>
        <v>226274206.09999999</v>
      </c>
      <c r="AN118" s="10">
        <f t="shared" si="23"/>
        <v>5.1799802085726833E-3</v>
      </c>
      <c r="AO118" s="10">
        <f t="shared" si="24"/>
        <v>2.6558998982786953E-2</v>
      </c>
      <c r="AP118" s="10">
        <f t="shared" si="25"/>
        <v>5.6678713028712031E-5</v>
      </c>
      <c r="AQ118" s="10">
        <f t="shared" si="26"/>
        <v>0</v>
      </c>
      <c r="AR118" s="10">
        <f t="shared" si="27"/>
        <v>0.96820428604204567</v>
      </c>
    </row>
    <row r="119" spans="1:44" x14ac:dyDescent="0.3">
      <c r="A119" t="s">
        <v>6</v>
      </c>
      <c r="B119" t="s">
        <v>7</v>
      </c>
      <c r="C119" t="s">
        <v>168</v>
      </c>
      <c r="D119" s="7">
        <v>2040</v>
      </c>
      <c r="E119" s="6">
        <v>0.98</v>
      </c>
      <c r="F119" s="6">
        <v>13.3</v>
      </c>
      <c r="G119" s="15">
        <v>183.7</v>
      </c>
      <c r="H119" s="15">
        <v>336.7</v>
      </c>
      <c r="I119" s="6">
        <v>263556900</v>
      </c>
      <c r="J119" s="6">
        <v>249431040</v>
      </c>
      <c r="K119" s="6">
        <v>5782715.5</v>
      </c>
      <c r="L119" s="6">
        <v>23167.4</v>
      </c>
      <c r="M119" s="6">
        <v>0</v>
      </c>
      <c r="N119" s="6">
        <v>0</v>
      </c>
      <c r="O119" s="6">
        <v>719641.9</v>
      </c>
      <c r="P119" s="6">
        <v>0</v>
      </c>
      <c r="Q119" s="6">
        <v>0</v>
      </c>
      <c r="R119" s="6">
        <v>5768395.5</v>
      </c>
      <c r="S119" s="6">
        <v>4925827</v>
      </c>
      <c r="T119" s="6">
        <v>0</v>
      </c>
      <c r="U119" s="6">
        <v>146878.1</v>
      </c>
      <c r="V119" s="6">
        <v>0</v>
      </c>
      <c r="W119" s="6">
        <v>2187990.2000000002</v>
      </c>
      <c r="X119" s="6">
        <v>0</v>
      </c>
      <c r="Y119" s="6">
        <v>16005.1</v>
      </c>
      <c r="Z119" s="6">
        <v>323617.59999999998</v>
      </c>
      <c r="AA119" s="6">
        <v>0</v>
      </c>
      <c r="AB119" s="6">
        <v>57362732</v>
      </c>
      <c r="AC119" s="6">
        <v>186299920</v>
      </c>
      <c r="AD119" s="6">
        <v>0</v>
      </c>
      <c r="AE119" s="6">
        <f t="shared" si="14"/>
        <v>263556900</v>
      </c>
      <c r="AF119" s="6">
        <f t="shared" si="15"/>
        <v>0</v>
      </c>
      <c r="AG119" s="6">
        <f t="shared" si="16"/>
        <v>23167.4</v>
      </c>
      <c r="AH119" s="6">
        <f t="shared" si="17"/>
        <v>263533732.59999999</v>
      </c>
      <c r="AI119" s="6">
        <f t="shared" si="18"/>
        <v>719641.9</v>
      </c>
      <c r="AJ119" s="6">
        <f t="shared" si="19"/>
        <v>5072705.0999999996</v>
      </c>
      <c r="AK119" s="6">
        <f t="shared" si="20"/>
        <v>16005.1</v>
      </c>
      <c r="AL119" s="6">
        <f t="shared" si="21"/>
        <v>0</v>
      </c>
      <c r="AM119" s="6">
        <f t="shared" si="22"/>
        <v>257725370.80000001</v>
      </c>
      <c r="AN119" s="10">
        <f t="shared" si="23"/>
        <v>2.7307392222622813E-3</v>
      </c>
      <c r="AO119" s="10">
        <f t="shared" si="24"/>
        <v>1.9248788570454149E-2</v>
      </c>
      <c r="AP119" s="10">
        <f t="shared" si="25"/>
        <v>6.0732642618822E-5</v>
      </c>
      <c r="AQ119" s="10">
        <f t="shared" si="26"/>
        <v>0</v>
      </c>
      <c r="AR119" s="10">
        <f t="shared" si="27"/>
        <v>0.97795970275723265</v>
      </c>
    </row>
    <row r="120" spans="1:44" x14ac:dyDescent="0.3">
      <c r="A120" t="s">
        <v>6</v>
      </c>
      <c r="B120" t="s">
        <v>7</v>
      </c>
      <c r="C120" t="s">
        <v>168</v>
      </c>
      <c r="D120" s="7">
        <v>2045</v>
      </c>
      <c r="E120" s="6">
        <v>0.98</v>
      </c>
      <c r="F120" s="6">
        <v>13.2</v>
      </c>
      <c r="G120" s="15">
        <v>197.7</v>
      </c>
      <c r="H120" s="15">
        <v>275</v>
      </c>
      <c r="I120" s="6">
        <v>268785950</v>
      </c>
      <c r="J120" s="6">
        <v>252286460</v>
      </c>
      <c r="K120" s="6">
        <v>7937841</v>
      </c>
      <c r="L120" s="6">
        <v>21318.799999999999</v>
      </c>
      <c r="M120" s="6">
        <v>0</v>
      </c>
      <c r="N120" s="6">
        <v>0</v>
      </c>
      <c r="O120" s="6">
        <v>611646.4</v>
      </c>
      <c r="P120" s="6">
        <v>0</v>
      </c>
      <c r="Q120" s="6">
        <v>0</v>
      </c>
      <c r="R120" s="6">
        <v>6207740</v>
      </c>
      <c r="S120" s="6">
        <v>5316621.5</v>
      </c>
      <c r="T120" s="6">
        <v>0</v>
      </c>
      <c r="U120" s="6">
        <v>185278.8</v>
      </c>
      <c r="V120" s="6">
        <v>0</v>
      </c>
      <c r="W120" s="6">
        <v>2089831.8</v>
      </c>
      <c r="X120" s="6">
        <v>0</v>
      </c>
      <c r="Y120" s="6">
        <v>3680.9</v>
      </c>
      <c r="Z120" s="6">
        <v>333266.40000000002</v>
      </c>
      <c r="AA120" s="6">
        <v>0</v>
      </c>
      <c r="AB120" s="6">
        <v>59430860</v>
      </c>
      <c r="AC120" s="6">
        <v>186647860</v>
      </c>
      <c r="AD120" s="6">
        <v>0</v>
      </c>
      <c r="AE120" s="6">
        <f t="shared" si="14"/>
        <v>268785950</v>
      </c>
      <c r="AF120" s="6">
        <f t="shared" si="15"/>
        <v>0</v>
      </c>
      <c r="AG120" s="6">
        <f t="shared" si="16"/>
        <v>21318.799999999999</v>
      </c>
      <c r="AH120" s="6">
        <f t="shared" si="17"/>
        <v>268764631.19999999</v>
      </c>
      <c r="AI120" s="6">
        <f t="shared" si="18"/>
        <v>611646.4</v>
      </c>
      <c r="AJ120" s="6">
        <f t="shared" si="19"/>
        <v>5501900.2999999998</v>
      </c>
      <c r="AK120" s="6">
        <f t="shared" si="20"/>
        <v>3680.9</v>
      </c>
      <c r="AL120" s="6">
        <f t="shared" si="21"/>
        <v>0</v>
      </c>
      <c r="AM120" s="6">
        <f t="shared" si="22"/>
        <v>262647399.19999999</v>
      </c>
      <c r="AN120" s="10">
        <f t="shared" si="23"/>
        <v>2.275769684683124E-3</v>
      </c>
      <c r="AO120" s="10">
        <f t="shared" si="24"/>
        <v>2.0471072683316674E-2</v>
      </c>
      <c r="AP120" s="10">
        <f t="shared" si="25"/>
        <v>1.3695626480185464E-5</v>
      </c>
      <c r="AQ120" s="10">
        <f t="shared" si="26"/>
        <v>0</v>
      </c>
      <c r="AR120" s="10">
        <f t="shared" si="27"/>
        <v>0.9772394456343183</v>
      </c>
    </row>
    <row r="121" spans="1:44" x14ac:dyDescent="0.3">
      <c r="A121" t="s">
        <v>6</v>
      </c>
      <c r="B121" t="s">
        <v>7</v>
      </c>
      <c r="C121" t="s">
        <v>168</v>
      </c>
      <c r="D121" s="7">
        <v>2050</v>
      </c>
      <c r="E121" s="6">
        <v>0.97</v>
      </c>
      <c r="F121" s="6">
        <v>19.8</v>
      </c>
      <c r="G121" s="15">
        <v>195.2</v>
      </c>
      <c r="H121" s="15">
        <v>258.2</v>
      </c>
      <c r="I121" s="6">
        <v>285764350</v>
      </c>
      <c r="J121" s="6">
        <v>265485470</v>
      </c>
      <c r="K121" s="6">
        <v>9320718</v>
      </c>
      <c r="L121" s="6">
        <v>19998.8</v>
      </c>
      <c r="M121" s="6">
        <v>0</v>
      </c>
      <c r="N121" s="6">
        <v>0</v>
      </c>
      <c r="O121" s="6">
        <v>1762359.6</v>
      </c>
      <c r="P121" s="6">
        <v>0</v>
      </c>
      <c r="Q121" s="6">
        <v>0</v>
      </c>
      <c r="R121" s="6">
        <v>7155432</v>
      </c>
      <c r="S121" s="6">
        <v>6480914</v>
      </c>
      <c r="T121" s="6">
        <v>0</v>
      </c>
      <c r="U121" s="6">
        <v>287205.90000000002</v>
      </c>
      <c r="V121" s="6">
        <v>0</v>
      </c>
      <c r="W121" s="6">
        <v>2055137.8</v>
      </c>
      <c r="X121" s="6">
        <v>0</v>
      </c>
      <c r="Y121" s="6">
        <v>0</v>
      </c>
      <c r="Z121" s="6">
        <v>352550.1</v>
      </c>
      <c r="AA121" s="6">
        <v>0</v>
      </c>
      <c r="AB121" s="6">
        <v>61810060</v>
      </c>
      <c r="AC121" s="6">
        <v>196519970</v>
      </c>
      <c r="AD121" s="6">
        <v>0</v>
      </c>
      <c r="AE121" s="6">
        <f t="shared" si="14"/>
        <v>285764350</v>
      </c>
      <c r="AF121" s="6">
        <f t="shared" si="15"/>
        <v>0</v>
      </c>
      <c r="AG121" s="6">
        <f t="shared" si="16"/>
        <v>19998.8</v>
      </c>
      <c r="AH121" s="6">
        <f t="shared" si="17"/>
        <v>285744351.19999999</v>
      </c>
      <c r="AI121" s="6">
        <f t="shared" si="18"/>
        <v>1762359.6</v>
      </c>
      <c r="AJ121" s="6">
        <f t="shared" si="19"/>
        <v>6768119.9000000004</v>
      </c>
      <c r="AK121" s="6">
        <f t="shared" si="20"/>
        <v>0</v>
      </c>
      <c r="AL121" s="6">
        <f t="shared" si="21"/>
        <v>0</v>
      </c>
      <c r="AM121" s="6">
        <f t="shared" si="22"/>
        <v>277213867.89999998</v>
      </c>
      <c r="AN121" s="10">
        <f t="shared" si="23"/>
        <v>6.1676095873772086E-3</v>
      </c>
      <c r="AO121" s="10">
        <f t="shared" si="24"/>
        <v>2.3685927198829611E-2</v>
      </c>
      <c r="AP121" s="10">
        <f t="shared" si="25"/>
        <v>0</v>
      </c>
      <c r="AQ121" s="10">
        <f t="shared" si="26"/>
        <v>0</v>
      </c>
      <c r="AR121" s="10">
        <f t="shared" si="27"/>
        <v>0.9701464499151925</v>
      </c>
    </row>
    <row r="122" spans="1:44" x14ac:dyDescent="0.3">
      <c r="A122" t="s">
        <v>6</v>
      </c>
      <c r="B122" t="s">
        <v>7</v>
      </c>
      <c r="C122" t="s">
        <v>169</v>
      </c>
      <c r="D122" s="7">
        <v>2024</v>
      </c>
      <c r="E122" s="6">
        <v>0.28999999999999998</v>
      </c>
      <c r="F122" s="6">
        <v>448.2</v>
      </c>
      <c r="G122" s="15">
        <v>502.1</v>
      </c>
      <c r="H122" s="15">
        <v>900</v>
      </c>
      <c r="I122" s="6">
        <v>179502030</v>
      </c>
      <c r="J122" s="6">
        <v>4932861.5</v>
      </c>
      <c r="K122" s="6">
        <v>0</v>
      </c>
      <c r="L122" s="6">
        <v>1257300.8999999999</v>
      </c>
      <c r="M122" s="6">
        <v>0</v>
      </c>
      <c r="N122" s="6">
        <v>0</v>
      </c>
      <c r="O122" s="6">
        <v>17421412</v>
      </c>
      <c r="P122" s="6">
        <v>0</v>
      </c>
      <c r="Q122" s="6">
        <v>0</v>
      </c>
      <c r="R122" s="6">
        <v>1963266.8</v>
      </c>
      <c r="S122" s="6">
        <v>100081780</v>
      </c>
      <c r="T122" s="6">
        <v>0</v>
      </c>
      <c r="U122" s="6">
        <v>1206081.3999999999</v>
      </c>
      <c r="V122" s="6">
        <v>0</v>
      </c>
      <c r="W122" s="6">
        <v>3562735.2</v>
      </c>
      <c r="X122" s="6">
        <v>42739950</v>
      </c>
      <c r="Y122" s="6">
        <v>8278518.5</v>
      </c>
      <c r="Z122" s="6">
        <v>21389.1</v>
      </c>
      <c r="AA122" s="6">
        <v>0</v>
      </c>
      <c r="AB122" s="6">
        <v>2969594.8</v>
      </c>
      <c r="AC122" s="6">
        <v>0</v>
      </c>
      <c r="AD122" s="6">
        <v>0</v>
      </c>
      <c r="AE122" s="6">
        <f t="shared" si="14"/>
        <v>179502030</v>
      </c>
      <c r="AF122" s="6">
        <f t="shared" si="15"/>
        <v>0</v>
      </c>
      <c r="AG122" s="6">
        <f t="shared" si="16"/>
        <v>1257300.8999999999</v>
      </c>
      <c r="AH122" s="6">
        <f t="shared" si="17"/>
        <v>178244729.09999999</v>
      </c>
      <c r="AI122" s="6">
        <f t="shared" si="18"/>
        <v>17421412</v>
      </c>
      <c r="AJ122" s="6">
        <f t="shared" si="19"/>
        <v>101287861.40000001</v>
      </c>
      <c r="AK122" s="6">
        <f t="shared" si="20"/>
        <v>8278518.5</v>
      </c>
      <c r="AL122" s="6">
        <f t="shared" si="21"/>
        <v>42739950</v>
      </c>
      <c r="AM122" s="6">
        <f t="shared" si="22"/>
        <v>8516985.8999999985</v>
      </c>
      <c r="AN122" s="10">
        <f t="shared" si="23"/>
        <v>9.7738721857105401E-2</v>
      </c>
      <c r="AO122" s="10">
        <f t="shared" si="24"/>
        <v>0.56825164991653043</v>
      </c>
      <c r="AP122" s="10">
        <f t="shared" si="25"/>
        <v>4.6444674924191069E-2</v>
      </c>
      <c r="AQ122" s="10">
        <f t="shared" si="26"/>
        <v>0.23978240599766493</v>
      </c>
      <c r="AR122" s="10">
        <f t="shared" si="27"/>
        <v>4.7782540011164901E-2</v>
      </c>
    </row>
    <row r="123" spans="1:44" x14ac:dyDescent="0.3">
      <c r="A123" t="s">
        <v>6</v>
      </c>
      <c r="B123" t="s">
        <v>7</v>
      </c>
      <c r="C123" t="s">
        <v>169</v>
      </c>
      <c r="D123" s="7">
        <v>2026</v>
      </c>
      <c r="E123" s="6">
        <v>0.32</v>
      </c>
      <c r="F123" s="6">
        <v>412.2</v>
      </c>
      <c r="G123" s="15">
        <v>463.1</v>
      </c>
      <c r="H123" s="15">
        <v>850.4</v>
      </c>
      <c r="I123" s="6">
        <v>171694110</v>
      </c>
      <c r="J123" s="6">
        <v>7679065</v>
      </c>
      <c r="K123" s="6">
        <v>156740.4</v>
      </c>
      <c r="L123" s="6">
        <v>1257221.5</v>
      </c>
      <c r="M123" s="6">
        <v>0</v>
      </c>
      <c r="N123" s="6">
        <v>0</v>
      </c>
      <c r="O123" s="6">
        <v>14324112</v>
      </c>
      <c r="P123" s="6">
        <v>0</v>
      </c>
      <c r="Q123" s="6">
        <v>0</v>
      </c>
      <c r="R123" s="6">
        <v>3219074.5</v>
      </c>
      <c r="S123" s="6">
        <v>95605580</v>
      </c>
      <c r="T123" s="6">
        <v>0</v>
      </c>
      <c r="U123" s="6">
        <v>1108319.8999999999</v>
      </c>
      <c r="V123" s="6">
        <v>0</v>
      </c>
      <c r="W123" s="6">
        <v>3565020</v>
      </c>
      <c r="X123" s="6">
        <v>42695656</v>
      </c>
      <c r="Y123" s="6">
        <v>5279232.5</v>
      </c>
      <c r="Z123" s="6">
        <v>23154.799999999999</v>
      </c>
      <c r="AA123" s="6">
        <v>0</v>
      </c>
      <c r="AB123" s="6">
        <v>4459990.5</v>
      </c>
      <c r="AC123" s="6">
        <v>0</v>
      </c>
      <c r="AD123" s="6">
        <v>0</v>
      </c>
      <c r="AE123" s="6">
        <f t="shared" si="14"/>
        <v>171694110</v>
      </c>
      <c r="AF123" s="6">
        <f t="shared" si="15"/>
        <v>0</v>
      </c>
      <c r="AG123" s="6">
        <f t="shared" si="16"/>
        <v>1257221.5</v>
      </c>
      <c r="AH123" s="6">
        <f t="shared" si="17"/>
        <v>170436888.5</v>
      </c>
      <c r="AI123" s="6">
        <f t="shared" si="18"/>
        <v>14324112</v>
      </c>
      <c r="AJ123" s="6">
        <f t="shared" si="19"/>
        <v>96713899.900000006</v>
      </c>
      <c r="AK123" s="6">
        <f t="shared" si="20"/>
        <v>5279232.5</v>
      </c>
      <c r="AL123" s="6">
        <f t="shared" si="21"/>
        <v>42695656</v>
      </c>
      <c r="AM123" s="6">
        <f t="shared" si="22"/>
        <v>11423980.199999999</v>
      </c>
      <c r="AN123" s="10">
        <f t="shared" si="23"/>
        <v>8.404349625286664E-2</v>
      </c>
      <c r="AO123" s="10">
        <f t="shared" si="24"/>
        <v>0.56744699314315405</v>
      </c>
      <c r="AP123" s="10">
        <f t="shared" si="25"/>
        <v>3.0974705924650812E-2</v>
      </c>
      <c r="AQ123" s="10">
        <f t="shared" si="26"/>
        <v>0.25050713126577639</v>
      </c>
      <c r="AR123" s="10">
        <f t="shared" si="27"/>
        <v>6.7027627062084039E-2</v>
      </c>
    </row>
    <row r="124" spans="1:44" x14ac:dyDescent="0.3">
      <c r="A124" t="s">
        <v>6</v>
      </c>
      <c r="B124" t="s">
        <v>7</v>
      </c>
      <c r="C124" t="s">
        <v>169</v>
      </c>
      <c r="D124" s="7">
        <v>2028</v>
      </c>
      <c r="E124" s="6">
        <v>0.42</v>
      </c>
      <c r="F124" s="6">
        <v>328.6</v>
      </c>
      <c r="G124" s="15">
        <v>403.6</v>
      </c>
      <c r="H124" s="15">
        <v>711.8</v>
      </c>
      <c r="I124" s="6">
        <v>153709260</v>
      </c>
      <c r="J124" s="6">
        <v>17172898</v>
      </c>
      <c r="K124" s="6">
        <v>963033.7</v>
      </c>
      <c r="L124" s="6">
        <v>1236358.5</v>
      </c>
      <c r="M124" s="6">
        <v>0</v>
      </c>
      <c r="N124" s="6">
        <v>0</v>
      </c>
      <c r="O124" s="6">
        <v>6317735</v>
      </c>
      <c r="P124" s="6">
        <v>0</v>
      </c>
      <c r="Q124" s="6">
        <v>0</v>
      </c>
      <c r="R124" s="6">
        <v>4743119</v>
      </c>
      <c r="S124" s="6">
        <v>78948870</v>
      </c>
      <c r="T124" s="6">
        <v>0</v>
      </c>
      <c r="U124" s="6">
        <v>552443.80000000005</v>
      </c>
      <c r="V124" s="6">
        <v>0</v>
      </c>
      <c r="W124" s="6">
        <v>3489615.2</v>
      </c>
      <c r="X124" s="6">
        <v>41724764</v>
      </c>
      <c r="Y124" s="6">
        <v>3258982.5</v>
      </c>
      <c r="Z124" s="6">
        <v>44553.2</v>
      </c>
      <c r="AA124" s="6">
        <v>0</v>
      </c>
      <c r="AB124" s="6">
        <v>12429779</v>
      </c>
      <c r="AC124" s="6">
        <v>0</v>
      </c>
      <c r="AD124" s="6">
        <v>0</v>
      </c>
      <c r="AE124" s="6">
        <f t="shared" si="14"/>
        <v>153709260</v>
      </c>
      <c r="AF124" s="6">
        <f t="shared" si="15"/>
        <v>0</v>
      </c>
      <c r="AG124" s="6">
        <f t="shared" si="16"/>
        <v>1236358.5</v>
      </c>
      <c r="AH124" s="6">
        <f t="shared" si="17"/>
        <v>152472901.5</v>
      </c>
      <c r="AI124" s="6">
        <f t="shared" si="18"/>
        <v>6317735</v>
      </c>
      <c r="AJ124" s="6">
        <f t="shared" si="19"/>
        <v>79501313.799999997</v>
      </c>
      <c r="AK124" s="6">
        <f t="shared" si="20"/>
        <v>3258982.5</v>
      </c>
      <c r="AL124" s="6">
        <f t="shared" si="21"/>
        <v>41724764</v>
      </c>
      <c r="AM124" s="6">
        <f t="shared" si="22"/>
        <v>21670100.100000001</v>
      </c>
      <c r="AN124" s="10">
        <f t="shared" si="23"/>
        <v>4.1435133311213339E-2</v>
      </c>
      <c r="AO124" s="10">
        <f t="shared" si="24"/>
        <v>0.52141274297190443</v>
      </c>
      <c r="AP124" s="10">
        <f t="shared" si="25"/>
        <v>2.1374175134982919E-2</v>
      </c>
      <c r="AQ124" s="10">
        <f t="shared" si="26"/>
        <v>0.27365363674147697</v>
      </c>
      <c r="AR124" s="10">
        <f t="shared" si="27"/>
        <v>0.14212427183331328</v>
      </c>
    </row>
    <row r="125" spans="1:44" x14ac:dyDescent="0.3">
      <c r="A125" t="s">
        <v>6</v>
      </c>
      <c r="B125" t="s">
        <v>7</v>
      </c>
      <c r="C125" t="s">
        <v>169</v>
      </c>
      <c r="D125" s="7">
        <v>2030</v>
      </c>
      <c r="E125" s="6">
        <v>0.54</v>
      </c>
      <c r="F125" s="6">
        <v>253.1</v>
      </c>
      <c r="G125" s="15">
        <v>394.7</v>
      </c>
      <c r="H125" s="15">
        <v>642.6</v>
      </c>
      <c r="I125" s="6">
        <v>147110900</v>
      </c>
      <c r="J125" s="6">
        <v>32882820</v>
      </c>
      <c r="K125" s="6">
        <v>1386516</v>
      </c>
      <c r="L125" s="6">
        <v>1074333.8</v>
      </c>
      <c r="M125" s="6">
        <v>0</v>
      </c>
      <c r="N125" s="6">
        <v>0</v>
      </c>
      <c r="O125" s="6">
        <v>5025003</v>
      </c>
      <c r="P125" s="6">
        <v>0</v>
      </c>
      <c r="Q125" s="6">
        <v>0</v>
      </c>
      <c r="R125" s="6">
        <v>7006830.5</v>
      </c>
      <c r="S125" s="6">
        <v>61290828</v>
      </c>
      <c r="T125" s="6">
        <v>0</v>
      </c>
      <c r="U125" s="6">
        <v>246640</v>
      </c>
      <c r="V125" s="6">
        <v>0</v>
      </c>
      <c r="W125" s="6">
        <v>3335918</v>
      </c>
      <c r="X125" s="6">
        <v>40748356</v>
      </c>
      <c r="Y125" s="6">
        <v>1069066.3999999999</v>
      </c>
      <c r="Z125" s="6">
        <v>51417.5</v>
      </c>
      <c r="AA125" s="6">
        <v>0</v>
      </c>
      <c r="AB125" s="6">
        <v>25875986</v>
      </c>
      <c r="AC125" s="6">
        <v>0</v>
      </c>
      <c r="AD125" s="6">
        <v>0</v>
      </c>
      <c r="AE125" s="6">
        <f t="shared" si="14"/>
        <v>147110900</v>
      </c>
      <c r="AF125" s="6">
        <f t="shared" si="15"/>
        <v>0</v>
      </c>
      <c r="AG125" s="6">
        <f t="shared" si="16"/>
        <v>1074333.8</v>
      </c>
      <c r="AH125" s="6">
        <f t="shared" si="17"/>
        <v>146036566.19999999</v>
      </c>
      <c r="AI125" s="6">
        <f t="shared" si="18"/>
        <v>5025003</v>
      </c>
      <c r="AJ125" s="6">
        <f t="shared" si="19"/>
        <v>61537468</v>
      </c>
      <c r="AK125" s="6">
        <f t="shared" si="20"/>
        <v>1069066.3999999999</v>
      </c>
      <c r="AL125" s="6">
        <f t="shared" si="21"/>
        <v>40748356</v>
      </c>
      <c r="AM125" s="6">
        <f t="shared" si="22"/>
        <v>37656668</v>
      </c>
      <c r="AN125" s="10">
        <f t="shared" si="23"/>
        <v>3.4409210862423031E-2</v>
      </c>
      <c r="AO125" s="10">
        <f t="shared" si="24"/>
        <v>0.42138396979098519</v>
      </c>
      <c r="AP125" s="10">
        <f t="shared" si="25"/>
        <v>7.3205391486396093E-3</v>
      </c>
      <c r="AQ125" s="10">
        <f t="shared" si="26"/>
        <v>0.27902844513746178</v>
      </c>
      <c r="AR125" s="10">
        <f t="shared" si="27"/>
        <v>0.25785780219201021</v>
      </c>
    </row>
    <row r="126" spans="1:44" x14ac:dyDescent="0.3">
      <c r="A126" t="s">
        <v>6</v>
      </c>
      <c r="B126" t="s">
        <v>7</v>
      </c>
      <c r="C126" t="s">
        <v>169</v>
      </c>
      <c r="D126" s="7">
        <v>2035</v>
      </c>
      <c r="E126" s="6">
        <v>0.68</v>
      </c>
      <c r="F126" s="6">
        <v>173.2</v>
      </c>
      <c r="G126" s="15">
        <v>368.2</v>
      </c>
      <c r="H126" s="15">
        <v>582</v>
      </c>
      <c r="I126" s="6">
        <v>158464860</v>
      </c>
      <c r="J126" s="6">
        <v>54127430</v>
      </c>
      <c r="K126" s="6">
        <v>9823999</v>
      </c>
      <c r="L126" s="6">
        <v>999862.9</v>
      </c>
      <c r="M126" s="6">
        <v>0</v>
      </c>
      <c r="N126" s="6">
        <v>0</v>
      </c>
      <c r="O126" s="6">
        <v>4229098.5</v>
      </c>
      <c r="P126" s="6">
        <v>0</v>
      </c>
      <c r="Q126" s="6">
        <v>0</v>
      </c>
      <c r="R126" s="6">
        <v>9392998</v>
      </c>
      <c r="S126" s="6">
        <v>45401720</v>
      </c>
      <c r="T126" s="6">
        <v>0</v>
      </c>
      <c r="U126" s="6">
        <v>128464.3</v>
      </c>
      <c r="V126" s="6">
        <v>0</v>
      </c>
      <c r="W126" s="6">
        <v>3191800.2</v>
      </c>
      <c r="X126" s="6">
        <v>40189132</v>
      </c>
      <c r="Y126" s="6">
        <v>316699.8</v>
      </c>
      <c r="Z126" s="6">
        <v>56652.9</v>
      </c>
      <c r="AA126" s="6">
        <v>0</v>
      </c>
      <c r="AB126" s="6">
        <v>44734430</v>
      </c>
      <c r="AC126" s="6">
        <v>0</v>
      </c>
      <c r="AD126" s="6">
        <v>0</v>
      </c>
      <c r="AE126" s="6">
        <f t="shared" si="14"/>
        <v>158464860</v>
      </c>
      <c r="AF126" s="6">
        <f t="shared" si="15"/>
        <v>0</v>
      </c>
      <c r="AG126" s="6">
        <f t="shared" si="16"/>
        <v>999862.9</v>
      </c>
      <c r="AH126" s="6">
        <f t="shared" si="17"/>
        <v>157464997.09999999</v>
      </c>
      <c r="AI126" s="6">
        <f t="shared" si="18"/>
        <v>4229098.5</v>
      </c>
      <c r="AJ126" s="6">
        <f t="shared" si="19"/>
        <v>45530184.299999997</v>
      </c>
      <c r="AK126" s="6">
        <f t="shared" si="20"/>
        <v>316699.8</v>
      </c>
      <c r="AL126" s="6">
        <f t="shared" si="21"/>
        <v>40189132</v>
      </c>
      <c r="AM126" s="6">
        <f t="shared" si="22"/>
        <v>67199880.099999994</v>
      </c>
      <c r="AN126" s="10">
        <f t="shared" si="23"/>
        <v>2.6857387850547264E-2</v>
      </c>
      <c r="AO126" s="10">
        <f t="shared" si="24"/>
        <v>0.28914479496091133</v>
      </c>
      <c r="AP126" s="10">
        <f t="shared" si="25"/>
        <v>2.011239360064739E-3</v>
      </c>
      <c r="AQ126" s="10">
        <f t="shared" si="26"/>
        <v>0.25522581361035696</v>
      </c>
      <c r="AR126" s="10">
        <f t="shared" si="27"/>
        <v>0.42676074897663713</v>
      </c>
    </row>
    <row r="127" spans="1:44" x14ac:dyDescent="0.3">
      <c r="A127" t="s">
        <v>6</v>
      </c>
      <c r="B127" t="s">
        <v>7</v>
      </c>
      <c r="C127" t="s">
        <v>169</v>
      </c>
      <c r="D127" s="7">
        <v>2040</v>
      </c>
      <c r="E127" s="6">
        <v>0.79</v>
      </c>
      <c r="F127" s="6">
        <v>113.1</v>
      </c>
      <c r="G127" s="15">
        <v>335</v>
      </c>
      <c r="H127" s="15">
        <v>469.3</v>
      </c>
      <c r="I127" s="6">
        <v>184309920</v>
      </c>
      <c r="J127" s="6">
        <v>91835080</v>
      </c>
      <c r="K127" s="6">
        <v>11532590</v>
      </c>
      <c r="L127" s="6">
        <v>888804.2</v>
      </c>
      <c r="M127" s="6">
        <v>0</v>
      </c>
      <c r="N127" s="6">
        <v>0</v>
      </c>
      <c r="O127" s="6">
        <v>2695899.2</v>
      </c>
      <c r="P127" s="6">
        <v>0</v>
      </c>
      <c r="Q127" s="6">
        <v>0</v>
      </c>
      <c r="R127" s="6">
        <v>9905564</v>
      </c>
      <c r="S127" s="6">
        <v>34962332</v>
      </c>
      <c r="T127" s="6">
        <v>0</v>
      </c>
      <c r="U127" s="6">
        <v>578720.6</v>
      </c>
      <c r="V127" s="6">
        <v>0</v>
      </c>
      <c r="W127" s="6">
        <v>2937283.5</v>
      </c>
      <c r="X127" s="6">
        <v>38590244</v>
      </c>
      <c r="Y127" s="6">
        <v>230621.7</v>
      </c>
      <c r="Z127" s="6">
        <v>58351.4</v>
      </c>
      <c r="AA127" s="6">
        <v>0</v>
      </c>
      <c r="AB127" s="6">
        <v>52603844</v>
      </c>
      <c r="AC127" s="6">
        <v>29325670</v>
      </c>
      <c r="AD127" s="6">
        <v>0</v>
      </c>
      <c r="AE127" s="6">
        <f t="shared" si="14"/>
        <v>184309920</v>
      </c>
      <c r="AF127" s="6">
        <f t="shared" si="15"/>
        <v>0</v>
      </c>
      <c r="AG127" s="6">
        <f t="shared" si="16"/>
        <v>888804.2</v>
      </c>
      <c r="AH127" s="6">
        <f t="shared" si="17"/>
        <v>183421115.80000001</v>
      </c>
      <c r="AI127" s="6">
        <f t="shared" si="18"/>
        <v>2695899.2</v>
      </c>
      <c r="AJ127" s="6">
        <f t="shared" si="19"/>
        <v>35541052.600000001</v>
      </c>
      <c r="AK127" s="6">
        <f t="shared" si="20"/>
        <v>230621.7</v>
      </c>
      <c r="AL127" s="6">
        <f t="shared" si="21"/>
        <v>38590244</v>
      </c>
      <c r="AM127" s="6">
        <f t="shared" si="22"/>
        <v>106363302.90000001</v>
      </c>
      <c r="AN127" s="10">
        <f t="shared" si="23"/>
        <v>1.4697867190708694E-2</v>
      </c>
      <c r="AO127" s="10">
        <f t="shared" si="24"/>
        <v>0.19376750841900614</v>
      </c>
      <c r="AP127" s="10">
        <f t="shared" si="25"/>
        <v>1.257334516771051E-3</v>
      </c>
      <c r="AQ127" s="10">
        <f t="shared" si="26"/>
        <v>0.21039150171825527</v>
      </c>
      <c r="AR127" s="10">
        <f t="shared" si="27"/>
        <v>0.57988581323415977</v>
      </c>
    </row>
    <row r="128" spans="1:44" x14ac:dyDescent="0.3">
      <c r="A128" t="s">
        <v>6</v>
      </c>
      <c r="B128" t="s">
        <v>7</v>
      </c>
      <c r="C128" t="s">
        <v>169</v>
      </c>
      <c r="D128" s="7">
        <v>2045</v>
      </c>
      <c r="E128" s="6">
        <v>0.78</v>
      </c>
      <c r="F128" s="6">
        <v>113.3</v>
      </c>
      <c r="G128" s="15">
        <v>269.3</v>
      </c>
      <c r="H128" s="15">
        <v>411.4</v>
      </c>
      <c r="I128" s="6">
        <v>197095760</v>
      </c>
      <c r="J128" s="6">
        <v>98486936</v>
      </c>
      <c r="K128" s="6">
        <v>14612122</v>
      </c>
      <c r="L128" s="6">
        <v>769774.8</v>
      </c>
      <c r="M128" s="6">
        <v>0</v>
      </c>
      <c r="N128" s="6">
        <v>0</v>
      </c>
      <c r="O128" s="6">
        <v>1867316.4</v>
      </c>
      <c r="P128" s="6">
        <v>0</v>
      </c>
      <c r="Q128" s="6">
        <v>0</v>
      </c>
      <c r="R128" s="6">
        <v>10295074</v>
      </c>
      <c r="S128" s="6">
        <v>39406196</v>
      </c>
      <c r="T128" s="6">
        <v>0</v>
      </c>
      <c r="U128" s="6">
        <v>949876.4</v>
      </c>
      <c r="V128" s="6">
        <v>0</v>
      </c>
      <c r="W128" s="6">
        <v>2791347.5</v>
      </c>
      <c r="X128" s="6">
        <v>37975856</v>
      </c>
      <c r="Y128" s="6">
        <v>172748.79999999999</v>
      </c>
      <c r="Z128" s="6">
        <v>63586.9</v>
      </c>
      <c r="AA128" s="6">
        <v>0</v>
      </c>
      <c r="AB128" s="6">
        <v>59263508</v>
      </c>
      <c r="AC128" s="6">
        <v>28928352</v>
      </c>
      <c r="AD128" s="6">
        <v>0</v>
      </c>
      <c r="AE128" s="6">
        <f t="shared" si="14"/>
        <v>197095760</v>
      </c>
      <c r="AF128" s="6">
        <f t="shared" si="15"/>
        <v>0</v>
      </c>
      <c r="AG128" s="6">
        <f t="shared" si="16"/>
        <v>769774.8</v>
      </c>
      <c r="AH128" s="6">
        <f t="shared" si="17"/>
        <v>196325985.19999999</v>
      </c>
      <c r="AI128" s="6">
        <f t="shared" si="18"/>
        <v>1867316.4</v>
      </c>
      <c r="AJ128" s="6">
        <f t="shared" si="19"/>
        <v>40356072.399999999</v>
      </c>
      <c r="AK128" s="6">
        <f t="shared" si="20"/>
        <v>172748.79999999999</v>
      </c>
      <c r="AL128" s="6">
        <f t="shared" si="21"/>
        <v>37975856</v>
      </c>
      <c r="AM128" s="6">
        <f t="shared" si="22"/>
        <v>115953990.40000001</v>
      </c>
      <c r="AN128" s="10">
        <f t="shared" si="23"/>
        <v>9.5113053837358255E-3</v>
      </c>
      <c r="AO128" s="10">
        <f t="shared" si="24"/>
        <v>0.20555644918266275</v>
      </c>
      <c r="AP128" s="10">
        <f t="shared" si="25"/>
        <v>8.7990797460671551E-4</v>
      </c>
      <c r="AQ128" s="10">
        <f t="shared" si="26"/>
        <v>0.19343265213371258</v>
      </c>
      <c r="AR128" s="10">
        <f t="shared" si="27"/>
        <v>0.59061967921299907</v>
      </c>
    </row>
    <row r="129" spans="1:44" x14ac:dyDescent="0.3">
      <c r="A129" t="s">
        <v>6</v>
      </c>
      <c r="B129" t="s">
        <v>7</v>
      </c>
      <c r="C129" t="s">
        <v>169</v>
      </c>
      <c r="D129" s="7">
        <v>2050</v>
      </c>
      <c r="E129" s="6">
        <v>0.73</v>
      </c>
      <c r="F129" s="6">
        <v>150.80000000000001</v>
      </c>
      <c r="G129" s="15">
        <v>243</v>
      </c>
      <c r="H129" s="15">
        <v>412.1</v>
      </c>
      <c r="I129" s="6">
        <v>191515040</v>
      </c>
      <c r="J129" s="6">
        <v>118718540</v>
      </c>
      <c r="K129" s="6">
        <v>11762512</v>
      </c>
      <c r="L129" s="6">
        <v>712965.9</v>
      </c>
      <c r="M129" s="6">
        <v>0</v>
      </c>
      <c r="N129" s="6">
        <v>0</v>
      </c>
      <c r="O129" s="6">
        <v>4476564</v>
      </c>
      <c r="P129" s="6">
        <v>0</v>
      </c>
      <c r="Q129" s="6">
        <v>0</v>
      </c>
      <c r="R129" s="6">
        <v>11058710</v>
      </c>
      <c r="S129" s="6">
        <v>44569390</v>
      </c>
      <c r="T129" s="6">
        <v>0</v>
      </c>
      <c r="U129" s="6">
        <v>3017475.2</v>
      </c>
      <c r="V129" s="6">
        <v>0</v>
      </c>
      <c r="W129" s="6">
        <v>2695592.2</v>
      </c>
      <c r="X129" s="6">
        <v>5481923.5</v>
      </c>
      <c r="Y129" s="6">
        <v>15765</v>
      </c>
      <c r="Z129" s="6">
        <v>64295.9</v>
      </c>
      <c r="AA129" s="6">
        <v>0</v>
      </c>
      <c r="AB129" s="6">
        <v>69368620</v>
      </c>
      <c r="AC129" s="6">
        <v>38291212</v>
      </c>
      <c r="AD129" s="6">
        <v>0</v>
      </c>
      <c r="AE129" s="6">
        <f t="shared" si="14"/>
        <v>191515040</v>
      </c>
      <c r="AF129" s="6">
        <f t="shared" si="15"/>
        <v>0</v>
      </c>
      <c r="AG129" s="6">
        <f t="shared" si="16"/>
        <v>712965.9</v>
      </c>
      <c r="AH129" s="6">
        <f t="shared" si="17"/>
        <v>190802074.09999999</v>
      </c>
      <c r="AI129" s="6">
        <f t="shared" si="18"/>
        <v>4476564</v>
      </c>
      <c r="AJ129" s="6">
        <f t="shared" si="19"/>
        <v>47586865.200000003</v>
      </c>
      <c r="AK129" s="6">
        <f t="shared" si="20"/>
        <v>15765</v>
      </c>
      <c r="AL129" s="6">
        <f t="shared" si="21"/>
        <v>5481923.5</v>
      </c>
      <c r="AM129" s="6">
        <f t="shared" si="22"/>
        <v>133240942.09999999</v>
      </c>
      <c r="AN129" s="10">
        <f t="shared" si="23"/>
        <v>2.3461820428921639E-2</v>
      </c>
      <c r="AO129" s="10">
        <f t="shared" si="24"/>
        <v>0.24940433915335516</v>
      </c>
      <c r="AP129" s="10">
        <f t="shared" si="25"/>
        <v>8.2624887985952985E-5</v>
      </c>
      <c r="AQ129" s="10">
        <f t="shared" si="26"/>
        <v>2.8730942920080136E-2</v>
      </c>
      <c r="AR129" s="10">
        <f t="shared" si="27"/>
        <v>0.69832019766288278</v>
      </c>
    </row>
    <row r="130" spans="1:44" x14ac:dyDescent="0.3">
      <c r="A130" t="s">
        <v>6</v>
      </c>
      <c r="B130" t="s">
        <v>7</v>
      </c>
      <c r="C130" t="s">
        <v>170</v>
      </c>
      <c r="D130" s="7">
        <v>2024</v>
      </c>
      <c r="E130" s="6">
        <v>0.45</v>
      </c>
      <c r="F130" s="6">
        <v>601.70000000000005</v>
      </c>
      <c r="G130" s="15">
        <v>429.7</v>
      </c>
      <c r="H130" s="15">
        <v>946.5</v>
      </c>
      <c r="I130" s="6">
        <v>138350560</v>
      </c>
      <c r="J130" s="6">
        <v>28137254</v>
      </c>
      <c r="K130" s="6">
        <v>0</v>
      </c>
      <c r="L130" s="6">
        <v>86434</v>
      </c>
      <c r="M130" s="6">
        <v>0</v>
      </c>
      <c r="N130" s="6">
        <v>0</v>
      </c>
      <c r="O130" s="6">
        <v>69213544</v>
      </c>
      <c r="P130" s="6">
        <v>0</v>
      </c>
      <c r="Q130" s="6">
        <v>0</v>
      </c>
      <c r="R130" s="6">
        <v>253480</v>
      </c>
      <c r="S130" s="6">
        <v>6280804</v>
      </c>
      <c r="T130" s="6">
        <v>0</v>
      </c>
      <c r="U130" s="6">
        <v>470421.4</v>
      </c>
      <c r="V130" s="6">
        <v>0</v>
      </c>
      <c r="W130" s="6">
        <v>835184.3</v>
      </c>
      <c r="X130" s="6">
        <v>32962404</v>
      </c>
      <c r="Y130" s="6">
        <v>15038</v>
      </c>
      <c r="Z130" s="6">
        <v>349477.4</v>
      </c>
      <c r="AA130" s="6">
        <v>0</v>
      </c>
      <c r="AB130" s="6">
        <v>8109447</v>
      </c>
      <c r="AC130" s="6">
        <v>19774328</v>
      </c>
      <c r="AD130" s="6">
        <v>0</v>
      </c>
      <c r="AE130" s="6">
        <f t="shared" si="14"/>
        <v>138350560</v>
      </c>
      <c r="AF130" s="6">
        <f t="shared" si="15"/>
        <v>0</v>
      </c>
      <c r="AG130" s="6">
        <f t="shared" si="16"/>
        <v>86434</v>
      </c>
      <c r="AH130" s="6">
        <f t="shared" si="17"/>
        <v>138264126</v>
      </c>
      <c r="AI130" s="6">
        <f t="shared" si="18"/>
        <v>69213544</v>
      </c>
      <c r="AJ130" s="6">
        <f t="shared" si="19"/>
        <v>6751225.4000000004</v>
      </c>
      <c r="AK130" s="6">
        <f t="shared" si="20"/>
        <v>15038</v>
      </c>
      <c r="AL130" s="6">
        <f t="shared" si="21"/>
        <v>32962404</v>
      </c>
      <c r="AM130" s="6">
        <f t="shared" si="22"/>
        <v>29321916.699999999</v>
      </c>
      <c r="AN130" s="10">
        <f t="shared" si="23"/>
        <v>0.50058931410740626</v>
      </c>
      <c r="AO130" s="10">
        <f t="shared" si="24"/>
        <v>4.8828467624349649E-2</v>
      </c>
      <c r="AP130" s="10">
        <f t="shared" si="25"/>
        <v>1.0876284713216211E-4</v>
      </c>
      <c r="AQ130" s="10">
        <f t="shared" si="26"/>
        <v>0.23840170949332151</v>
      </c>
      <c r="AR130" s="10">
        <f t="shared" si="27"/>
        <v>0.21207176111611192</v>
      </c>
    </row>
    <row r="131" spans="1:44" x14ac:dyDescent="0.3">
      <c r="A131" t="s">
        <v>6</v>
      </c>
      <c r="B131" t="s">
        <v>7</v>
      </c>
      <c r="C131" t="s">
        <v>170</v>
      </c>
      <c r="D131" s="7">
        <v>2026</v>
      </c>
      <c r="E131" s="6">
        <v>0.5</v>
      </c>
      <c r="F131" s="6">
        <v>544.1</v>
      </c>
      <c r="G131" s="15">
        <v>332</v>
      </c>
      <c r="H131" s="15">
        <v>905.1</v>
      </c>
      <c r="I131" s="6">
        <v>127709230</v>
      </c>
      <c r="J131" s="6">
        <v>29792908</v>
      </c>
      <c r="K131" s="6">
        <v>151590.20000000001</v>
      </c>
      <c r="L131" s="6">
        <v>85341.4</v>
      </c>
      <c r="M131" s="6">
        <v>0</v>
      </c>
      <c r="N131" s="6">
        <v>0</v>
      </c>
      <c r="O131" s="6">
        <v>57821972</v>
      </c>
      <c r="P131" s="6">
        <v>0</v>
      </c>
      <c r="Q131" s="6">
        <v>0</v>
      </c>
      <c r="R131" s="6">
        <v>400653.3</v>
      </c>
      <c r="S131" s="6">
        <v>5497168.5</v>
      </c>
      <c r="T131" s="6">
        <v>0</v>
      </c>
      <c r="U131" s="6">
        <v>274054.7</v>
      </c>
      <c r="V131" s="6">
        <v>0</v>
      </c>
      <c r="W131" s="6">
        <v>835807.8</v>
      </c>
      <c r="X131" s="6">
        <v>32926858</v>
      </c>
      <c r="Y131" s="6">
        <v>10313.9</v>
      </c>
      <c r="Z131" s="6">
        <v>313225.2</v>
      </c>
      <c r="AA131" s="6">
        <v>0</v>
      </c>
      <c r="AB131" s="6">
        <v>9010284</v>
      </c>
      <c r="AC131" s="6">
        <v>20381970</v>
      </c>
      <c r="AD131" s="6">
        <v>0</v>
      </c>
      <c r="AE131" s="6">
        <f t="shared" ref="AE131:AE161" si="28">I131</f>
        <v>127709230</v>
      </c>
      <c r="AF131" s="6">
        <f t="shared" ref="AF131:AF161" si="29">N131</f>
        <v>0</v>
      </c>
      <c r="AG131" s="6">
        <f t="shared" ref="AG131:AG161" si="30">SUM(L131,M131)</f>
        <v>85341.4</v>
      </c>
      <c r="AH131" s="6">
        <f t="shared" ref="AH131:AH161" si="31">AE131-AF131-AG131</f>
        <v>127623888.59999999</v>
      </c>
      <c r="AI131" s="6">
        <f t="shared" ref="AI131:AI161" si="32">SUM(O131,P131)</f>
        <v>57821972</v>
      </c>
      <c r="AJ131" s="6">
        <f t="shared" ref="AJ131:AJ161" si="33">SUM(S131,T131,U131)</f>
        <v>5771223.2000000002</v>
      </c>
      <c r="AK131" s="6">
        <f t="shared" ref="AK131:AK161" si="34">Y131</f>
        <v>10313.9</v>
      </c>
      <c r="AL131" s="6">
        <f t="shared" ref="AL131:AL161" si="35">X131</f>
        <v>32926858</v>
      </c>
      <c r="AM131" s="6">
        <f t="shared" ref="AM131:AM161" si="36">SUM(K131,Q131,R131,V131,W131,Z131,AA131,AB131,AC131,AD131)</f>
        <v>31093530.5</v>
      </c>
      <c r="AN131" s="10">
        <f t="shared" ref="AN131:AN161" si="37">AI131/AH131</f>
        <v>0.45306543025989576</v>
      </c>
      <c r="AO131" s="10">
        <f t="shared" ref="AO131:AO161" si="38">AJ131/AH131</f>
        <v>4.522055598923351E-2</v>
      </c>
      <c r="AP131" s="10">
        <f t="shared" ref="AP131:AP161" si="39">AK131/AH131</f>
        <v>8.0814807581407606E-5</v>
      </c>
      <c r="AQ131" s="10">
        <f t="shared" ref="AQ131:AQ161" si="40">AL131/AH131</f>
        <v>0.25799917524218113</v>
      </c>
      <c r="AR131" s="10">
        <f t="shared" ref="AR131:AR161" si="41">AM131/AH131</f>
        <v>0.2436340942208213</v>
      </c>
    </row>
    <row r="132" spans="1:44" x14ac:dyDescent="0.3">
      <c r="A132" t="s">
        <v>6</v>
      </c>
      <c r="B132" t="s">
        <v>7</v>
      </c>
      <c r="C132" t="s">
        <v>170</v>
      </c>
      <c r="D132" s="7">
        <v>2028</v>
      </c>
      <c r="E132" s="6">
        <v>0.79</v>
      </c>
      <c r="F132" s="6">
        <v>223.7</v>
      </c>
      <c r="G132" s="15">
        <v>246.8</v>
      </c>
      <c r="H132" s="15">
        <v>688.9</v>
      </c>
      <c r="I132" s="6">
        <v>168247170</v>
      </c>
      <c r="J132" s="6">
        <v>99136110</v>
      </c>
      <c r="K132" s="6">
        <v>1624942.2</v>
      </c>
      <c r="L132" s="6">
        <v>71293.5</v>
      </c>
      <c r="M132" s="6">
        <v>0</v>
      </c>
      <c r="N132" s="6">
        <v>0</v>
      </c>
      <c r="O132" s="6">
        <v>31497962</v>
      </c>
      <c r="P132" s="6">
        <v>0</v>
      </c>
      <c r="Q132" s="6">
        <v>0</v>
      </c>
      <c r="R132" s="6">
        <v>689844.4</v>
      </c>
      <c r="S132" s="6">
        <v>3174471.5</v>
      </c>
      <c r="T132" s="6">
        <v>0</v>
      </c>
      <c r="U132" s="6">
        <v>163448.4</v>
      </c>
      <c r="V132" s="6">
        <v>0</v>
      </c>
      <c r="W132" s="6">
        <v>873433.59999999998</v>
      </c>
      <c r="X132" s="6">
        <v>31045956</v>
      </c>
      <c r="Y132" s="6">
        <v>3561.9</v>
      </c>
      <c r="Z132" s="6">
        <v>655982.30000000005</v>
      </c>
      <c r="AA132" s="6">
        <v>0</v>
      </c>
      <c r="AB132" s="6">
        <v>23616792</v>
      </c>
      <c r="AC132" s="6">
        <v>74829470</v>
      </c>
      <c r="AD132" s="6">
        <v>0</v>
      </c>
      <c r="AE132" s="6">
        <f t="shared" si="28"/>
        <v>168247170</v>
      </c>
      <c r="AF132" s="6">
        <f t="shared" si="29"/>
        <v>0</v>
      </c>
      <c r="AG132" s="6">
        <f t="shared" si="30"/>
        <v>71293.5</v>
      </c>
      <c r="AH132" s="6">
        <f t="shared" si="31"/>
        <v>168175876.5</v>
      </c>
      <c r="AI132" s="6">
        <f t="shared" si="32"/>
        <v>31497962</v>
      </c>
      <c r="AJ132" s="6">
        <f t="shared" si="33"/>
        <v>3337919.9</v>
      </c>
      <c r="AK132" s="6">
        <f t="shared" si="34"/>
        <v>3561.9</v>
      </c>
      <c r="AL132" s="6">
        <f t="shared" si="35"/>
        <v>31045956</v>
      </c>
      <c r="AM132" s="6">
        <f t="shared" si="36"/>
        <v>102290464.5</v>
      </c>
      <c r="AN132" s="10">
        <f t="shared" si="37"/>
        <v>0.18729179627614428</v>
      </c>
      <c r="AO132" s="10">
        <f t="shared" si="38"/>
        <v>1.9847792498349191E-2</v>
      </c>
      <c r="AP132" s="10">
        <f t="shared" si="39"/>
        <v>2.1179613117699435E-5</v>
      </c>
      <c r="AQ132" s="10">
        <f t="shared" si="40"/>
        <v>0.18460409807942937</v>
      </c>
      <c r="AR132" s="10">
        <f t="shared" si="41"/>
        <v>0.60823506098985602</v>
      </c>
    </row>
    <row r="133" spans="1:44" x14ac:dyDescent="0.3">
      <c r="A133" t="s">
        <v>6</v>
      </c>
      <c r="B133" t="s">
        <v>7</v>
      </c>
      <c r="C133" t="s">
        <v>170</v>
      </c>
      <c r="D133" s="7">
        <v>2030</v>
      </c>
      <c r="E133" s="6">
        <v>0.87</v>
      </c>
      <c r="F133" s="6">
        <v>144.1</v>
      </c>
      <c r="G133" s="15">
        <v>202.7</v>
      </c>
      <c r="H133" s="15">
        <v>581.29999999999995</v>
      </c>
      <c r="I133" s="6">
        <v>197507740</v>
      </c>
      <c r="J133" s="6">
        <v>137330720</v>
      </c>
      <c r="K133" s="6">
        <v>3157490</v>
      </c>
      <c r="L133" s="6">
        <v>60011.7</v>
      </c>
      <c r="M133" s="6">
        <v>0</v>
      </c>
      <c r="N133" s="6">
        <v>0</v>
      </c>
      <c r="O133" s="6">
        <v>24308108</v>
      </c>
      <c r="P133" s="6">
        <v>0</v>
      </c>
      <c r="Q133" s="6">
        <v>0</v>
      </c>
      <c r="R133" s="6">
        <v>1191037.5</v>
      </c>
      <c r="S133" s="6">
        <v>1376548</v>
      </c>
      <c r="T133" s="6">
        <v>0</v>
      </c>
      <c r="U133" s="6">
        <v>81047.199999999997</v>
      </c>
      <c r="V133" s="6">
        <v>0</v>
      </c>
      <c r="W133" s="6">
        <v>846437.6</v>
      </c>
      <c r="X133" s="6">
        <v>29685956</v>
      </c>
      <c r="Y133" s="6">
        <v>1131.8</v>
      </c>
      <c r="Z133" s="6">
        <v>660292.80000000005</v>
      </c>
      <c r="AA133" s="6">
        <v>0</v>
      </c>
      <c r="AB133" s="6">
        <v>31205236</v>
      </c>
      <c r="AC133" s="6">
        <v>104934450</v>
      </c>
      <c r="AD133" s="6">
        <v>0</v>
      </c>
      <c r="AE133" s="6">
        <f t="shared" si="28"/>
        <v>197507740</v>
      </c>
      <c r="AF133" s="6">
        <f t="shared" si="29"/>
        <v>0</v>
      </c>
      <c r="AG133" s="6">
        <f t="shared" si="30"/>
        <v>60011.7</v>
      </c>
      <c r="AH133" s="6">
        <f t="shared" si="31"/>
        <v>197447728.30000001</v>
      </c>
      <c r="AI133" s="6">
        <f t="shared" si="32"/>
        <v>24308108</v>
      </c>
      <c r="AJ133" s="6">
        <f t="shared" si="33"/>
        <v>1457595.2</v>
      </c>
      <c r="AK133" s="6">
        <f t="shared" si="34"/>
        <v>1131.8</v>
      </c>
      <c r="AL133" s="6">
        <f t="shared" si="35"/>
        <v>29685956</v>
      </c>
      <c r="AM133" s="6">
        <f t="shared" si="36"/>
        <v>141994943.90000001</v>
      </c>
      <c r="AN133" s="10">
        <f t="shared" si="37"/>
        <v>0.1231116114086991</v>
      </c>
      <c r="AO133" s="10">
        <f t="shared" si="38"/>
        <v>7.3821826796879883E-3</v>
      </c>
      <c r="AP133" s="10">
        <f t="shared" si="39"/>
        <v>5.7321500213988532E-6</v>
      </c>
      <c r="AQ133" s="10">
        <f t="shared" si="40"/>
        <v>0.15034843021792313</v>
      </c>
      <c r="AR133" s="10">
        <f t="shared" si="41"/>
        <v>0.71915207697023675</v>
      </c>
    </row>
    <row r="134" spans="1:44" x14ac:dyDescent="0.3">
      <c r="A134" t="s">
        <v>6</v>
      </c>
      <c r="B134" t="s">
        <v>7</v>
      </c>
      <c r="C134" t="s">
        <v>170</v>
      </c>
      <c r="D134" s="7">
        <v>2035</v>
      </c>
      <c r="E134" s="6">
        <v>0.9</v>
      </c>
      <c r="F134" s="6">
        <v>116.1</v>
      </c>
      <c r="G134" s="15">
        <v>241.3</v>
      </c>
      <c r="H134" s="15">
        <v>537.4</v>
      </c>
      <c r="I134" s="6">
        <v>216131550</v>
      </c>
      <c r="J134" s="6">
        <v>159054940</v>
      </c>
      <c r="K134" s="6">
        <v>3668142.5</v>
      </c>
      <c r="L134" s="6">
        <v>56814.1</v>
      </c>
      <c r="M134" s="6">
        <v>0</v>
      </c>
      <c r="N134" s="6">
        <v>0</v>
      </c>
      <c r="O134" s="6">
        <v>21405384</v>
      </c>
      <c r="P134" s="6">
        <v>0</v>
      </c>
      <c r="Q134" s="6">
        <v>0</v>
      </c>
      <c r="R134" s="6">
        <v>1843955.8</v>
      </c>
      <c r="S134" s="6">
        <v>983142.3</v>
      </c>
      <c r="T134" s="6">
        <v>0</v>
      </c>
      <c r="U134" s="6">
        <v>162460.4</v>
      </c>
      <c r="V134" s="6">
        <v>0</v>
      </c>
      <c r="W134" s="6">
        <v>836330.2</v>
      </c>
      <c r="X134" s="6">
        <v>29320780</v>
      </c>
      <c r="Y134" s="6">
        <v>431</v>
      </c>
      <c r="Z134" s="6">
        <v>643137.19999999995</v>
      </c>
      <c r="AA134" s="6">
        <v>0</v>
      </c>
      <c r="AB134" s="6">
        <v>38956028</v>
      </c>
      <c r="AC134" s="6">
        <v>118254960</v>
      </c>
      <c r="AD134" s="6">
        <v>0</v>
      </c>
      <c r="AE134" s="6">
        <f t="shared" si="28"/>
        <v>216131550</v>
      </c>
      <c r="AF134" s="6">
        <f t="shared" si="29"/>
        <v>0</v>
      </c>
      <c r="AG134" s="6">
        <f t="shared" si="30"/>
        <v>56814.1</v>
      </c>
      <c r="AH134" s="6">
        <f t="shared" si="31"/>
        <v>216074735.90000001</v>
      </c>
      <c r="AI134" s="6">
        <f t="shared" si="32"/>
        <v>21405384</v>
      </c>
      <c r="AJ134" s="6">
        <f t="shared" si="33"/>
        <v>1145602.7</v>
      </c>
      <c r="AK134" s="6">
        <f t="shared" si="34"/>
        <v>431</v>
      </c>
      <c r="AL134" s="6">
        <f t="shared" si="35"/>
        <v>29320780</v>
      </c>
      <c r="AM134" s="6">
        <f t="shared" si="36"/>
        <v>164202553.69999999</v>
      </c>
      <c r="AN134" s="10">
        <f t="shared" si="37"/>
        <v>9.9064723651479877E-2</v>
      </c>
      <c r="AO134" s="10">
        <f t="shared" si="38"/>
        <v>5.3018817550710235E-3</v>
      </c>
      <c r="AP134" s="10">
        <f t="shared" si="39"/>
        <v>1.9946802119405018E-6</v>
      </c>
      <c r="AQ134" s="10">
        <f t="shared" si="40"/>
        <v>0.13569740061406224</v>
      </c>
      <c r="AR134" s="10">
        <f t="shared" si="41"/>
        <v>0.75993407103361399</v>
      </c>
    </row>
    <row r="135" spans="1:44" x14ac:dyDescent="0.3">
      <c r="A135" t="s">
        <v>6</v>
      </c>
      <c r="B135" t="s">
        <v>7</v>
      </c>
      <c r="C135" t="s">
        <v>170</v>
      </c>
      <c r="D135" s="7">
        <v>2040</v>
      </c>
      <c r="E135" s="6">
        <v>0.93</v>
      </c>
      <c r="F135" s="6">
        <v>78.099999999999994</v>
      </c>
      <c r="G135" s="15">
        <v>221.5</v>
      </c>
      <c r="H135" s="15">
        <v>473.4</v>
      </c>
      <c r="I135" s="6">
        <v>211242530</v>
      </c>
      <c r="J135" s="6">
        <v>161515950</v>
      </c>
      <c r="K135" s="6">
        <v>4402308.5</v>
      </c>
      <c r="L135" s="6">
        <v>52189.3</v>
      </c>
      <c r="M135" s="6">
        <v>0</v>
      </c>
      <c r="N135" s="6">
        <v>0</v>
      </c>
      <c r="O135" s="6">
        <v>13655462</v>
      </c>
      <c r="P135" s="6">
        <v>0</v>
      </c>
      <c r="Q135" s="6">
        <v>0</v>
      </c>
      <c r="R135" s="6">
        <v>2238587.7999999998</v>
      </c>
      <c r="S135" s="6">
        <v>1085276.2</v>
      </c>
      <c r="T135" s="6">
        <v>0</v>
      </c>
      <c r="U135" s="6">
        <v>200912.1</v>
      </c>
      <c r="V135" s="6">
        <v>0</v>
      </c>
      <c r="W135" s="6">
        <v>819711.6</v>
      </c>
      <c r="X135" s="6">
        <v>28827956</v>
      </c>
      <c r="Y135" s="6">
        <v>342.1</v>
      </c>
      <c r="Z135" s="6">
        <v>682417.8</v>
      </c>
      <c r="AA135" s="6">
        <v>0</v>
      </c>
      <c r="AB135" s="6">
        <v>36553420</v>
      </c>
      <c r="AC135" s="6">
        <v>122723944</v>
      </c>
      <c r="AD135" s="6">
        <v>0</v>
      </c>
      <c r="AE135" s="6">
        <f t="shared" si="28"/>
        <v>211242530</v>
      </c>
      <c r="AF135" s="6">
        <f t="shared" si="29"/>
        <v>0</v>
      </c>
      <c r="AG135" s="6">
        <f t="shared" si="30"/>
        <v>52189.3</v>
      </c>
      <c r="AH135" s="6">
        <f t="shared" si="31"/>
        <v>211190340.69999999</v>
      </c>
      <c r="AI135" s="6">
        <f t="shared" si="32"/>
        <v>13655462</v>
      </c>
      <c r="AJ135" s="6">
        <f t="shared" si="33"/>
        <v>1286188.3</v>
      </c>
      <c r="AK135" s="6">
        <f t="shared" si="34"/>
        <v>342.1</v>
      </c>
      <c r="AL135" s="6">
        <f t="shared" si="35"/>
        <v>28827956</v>
      </c>
      <c r="AM135" s="6">
        <f t="shared" si="36"/>
        <v>167420389.69999999</v>
      </c>
      <c r="AN135" s="10">
        <f t="shared" si="37"/>
        <v>6.46595007836928E-2</v>
      </c>
      <c r="AO135" s="10">
        <f t="shared" si="38"/>
        <v>6.0901852600685731E-3</v>
      </c>
      <c r="AP135" s="10">
        <f t="shared" si="39"/>
        <v>1.6198657517483707E-6</v>
      </c>
      <c r="AQ135" s="10">
        <f t="shared" si="40"/>
        <v>0.13650224676208406</v>
      </c>
      <c r="AR135" s="10">
        <f t="shared" si="41"/>
        <v>0.79274643501723374</v>
      </c>
    </row>
    <row r="136" spans="1:44" x14ac:dyDescent="0.3">
      <c r="A136" t="s">
        <v>6</v>
      </c>
      <c r="B136" t="s">
        <v>7</v>
      </c>
      <c r="C136" t="s">
        <v>170</v>
      </c>
      <c r="D136" s="7">
        <v>2045</v>
      </c>
      <c r="E136" s="6">
        <v>0.94</v>
      </c>
      <c r="F136" s="6">
        <v>58.5</v>
      </c>
      <c r="G136" s="15">
        <v>193.2</v>
      </c>
      <c r="H136" s="15">
        <v>452.4</v>
      </c>
      <c r="I136" s="6">
        <v>214522030</v>
      </c>
      <c r="J136" s="6">
        <v>179418240</v>
      </c>
      <c r="K136" s="6">
        <v>8830119</v>
      </c>
      <c r="L136" s="6">
        <v>50808.2</v>
      </c>
      <c r="M136" s="6">
        <v>0</v>
      </c>
      <c r="N136" s="6">
        <v>0</v>
      </c>
      <c r="O136" s="6">
        <v>9647365</v>
      </c>
      <c r="P136" s="6">
        <v>0</v>
      </c>
      <c r="Q136" s="6">
        <v>0</v>
      </c>
      <c r="R136" s="6">
        <v>2726558.8</v>
      </c>
      <c r="S136" s="6">
        <v>1950861.6</v>
      </c>
      <c r="T136" s="6">
        <v>0</v>
      </c>
      <c r="U136" s="6">
        <v>511733.8</v>
      </c>
      <c r="V136" s="6">
        <v>0</v>
      </c>
      <c r="W136" s="6">
        <v>809068.4</v>
      </c>
      <c r="X136" s="6">
        <v>12615636</v>
      </c>
      <c r="Y136" s="6">
        <v>0</v>
      </c>
      <c r="Z136" s="6">
        <v>688198.2</v>
      </c>
      <c r="AA136" s="6">
        <v>0</v>
      </c>
      <c r="AB136" s="6">
        <v>41173864</v>
      </c>
      <c r="AC136" s="6">
        <v>135517820</v>
      </c>
      <c r="AD136" s="6">
        <v>0</v>
      </c>
      <c r="AE136" s="6">
        <f t="shared" si="28"/>
        <v>214522030</v>
      </c>
      <c r="AF136" s="6">
        <f t="shared" si="29"/>
        <v>0</v>
      </c>
      <c r="AG136" s="6">
        <f t="shared" si="30"/>
        <v>50808.2</v>
      </c>
      <c r="AH136" s="6">
        <f t="shared" si="31"/>
        <v>214471221.80000001</v>
      </c>
      <c r="AI136" s="6">
        <f t="shared" si="32"/>
        <v>9647365</v>
      </c>
      <c r="AJ136" s="6">
        <f t="shared" si="33"/>
        <v>2462595.4</v>
      </c>
      <c r="AK136" s="6">
        <f t="shared" si="34"/>
        <v>0</v>
      </c>
      <c r="AL136" s="6">
        <f t="shared" si="35"/>
        <v>12615636</v>
      </c>
      <c r="AM136" s="6">
        <f t="shared" si="36"/>
        <v>189745628.40000001</v>
      </c>
      <c r="AN136" s="10">
        <f t="shared" si="37"/>
        <v>4.498209558854669E-2</v>
      </c>
      <c r="AO136" s="10">
        <f t="shared" si="38"/>
        <v>1.1482171730696971E-2</v>
      </c>
      <c r="AP136" s="10">
        <f t="shared" si="39"/>
        <v>0</v>
      </c>
      <c r="AQ136" s="10">
        <f t="shared" si="40"/>
        <v>5.8822045653119881E-2</v>
      </c>
      <c r="AR136" s="10">
        <f t="shared" si="41"/>
        <v>0.88471370101552704</v>
      </c>
    </row>
    <row r="137" spans="1:44" x14ac:dyDescent="0.3">
      <c r="A137" t="s">
        <v>6</v>
      </c>
      <c r="B137" t="s">
        <v>7</v>
      </c>
      <c r="C137" t="s">
        <v>170</v>
      </c>
      <c r="D137" s="7">
        <v>2050</v>
      </c>
      <c r="E137" s="6">
        <v>0.97</v>
      </c>
      <c r="F137" s="6">
        <v>25</v>
      </c>
      <c r="G137" s="15">
        <v>135</v>
      </c>
      <c r="H137" s="15">
        <v>440.5</v>
      </c>
      <c r="I137" s="6">
        <v>234316640</v>
      </c>
      <c r="J137" s="6">
        <v>215755940</v>
      </c>
      <c r="K137" s="6">
        <v>10070625</v>
      </c>
      <c r="L137" s="6">
        <v>48333.5</v>
      </c>
      <c r="M137" s="6">
        <v>0</v>
      </c>
      <c r="N137" s="6">
        <v>0</v>
      </c>
      <c r="O137" s="6">
        <v>3070574.5</v>
      </c>
      <c r="P137" s="6">
        <v>0</v>
      </c>
      <c r="Q137" s="6">
        <v>0</v>
      </c>
      <c r="R137" s="6">
        <v>3354167</v>
      </c>
      <c r="S137" s="6">
        <v>2444102.7999999998</v>
      </c>
      <c r="T137" s="6">
        <v>0</v>
      </c>
      <c r="U137" s="6">
        <v>1408726.9</v>
      </c>
      <c r="V137" s="6">
        <v>0</v>
      </c>
      <c r="W137" s="6">
        <v>804121.59999999998</v>
      </c>
      <c r="X137" s="6">
        <v>0</v>
      </c>
      <c r="Y137" s="6">
        <v>0</v>
      </c>
      <c r="Z137" s="6">
        <v>714249.6</v>
      </c>
      <c r="AA137" s="6">
        <v>0</v>
      </c>
      <c r="AB137" s="6">
        <v>39821970</v>
      </c>
      <c r="AC137" s="6">
        <v>172579790</v>
      </c>
      <c r="AD137" s="6">
        <v>0</v>
      </c>
      <c r="AE137" s="6">
        <f t="shared" si="28"/>
        <v>234316640</v>
      </c>
      <c r="AF137" s="6">
        <f t="shared" si="29"/>
        <v>0</v>
      </c>
      <c r="AG137" s="6">
        <f t="shared" si="30"/>
        <v>48333.5</v>
      </c>
      <c r="AH137" s="6">
        <f t="shared" si="31"/>
        <v>234268306.5</v>
      </c>
      <c r="AI137" s="6">
        <f t="shared" si="32"/>
        <v>3070574.5</v>
      </c>
      <c r="AJ137" s="6">
        <f t="shared" si="33"/>
        <v>3852829.6999999997</v>
      </c>
      <c r="AK137" s="6">
        <f t="shared" si="34"/>
        <v>0</v>
      </c>
      <c r="AL137" s="6">
        <f t="shared" si="35"/>
        <v>0</v>
      </c>
      <c r="AM137" s="6">
        <f t="shared" si="36"/>
        <v>227344923.19999999</v>
      </c>
      <c r="AN137" s="10">
        <f t="shared" si="37"/>
        <v>1.3107084547093868E-2</v>
      </c>
      <c r="AO137" s="10">
        <f t="shared" si="38"/>
        <v>1.6446226796794639E-2</v>
      </c>
      <c r="AP137" s="10">
        <f t="shared" si="39"/>
        <v>0</v>
      </c>
      <c r="AQ137" s="10">
        <f t="shared" si="40"/>
        <v>0</v>
      </c>
      <c r="AR137" s="10">
        <f t="shared" si="41"/>
        <v>0.97044677787005729</v>
      </c>
    </row>
    <row r="138" spans="1:44" x14ac:dyDescent="0.3">
      <c r="A138" t="s">
        <v>6</v>
      </c>
      <c r="B138" t="s">
        <v>7</v>
      </c>
      <c r="C138" t="s">
        <v>171</v>
      </c>
      <c r="D138" s="7">
        <v>2024</v>
      </c>
      <c r="E138" s="6">
        <v>0.45</v>
      </c>
      <c r="F138" s="6">
        <v>387.8</v>
      </c>
      <c r="G138" s="15">
        <v>373.3</v>
      </c>
      <c r="H138" s="15">
        <v>874.3</v>
      </c>
      <c r="I138" s="6">
        <v>273504400</v>
      </c>
      <c r="J138" s="6">
        <v>10353212</v>
      </c>
      <c r="K138" s="6">
        <v>263296.59999999998</v>
      </c>
      <c r="L138" s="6">
        <v>2102417.7999999998</v>
      </c>
      <c r="M138" s="6">
        <v>0</v>
      </c>
      <c r="N138" s="6">
        <v>0</v>
      </c>
      <c r="O138" s="6">
        <v>45666560</v>
      </c>
      <c r="P138" s="6">
        <v>0</v>
      </c>
      <c r="Q138" s="6">
        <v>0</v>
      </c>
      <c r="R138" s="6">
        <v>509204.1</v>
      </c>
      <c r="S138" s="6">
        <v>104772100</v>
      </c>
      <c r="T138" s="6">
        <v>0</v>
      </c>
      <c r="U138" s="6">
        <v>674657</v>
      </c>
      <c r="V138" s="6">
        <v>0</v>
      </c>
      <c r="W138" s="6">
        <v>13192878</v>
      </c>
      <c r="X138" s="6">
        <v>94504664</v>
      </c>
      <c r="Y138" s="6">
        <v>142257.60000000001</v>
      </c>
      <c r="Z138" s="6">
        <v>1832352.4</v>
      </c>
      <c r="AA138" s="6">
        <v>0</v>
      </c>
      <c r="AB138" s="6">
        <v>9844008</v>
      </c>
      <c r="AC138" s="6">
        <v>0</v>
      </c>
      <c r="AD138" s="6">
        <v>0</v>
      </c>
      <c r="AE138" s="6">
        <f t="shared" si="28"/>
        <v>273504400</v>
      </c>
      <c r="AF138" s="6">
        <f t="shared" si="29"/>
        <v>0</v>
      </c>
      <c r="AG138" s="6">
        <f t="shared" si="30"/>
        <v>2102417.7999999998</v>
      </c>
      <c r="AH138" s="6">
        <f t="shared" si="31"/>
        <v>271401982.19999999</v>
      </c>
      <c r="AI138" s="6">
        <f t="shared" si="32"/>
        <v>45666560</v>
      </c>
      <c r="AJ138" s="6">
        <f t="shared" si="33"/>
        <v>105446757</v>
      </c>
      <c r="AK138" s="6">
        <f t="shared" si="34"/>
        <v>142257.60000000001</v>
      </c>
      <c r="AL138" s="6">
        <f t="shared" si="35"/>
        <v>94504664</v>
      </c>
      <c r="AM138" s="6">
        <f t="shared" si="36"/>
        <v>25641739.100000001</v>
      </c>
      <c r="AN138" s="10">
        <f t="shared" si="37"/>
        <v>0.16826170402229287</v>
      </c>
      <c r="AO138" s="10">
        <f t="shared" si="38"/>
        <v>0.38852611224591121</v>
      </c>
      <c r="AP138" s="10">
        <f t="shared" si="39"/>
        <v>5.241582940804329E-4</v>
      </c>
      <c r="AQ138" s="10">
        <f t="shared" si="40"/>
        <v>0.34820918857681066</v>
      </c>
      <c r="AR138" s="10">
        <f t="shared" si="41"/>
        <v>9.4478820280333248E-2</v>
      </c>
    </row>
    <row r="139" spans="1:44" x14ac:dyDescent="0.3">
      <c r="A139" t="s">
        <v>6</v>
      </c>
      <c r="B139" t="s">
        <v>7</v>
      </c>
      <c r="C139" t="s">
        <v>171</v>
      </c>
      <c r="D139" s="7">
        <v>2026</v>
      </c>
      <c r="E139" s="6">
        <v>0.51</v>
      </c>
      <c r="F139" s="6">
        <v>346.2</v>
      </c>
      <c r="G139" s="15">
        <v>295.3</v>
      </c>
      <c r="H139" s="15">
        <v>831.3</v>
      </c>
      <c r="I139" s="6">
        <v>280793730</v>
      </c>
      <c r="J139" s="6">
        <v>29839018</v>
      </c>
      <c r="K139" s="6">
        <v>333095.90000000002</v>
      </c>
      <c r="L139" s="6">
        <v>2101087.2000000002</v>
      </c>
      <c r="M139" s="6">
        <v>0</v>
      </c>
      <c r="N139" s="6">
        <v>0</v>
      </c>
      <c r="O139" s="6">
        <v>42174276</v>
      </c>
      <c r="P139" s="6">
        <v>0</v>
      </c>
      <c r="Q139" s="6">
        <v>0</v>
      </c>
      <c r="R139" s="6">
        <v>873239.7</v>
      </c>
      <c r="S139" s="6">
        <v>95698070</v>
      </c>
      <c r="T139" s="6">
        <v>0</v>
      </c>
      <c r="U139" s="6">
        <v>567302</v>
      </c>
      <c r="V139" s="6">
        <v>0</v>
      </c>
      <c r="W139" s="6">
        <v>13509933</v>
      </c>
      <c r="X139" s="6">
        <v>94361010</v>
      </c>
      <c r="Y139" s="6">
        <v>79689.5</v>
      </c>
      <c r="Z139" s="6">
        <v>2130256</v>
      </c>
      <c r="AA139" s="6">
        <v>0</v>
      </c>
      <c r="AB139" s="6">
        <v>28965780</v>
      </c>
      <c r="AC139" s="6">
        <v>0</v>
      </c>
      <c r="AD139" s="6">
        <v>0</v>
      </c>
      <c r="AE139" s="6">
        <f t="shared" si="28"/>
        <v>280793730</v>
      </c>
      <c r="AF139" s="6">
        <f t="shared" si="29"/>
        <v>0</v>
      </c>
      <c r="AG139" s="6">
        <f t="shared" si="30"/>
        <v>2101087.2000000002</v>
      </c>
      <c r="AH139" s="6">
        <f t="shared" si="31"/>
        <v>278692642.80000001</v>
      </c>
      <c r="AI139" s="6">
        <f t="shared" si="32"/>
        <v>42174276</v>
      </c>
      <c r="AJ139" s="6">
        <f t="shared" si="33"/>
        <v>96265372</v>
      </c>
      <c r="AK139" s="6">
        <f t="shared" si="34"/>
        <v>79689.5</v>
      </c>
      <c r="AL139" s="6">
        <f t="shared" si="35"/>
        <v>94361010</v>
      </c>
      <c r="AM139" s="6">
        <f t="shared" si="36"/>
        <v>45812304.600000001</v>
      </c>
      <c r="AN139" s="10">
        <f t="shared" si="37"/>
        <v>0.15132898944255876</v>
      </c>
      <c r="AO139" s="10">
        <f t="shared" si="38"/>
        <v>0.34541770113782133</v>
      </c>
      <c r="AP139" s="10">
        <f t="shared" si="39"/>
        <v>2.8594045109826632E-4</v>
      </c>
      <c r="AQ139" s="10">
        <f t="shared" si="40"/>
        <v>0.33858450317153471</v>
      </c>
      <c r="AR139" s="10">
        <f t="shared" si="41"/>
        <v>0.16438289916708199</v>
      </c>
    </row>
    <row r="140" spans="1:44" x14ac:dyDescent="0.3">
      <c r="A140" t="s">
        <v>6</v>
      </c>
      <c r="B140" t="s">
        <v>7</v>
      </c>
      <c r="C140" t="s">
        <v>171</v>
      </c>
      <c r="D140" s="7">
        <v>2028</v>
      </c>
      <c r="E140" s="6">
        <v>0.6</v>
      </c>
      <c r="F140" s="6">
        <v>268.60000000000002</v>
      </c>
      <c r="G140" s="15">
        <v>245.8</v>
      </c>
      <c r="H140" s="15">
        <v>704.5</v>
      </c>
      <c r="I140" s="6">
        <v>287756640</v>
      </c>
      <c r="J140" s="6">
        <v>59725670</v>
      </c>
      <c r="K140" s="6">
        <v>1672728.8</v>
      </c>
      <c r="L140" s="6">
        <v>2047668.4</v>
      </c>
      <c r="M140" s="6">
        <v>0</v>
      </c>
      <c r="N140" s="6">
        <v>0</v>
      </c>
      <c r="O140" s="6">
        <v>29601904</v>
      </c>
      <c r="P140" s="6">
        <v>0</v>
      </c>
      <c r="Q140" s="6">
        <v>0</v>
      </c>
      <c r="R140" s="6">
        <v>1434106.4</v>
      </c>
      <c r="S140" s="6">
        <v>84925000</v>
      </c>
      <c r="T140" s="6">
        <v>0</v>
      </c>
      <c r="U140" s="6">
        <v>508548.8</v>
      </c>
      <c r="V140" s="6">
        <v>0</v>
      </c>
      <c r="W140" s="6">
        <v>13525080</v>
      </c>
      <c r="X140" s="6">
        <v>92633010</v>
      </c>
      <c r="Y140" s="6">
        <v>60836.5</v>
      </c>
      <c r="Z140" s="6">
        <v>3056207</v>
      </c>
      <c r="AA140" s="6">
        <v>0</v>
      </c>
      <c r="AB140" s="6">
        <v>58291572</v>
      </c>
      <c r="AC140" s="6">
        <v>0</v>
      </c>
      <c r="AD140" s="6">
        <v>0</v>
      </c>
      <c r="AE140" s="6">
        <f t="shared" si="28"/>
        <v>287756640</v>
      </c>
      <c r="AF140" s="6">
        <f t="shared" si="29"/>
        <v>0</v>
      </c>
      <c r="AG140" s="6">
        <f t="shared" si="30"/>
        <v>2047668.4</v>
      </c>
      <c r="AH140" s="6">
        <f t="shared" si="31"/>
        <v>285708971.60000002</v>
      </c>
      <c r="AI140" s="6">
        <f t="shared" si="32"/>
        <v>29601904</v>
      </c>
      <c r="AJ140" s="6">
        <f t="shared" si="33"/>
        <v>85433548.799999997</v>
      </c>
      <c r="AK140" s="6">
        <f t="shared" si="34"/>
        <v>60836.5</v>
      </c>
      <c r="AL140" s="6">
        <f t="shared" si="35"/>
        <v>92633010</v>
      </c>
      <c r="AM140" s="6">
        <f t="shared" si="36"/>
        <v>77979694.200000003</v>
      </c>
      <c r="AN140" s="10">
        <f t="shared" si="37"/>
        <v>0.10360859105762851</v>
      </c>
      <c r="AO140" s="10">
        <f t="shared" si="38"/>
        <v>0.29902298244805969</v>
      </c>
      <c r="AP140" s="10">
        <f t="shared" si="39"/>
        <v>2.1293171040205443E-4</v>
      </c>
      <c r="AQ140" s="10">
        <f t="shared" si="40"/>
        <v>0.32422156532658208</v>
      </c>
      <c r="AR140" s="10">
        <f t="shared" si="41"/>
        <v>0.27293400610875318</v>
      </c>
    </row>
    <row r="141" spans="1:44" x14ac:dyDescent="0.3">
      <c r="A141" t="s">
        <v>6</v>
      </c>
      <c r="B141" t="s">
        <v>7</v>
      </c>
      <c r="C141" t="s">
        <v>171</v>
      </c>
      <c r="D141" s="7">
        <v>2030</v>
      </c>
      <c r="E141" s="6">
        <v>0.62</v>
      </c>
      <c r="F141" s="6">
        <v>252.5</v>
      </c>
      <c r="G141" s="15">
        <v>321</v>
      </c>
      <c r="H141" s="15">
        <v>650.4</v>
      </c>
      <c r="I141" s="6">
        <v>275650370</v>
      </c>
      <c r="J141" s="6">
        <v>60503230</v>
      </c>
      <c r="K141" s="6">
        <v>1781696.2</v>
      </c>
      <c r="L141" s="6">
        <v>1969675.4</v>
      </c>
      <c r="M141" s="6">
        <v>0</v>
      </c>
      <c r="N141" s="6">
        <v>0</v>
      </c>
      <c r="O141" s="6">
        <v>27025892</v>
      </c>
      <c r="P141" s="6">
        <v>0</v>
      </c>
      <c r="Q141" s="6">
        <v>0</v>
      </c>
      <c r="R141" s="6">
        <v>2417146.7999999998</v>
      </c>
      <c r="S141" s="6">
        <v>75891470</v>
      </c>
      <c r="T141" s="6">
        <v>0</v>
      </c>
      <c r="U141" s="6">
        <v>481722</v>
      </c>
      <c r="V141" s="6">
        <v>0</v>
      </c>
      <c r="W141" s="6">
        <v>13321396</v>
      </c>
      <c r="X141" s="6">
        <v>91262280</v>
      </c>
      <c r="Y141" s="6">
        <v>50909.5</v>
      </c>
      <c r="Z141" s="6">
        <v>3362107.5</v>
      </c>
      <c r="AA141" s="6">
        <v>0</v>
      </c>
      <c r="AB141" s="6">
        <v>58086090</v>
      </c>
      <c r="AC141" s="6">
        <v>0</v>
      </c>
      <c r="AD141" s="6">
        <v>0</v>
      </c>
      <c r="AE141" s="6">
        <f t="shared" si="28"/>
        <v>275650370</v>
      </c>
      <c r="AF141" s="6">
        <f t="shared" si="29"/>
        <v>0</v>
      </c>
      <c r="AG141" s="6">
        <f t="shared" si="30"/>
        <v>1969675.4</v>
      </c>
      <c r="AH141" s="6">
        <f t="shared" si="31"/>
        <v>273680694.60000002</v>
      </c>
      <c r="AI141" s="6">
        <f t="shared" si="32"/>
        <v>27025892</v>
      </c>
      <c r="AJ141" s="6">
        <f t="shared" si="33"/>
        <v>76373192</v>
      </c>
      <c r="AK141" s="6">
        <f t="shared" si="34"/>
        <v>50909.5</v>
      </c>
      <c r="AL141" s="6">
        <f t="shared" si="35"/>
        <v>91262280</v>
      </c>
      <c r="AM141" s="6">
        <f t="shared" si="36"/>
        <v>78968436.5</v>
      </c>
      <c r="AN141" s="10">
        <f t="shared" si="37"/>
        <v>9.8749720141933603E-2</v>
      </c>
      <c r="AO141" s="10">
        <f t="shared" si="38"/>
        <v>0.27905947882668081</v>
      </c>
      <c r="AP141" s="10">
        <f t="shared" si="39"/>
        <v>1.8601787047642197E-4</v>
      </c>
      <c r="AQ141" s="10">
        <f t="shared" si="40"/>
        <v>0.33346261464801175</v>
      </c>
      <c r="AR141" s="10">
        <f t="shared" si="41"/>
        <v>0.28854222478285096</v>
      </c>
    </row>
    <row r="142" spans="1:44" x14ac:dyDescent="0.3">
      <c r="A142" t="s">
        <v>6</v>
      </c>
      <c r="B142" t="s">
        <v>7</v>
      </c>
      <c r="C142" t="s">
        <v>171</v>
      </c>
      <c r="D142" s="7">
        <v>2035</v>
      </c>
      <c r="E142" s="6">
        <v>0.71</v>
      </c>
      <c r="F142" s="6">
        <v>196.5</v>
      </c>
      <c r="G142" s="15">
        <v>411.7</v>
      </c>
      <c r="H142" s="15">
        <v>583.29999999999995</v>
      </c>
      <c r="I142" s="6">
        <v>281906140</v>
      </c>
      <c r="J142" s="6">
        <v>82203000</v>
      </c>
      <c r="K142" s="6">
        <v>10736149</v>
      </c>
      <c r="L142" s="6">
        <v>1828408.4</v>
      </c>
      <c r="M142" s="6">
        <v>0</v>
      </c>
      <c r="N142" s="6">
        <v>0</v>
      </c>
      <c r="O142" s="6">
        <v>22659352</v>
      </c>
      <c r="P142" s="6">
        <v>0</v>
      </c>
      <c r="Q142" s="6">
        <v>0</v>
      </c>
      <c r="R142" s="6">
        <v>3888000</v>
      </c>
      <c r="S142" s="6">
        <v>57887210</v>
      </c>
      <c r="T142" s="6">
        <v>0</v>
      </c>
      <c r="U142" s="6">
        <v>491729</v>
      </c>
      <c r="V142" s="6">
        <v>0</v>
      </c>
      <c r="W142" s="6">
        <v>13013491</v>
      </c>
      <c r="X142" s="6">
        <v>89758600</v>
      </c>
      <c r="Y142" s="6">
        <v>3382.8</v>
      </c>
      <c r="Z142" s="6">
        <v>3324832</v>
      </c>
      <c r="AA142" s="6">
        <v>0</v>
      </c>
      <c r="AB142" s="6">
        <v>78315000</v>
      </c>
      <c r="AC142" s="6">
        <v>0</v>
      </c>
      <c r="AD142" s="6">
        <v>0</v>
      </c>
      <c r="AE142" s="6">
        <f t="shared" si="28"/>
        <v>281906140</v>
      </c>
      <c r="AF142" s="6">
        <f t="shared" si="29"/>
        <v>0</v>
      </c>
      <c r="AG142" s="6">
        <f t="shared" si="30"/>
        <v>1828408.4</v>
      </c>
      <c r="AH142" s="6">
        <f t="shared" si="31"/>
        <v>280077731.60000002</v>
      </c>
      <c r="AI142" s="6">
        <f t="shared" si="32"/>
        <v>22659352</v>
      </c>
      <c r="AJ142" s="6">
        <f t="shared" si="33"/>
        <v>58378939</v>
      </c>
      <c r="AK142" s="6">
        <f t="shared" si="34"/>
        <v>3382.8</v>
      </c>
      <c r="AL142" s="6">
        <f t="shared" si="35"/>
        <v>89758600</v>
      </c>
      <c r="AM142" s="6">
        <f t="shared" si="36"/>
        <v>109277472</v>
      </c>
      <c r="AN142" s="10">
        <f t="shared" si="37"/>
        <v>8.0903797208560363E-2</v>
      </c>
      <c r="AO142" s="10">
        <f t="shared" si="38"/>
        <v>0.20843834554963953</v>
      </c>
      <c r="AP142" s="10">
        <f t="shared" si="39"/>
        <v>1.2078075542368466E-5</v>
      </c>
      <c r="AQ142" s="10">
        <f t="shared" si="40"/>
        <v>0.32047745990813359</v>
      </c>
      <c r="AR142" s="10">
        <f t="shared" si="41"/>
        <v>0.39016836995833476</v>
      </c>
    </row>
    <row r="143" spans="1:44" x14ac:dyDescent="0.3">
      <c r="A143" t="s">
        <v>6</v>
      </c>
      <c r="B143" t="s">
        <v>7</v>
      </c>
      <c r="C143" t="s">
        <v>171</v>
      </c>
      <c r="D143" s="7">
        <v>2040</v>
      </c>
      <c r="E143" s="6">
        <v>0.78</v>
      </c>
      <c r="F143" s="6">
        <v>145.5</v>
      </c>
      <c r="G143" s="15">
        <v>453.6</v>
      </c>
      <c r="H143" s="15">
        <v>529</v>
      </c>
      <c r="I143" s="6">
        <v>315258560</v>
      </c>
      <c r="J143" s="6">
        <v>116016020</v>
      </c>
      <c r="K143" s="6">
        <v>22191266</v>
      </c>
      <c r="L143" s="6">
        <v>1754890.2</v>
      </c>
      <c r="M143" s="6">
        <v>0</v>
      </c>
      <c r="N143" s="6">
        <v>0</v>
      </c>
      <c r="O143" s="6">
        <v>16157632</v>
      </c>
      <c r="P143" s="6">
        <v>0</v>
      </c>
      <c r="Q143" s="6">
        <v>0</v>
      </c>
      <c r="R143" s="6">
        <v>4815660</v>
      </c>
      <c r="S143" s="6">
        <v>53882540</v>
      </c>
      <c r="T143" s="6">
        <v>0</v>
      </c>
      <c r="U143" s="6">
        <v>454183.6</v>
      </c>
      <c r="V143" s="6">
        <v>0</v>
      </c>
      <c r="W143" s="6">
        <v>12746974</v>
      </c>
      <c r="X143" s="6">
        <v>88774600</v>
      </c>
      <c r="Y143" s="6">
        <v>3141.5</v>
      </c>
      <c r="Z143" s="6">
        <v>3277313.8</v>
      </c>
      <c r="AA143" s="6">
        <v>0</v>
      </c>
      <c r="AB143" s="6">
        <v>111200360</v>
      </c>
      <c r="AC143" s="6">
        <v>0</v>
      </c>
      <c r="AD143" s="6">
        <v>0</v>
      </c>
      <c r="AE143" s="6">
        <f t="shared" si="28"/>
        <v>315258560</v>
      </c>
      <c r="AF143" s="6">
        <f t="shared" si="29"/>
        <v>0</v>
      </c>
      <c r="AG143" s="6">
        <f t="shared" si="30"/>
        <v>1754890.2</v>
      </c>
      <c r="AH143" s="6">
        <f t="shared" si="31"/>
        <v>313503669.80000001</v>
      </c>
      <c r="AI143" s="6">
        <f t="shared" si="32"/>
        <v>16157632</v>
      </c>
      <c r="AJ143" s="6">
        <f t="shared" si="33"/>
        <v>54336723.600000001</v>
      </c>
      <c r="AK143" s="6">
        <f t="shared" si="34"/>
        <v>3141.5</v>
      </c>
      <c r="AL143" s="6">
        <f t="shared" si="35"/>
        <v>88774600</v>
      </c>
      <c r="AM143" s="6">
        <f t="shared" si="36"/>
        <v>154231573.80000001</v>
      </c>
      <c r="AN143" s="10">
        <f t="shared" si="37"/>
        <v>5.1538892703577532E-2</v>
      </c>
      <c r="AO143" s="10">
        <f t="shared" si="38"/>
        <v>0.17332085341987916</v>
      </c>
      <c r="AP143" s="10">
        <f t="shared" si="39"/>
        <v>1.0020616351968457E-5</v>
      </c>
      <c r="AQ143" s="10">
        <f t="shared" si="40"/>
        <v>0.28316925303181889</v>
      </c>
      <c r="AR143" s="10">
        <f t="shared" si="41"/>
        <v>0.49196098373710329</v>
      </c>
    </row>
    <row r="144" spans="1:44" x14ac:dyDescent="0.3">
      <c r="A144" t="s">
        <v>6</v>
      </c>
      <c r="B144" t="s">
        <v>7</v>
      </c>
      <c r="C144" t="s">
        <v>171</v>
      </c>
      <c r="D144" s="7">
        <v>2045</v>
      </c>
      <c r="E144" s="6">
        <v>0.81</v>
      </c>
      <c r="F144" s="6">
        <v>119.6</v>
      </c>
      <c r="G144" s="15">
        <v>404.8</v>
      </c>
      <c r="H144" s="15">
        <v>457.2</v>
      </c>
      <c r="I144" s="6">
        <v>366265800</v>
      </c>
      <c r="J144" s="6">
        <v>155259860</v>
      </c>
      <c r="K144" s="6">
        <v>37220080</v>
      </c>
      <c r="L144" s="6">
        <v>1598515</v>
      </c>
      <c r="M144" s="6">
        <v>0</v>
      </c>
      <c r="N144" s="6">
        <v>0</v>
      </c>
      <c r="O144" s="6">
        <v>13582934</v>
      </c>
      <c r="P144" s="6">
        <v>0</v>
      </c>
      <c r="Q144" s="6">
        <v>0</v>
      </c>
      <c r="R144" s="6">
        <v>5677037</v>
      </c>
      <c r="S144" s="6">
        <v>55604730</v>
      </c>
      <c r="T144" s="6">
        <v>0</v>
      </c>
      <c r="U144" s="6">
        <v>227533.2</v>
      </c>
      <c r="V144" s="6">
        <v>0</v>
      </c>
      <c r="W144" s="6">
        <v>12305099</v>
      </c>
      <c r="X144" s="6">
        <v>86870936</v>
      </c>
      <c r="Y144" s="6">
        <v>984.8</v>
      </c>
      <c r="Z144" s="6">
        <v>3595134</v>
      </c>
      <c r="AA144" s="6">
        <v>0</v>
      </c>
      <c r="AB144" s="6">
        <v>149582820</v>
      </c>
      <c r="AC144" s="6">
        <v>0</v>
      </c>
      <c r="AD144" s="6">
        <v>0</v>
      </c>
      <c r="AE144" s="6">
        <f t="shared" si="28"/>
        <v>366265800</v>
      </c>
      <c r="AF144" s="6">
        <f t="shared" si="29"/>
        <v>0</v>
      </c>
      <c r="AG144" s="6">
        <f t="shared" si="30"/>
        <v>1598515</v>
      </c>
      <c r="AH144" s="6">
        <f t="shared" si="31"/>
        <v>364667285</v>
      </c>
      <c r="AI144" s="6">
        <f t="shared" si="32"/>
        <v>13582934</v>
      </c>
      <c r="AJ144" s="6">
        <f t="shared" si="33"/>
        <v>55832263.200000003</v>
      </c>
      <c r="AK144" s="6">
        <f t="shared" si="34"/>
        <v>984.8</v>
      </c>
      <c r="AL144" s="6">
        <f t="shared" si="35"/>
        <v>86870936</v>
      </c>
      <c r="AM144" s="6">
        <f t="shared" si="36"/>
        <v>208380170</v>
      </c>
      <c r="AN144" s="10">
        <f t="shared" si="37"/>
        <v>3.7247470663566651E-2</v>
      </c>
      <c r="AO144" s="10">
        <f t="shared" si="38"/>
        <v>0.15310466690205018</v>
      </c>
      <c r="AP144" s="10">
        <f t="shared" si="39"/>
        <v>2.7005438669937174E-6</v>
      </c>
      <c r="AQ144" s="10">
        <f t="shared" si="40"/>
        <v>0.23821971307352124</v>
      </c>
      <c r="AR144" s="10">
        <f t="shared" si="41"/>
        <v>0.57142545704367198</v>
      </c>
    </row>
    <row r="145" spans="1:44" x14ac:dyDescent="0.3">
      <c r="A145" t="s">
        <v>6</v>
      </c>
      <c r="B145" t="s">
        <v>7</v>
      </c>
      <c r="C145" t="s">
        <v>171</v>
      </c>
      <c r="D145" s="7">
        <v>2050</v>
      </c>
      <c r="E145" s="6">
        <v>0.82</v>
      </c>
      <c r="F145" s="6">
        <v>103.6</v>
      </c>
      <c r="G145" s="15">
        <v>369.9</v>
      </c>
      <c r="H145" s="15">
        <v>451.2</v>
      </c>
      <c r="I145" s="6">
        <v>418509150</v>
      </c>
      <c r="J145" s="6">
        <v>191846200</v>
      </c>
      <c r="K145" s="6">
        <v>49136910</v>
      </c>
      <c r="L145" s="6">
        <v>1542055.8</v>
      </c>
      <c r="M145" s="6">
        <v>0</v>
      </c>
      <c r="N145" s="6">
        <v>0</v>
      </c>
      <c r="O145" s="6">
        <v>9483757</v>
      </c>
      <c r="P145" s="6">
        <v>0</v>
      </c>
      <c r="Q145" s="6">
        <v>0</v>
      </c>
      <c r="R145" s="6">
        <v>6978249.5</v>
      </c>
      <c r="S145" s="6">
        <v>63871384</v>
      </c>
      <c r="T145" s="6">
        <v>0</v>
      </c>
      <c r="U145" s="6">
        <v>351802.4</v>
      </c>
      <c r="V145" s="6">
        <v>0</v>
      </c>
      <c r="W145" s="6">
        <v>12182719</v>
      </c>
      <c r="X145" s="6">
        <v>86130910</v>
      </c>
      <c r="Y145" s="6">
        <v>12.8</v>
      </c>
      <c r="Z145" s="6">
        <v>3963375.2</v>
      </c>
      <c r="AA145" s="6">
        <v>0</v>
      </c>
      <c r="AB145" s="6">
        <v>184867950</v>
      </c>
      <c r="AC145" s="6">
        <v>0</v>
      </c>
      <c r="AD145" s="6">
        <v>0</v>
      </c>
      <c r="AE145" s="6">
        <f t="shared" si="28"/>
        <v>418509150</v>
      </c>
      <c r="AF145" s="6">
        <f t="shared" si="29"/>
        <v>0</v>
      </c>
      <c r="AG145" s="6">
        <f t="shared" si="30"/>
        <v>1542055.8</v>
      </c>
      <c r="AH145" s="6">
        <f t="shared" si="31"/>
        <v>416967094.19999999</v>
      </c>
      <c r="AI145" s="6">
        <f t="shared" si="32"/>
        <v>9483757</v>
      </c>
      <c r="AJ145" s="6">
        <f t="shared" si="33"/>
        <v>64223186.399999999</v>
      </c>
      <c r="AK145" s="6">
        <f t="shared" si="34"/>
        <v>12.8</v>
      </c>
      <c r="AL145" s="6">
        <f t="shared" si="35"/>
        <v>86130910</v>
      </c>
      <c r="AM145" s="6">
        <f t="shared" si="36"/>
        <v>257129203.69999999</v>
      </c>
      <c r="AN145" s="10">
        <f t="shared" si="37"/>
        <v>2.2744617337719885E-2</v>
      </c>
      <c r="AO145" s="10">
        <f t="shared" si="38"/>
        <v>0.15402459161248605</v>
      </c>
      <c r="AP145" s="10">
        <f t="shared" si="39"/>
        <v>3.0697866037986269E-8</v>
      </c>
      <c r="AQ145" s="10">
        <f t="shared" si="40"/>
        <v>0.20656524507108218</v>
      </c>
      <c r="AR145" s="10">
        <f t="shared" si="41"/>
        <v>0.61666545700286579</v>
      </c>
    </row>
    <row r="146" spans="1:44" x14ac:dyDescent="0.3">
      <c r="A146" t="s">
        <v>6</v>
      </c>
      <c r="B146" t="s">
        <v>7</v>
      </c>
      <c r="C146" t="s">
        <v>172</v>
      </c>
      <c r="D146" s="7">
        <v>2024</v>
      </c>
      <c r="E146" s="6">
        <v>0.33</v>
      </c>
      <c r="F146" s="6">
        <v>603.29999999999995</v>
      </c>
      <c r="G146" s="15">
        <v>366.8</v>
      </c>
      <c r="H146" s="15">
        <v>916.8</v>
      </c>
      <c r="I146" s="6">
        <v>170345360</v>
      </c>
      <c r="J146" s="6">
        <v>5698968</v>
      </c>
      <c r="K146" s="6">
        <v>15331.7</v>
      </c>
      <c r="L146" s="6">
        <v>178869.9</v>
      </c>
      <c r="M146" s="6">
        <v>0</v>
      </c>
      <c r="N146" s="6">
        <v>0</v>
      </c>
      <c r="O146" s="6">
        <v>68965580</v>
      </c>
      <c r="P146" s="6">
        <v>0</v>
      </c>
      <c r="Q146" s="6">
        <v>0</v>
      </c>
      <c r="R146" s="6">
        <v>298037.3</v>
      </c>
      <c r="S146" s="6">
        <v>44209530</v>
      </c>
      <c r="T146" s="6">
        <v>0</v>
      </c>
      <c r="U146" s="6">
        <v>650148</v>
      </c>
      <c r="V146" s="6">
        <v>0</v>
      </c>
      <c r="W146" s="6">
        <v>13426448</v>
      </c>
      <c r="X146" s="6">
        <v>36119400</v>
      </c>
      <c r="Y146" s="6">
        <v>2014.2</v>
      </c>
      <c r="Z146" s="6">
        <v>1079070.2</v>
      </c>
      <c r="AA146" s="6">
        <v>0</v>
      </c>
      <c r="AB146" s="6">
        <v>5346892</v>
      </c>
      <c r="AC146" s="6">
        <v>54038.8</v>
      </c>
      <c r="AD146" s="6">
        <v>0</v>
      </c>
      <c r="AE146" s="6">
        <f t="shared" si="28"/>
        <v>170345360</v>
      </c>
      <c r="AF146" s="6">
        <f t="shared" si="29"/>
        <v>0</v>
      </c>
      <c r="AG146" s="6">
        <f t="shared" si="30"/>
        <v>178869.9</v>
      </c>
      <c r="AH146" s="6">
        <f t="shared" si="31"/>
        <v>170166490.09999999</v>
      </c>
      <c r="AI146" s="6">
        <f t="shared" si="32"/>
        <v>68965580</v>
      </c>
      <c r="AJ146" s="6">
        <f t="shared" si="33"/>
        <v>44859678</v>
      </c>
      <c r="AK146" s="6">
        <f t="shared" si="34"/>
        <v>2014.2</v>
      </c>
      <c r="AL146" s="6">
        <f t="shared" si="35"/>
        <v>36119400</v>
      </c>
      <c r="AM146" s="6">
        <f t="shared" si="36"/>
        <v>20219818</v>
      </c>
      <c r="AN146" s="10">
        <f t="shared" si="37"/>
        <v>0.4052829670487515</v>
      </c>
      <c r="AO146" s="10">
        <f t="shared" si="38"/>
        <v>0.26362227941375399</v>
      </c>
      <c r="AP146" s="10">
        <f t="shared" si="39"/>
        <v>1.1836643035983969E-5</v>
      </c>
      <c r="AQ146" s="10">
        <f t="shared" si="40"/>
        <v>0.21225918204444413</v>
      </c>
      <c r="AR146" s="10">
        <f t="shared" si="41"/>
        <v>0.11882373543767417</v>
      </c>
    </row>
    <row r="147" spans="1:44" x14ac:dyDescent="0.3">
      <c r="A147" t="s">
        <v>6</v>
      </c>
      <c r="B147" t="s">
        <v>7</v>
      </c>
      <c r="C147" t="s">
        <v>172</v>
      </c>
      <c r="D147" s="7">
        <v>2026</v>
      </c>
      <c r="E147" s="6">
        <v>0.4</v>
      </c>
      <c r="F147" s="6">
        <v>522.70000000000005</v>
      </c>
      <c r="G147" s="15">
        <v>358.8</v>
      </c>
      <c r="H147" s="15">
        <v>867.4</v>
      </c>
      <c r="I147" s="6">
        <v>163935260</v>
      </c>
      <c r="J147" s="6">
        <v>13120068</v>
      </c>
      <c r="K147" s="6">
        <v>1464878.8</v>
      </c>
      <c r="L147" s="6">
        <v>177865.8</v>
      </c>
      <c r="M147" s="6">
        <v>0</v>
      </c>
      <c r="N147" s="6">
        <v>0</v>
      </c>
      <c r="O147" s="6">
        <v>55396628</v>
      </c>
      <c r="P147" s="6">
        <v>0</v>
      </c>
      <c r="Q147" s="6">
        <v>0</v>
      </c>
      <c r="R147" s="6">
        <v>460677.2</v>
      </c>
      <c r="S147" s="6">
        <v>41805600</v>
      </c>
      <c r="T147" s="6">
        <v>0</v>
      </c>
      <c r="U147" s="6">
        <v>412156.5</v>
      </c>
      <c r="V147" s="6">
        <v>0</v>
      </c>
      <c r="W147" s="6">
        <v>13899658</v>
      </c>
      <c r="X147" s="6">
        <v>36076744</v>
      </c>
      <c r="Y147" s="6">
        <v>1019</v>
      </c>
      <c r="Z147" s="6">
        <v>1580642.6</v>
      </c>
      <c r="AA147" s="6">
        <v>0</v>
      </c>
      <c r="AB147" s="6">
        <v>12605643</v>
      </c>
      <c r="AC147" s="6">
        <v>53747.4</v>
      </c>
      <c r="AD147" s="6">
        <v>0</v>
      </c>
      <c r="AE147" s="6">
        <f t="shared" si="28"/>
        <v>163935260</v>
      </c>
      <c r="AF147" s="6">
        <f t="shared" si="29"/>
        <v>0</v>
      </c>
      <c r="AG147" s="6">
        <f t="shared" si="30"/>
        <v>177865.8</v>
      </c>
      <c r="AH147" s="6">
        <f t="shared" si="31"/>
        <v>163757394.19999999</v>
      </c>
      <c r="AI147" s="6">
        <f t="shared" si="32"/>
        <v>55396628</v>
      </c>
      <c r="AJ147" s="6">
        <f t="shared" si="33"/>
        <v>42217756.5</v>
      </c>
      <c r="AK147" s="6">
        <f t="shared" si="34"/>
        <v>1019</v>
      </c>
      <c r="AL147" s="6">
        <f t="shared" si="35"/>
        <v>36076744</v>
      </c>
      <c r="AM147" s="6">
        <f t="shared" si="36"/>
        <v>30065247</v>
      </c>
      <c r="AN147" s="10">
        <f t="shared" si="37"/>
        <v>0.33828474293101574</v>
      </c>
      <c r="AO147" s="10">
        <f t="shared" si="38"/>
        <v>0.25780671893471058</v>
      </c>
      <c r="AP147" s="10">
        <f t="shared" si="39"/>
        <v>6.2226197783501371E-6</v>
      </c>
      <c r="AQ147" s="10">
        <f t="shared" si="40"/>
        <v>0.22030604588113312</v>
      </c>
      <c r="AR147" s="10">
        <f t="shared" si="41"/>
        <v>0.18359627146534066</v>
      </c>
    </row>
    <row r="148" spans="1:44" x14ac:dyDescent="0.3">
      <c r="A148" t="s">
        <v>6</v>
      </c>
      <c r="B148" t="s">
        <v>7</v>
      </c>
      <c r="C148" t="s">
        <v>172</v>
      </c>
      <c r="D148" s="7">
        <v>2028</v>
      </c>
      <c r="E148" s="6">
        <v>0.52</v>
      </c>
      <c r="F148" s="6">
        <v>388.5</v>
      </c>
      <c r="G148" s="15">
        <v>366.9</v>
      </c>
      <c r="H148" s="15">
        <v>756.3</v>
      </c>
      <c r="I148" s="6">
        <v>157810290</v>
      </c>
      <c r="J148" s="6">
        <v>24648742</v>
      </c>
      <c r="K148" s="6">
        <v>5145121.5</v>
      </c>
      <c r="L148" s="6">
        <v>170618.4</v>
      </c>
      <c r="M148" s="6">
        <v>0</v>
      </c>
      <c r="N148" s="6">
        <v>0</v>
      </c>
      <c r="O148" s="6">
        <v>35665920</v>
      </c>
      <c r="P148" s="6">
        <v>0</v>
      </c>
      <c r="Q148" s="6">
        <v>0</v>
      </c>
      <c r="R148" s="6">
        <v>740190.8</v>
      </c>
      <c r="S148" s="6">
        <v>40058504</v>
      </c>
      <c r="T148" s="6">
        <v>0</v>
      </c>
      <c r="U148" s="6">
        <v>283392.8</v>
      </c>
      <c r="V148" s="6">
        <v>0</v>
      </c>
      <c r="W148" s="6">
        <v>13945075</v>
      </c>
      <c r="X148" s="6">
        <v>35541536</v>
      </c>
      <c r="Y148" s="6">
        <v>568.4</v>
      </c>
      <c r="Z148" s="6">
        <v>2350807</v>
      </c>
      <c r="AA148" s="6">
        <v>0</v>
      </c>
      <c r="AB148" s="6">
        <v>23855094</v>
      </c>
      <c r="AC148" s="6">
        <v>53457.599999999999</v>
      </c>
      <c r="AD148" s="6">
        <v>0</v>
      </c>
      <c r="AE148" s="6">
        <f t="shared" si="28"/>
        <v>157810290</v>
      </c>
      <c r="AF148" s="6">
        <f t="shared" si="29"/>
        <v>0</v>
      </c>
      <c r="AG148" s="6">
        <f t="shared" si="30"/>
        <v>170618.4</v>
      </c>
      <c r="AH148" s="6">
        <f t="shared" si="31"/>
        <v>157639671.59999999</v>
      </c>
      <c r="AI148" s="6">
        <f t="shared" si="32"/>
        <v>35665920</v>
      </c>
      <c r="AJ148" s="6">
        <f t="shared" si="33"/>
        <v>40341896.799999997</v>
      </c>
      <c r="AK148" s="6">
        <f t="shared" si="34"/>
        <v>568.4</v>
      </c>
      <c r="AL148" s="6">
        <f t="shared" si="35"/>
        <v>35541536</v>
      </c>
      <c r="AM148" s="6">
        <f t="shared" si="36"/>
        <v>46089745.899999999</v>
      </c>
      <c r="AN148" s="10">
        <f t="shared" si="37"/>
        <v>0.22624964666571915</v>
      </c>
      <c r="AO148" s="10">
        <f t="shared" si="38"/>
        <v>0.25591208349104427</v>
      </c>
      <c r="AP148" s="10">
        <f t="shared" si="39"/>
        <v>3.6056913480654574E-6</v>
      </c>
      <c r="AQ148" s="10">
        <f t="shared" si="40"/>
        <v>0.22546060670682089</v>
      </c>
      <c r="AR148" s="10">
        <f t="shared" si="41"/>
        <v>0.29237402889895386</v>
      </c>
    </row>
    <row r="149" spans="1:44" x14ac:dyDescent="0.3">
      <c r="A149" t="s">
        <v>6</v>
      </c>
      <c r="B149" t="s">
        <v>7</v>
      </c>
      <c r="C149" t="s">
        <v>172</v>
      </c>
      <c r="D149" s="7">
        <v>2030</v>
      </c>
      <c r="E149" s="6">
        <v>0.57999999999999996</v>
      </c>
      <c r="F149" s="6">
        <v>335</v>
      </c>
      <c r="G149" s="15">
        <v>434.2</v>
      </c>
      <c r="H149" s="15">
        <v>705.2</v>
      </c>
      <c r="I149" s="6">
        <v>160927310</v>
      </c>
      <c r="J149" s="6">
        <v>32291948</v>
      </c>
      <c r="K149" s="6">
        <v>8940035</v>
      </c>
      <c r="L149" s="6">
        <v>164723.1</v>
      </c>
      <c r="M149" s="6">
        <v>0</v>
      </c>
      <c r="N149" s="6">
        <v>0</v>
      </c>
      <c r="O149" s="6">
        <v>30658844</v>
      </c>
      <c r="P149" s="6">
        <v>0</v>
      </c>
      <c r="Q149" s="6">
        <v>0</v>
      </c>
      <c r="R149" s="6">
        <v>1216065.1000000001</v>
      </c>
      <c r="S149" s="6">
        <v>37351896</v>
      </c>
      <c r="T149" s="6">
        <v>0</v>
      </c>
      <c r="U149" s="6">
        <v>191825.6</v>
      </c>
      <c r="V149" s="6">
        <v>0</v>
      </c>
      <c r="W149" s="6">
        <v>13806915</v>
      </c>
      <c r="X149" s="6">
        <v>35015864</v>
      </c>
      <c r="Y149" s="6">
        <v>271.39999999999998</v>
      </c>
      <c r="Z149" s="6">
        <v>2504984</v>
      </c>
      <c r="AA149" s="6">
        <v>0</v>
      </c>
      <c r="AB149" s="6">
        <v>31022716</v>
      </c>
      <c r="AC149" s="6">
        <v>53169.2</v>
      </c>
      <c r="AD149" s="6">
        <v>0</v>
      </c>
      <c r="AE149" s="6">
        <f t="shared" si="28"/>
        <v>160927310</v>
      </c>
      <c r="AF149" s="6">
        <f t="shared" si="29"/>
        <v>0</v>
      </c>
      <c r="AG149" s="6">
        <f t="shared" si="30"/>
        <v>164723.1</v>
      </c>
      <c r="AH149" s="6">
        <f t="shared" si="31"/>
        <v>160762586.90000001</v>
      </c>
      <c r="AI149" s="6">
        <f t="shared" si="32"/>
        <v>30658844</v>
      </c>
      <c r="AJ149" s="6">
        <f t="shared" si="33"/>
        <v>37543721.600000001</v>
      </c>
      <c r="AK149" s="6">
        <f t="shared" si="34"/>
        <v>271.39999999999998</v>
      </c>
      <c r="AL149" s="6">
        <f t="shared" si="35"/>
        <v>35015864</v>
      </c>
      <c r="AM149" s="6">
        <f t="shared" si="36"/>
        <v>57543884.300000004</v>
      </c>
      <c r="AN149" s="10">
        <f t="shared" si="37"/>
        <v>0.19070882467866035</v>
      </c>
      <c r="AO149" s="10">
        <f t="shared" si="38"/>
        <v>0.23353519201176776</v>
      </c>
      <c r="AP149" s="10">
        <f t="shared" si="39"/>
        <v>1.6882037371594445E-6</v>
      </c>
      <c r="AQ149" s="10">
        <f t="shared" si="40"/>
        <v>0.21781102603046007</v>
      </c>
      <c r="AR149" s="10">
        <f t="shared" si="41"/>
        <v>0.35794325912281028</v>
      </c>
    </row>
    <row r="150" spans="1:44" x14ac:dyDescent="0.3">
      <c r="A150" t="s">
        <v>6</v>
      </c>
      <c r="B150" t="s">
        <v>7</v>
      </c>
      <c r="C150" t="s">
        <v>172</v>
      </c>
      <c r="D150" s="7">
        <v>2035</v>
      </c>
      <c r="E150" s="6">
        <v>0.67</v>
      </c>
      <c r="F150" s="6">
        <v>246.5</v>
      </c>
      <c r="G150" s="15">
        <v>485.5</v>
      </c>
      <c r="H150" s="15">
        <v>646.79999999999995</v>
      </c>
      <c r="I150" s="6">
        <v>175433460</v>
      </c>
      <c r="J150" s="6">
        <v>52280144</v>
      </c>
      <c r="K150" s="6">
        <v>15404723</v>
      </c>
      <c r="L150" s="6">
        <v>157502.1</v>
      </c>
      <c r="M150" s="6">
        <v>0</v>
      </c>
      <c r="N150" s="6">
        <v>0</v>
      </c>
      <c r="O150" s="6">
        <v>22711428</v>
      </c>
      <c r="P150" s="6">
        <v>0</v>
      </c>
      <c r="Q150" s="6">
        <v>0</v>
      </c>
      <c r="R150" s="6">
        <v>2623381.7999999998</v>
      </c>
      <c r="S150" s="6">
        <v>33821456</v>
      </c>
      <c r="T150" s="6">
        <v>0</v>
      </c>
      <c r="U150" s="6">
        <v>847399.6</v>
      </c>
      <c r="V150" s="6">
        <v>0</v>
      </c>
      <c r="W150" s="6">
        <v>13511224</v>
      </c>
      <c r="X150" s="6">
        <v>34437710</v>
      </c>
      <c r="Y150" s="6">
        <v>0</v>
      </c>
      <c r="Z150" s="6">
        <v>2261873.7999999998</v>
      </c>
      <c r="AA150" s="6">
        <v>0</v>
      </c>
      <c r="AB150" s="6">
        <v>49656760</v>
      </c>
      <c r="AC150" s="6">
        <v>0</v>
      </c>
      <c r="AD150" s="6">
        <v>0</v>
      </c>
      <c r="AE150" s="6">
        <f t="shared" si="28"/>
        <v>175433460</v>
      </c>
      <c r="AF150" s="6">
        <f t="shared" si="29"/>
        <v>0</v>
      </c>
      <c r="AG150" s="6">
        <f t="shared" si="30"/>
        <v>157502.1</v>
      </c>
      <c r="AH150" s="6">
        <f t="shared" si="31"/>
        <v>175275957.90000001</v>
      </c>
      <c r="AI150" s="6">
        <f t="shared" si="32"/>
        <v>22711428</v>
      </c>
      <c r="AJ150" s="6">
        <f t="shared" si="33"/>
        <v>34668855.600000001</v>
      </c>
      <c r="AK150" s="6">
        <f t="shared" si="34"/>
        <v>0</v>
      </c>
      <c r="AL150" s="6">
        <f t="shared" si="35"/>
        <v>34437710</v>
      </c>
      <c r="AM150" s="6">
        <f t="shared" si="36"/>
        <v>83457962.599999994</v>
      </c>
      <c r="AN150" s="10">
        <f t="shared" si="37"/>
        <v>0.12957526104611292</v>
      </c>
      <c r="AO150" s="10">
        <f t="shared" si="38"/>
        <v>0.19779584157103614</v>
      </c>
      <c r="AP150" s="10">
        <f t="shared" si="39"/>
        <v>0</v>
      </c>
      <c r="AQ150" s="10">
        <f t="shared" si="40"/>
        <v>0.19647708911479866</v>
      </c>
      <c r="AR150" s="10">
        <f t="shared" si="41"/>
        <v>0.47615179856906087</v>
      </c>
    </row>
    <row r="151" spans="1:44" x14ac:dyDescent="0.3">
      <c r="A151" t="s">
        <v>6</v>
      </c>
      <c r="B151" t="s">
        <v>7</v>
      </c>
      <c r="C151" t="s">
        <v>172</v>
      </c>
      <c r="D151" s="7">
        <v>2040</v>
      </c>
      <c r="E151" s="6">
        <v>0.77</v>
      </c>
      <c r="F151" s="6">
        <v>168</v>
      </c>
      <c r="G151" s="15">
        <v>479.7</v>
      </c>
      <c r="H151" s="15">
        <v>584.70000000000005</v>
      </c>
      <c r="I151" s="6">
        <v>211256210</v>
      </c>
      <c r="J151" s="6">
        <v>86679640</v>
      </c>
      <c r="K151" s="6">
        <v>25069736</v>
      </c>
      <c r="L151" s="6">
        <v>145901.20000000001</v>
      </c>
      <c r="M151" s="6">
        <v>0</v>
      </c>
      <c r="N151" s="6">
        <v>0</v>
      </c>
      <c r="O151" s="6">
        <v>17182324</v>
      </c>
      <c r="P151" s="6">
        <v>0</v>
      </c>
      <c r="Q151" s="6">
        <v>0</v>
      </c>
      <c r="R151" s="6">
        <v>3998646.8</v>
      </c>
      <c r="S151" s="6">
        <v>31223888</v>
      </c>
      <c r="T151" s="6">
        <v>0</v>
      </c>
      <c r="U151" s="6">
        <v>997029.4</v>
      </c>
      <c r="V151" s="6">
        <v>0</v>
      </c>
      <c r="W151" s="6">
        <v>13257968</v>
      </c>
      <c r="X151" s="6">
        <v>33959160</v>
      </c>
      <c r="Y151" s="6">
        <v>9.8000000000000007</v>
      </c>
      <c r="Z151" s="6">
        <v>2740553.2</v>
      </c>
      <c r="AA151" s="6">
        <v>0</v>
      </c>
      <c r="AB151" s="6">
        <v>82680990</v>
      </c>
      <c r="AC151" s="6">
        <v>0</v>
      </c>
      <c r="AD151" s="6">
        <v>0</v>
      </c>
      <c r="AE151" s="6">
        <f t="shared" si="28"/>
        <v>211256210</v>
      </c>
      <c r="AF151" s="6">
        <f t="shared" si="29"/>
        <v>0</v>
      </c>
      <c r="AG151" s="6">
        <f t="shared" si="30"/>
        <v>145901.20000000001</v>
      </c>
      <c r="AH151" s="6">
        <f t="shared" si="31"/>
        <v>211110308.80000001</v>
      </c>
      <c r="AI151" s="6">
        <f t="shared" si="32"/>
        <v>17182324</v>
      </c>
      <c r="AJ151" s="6">
        <f t="shared" si="33"/>
        <v>32220917.399999999</v>
      </c>
      <c r="AK151" s="6">
        <f t="shared" si="34"/>
        <v>9.8000000000000007</v>
      </c>
      <c r="AL151" s="6">
        <f t="shared" si="35"/>
        <v>33959160</v>
      </c>
      <c r="AM151" s="6">
        <f t="shared" si="36"/>
        <v>127747894</v>
      </c>
      <c r="AN151" s="10">
        <f t="shared" si="37"/>
        <v>8.1390265106750667E-2</v>
      </c>
      <c r="AO151" s="10">
        <f t="shared" si="38"/>
        <v>0.15262597825350724</v>
      </c>
      <c r="AP151" s="10">
        <f t="shared" si="39"/>
        <v>4.6421229051795124E-8</v>
      </c>
      <c r="AQ151" s="10">
        <f t="shared" si="40"/>
        <v>0.16085979028230193</v>
      </c>
      <c r="AR151" s="10">
        <f t="shared" si="41"/>
        <v>0.6051239028835147</v>
      </c>
    </row>
    <row r="152" spans="1:44" x14ac:dyDescent="0.3">
      <c r="A152" t="s">
        <v>6</v>
      </c>
      <c r="B152" t="s">
        <v>7</v>
      </c>
      <c r="C152" t="s">
        <v>172</v>
      </c>
      <c r="D152" s="7">
        <v>2045</v>
      </c>
      <c r="E152" s="6">
        <v>0.82</v>
      </c>
      <c r="F152" s="6">
        <v>132.69999999999999</v>
      </c>
      <c r="G152" s="15">
        <v>447.4</v>
      </c>
      <c r="H152" s="15">
        <v>533.9</v>
      </c>
      <c r="I152" s="6">
        <v>278131000</v>
      </c>
      <c r="J152" s="6">
        <v>147087340</v>
      </c>
      <c r="K152" s="6">
        <v>30214996</v>
      </c>
      <c r="L152" s="6">
        <v>138331</v>
      </c>
      <c r="M152" s="6">
        <v>0</v>
      </c>
      <c r="N152" s="6">
        <v>0</v>
      </c>
      <c r="O152" s="6">
        <v>17853986</v>
      </c>
      <c r="P152" s="6">
        <v>0</v>
      </c>
      <c r="Q152" s="6">
        <v>0</v>
      </c>
      <c r="R152" s="6">
        <v>5303546</v>
      </c>
      <c r="S152" s="6">
        <v>32546432</v>
      </c>
      <c r="T152" s="6">
        <v>0</v>
      </c>
      <c r="U152" s="6">
        <v>1045271.8</v>
      </c>
      <c r="V152" s="6">
        <v>0</v>
      </c>
      <c r="W152" s="6">
        <v>12900038</v>
      </c>
      <c r="X152" s="6">
        <v>33089244</v>
      </c>
      <c r="Y152" s="6">
        <v>0</v>
      </c>
      <c r="Z152" s="6">
        <v>3255374</v>
      </c>
      <c r="AA152" s="6">
        <v>0</v>
      </c>
      <c r="AB152" s="6">
        <v>141772480</v>
      </c>
      <c r="AC152" s="6">
        <v>11326.4</v>
      </c>
      <c r="AD152" s="6">
        <v>0</v>
      </c>
      <c r="AE152" s="6">
        <f t="shared" si="28"/>
        <v>278131000</v>
      </c>
      <c r="AF152" s="6">
        <f t="shared" si="29"/>
        <v>0</v>
      </c>
      <c r="AG152" s="6">
        <f t="shared" si="30"/>
        <v>138331</v>
      </c>
      <c r="AH152" s="6">
        <f t="shared" si="31"/>
        <v>277992669</v>
      </c>
      <c r="AI152" s="6">
        <f t="shared" si="32"/>
        <v>17853986</v>
      </c>
      <c r="AJ152" s="6">
        <f t="shared" si="33"/>
        <v>33591703.799999997</v>
      </c>
      <c r="AK152" s="6">
        <f t="shared" si="34"/>
        <v>0</v>
      </c>
      <c r="AL152" s="6">
        <f t="shared" si="35"/>
        <v>33089244</v>
      </c>
      <c r="AM152" s="6">
        <f t="shared" si="36"/>
        <v>193457760.40000001</v>
      </c>
      <c r="AN152" s="10">
        <f t="shared" si="37"/>
        <v>6.4224664859777292E-2</v>
      </c>
      <c r="AO152" s="10">
        <f t="shared" si="38"/>
        <v>0.12083665342987875</v>
      </c>
      <c r="AP152" s="10">
        <f t="shared" si="39"/>
        <v>0</v>
      </c>
      <c r="AQ152" s="10">
        <f t="shared" si="40"/>
        <v>0.11902919641380903</v>
      </c>
      <c r="AR152" s="10">
        <f t="shared" si="41"/>
        <v>0.69590957594640745</v>
      </c>
    </row>
    <row r="153" spans="1:44" x14ac:dyDescent="0.3">
      <c r="A153" t="s">
        <v>6</v>
      </c>
      <c r="B153" t="s">
        <v>7</v>
      </c>
      <c r="C153" t="s">
        <v>172</v>
      </c>
      <c r="D153" s="7">
        <v>2050</v>
      </c>
      <c r="E153" s="6">
        <v>0.81</v>
      </c>
      <c r="F153" s="6">
        <v>130.19999999999999</v>
      </c>
      <c r="G153" s="15">
        <v>411.6</v>
      </c>
      <c r="H153" s="15">
        <v>529</v>
      </c>
      <c r="I153" s="6">
        <v>271077500</v>
      </c>
      <c r="J153" s="6">
        <v>144978750</v>
      </c>
      <c r="K153" s="6">
        <v>25470366</v>
      </c>
      <c r="L153" s="6">
        <v>122718.3</v>
      </c>
      <c r="M153" s="6">
        <v>0</v>
      </c>
      <c r="N153" s="6">
        <v>0</v>
      </c>
      <c r="O153" s="6">
        <v>15187086</v>
      </c>
      <c r="P153" s="6">
        <v>0</v>
      </c>
      <c r="Q153" s="6">
        <v>0</v>
      </c>
      <c r="R153" s="6">
        <v>7139521</v>
      </c>
      <c r="S153" s="6">
        <v>34939530</v>
      </c>
      <c r="T153" s="6">
        <v>0</v>
      </c>
      <c r="U153" s="6">
        <v>1246573</v>
      </c>
      <c r="V153" s="6">
        <v>0</v>
      </c>
      <c r="W153" s="6">
        <v>12804527</v>
      </c>
      <c r="X153" s="6">
        <v>32878186</v>
      </c>
      <c r="Y153" s="6">
        <v>0</v>
      </c>
      <c r="Z153" s="6">
        <v>3449757.5</v>
      </c>
      <c r="AA153" s="6">
        <v>0</v>
      </c>
      <c r="AB153" s="6">
        <v>137738660</v>
      </c>
      <c r="AC153" s="6">
        <v>100575.5</v>
      </c>
      <c r="AD153" s="6">
        <v>0</v>
      </c>
      <c r="AE153" s="6">
        <f t="shared" si="28"/>
        <v>271077500</v>
      </c>
      <c r="AF153" s="6">
        <f t="shared" si="29"/>
        <v>0</v>
      </c>
      <c r="AG153" s="6">
        <f t="shared" si="30"/>
        <v>122718.3</v>
      </c>
      <c r="AH153" s="6">
        <f t="shared" si="31"/>
        <v>270954781.69999999</v>
      </c>
      <c r="AI153" s="6">
        <f t="shared" si="32"/>
        <v>15187086</v>
      </c>
      <c r="AJ153" s="6">
        <f t="shared" si="33"/>
        <v>36186103</v>
      </c>
      <c r="AK153" s="6">
        <f t="shared" si="34"/>
        <v>0</v>
      </c>
      <c r="AL153" s="6">
        <f t="shared" si="35"/>
        <v>32878186</v>
      </c>
      <c r="AM153" s="6">
        <f t="shared" si="36"/>
        <v>186703407</v>
      </c>
      <c r="AN153" s="10">
        <f t="shared" si="37"/>
        <v>5.6050260138295248E-2</v>
      </c>
      <c r="AO153" s="10">
        <f t="shared" si="38"/>
        <v>0.13355033918561771</v>
      </c>
      <c r="AP153" s="10">
        <f t="shared" si="39"/>
        <v>0</v>
      </c>
      <c r="AQ153" s="10">
        <f t="shared" si="40"/>
        <v>0.12134196633740382</v>
      </c>
      <c r="AR153" s="10">
        <f t="shared" si="41"/>
        <v>0.68905743544587905</v>
      </c>
    </row>
    <row r="154" spans="1:44" x14ac:dyDescent="0.3">
      <c r="A154" t="s">
        <v>6</v>
      </c>
      <c r="B154" t="s">
        <v>7</v>
      </c>
      <c r="C154" t="s">
        <v>173</v>
      </c>
      <c r="D154" s="7">
        <v>2024</v>
      </c>
      <c r="E154" s="6">
        <v>0.56000000000000005</v>
      </c>
      <c r="F154" s="6">
        <v>295.2</v>
      </c>
      <c r="G154" s="15">
        <v>378.3</v>
      </c>
      <c r="H154" s="15">
        <v>869.6</v>
      </c>
      <c r="I154" s="6">
        <v>323192220</v>
      </c>
      <c r="J154" s="6">
        <v>38951004</v>
      </c>
      <c r="K154" s="6">
        <v>157995.4</v>
      </c>
      <c r="L154" s="6">
        <v>4244172.5</v>
      </c>
      <c r="M154" s="6">
        <v>0</v>
      </c>
      <c r="N154" s="6">
        <v>0</v>
      </c>
      <c r="O154" s="6">
        <v>41698376</v>
      </c>
      <c r="P154" s="6">
        <v>0</v>
      </c>
      <c r="Q154" s="6">
        <v>0</v>
      </c>
      <c r="R154" s="6">
        <v>3201306.5</v>
      </c>
      <c r="S154" s="6">
        <v>100676650</v>
      </c>
      <c r="T154" s="6">
        <v>0</v>
      </c>
      <c r="U154" s="6">
        <v>638155.19999999995</v>
      </c>
      <c r="V154" s="6">
        <v>0</v>
      </c>
      <c r="W154" s="6">
        <v>9000352</v>
      </c>
      <c r="X154" s="6">
        <v>122476860</v>
      </c>
      <c r="Y154" s="6">
        <v>11550.6</v>
      </c>
      <c r="Z154" s="6">
        <v>5337103</v>
      </c>
      <c r="AA154" s="6">
        <v>0</v>
      </c>
      <c r="AB154" s="6">
        <v>33224682</v>
      </c>
      <c r="AC154" s="6">
        <v>703199.8</v>
      </c>
      <c r="AD154" s="6">
        <v>1821817.6</v>
      </c>
      <c r="AE154" s="6">
        <f t="shared" si="28"/>
        <v>323192220</v>
      </c>
      <c r="AF154" s="6">
        <f t="shared" si="29"/>
        <v>0</v>
      </c>
      <c r="AG154" s="6">
        <f t="shared" si="30"/>
        <v>4244172.5</v>
      </c>
      <c r="AH154" s="6">
        <f t="shared" si="31"/>
        <v>318948047.5</v>
      </c>
      <c r="AI154" s="6">
        <f t="shared" si="32"/>
        <v>41698376</v>
      </c>
      <c r="AJ154" s="6">
        <f t="shared" si="33"/>
        <v>101314805.2</v>
      </c>
      <c r="AK154" s="6">
        <f t="shared" si="34"/>
        <v>11550.6</v>
      </c>
      <c r="AL154" s="6">
        <f t="shared" si="35"/>
        <v>122476860</v>
      </c>
      <c r="AM154" s="6">
        <f t="shared" si="36"/>
        <v>53446456.299999997</v>
      </c>
      <c r="AN154" s="10">
        <f t="shared" si="37"/>
        <v>0.1307372041523471</v>
      </c>
      <c r="AO154" s="10">
        <f t="shared" si="38"/>
        <v>0.31765300334688523</v>
      </c>
      <c r="AP154" s="10">
        <f t="shared" si="39"/>
        <v>3.6214675369661891E-5</v>
      </c>
      <c r="AQ154" s="10">
        <f t="shared" si="40"/>
        <v>0.3840025388460796</v>
      </c>
      <c r="AR154" s="10">
        <f t="shared" si="41"/>
        <v>0.16757104086050251</v>
      </c>
    </row>
    <row r="155" spans="1:44" x14ac:dyDescent="0.3">
      <c r="A155" t="s">
        <v>6</v>
      </c>
      <c r="B155" t="s">
        <v>7</v>
      </c>
      <c r="C155" t="s">
        <v>173</v>
      </c>
      <c r="D155" s="7">
        <v>2026</v>
      </c>
      <c r="E155" s="6">
        <v>0.61</v>
      </c>
      <c r="F155" s="6">
        <v>260</v>
      </c>
      <c r="G155" s="15">
        <v>279.5</v>
      </c>
      <c r="H155" s="15">
        <v>826.8</v>
      </c>
      <c r="I155" s="6">
        <v>338894340</v>
      </c>
      <c r="J155" s="6">
        <v>63018104</v>
      </c>
      <c r="K155" s="6">
        <v>335578.3</v>
      </c>
      <c r="L155" s="6">
        <v>4178129.5</v>
      </c>
      <c r="M155" s="6">
        <v>0</v>
      </c>
      <c r="N155" s="6">
        <v>0</v>
      </c>
      <c r="O155" s="6">
        <v>37369080</v>
      </c>
      <c r="P155" s="6">
        <v>0</v>
      </c>
      <c r="Q155" s="6">
        <v>0</v>
      </c>
      <c r="R155" s="6">
        <v>4677357.5</v>
      </c>
      <c r="S155" s="6">
        <v>95585410</v>
      </c>
      <c r="T155" s="6">
        <v>0</v>
      </c>
      <c r="U155" s="6">
        <v>575029</v>
      </c>
      <c r="V155" s="6">
        <v>0</v>
      </c>
      <c r="W155" s="6">
        <v>9009810</v>
      </c>
      <c r="X155" s="6">
        <v>122298500</v>
      </c>
      <c r="Y155" s="6">
        <v>10558.2</v>
      </c>
      <c r="Z155" s="6">
        <v>6514148.5</v>
      </c>
      <c r="AA155" s="6">
        <v>0</v>
      </c>
      <c r="AB155" s="6">
        <v>52943508</v>
      </c>
      <c r="AC155" s="6">
        <v>699407.8</v>
      </c>
      <c r="AD155" s="6">
        <v>4697835.5</v>
      </c>
      <c r="AE155" s="6">
        <f t="shared" si="28"/>
        <v>338894340</v>
      </c>
      <c r="AF155" s="6">
        <f t="shared" si="29"/>
        <v>0</v>
      </c>
      <c r="AG155" s="6">
        <f t="shared" si="30"/>
        <v>4178129.5</v>
      </c>
      <c r="AH155" s="6">
        <f t="shared" si="31"/>
        <v>334716210.5</v>
      </c>
      <c r="AI155" s="6">
        <f t="shared" si="32"/>
        <v>37369080</v>
      </c>
      <c r="AJ155" s="6">
        <f t="shared" si="33"/>
        <v>96160439</v>
      </c>
      <c r="AK155" s="6">
        <f t="shared" si="34"/>
        <v>10558.2</v>
      </c>
      <c r="AL155" s="6">
        <f t="shared" si="35"/>
        <v>122298500</v>
      </c>
      <c r="AM155" s="6">
        <f t="shared" si="36"/>
        <v>78877645.599999994</v>
      </c>
      <c r="AN155" s="10">
        <f t="shared" si="37"/>
        <v>0.11164406989484604</v>
      </c>
      <c r="AO155" s="10">
        <f t="shared" si="38"/>
        <v>0.28728945890118457</v>
      </c>
      <c r="AP155" s="10">
        <f t="shared" si="39"/>
        <v>3.1543736660462705E-5</v>
      </c>
      <c r="AQ155" s="10">
        <f t="shared" si="40"/>
        <v>0.3653796743734346</v>
      </c>
      <c r="AR155" s="10">
        <f t="shared" si="41"/>
        <v>0.23565528984142223</v>
      </c>
    </row>
    <row r="156" spans="1:44" x14ac:dyDescent="0.3">
      <c r="A156" t="s">
        <v>6</v>
      </c>
      <c r="B156" t="s">
        <v>7</v>
      </c>
      <c r="C156" t="s">
        <v>173</v>
      </c>
      <c r="D156" s="7">
        <v>2028</v>
      </c>
      <c r="E156" s="6">
        <v>0.7</v>
      </c>
      <c r="F156" s="6">
        <v>183.9</v>
      </c>
      <c r="G156" s="15">
        <v>211.8</v>
      </c>
      <c r="H156" s="15">
        <v>723.5</v>
      </c>
      <c r="I156" s="6">
        <v>364360860</v>
      </c>
      <c r="J156" s="6">
        <v>106639090</v>
      </c>
      <c r="K156" s="6">
        <v>6826785.5</v>
      </c>
      <c r="L156" s="6">
        <v>2672000.2000000002</v>
      </c>
      <c r="M156" s="6">
        <v>0</v>
      </c>
      <c r="N156" s="6">
        <v>0</v>
      </c>
      <c r="O156" s="6">
        <v>21804506</v>
      </c>
      <c r="P156" s="6">
        <v>0</v>
      </c>
      <c r="Q156" s="6">
        <v>0</v>
      </c>
      <c r="R156" s="6">
        <v>6895605</v>
      </c>
      <c r="S156" s="6">
        <v>87442530</v>
      </c>
      <c r="T156" s="6">
        <v>0</v>
      </c>
      <c r="U156" s="6">
        <v>514732</v>
      </c>
      <c r="V156" s="6">
        <v>0</v>
      </c>
      <c r="W156" s="6">
        <v>9044128</v>
      </c>
      <c r="X156" s="6">
        <v>120693040</v>
      </c>
      <c r="Y156" s="6">
        <v>12093.2</v>
      </c>
      <c r="Z156" s="6">
        <v>8711955</v>
      </c>
      <c r="AA156" s="6">
        <v>0</v>
      </c>
      <c r="AB156" s="6">
        <v>91434510</v>
      </c>
      <c r="AC156" s="6">
        <v>695635.9</v>
      </c>
      <c r="AD156" s="6">
        <v>7613329.5</v>
      </c>
      <c r="AE156" s="6">
        <f t="shared" si="28"/>
        <v>364360860</v>
      </c>
      <c r="AF156" s="6">
        <f t="shared" si="29"/>
        <v>0</v>
      </c>
      <c r="AG156" s="6">
        <f t="shared" si="30"/>
        <v>2672000.2000000002</v>
      </c>
      <c r="AH156" s="6">
        <f t="shared" si="31"/>
        <v>361688859.80000001</v>
      </c>
      <c r="AI156" s="6">
        <f t="shared" si="32"/>
        <v>21804506</v>
      </c>
      <c r="AJ156" s="6">
        <f t="shared" si="33"/>
        <v>87957262</v>
      </c>
      <c r="AK156" s="6">
        <f t="shared" si="34"/>
        <v>12093.2</v>
      </c>
      <c r="AL156" s="6">
        <f t="shared" si="35"/>
        <v>120693040</v>
      </c>
      <c r="AM156" s="6">
        <f t="shared" si="36"/>
        <v>131221948.90000001</v>
      </c>
      <c r="AN156" s="10">
        <f t="shared" si="37"/>
        <v>6.028525736749827E-2</v>
      </c>
      <c r="AO156" s="10">
        <f t="shared" si="38"/>
        <v>0.24318488008902728</v>
      </c>
      <c r="AP156" s="10">
        <f t="shared" si="39"/>
        <v>3.3435367643579277E-5</v>
      </c>
      <c r="AQ156" s="10">
        <f t="shared" si="40"/>
        <v>0.33369299808332109</v>
      </c>
      <c r="AR156" s="10">
        <f t="shared" si="41"/>
        <v>0.36280340227387892</v>
      </c>
    </row>
    <row r="157" spans="1:44" x14ac:dyDescent="0.3">
      <c r="A157" t="s">
        <v>6</v>
      </c>
      <c r="B157" t="s">
        <v>7</v>
      </c>
      <c r="C157" t="s">
        <v>173</v>
      </c>
      <c r="D157" s="7">
        <v>2030</v>
      </c>
      <c r="E157" s="6">
        <v>0.75</v>
      </c>
      <c r="F157" s="6">
        <v>147.1</v>
      </c>
      <c r="G157" s="15">
        <v>211.7</v>
      </c>
      <c r="H157" s="15">
        <v>662.9</v>
      </c>
      <c r="I157" s="6">
        <v>391723170</v>
      </c>
      <c r="J157" s="6">
        <v>139815250</v>
      </c>
      <c r="K157" s="6">
        <v>14789050</v>
      </c>
      <c r="L157" s="6">
        <v>2593168</v>
      </c>
      <c r="M157" s="6">
        <v>0</v>
      </c>
      <c r="N157" s="6">
        <v>0</v>
      </c>
      <c r="O157" s="6">
        <v>17312904</v>
      </c>
      <c r="P157" s="6">
        <v>0</v>
      </c>
      <c r="Q157" s="6">
        <v>0</v>
      </c>
      <c r="R157" s="6">
        <v>10034530</v>
      </c>
      <c r="S157" s="6">
        <v>79373680</v>
      </c>
      <c r="T157" s="6">
        <v>0</v>
      </c>
      <c r="U157" s="6">
        <v>375705</v>
      </c>
      <c r="V157" s="6">
        <v>0</v>
      </c>
      <c r="W157" s="6">
        <v>8920850</v>
      </c>
      <c r="X157" s="6">
        <v>119012670</v>
      </c>
      <c r="Y157" s="6">
        <v>2648.2</v>
      </c>
      <c r="Z157" s="6">
        <v>9527245</v>
      </c>
      <c r="AA157" s="6">
        <v>0</v>
      </c>
      <c r="AB157" s="6">
        <v>113597520</v>
      </c>
      <c r="AC157" s="6">
        <v>900676.5</v>
      </c>
      <c r="AD157" s="6">
        <v>15282526</v>
      </c>
      <c r="AE157" s="6">
        <f t="shared" si="28"/>
        <v>391723170</v>
      </c>
      <c r="AF157" s="6">
        <f t="shared" si="29"/>
        <v>0</v>
      </c>
      <c r="AG157" s="6">
        <f t="shared" si="30"/>
        <v>2593168</v>
      </c>
      <c r="AH157" s="6">
        <f t="shared" si="31"/>
        <v>389130002</v>
      </c>
      <c r="AI157" s="6">
        <f t="shared" si="32"/>
        <v>17312904</v>
      </c>
      <c r="AJ157" s="6">
        <f t="shared" si="33"/>
        <v>79749385</v>
      </c>
      <c r="AK157" s="6">
        <f t="shared" si="34"/>
        <v>2648.2</v>
      </c>
      <c r="AL157" s="6">
        <f t="shared" si="35"/>
        <v>119012670</v>
      </c>
      <c r="AM157" s="6">
        <f t="shared" si="36"/>
        <v>173052397.5</v>
      </c>
      <c r="AN157" s="10">
        <f t="shared" si="37"/>
        <v>4.4491311158269417E-2</v>
      </c>
      <c r="AO157" s="10">
        <f t="shared" si="38"/>
        <v>0.20494278156429582</v>
      </c>
      <c r="AP157" s="10">
        <f t="shared" si="39"/>
        <v>6.8054377364611423E-6</v>
      </c>
      <c r="AQ157" s="10">
        <f t="shared" si="40"/>
        <v>0.30584295579450077</v>
      </c>
      <c r="AR157" s="10">
        <f t="shared" si="41"/>
        <v>0.44471615298375272</v>
      </c>
    </row>
    <row r="158" spans="1:44" x14ac:dyDescent="0.3">
      <c r="A158" t="s">
        <v>6</v>
      </c>
      <c r="B158" t="s">
        <v>7</v>
      </c>
      <c r="C158" t="s">
        <v>173</v>
      </c>
      <c r="D158" s="7">
        <v>2035</v>
      </c>
      <c r="E158" s="6">
        <v>0.83</v>
      </c>
      <c r="F158" s="6">
        <v>92.1</v>
      </c>
      <c r="G158" s="15">
        <v>211.6</v>
      </c>
      <c r="H158" s="15">
        <v>583.4</v>
      </c>
      <c r="I158" s="6">
        <v>459622500</v>
      </c>
      <c r="J158" s="6">
        <v>209080400</v>
      </c>
      <c r="K158" s="6">
        <v>37135130</v>
      </c>
      <c r="L158" s="6">
        <v>2130583.7999999998</v>
      </c>
      <c r="M158" s="6">
        <v>0</v>
      </c>
      <c r="N158" s="6">
        <v>0</v>
      </c>
      <c r="O158" s="6">
        <v>8787109</v>
      </c>
      <c r="P158" s="6">
        <v>0</v>
      </c>
      <c r="Q158" s="6">
        <v>0</v>
      </c>
      <c r="R158" s="6">
        <v>15251475</v>
      </c>
      <c r="S158" s="6">
        <v>67129710</v>
      </c>
      <c r="T158" s="6">
        <v>0</v>
      </c>
      <c r="U158" s="6">
        <v>229856.6</v>
      </c>
      <c r="V158" s="6">
        <v>0</v>
      </c>
      <c r="W158" s="6">
        <v>8714750</v>
      </c>
      <c r="X158" s="6">
        <v>116559336</v>
      </c>
      <c r="Y158" s="6">
        <v>2424.3000000000002</v>
      </c>
      <c r="Z158" s="6">
        <v>9853243</v>
      </c>
      <c r="AA158" s="6">
        <v>0</v>
      </c>
      <c r="AB158" s="6">
        <v>174283280</v>
      </c>
      <c r="AC158" s="6">
        <v>4478006</v>
      </c>
      <c r="AD158" s="6">
        <v>15067634</v>
      </c>
      <c r="AE158" s="6">
        <f t="shared" si="28"/>
        <v>459622500</v>
      </c>
      <c r="AF158" s="6">
        <f t="shared" si="29"/>
        <v>0</v>
      </c>
      <c r="AG158" s="6">
        <f t="shared" si="30"/>
        <v>2130583.7999999998</v>
      </c>
      <c r="AH158" s="6">
        <f t="shared" si="31"/>
        <v>457491916.19999999</v>
      </c>
      <c r="AI158" s="6">
        <f t="shared" si="32"/>
        <v>8787109</v>
      </c>
      <c r="AJ158" s="6">
        <f t="shared" si="33"/>
        <v>67359566.599999994</v>
      </c>
      <c r="AK158" s="6">
        <f t="shared" si="34"/>
        <v>2424.3000000000002</v>
      </c>
      <c r="AL158" s="6">
        <f t="shared" si="35"/>
        <v>116559336</v>
      </c>
      <c r="AM158" s="6">
        <f t="shared" si="36"/>
        <v>264783518</v>
      </c>
      <c r="AN158" s="10">
        <f t="shared" si="37"/>
        <v>1.9207135009044779E-2</v>
      </c>
      <c r="AO158" s="10">
        <f t="shared" si="38"/>
        <v>0.14723662695397807</v>
      </c>
      <c r="AP158" s="10">
        <f t="shared" si="39"/>
        <v>5.2991100261106652E-6</v>
      </c>
      <c r="AQ158" s="10">
        <f t="shared" si="40"/>
        <v>0.2547790067377807</v>
      </c>
      <c r="AR158" s="10">
        <f t="shared" si="41"/>
        <v>0.57877201459499805</v>
      </c>
    </row>
    <row r="159" spans="1:44" x14ac:dyDescent="0.3">
      <c r="A159" t="s">
        <v>6</v>
      </c>
      <c r="B159" t="s">
        <v>7</v>
      </c>
      <c r="C159" t="s">
        <v>173</v>
      </c>
      <c r="D159" s="7">
        <v>2040</v>
      </c>
      <c r="E159" s="6">
        <v>0.86</v>
      </c>
      <c r="F159" s="6">
        <v>75.5</v>
      </c>
      <c r="G159" s="15">
        <v>188.3</v>
      </c>
      <c r="H159" s="15">
        <v>540.5</v>
      </c>
      <c r="I159" s="6">
        <v>481364480</v>
      </c>
      <c r="J159" s="6">
        <v>229834830</v>
      </c>
      <c r="K159" s="6">
        <v>47774348</v>
      </c>
      <c r="L159" s="6">
        <v>2086323.4</v>
      </c>
      <c r="M159" s="6">
        <v>0</v>
      </c>
      <c r="N159" s="6">
        <v>0</v>
      </c>
      <c r="O159" s="6">
        <v>6132569.5</v>
      </c>
      <c r="P159" s="6">
        <v>0</v>
      </c>
      <c r="Q159" s="6">
        <v>0</v>
      </c>
      <c r="R159" s="6">
        <v>16823952</v>
      </c>
      <c r="S159" s="6">
        <v>60330188</v>
      </c>
      <c r="T159" s="6">
        <v>0</v>
      </c>
      <c r="U159" s="6">
        <v>250111.5</v>
      </c>
      <c r="V159" s="6">
        <v>0</v>
      </c>
      <c r="W159" s="6">
        <v>8672711</v>
      </c>
      <c r="X159" s="6">
        <v>115754584</v>
      </c>
      <c r="Y159" s="6">
        <v>2979.2</v>
      </c>
      <c r="Z159" s="6">
        <v>10525823</v>
      </c>
      <c r="AA159" s="6">
        <v>0</v>
      </c>
      <c r="AB159" s="6">
        <v>189950140</v>
      </c>
      <c r="AC159" s="6">
        <v>8229161.5</v>
      </c>
      <c r="AD159" s="6">
        <v>14831573</v>
      </c>
      <c r="AE159" s="6">
        <f t="shared" si="28"/>
        <v>481364480</v>
      </c>
      <c r="AF159" s="6">
        <f t="shared" si="29"/>
        <v>0</v>
      </c>
      <c r="AG159" s="6">
        <f t="shared" si="30"/>
        <v>2086323.4</v>
      </c>
      <c r="AH159" s="6">
        <f t="shared" si="31"/>
        <v>479278156.60000002</v>
      </c>
      <c r="AI159" s="6">
        <f t="shared" si="32"/>
        <v>6132569.5</v>
      </c>
      <c r="AJ159" s="6">
        <f t="shared" si="33"/>
        <v>60580299.5</v>
      </c>
      <c r="AK159" s="6">
        <f t="shared" si="34"/>
        <v>2979.2</v>
      </c>
      <c r="AL159" s="6">
        <f t="shared" si="35"/>
        <v>115754584</v>
      </c>
      <c r="AM159" s="6">
        <f t="shared" si="36"/>
        <v>296807708.5</v>
      </c>
      <c r="AN159" s="10">
        <f t="shared" si="37"/>
        <v>1.2795428741222963E-2</v>
      </c>
      <c r="AO159" s="10">
        <f t="shared" si="38"/>
        <v>0.1263990412785693</v>
      </c>
      <c r="AP159" s="10">
        <f t="shared" si="39"/>
        <v>6.2160145605934751E-6</v>
      </c>
      <c r="AQ159" s="10">
        <f t="shared" si="40"/>
        <v>0.24151858874846957</v>
      </c>
      <c r="AR159" s="10">
        <f t="shared" si="41"/>
        <v>0.61928069204228775</v>
      </c>
    </row>
    <row r="160" spans="1:44" x14ac:dyDescent="0.3">
      <c r="A160" t="s">
        <v>6</v>
      </c>
      <c r="B160" t="s">
        <v>7</v>
      </c>
      <c r="C160" t="s">
        <v>173</v>
      </c>
      <c r="D160" s="7">
        <v>2045</v>
      </c>
      <c r="E160" s="6">
        <v>0.93</v>
      </c>
      <c r="F160" s="6">
        <v>38.700000000000003</v>
      </c>
      <c r="G160" s="15">
        <v>142.19999999999999</v>
      </c>
      <c r="H160" s="15">
        <v>497.4</v>
      </c>
      <c r="I160" s="6">
        <v>501150400</v>
      </c>
      <c r="J160" s="6">
        <v>265812640</v>
      </c>
      <c r="K160" s="6">
        <v>67687660</v>
      </c>
      <c r="L160" s="6">
        <v>1412751.2</v>
      </c>
      <c r="M160" s="6">
        <v>0</v>
      </c>
      <c r="N160" s="6">
        <v>0</v>
      </c>
      <c r="O160" s="6">
        <v>4301606.5</v>
      </c>
      <c r="P160" s="6">
        <v>0</v>
      </c>
      <c r="Q160" s="6">
        <v>0</v>
      </c>
      <c r="R160" s="6">
        <v>17843152</v>
      </c>
      <c r="S160" s="6">
        <v>28378324</v>
      </c>
      <c r="T160" s="6">
        <v>0</v>
      </c>
      <c r="U160" s="6">
        <v>447793.4</v>
      </c>
      <c r="V160" s="6">
        <v>0</v>
      </c>
      <c r="W160" s="6">
        <v>8533713</v>
      </c>
      <c r="X160" s="6">
        <v>114458344</v>
      </c>
      <c r="Y160" s="6">
        <v>748.2</v>
      </c>
      <c r="Z160" s="6">
        <v>10116813</v>
      </c>
      <c r="AA160" s="6">
        <v>0</v>
      </c>
      <c r="AB160" s="6">
        <v>224936020</v>
      </c>
      <c r="AC160" s="6">
        <v>8413216</v>
      </c>
      <c r="AD160" s="6">
        <v>14620243</v>
      </c>
      <c r="AE160" s="6">
        <f t="shared" si="28"/>
        <v>501150400</v>
      </c>
      <c r="AF160" s="6">
        <f t="shared" si="29"/>
        <v>0</v>
      </c>
      <c r="AG160" s="6">
        <f t="shared" si="30"/>
        <v>1412751.2</v>
      </c>
      <c r="AH160" s="6">
        <f t="shared" si="31"/>
        <v>499737648.80000001</v>
      </c>
      <c r="AI160" s="6">
        <f t="shared" si="32"/>
        <v>4301606.5</v>
      </c>
      <c r="AJ160" s="6">
        <f t="shared" si="33"/>
        <v>28826117.399999999</v>
      </c>
      <c r="AK160" s="6">
        <f t="shared" si="34"/>
        <v>748.2</v>
      </c>
      <c r="AL160" s="6">
        <f t="shared" si="35"/>
        <v>114458344</v>
      </c>
      <c r="AM160" s="6">
        <f t="shared" si="36"/>
        <v>352150817</v>
      </c>
      <c r="AN160" s="10">
        <f t="shared" si="37"/>
        <v>8.6077294963252723E-3</v>
      </c>
      <c r="AO160" s="10">
        <f t="shared" si="38"/>
        <v>5.7682500946684721E-2</v>
      </c>
      <c r="AP160" s="10">
        <f t="shared" si="39"/>
        <v>1.4971855768654267E-6</v>
      </c>
      <c r="AQ160" s="10">
        <f t="shared" si="40"/>
        <v>0.22903686419233019</v>
      </c>
      <c r="AR160" s="10">
        <f t="shared" si="41"/>
        <v>0.70467137676259861</v>
      </c>
    </row>
    <row r="161" spans="1:44" x14ac:dyDescent="0.3">
      <c r="A161" t="s">
        <v>6</v>
      </c>
      <c r="B161" t="s">
        <v>7</v>
      </c>
      <c r="C161" t="s">
        <v>173</v>
      </c>
      <c r="D161" s="7">
        <v>2050</v>
      </c>
      <c r="E161" s="6">
        <v>0.93</v>
      </c>
      <c r="F161" s="6">
        <v>38.9</v>
      </c>
      <c r="G161" s="15">
        <v>113.2</v>
      </c>
      <c r="H161" s="15">
        <v>511.2</v>
      </c>
      <c r="I161" s="6">
        <v>501907700</v>
      </c>
      <c r="J161" s="6">
        <v>271552540</v>
      </c>
      <c r="K161" s="6">
        <v>62644696</v>
      </c>
      <c r="L161" s="6">
        <v>1423344.2</v>
      </c>
      <c r="M161" s="6">
        <v>0</v>
      </c>
      <c r="N161" s="6">
        <v>0</v>
      </c>
      <c r="O161" s="6">
        <v>1924772.2</v>
      </c>
      <c r="P161" s="6">
        <v>0</v>
      </c>
      <c r="Q161" s="6">
        <v>0</v>
      </c>
      <c r="R161" s="6">
        <v>19369630</v>
      </c>
      <c r="S161" s="6">
        <v>33254108</v>
      </c>
      <c r="T161" s="6">
        <v>0</v>
      </c>
      <c r="U161" s="6">
        <v>817027</v>
      </c>
      <c r="V161" s="6">
        <v>0</v>
      </c>
      <c r="W161" s="6">
        <v>8483493</v>
      </c>
      <c r="X161" s="6">
        <v>111073256</v>
      </c>
      <c r="Y161" s="6">
        <v>17.899999999999999</v>
      </c>
      <c r="Z161" s="6">
        <v>10734457</v>
      </c>
      <c r="AA161" s="6">
        <v>0</v>
      </c>
      <c r="AB161" s="6">
        <v>223386620</v>
      </c>
      <c r="AC161" s="6">
        <v>14410226</v>
      </c>
      <c r="AD161" s="6">
        <v>14386053</v>
      </c>
      <c r="AE161" s="6">
        <f t="shared" si="28"/>
        <v>501907700</v>
      </c>
      <c r="AF161" s="6">
        <f t="shared" si="29"/>
        <v>0</v>
      </c>
      <c r="AG161" s="6">
        <f t="shared" si="30"/>
        <v>1423344.2</v>
      </c>
      <c r="AH161" s="6">
        <f t="shared" si="31"/>
        <v>500484355.80000001</v>
      </c>
      <c r="AI161" s="6">
        <f t="shared" si="32"/>
        <v>1924772.2</v>
      </c>
      <c r="AJ161" s="6">
        <f t="shared" si="33"/>
        <v>34071135</v>
      </c>
      <c r="AK161" s="6">
        <f t="shared" si="34"/>
        <v>17.899999999999999</v>
      </c>
      <c r="AL161" s="6">
        <f t="shared" si="35"/>
        <v>111073256</v>
      </c>
      <c r="AM161" s="6">
        <f t="shared" si="36"/>
        <v>353415175</v>
      </c>
      <c r="AN161" s="10">
        <f t="shared" si="37"/>
        <v>3.8458189106097928E-3</v>
      </c>
      <c r="AO161" s="10">
        <f t="shared" si="38"/>
        <v>6.8076323675570122E-2</v>
      </c>
      <c r="AP161" s="10">
        <f t="shared" si="39"/>
        <v>3.5765353687005289E-8</v>
      </c>
      <c r="AQ161" s="10">
        <f t="shared" si="40"/>
        <v>0.22193152435794877</v>
      </c>
      <c r="AR161" s="10">
        <f t="shared" si="41"/>
        <v>0.70614629788993699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F87C-5A59-4A42-9E25-FF6E73FD51E7}">
  <dimension ref="A1:AR161"/>
  <sheetViews>
    <sheetView topLeftCell="A40" workbookViewId="0">
      <selection activeCell="O2" sqref="O2"/>
    </sheetView>
  </sheetViews>
  <sheetFormatPr defaultRowHeight="14.4" x14ac:dyDescent="0.3"/>
  <cols>
    <col min="1" max="5" width="15.77734375" customWidth="1"/>
    <col min="6" max="6" width="20.88671875" customWidth="1"/>
    <col min="7" max="7" width="23" customWidth="1"/>
    <col min="8" max="8" width="24" customWidth="1"/>
    <col min="9" max="31" width="15.77734375" customWidth="1"/>
    <col min="32" max="32" width="20.21875" customWidth="1"/>
    <col min="33" max="33" width="15.77734375" customWidth="1"/>
    <col min="34" max="34" width="25.5546875" customWidth="1"/>
    <col min="35" max="40" width="15.77734375" customWidth="1"/>
    <col min="41" max="41" width="18.33203125" customWidth="1"/>
    <col min="42" max="43" width="15.77734375" customWidth="1"/>
    <col min="44" max="44" width="18.33203125" customWidth="1"/>
  </cols>
  <sheetData>
    <row r="1" spans="1:44" x14ac:dyDescent="0.3">
      <c r="A1" s="12" t="s">
        <v>197</v>
      </c>
      <c r="B1" s="12" t="s">
        <v>177</v>
      </c>
      <c r="C1" s="12" t="s">
        <v>174</v>
      </c>
      <c r="D1" s="12" t="s">
        <v>175</v>
      </c>
      <c r="E1" s="12" t="s">
        <v>53</v>
      </c>
      <c r="F1" s="8" t="s">
        <v>196</v>
      </c>
      <c r="G1" s="14" t="s">
        <v>194</v>
      </c>
      <c r="H1" s="14" t="s">
        <v>195</v>
      </c>
      <c r="I1" s="12" t="s">
        <v>109</v>
      </c>
      <c r="J1" s="12" t="s">
        <v>110</v>
      </c>
      <c r="K1" s="12" t="s">
        <v>111</v>
      </c>
      <c r="L1" s="12" t="s">
        <v>112</v>
      </c>
      <c r="M1" s="12" t="s">
        <v>113</v>
      </c>
      <c r="N1" s="12" t="s">
        <v>114</v>
      </c>
      <c r="O1" s="12" t="s">
        <v>115</v>
      </c>
      <c r="P1" s="12" t="s">
        <v>116</v>
      </c>
      <c r="Q1" s="12" t="s">
        <v>117</v>
      </c>
      <c r="R1" s="12" t="s">
        <v>118</v>
      </c>
      <c r="S1" s="12" t="s">
        <v>119</v>
      </c>
      <c r="T1" s="12" t="s">
        <v>120</v>
      </c>
      <c r="U1" s="12" t="s">
        <v>121</v>
      </c>
      <c r="V1" s="12" t="s">
        <v>122</v>
      </c>
      <c r="W1" s="12" t="s">
        <v>123</v>
      </c>
      <c r="X1" s="12" t="s">
        <v>124</v>
      </c>
      <c r="Y1" s="12" t="s">
        <v>125</v>
      </c>
      <c r="Z1" s="12" t="s">
        <v>126</v>
      </c>
      <c r="AA1" s="12" t="s">
        <v>127</v>
      </c>
      <c r="AB1" s="12" t="s">
        <v>128</v>
      </c>
      <c r="AC1" s="12" t="s">
        <v>129</v>
      </c>
      <c r="AD1" s="12" t="s">
        <v>130</v>
      </c>
      <c r="AE1" s="8" t="s">
        <v>180</v>
      </c>
      <c r="AF1" s="8" t="s">
        <v>181</v>
      </c>
      <c r="AG1" s="8" t="s">
        <v>182</v>
      </c>
      <c r="AH1" s="8" t="s">
        <v>183</v>
      </c>
      <c r="AI1" s="8" t="s">
        <v>184</v>
      </c>
      <c r="AJ1" s="8" t="s">
        <v>185</v>
      </c>
      <c r="AK1" s="8" t="s">
        <v>186</v>
      </c>
      <c r="AL1" s="8" t="s">
        <v>187</v>
      </c>
      <c r="AM1" s="8" t="s">
        <v>188</v>
      </c>
      <c r="AN1" s="9" t="s">
        <v>189</v>
      </c>
      <c r="AO1" s="9" t="s">
        <v>190</v>
      </c>
      <c r="AP1" s="9" t="s">
        <v>191</v>
      </c>
      <c r="AQ1" s="9" t="s">
        <v>192</v>
      </c>
      <c r="AR1" s="9" t="s">
        <v>193</v>
      </c>
    </row>
    <row r="2" spans="1:44" x14ac:dyDescent="0.3">
      <c r="A2" t="s">
        <v>6</v>
      </c>
      <c r="B2" t="s">
        <v>178</v>
      </c>
      <c r="C2" t="s">
        <v>154</v>
      </c>
      <c r="D2" s="7">
        <v>2024</v>
      </c>
      <c r="E2" s="6">
        <v>0.63</v>
      </c>
      <c r="F2" s="6">
        <v>275.10000000000002</v>
      </c>
      <c r="G2" s="15">
        <v>338.3</v>
      </c>
      <c r="H2" s="15">
        <v>745.2</v>
      </c>
      <c r="I2" s="6">
        <v>188146900</v>
      </c>
      <c r="J2" s="6">
        <v>77673600</v>
      </c>
      <c r="K2" s="6">
        <v>649193.4</v>
      </c>
      <c r="L2" s="6">
        <v>266879.09999999998</v>
      </c>
      <c r="M2" s="6">
        <v>0</v>
      </c>
      <c r="N2" s="6">
        <v>0</v>
      </c>
      <c r="O2" s="6">
        <v>22773602</v>
      </c>
      <c r="P2" s="6">
        <v>0</v>
      </c>
      <c r="Q2" s="6">
        <v>605195.6</v>
      </c>
      <c r="R2" s="6">
        <v>4272841</v>
      </c>
      <c r="S2" s="6">
        <v>45562904</v>
      </c>
      <c r="T2" s="6">
        <v>0</v>
      </c>
      <c r="U2" s="6">
        <v>547089.1</v>
      </c>
      <c r="V2" s="6">
        <v>64042.6</v>
      </c>
      <c r="W2" s="6">
        <v>9499519</v>
      </c>
      <c r="X2" s="6">
        <v>30720758</v>
      </c>
      <c r="Y2" s="6">
        <v>39158.199999999997</v>
      </c>
      <c r="Z2" s="6">
        <v>350143.8</v>
      </c>
      <c r="AA2" s="6">
        <v>0</v>
      </c>
      <c r="AB2" s="6">
        <v>63126856</v>
      </c>
      <c r="AC2" s="6">
        <v>9668711</v>
      </c>
      <c r="AD2" s="6">
        <v>0</v>
      </c>
      <c r="AE2" s="6">
        <f>I2</f>
        <v>188146900</v>
      </c>
      <c r="AF2" s="6">
        <f>N2</f>
        <v>0</v>
      </c>
      <c r="AG2" s="6">
        <f>SUM(L2,M2)</f>
        <v>266879.09999999998</v>
      </c>
      <c r="AH2" s="6">
        <f>AE2-AF2-AG2</f>
        <v>187880020.90000001</v>
      </c>
      <c r="AI2" s="6">
        <f>SUM(O2,P2)</f>
        <v>22773602</v>
      </c>
      <c r="AJ2" s="6">
        <f>SUM(S2,T2,U2)</f>
        <v>46109993.100000001</v>
      </c>
      <c r="AK2" s="6">
        <f>Y2</f>
        <v>39158.199999999997</v>
      </c>
      <c r="AL2" s="6">
        <f>X2</f>
        <v>30720758</v>
      </c>
      <c r="AM2" s="6">
        <f>SUM(K2,Q2,R2,V2,W2,Z2,AA2,AB2,AC2,AD2)</f>
        <v>88236502.400000006</v>
      </c>
      <c r="AN2" s="10">
        <f>AI2/AH2</f>
        <v>0.12121353771895391</v>
      </c>
      <c r="AO2" s="10">
        <f>AJ2/AH2</f>
        <v>0.24542254615003611</v>
      </c>
      <c r="AP2" s="10">
        <f>AK2/AH2</f>
        <v>2.0842130958055474E-4</v>
      </c>
      <c r="AQ2" s="10">
        <f>AL2/AH2</f>
        <v>0.16351263882577097</v>
      </c>
      <c r="AR2" s="10">
        <f>AM2/AH2</f>
        <v>0.46964281767332933</v>
      </c>
    </row>
    <row r="3" spans="1:44" x14ac:dyDescent="0.3">
      <c r="A3" t="s">
        <v>6</v>
      </c>
      <c r="B3" t="s">
        <v>178</v>
      </c>
      <c r="C3" t="s">
        <v>154</v>
      </c>
      <c r="D3" s="7">
        <v>2026</v>
      </c>
      <c r="E3" s="6">
        <v>0.69</v>
      </c>
      <c r="F3" s="6">
        <v>238.1</v>
      </c>
      <c r="G3" s="15">
        <v>222.4</v>
      </c>
      <c r="H3" s="15">
        <v>698.9</v>
      </c>
      <c r="I3" s="6">
        <v>195086500</v>
      </c>
      <c r="J3" s="6">
        <v>89076960</v>
      </c>
      <c r="K3" s="6">
        <v>3839547.5</v>
      </c>
      <c r="L3" s="6">
        <v>264312</v>
      </c>
      <c r="M3" s="6">
        <v>0</v>
      </c>
      <c r="N3" s="6">
        <v>0</v>
      </c>
      <c r="O3" s="6">
        <v>21744526</v>
      </c>
      <c r="P3" s="6">
        <v>0</v>
      </c>
      <c r="Q3" s="6">
        <v>605706.4</v>
      </c>
      <c r="R3" s="6">
        <v>5320511</v>
      </c>
      <c r="S3" s="6">
        <v>38269360</v>
      </c>
      <c r="T3" s="6">
        <v>0</v>
      </c>
      <c r="U3" s="6">
        <v>331937.7</v>
      </c>
      <c r="V3" s="6">
        <v>63993.8</v>
      </c>
      <c r="W3" s="6">
        <v>10742147</v>
      </c>
      <c r="X3" s="6">
        <v>30355932</v>
      </c>
      <c r="Y3" s="6">
        <v>21817.5</v>
      </c>
      <c r="Z3" s="6">
        <v>375966.1</v>
      </c>
      <c r="AA3" s="6">
        <v>0</v>
      </c>
      <c r="AB3" s="6">
        <v>72053930</v>
      </c>
      <c r="AC3" s="6">
        <v>11096814</v>
      </c>
      <c r="AD3" s="6">
        <v>0</v>
      </c>
      <c r="AE3" s="6">
        <f t="shared" ref="AE3:AE66" si="0">I3</f>
        <v>195086500</v>
      </c>
      <c r="AF3" s="6">
        <f t="shared" ref="AF3:AF66" si="1">N3</f>
        <v>0</v>
      </c>
      <c r="AG3" s="6">
        <f>SUM(L3,M3)</f>
        <v>264312</v>
      </c>
      <c r="AH3" s="6">
        <f t="shared" ref="AH3:AH66" si="2">AE3-AF3-AG3</f>
        <v>194822188</v>
      </c>
      <c r="AI3" s="6">
        <f t="shared" ref="AI3:AI66" si="3">SUM(O3,P3)</f>
        <v>21744526</v>
      </c>
      <c r="AJ3" s="6">
        <f t="shared" ref="AJ3:AJ66" si="4">SUM(S3,T3,U3)</f>
        <v>38601297.700000003</v>
      </c>
      <c r="AK3" s="6">
        <f t="shared" ref="AK3:AK66" si="5">Y3</f>
        <v>21817.5</v>
      </c>
      <c r="AL3" s="6">
        <f t="shared" ref="AL3:AL66" si="6">X3</f>
        <v>30355932</v>
      </c>
      <c r="AM3" s="6">
        <f t="shared" ref="AM3:AM66" si="7">SUM(K3,Q3,R3,V3,W3,Z3,AA3,AB3,AC3,AD3)</f>
        <v>104098615.80000001</v>
      </c>
      <c r="AN3" s="10">
        <f t="shared" ref="AN3:AN66" si="8">AI3/AH3</f>
        <v>0.11161216401080559</v>
      </c>
      <c r="AO3" s="10">
        <f t="shared" ref="AO3:AO66" si="9">AJ3/AH3</f>
        <v>0.1981360444427408</v>
      </c>
      <c r="AP3" s="10">
        <f t="shared" ref="AP3:AP66" si="10">AK3/AH3</f>
        <v>1.119867312033268E-4</v>
      </c>
      <c r="AQ3" s="10">
        <f t="shared" ref="AQ3:AQ66" si="11">AL3/AH3</f>
        <v>0.15581352571607501</v>
      </c>
      <c r="AR3" s="10">
        <f t="shared" ref="AR3:AR66" si="12">AM3/AH3</f>
        <v>0.53432628423206097</v>
      </c>
    </row>
    <row r="4" spans="1:44" x14ac:dyDescent="0.3">
      <c r="A4" t="s">
        <v>6</v>
      </c>
      <c r="B4" t="s">
        <v>178</v>
      </c>
      <c r="C4" t="s">
        <v>154</v>
      </c>
      <c r="D4" s="7">
        <v>2028</v>
      </c>
      <c r="E4" s="6">
        <v>0.78</v>
      </c>
      <c r="F4" s="6">
        <v>171.3</v>
      </c>
      <c r="G4" s="15">
        <v>162.9</v>
      </c>
      <c r="H4" s="15">
        <v>608.70000000000005</v>
      </c>
      <c r="I4" s="6">
        <v>197990560</v>
      </c>
      <c r="J4" s="6">
        <v>106901096</v>
      </c>
      <c r="K4" s="6">
        <v>6972082.5</v>
      </c>
      <c r="L4" s="6">
        <v>257630.4</v>
      </c>
      <c r="M4" s="6">
        <v>0</v>
      </c>
      <c r="N4" s="6">
        <v>0</v>
      </c>
      <c r="O4" s="6">
        <v>16780902</v>
      </c>
      <c r="P4" s="6">
        <v>0</v>
      </c>
      <c r="Q4" s="6">
        <v>562184</v>
      </c>
      <c r="R4" s="6">
        <v>6561916.5</v>
      </c>
      <c r="S4" s="6">
        <v>26125086</v>
      </c>
      <c r="T4" s="6">
        <v>0</v>
      </c>
      <c r="U4" s="6">
        <v>168710.8</v>
      </c>
      <c r="V4" s="6">
        <v>237320.9</v>
      </c>
      <c r="W4" s="6">
        <v>10617267</v>
      </c>
      <c r="X4" s="6">
        <v>29477556</v>
      </c>
      <c r="Y4" s="6">
        <v>17482</v>
      </c>
      <c r="Z4" s="6">
        <v>435425</v>
      </c>
      <c r="AA4" s="6">
        <v>0</v>
      </c>
      <c r="AB4" s="6">
        <v>84752080</v>
      </c>
      <c r="AC4" s="6">
        <v>15024920</v>
      </c>
      <c r="AD4" s="6">
        <v>0</v>
      </c>
      <c r="AE4" s="6">
        <f t="shared" si="0"/>
        <v>197990560</v>
      </c>
      <c r="AF4" s="6">
        <f t="shared" si="1"/>
        <v>0</v>
      </c>
      <c r="AG4" s="6">
        <f t="shared" ref="AG4:AG67" si="13">SUM(L4,M4)</f>
        <v>257630.4</v>
      </c>
      <c r="AH4" s="6">
        <f t="shared" si="2"/>
        <v>197732929.59999999</v>
      </c>
      <c r="AI4" s="6">
        <f t="shared" si="3"/>
        <v>16780902</v>
      </c>
      <c r="AJ4" s="6">
        <f t="shared" si="4"/>
        <v>26293796.800000001</v>
      </c>
      <c r="AK4" s="6">
        <f t="shared" si="5"/>
        <v>17482</v>
      </c>
      <c r="AL4" s="6">
        <f t="shared" si="6"/>
        <v>29477556</v>
      </c>
      <c r="AM4" s="6">
        <f t="shared" si="7"/>
        <v>125163195.90000001</v>
      </c>
      <c r="AN4" s="10">
        <f t="shared" si="8"/>
        <v>8.486650166943159E-2</v>
      </c>
      <c r="AO4" s="10">
        <f t="shared" si="9"/>
        <v>0.13297631736499596</v>
      </c>
      <c r="AP4" s="10">
        <f t="shared" si="10"/>
        <v>8.8412183217862966E-5</v>
      </c>
      <c r="AQ4" s="10">
        <f t="shared" si="11"/>
        <v>0.14907762738169636</v>
      </c>
      <c r="AR4" s="10">
        <f t="shared" si="12"/>
        <v>0.63299115707837073</v>
      </c>
    </row>
    <row r="5" spans="1:44" x14ac:dyDescent="0.3">
      <c r="A5" t="s">
        <v>6</v>
      </c>
      <c r="B5" t="s">
        <v>178</v>
      </c>
      <c r="C5" t="s">
        <v>154</v>
      </c>
      <c r="D5" s="7">
        <v>2030</v>
      </c>
      <c r="E5" s="6">
        <v>0.85</v>
      </c>
      <c r="F5" s="6">
        <v>126.9</v>
      </c>
      <c r="G5" s="15">
        <v>158.1</v>
      </c>
      <c r="H5" s="15">
        <v>491.9</v>
      </c>
      <c r="I5" s="6">
        <v>212615980</v>
      </c>
      <c r="J5" s="6">
        <v>125863016</v>
      </c>
      <c r="K5" s="6">
        <v>13955925</v>
      </c>
      <c r="L5" s="6">
        <v>249730.6</v>
      </c>
      <c r="M5" s="6">
        <v>0</v>
      </c>
      <c r="N5" s="6">
        <v>0</v>
      </c>
      <c r="O5" s="6">
        <v>14607806</v>
      </c>
      <c r="P5" s="6">
        <v>0</v>
      </c>
      <c r="Q5" s="6">
        <v>494218.2</v>
      </c>
      <c r="R5" s="6">
        <v>7718514.5</v>
      </c>
      <c r="S5" s="6">
        <v>18009774</v>
      </c>
      <c r="T5" s="6">
        <v>0</v>
      </c>
      <c r="U5" s="6">
        <v>141232.6</v>
      </c>
      <c r="V5" s="6">
        <v>233912.5</v>
      </c>
      <c r="W5" s="6">
        <v>10494751</v>
      </c>
      <c r="X5" s="6">
        <v>28614692</v>
      </c>
      <c r="Y5" s="6">
        <v>3695.4</v>
      </c>
      <c r="Z5" s="6">
        <v>441448.6</v>
      </c>
      <c r="AA5" s="6">
        <v>0</v>
      </c>
      <c r="AB5" s="6">
        <v>95749620</v>
      </c>
      <c r="AC5" s="6">
        <v>21900658</v>
      </c>
      <c r="AD5" s="6">
        <v>0</v>
      </c>
      <c r="AE5" s="6">
        <f t="shared" si="0"/>
        <v>212615980</v>
      </c>
      <c r="AF5" s="6">
        <f t="shared" si="1"/>
        <v>0</v>
      </c>
      <c r="AG5" s="6">
        <f t="shared" si="13"/>
        <v>249730.6</v>
      </c>
      <c r="AH5" s="6">
        <f t="shared" si="2"/>
        <v>212366249.40000001</v>
      </c>
      <c r="AI5" s="6">
        <f t="shared" si="3"/>
        <v>14607806</v>
      </c>
      <c r="AJ5" s="6">
        <f t="shared" si="4"/>
        <v>18151006.600000001</v>
      </c>
      <c r="AK5" s="6">
        <f t="shared" si="5"/>
        <v>3695.4</v>
      </c>
      <c r="AL5" s="6">
        <f t="shared" si="6"/>
        <v>28614692</v>
      </c>
      <c r="AM5" s="6">
        <f t="shared" si="7"/>
        <v>150989047.80000001</v>
      </c>
      <c r="AN5" s="10">
        <f t="shared" si="8"/>
        <v>6.8785911326642288E-2</v>
      </c>
      <c r="AO5" s="10">
        <f t="shared" si="9"/>
        <v>8.5470297899417541E-2</v>
      </c>
      <c r="AP5" s="10">
        <f t="shared" si="10"/>
        <v>1.7401070134452352E-5</v>
      </c>
      <c r="AQ5" s="10">
        <f t="shared" si="11"/>
        <v>0.13474218281316033</v>
      </c>
      <c r="AR5" s="10">
        <f t="shared" si="12"/>
        <v>0.7109841993564916</v>
      </c>
    </row>
    <row r="6" spans="1:44" x14ac:dyDescent="0.3">
      <c r="A6" t="s">
        <v>6</v>
      </c>
      <c r="B6" t="s">
        <v>178</v>
      </c>
      <c r="C6" t="s">
        <v>154</v>
      </c>
      <c r="D6" s="7">
        <v>2035</v>
      </c>
      <c r="E6" s="6">
        <v>0.9</v>
      </c>
      <c r="F6" s="6">
        <v>74.3</v>
      </c>
      <c r="G6" s="15">
        <v>189.7</v>
      </c>
      <c r="H6" s="15">
        <v>412</v>
      </c>
      <c r="I6" s="6">
        <v>241537970</v>
      </c>
      <c r="J6" s="6">
        <v>148120460</v>
      </c>
      <c r="K6" s="6">
        <v>28770580</v>
      </c>
      <c r="L6" s="6">
        <v>228037.7</v>
      </c>
      <c r="M6" s="6">
        <v>0</v>
      </c>
      <c r="N6" s="6">
        <v>0</v>
      </c>
      <c r="O6" s="6">
        <v>8419978</v>
      </c>
      <c r="P6" s="6">
        <v>0</v>
      </c>
      <c r="Q6" s="6">
        <v>394114.3</v>
      </c>
      <c r="R6" s="6">
        <v>9013552</v>
      </c>
      <c r="S6" s="6">
        <v>15197078</v>
      </c>
      <c r="T6" s="6">
        <v>0</v>
      </c>
      <c r="U6" s="6">
        <v>183179.5</v>
      </c>
      <c r="V6" s="6">
        <v>232814.2</v>
      </c>
      <c r="W6" s="6">
        <v>10440233</v>
      </c>
      <c r="X6" s="6">
        <v>27820966</v>
      </c>
      <c r="Y6" s="6">
        <v>5328.9</v>
      </c>
      <c r="Z6" s="6">
        <v>2119314.5</v>
      </c>
      <c r="AA6" s="6">
        <v>0</v>
      </c>
      <c r="AB6" s="6">
        <v>114456550</v>
      </c>
      <c r="AC6" s="6">
        <v>24256252</v>
      </c>
      <c r="AD6" s="6">
        <v>0</v>
      </c>
      <c r="AE6" s="6">
        <f t="shared" si="0"/>
        <v>241537970</v>
      </c>
      <c r="AF6" s="6">
        <f t="shared" si="1"/>
        <v>0</v>
      </c>
      <c r="AG6" s="6">
        <f t="shared" si="13"/>
        <v>228037.7</v>
      </c>
      <c r="AH6" s="6">
        <f t="shared" si="2"/>
        <v>241309932.30000001</v>
      </c>
      <c r="AI6" s="6">
        <f t="shared" si="3"/>
        <v>8419978</v>
      </c>
      <c r="AJ6" s="6">
        <f t="shared" si="4"/>
        <v>15380257.5</v>
      </c>
      <c r="AK6" s="6">
        <f t="shared" si="5"/>
        <v>5328.9</v>
      </c>
      <c r="AL6" s="6">
        <f t="shared" si="6"/>
        <v>27820966</v>
      </c>
      <c r="AM6" s="6">
        <f t="shared" si="7"/>
        <v>189683410</v>
      </c>
      <c r="AN6" s="10">
        <f t="shared" si="8"/>
        <v>3.4892795003283003E-2</v>
      </c>
      <c r="AO6" s="10">
        <f t="shared" si="9"/>
        <v>6.3736529008176265E-2</v>
      </c>
      <c r="AP6" s="10">
        <f t="shared" si="10"/>
        <v>2.2083218660784478E-5</v>
      </c>
      <c r="AQ6" s="10">
        <f t="shared" si="11"/>
        <v>0.11529142515946078</v>
      </c>
      <c r="AR6" s="10">
        <f t="shared" si="12"/>
        <v>0.7860572011772099</v>
      </c>
    </row>
    <row r="7" spans="1:44" x14ac:dyDescent="0.3">
      <c r="A7" t="s">
        <v>6</v>
      </c>
      <c r="B7" t="s">
        <v>178</v>
      </c>
      <c r="C7" t="s">
        <v>154</v>
      </c>
      <c r="D7" s="7">
        <v>2040</v>
      </c>
      <c r="E7" s="6">
        <v>0.93</v>
      </c>
      <c r="F7" s="6">
        <v>55</v>
      </c>
      <c r="G7" s="15">
        <v>205.9</v>
      </c>
      <c r="H7" s="15">
        <v>321.89999999999998</v>
      </c>
      <c r="I7" s="6">
        <v>275091940</v>
      </c>
      <c r="J7" s="6">
        <v>171884670</v>
      </c>
      <c r="K7" s="6">
        <v>42974650</v>
      </c>
      <c r="L7" s="6">
        <v>220501.4</v>
      </c>
      <c r="M7" s="6">
        <v>0</v>
      </c>
      <c r="N7" s="6">
        <v>0</v>
      </c>
      <c r="O7" s="6">
        <v>6799749.5</v>
      </c>
      <c r="P7" s="6">
        <v>0</v>
      </c>
      <c r="Q7" s="6">
        <v>263911.2</v>
      </c>
      <c r="R7" s="6">
        <v>8563288</v>
      </c>
      <c r="S7" s="6">
        <v>13453581</v>
      </c>
      <c r="T7" s="6">
        <v>0</v>
      </c>
      <c r="U7" s="6">
        <v>104269.5</v>
      </c>
      <c r="V7" s="6">
        <v>233051.9</v>
      </c>
      <c r="W7" s="6">
        <v>10315720</v>
      </c>
      <c r="X7" s="6">
        <v>26940252</v>
      </c>
      <c r="Y7" s="6">
        <v>214.2</v>
      </c>
      <c r="Z7" s="6">
        <v>2165281.7999999998</v>
      </c>
      <c r="AA7" s="6">
        <v>0</v>
      </c>
      <c r="AB7" s="6">
        <v>138524820</v>
      </c>
      <c r="AC7" s="6">
        <v>24532660</v>
      </c>
      <c r="AD7" s="6">
        <v>0</v>
      </c>
      <c r="AE7" s="6">
        <f t="shared" si="0"/>
        <v>275091940</v>
      </c>
      <c r="AF7" s="6">
        <f t="shared" si="1"/>
        <v>0</v>
      </c>
      <c r="AG7" s="6">
        <f t="shared" si="13"/>
        <v>220501.4</v>
      </c>
      <c r="AH7" s="6">
        <f t="shared" si="2"/>
        <v>274871438.60000002</v>
      </c>
      <c r="AI7" s="6">
        <f t="shared" si="3"/>
        <v>6799749.5</v>
      </c>
      <c r="AJ7" s="6">
        <f t="shared" si="4"/>
        <v>13557850.5</v>
      </c>
      <c r="AK7" s="6">
        <f t="shared" si="5"/>
        <v>214.2</v>
      </c>
      <c r="AL7" s="6">
        <f t="shared" si="6"/>
        <v>26940252</v>
      </c>
      <c r="AM7" s="6">
        <f t="shared" si="7"/>
        <v>227573382.90000001</v>
      </c>
      <c r="AN7" s="10">
        <f t="shared" si="8"/>
        <v>2.4737926699962342E-2</v>
      </c>
      <c r="AO7" s="10">
        <f t="shared" si="9"/>
        <v>4.9324333474056327E-2</v>
      </c>
      <c r="AP7" s="10">
        <f t="shared" si="10"/>
        <v>7.7927339810561162E-7</v>
      </c>
      <c r="AQ7" s="10">
        <f t="shared" si="11"/>
        <v>9.8010372184227354E-2</v>
      </c>
      <c r="AR7" s="10">
        <f t="shared" si="12"/>
        <v>0.82792662656803218</v>
      </c>
    </row>
    <row r="8" spans="1:44" x14ac:dyDescent="0.3">
      <c r="A8" t="s">
        <v>6</v>
      </c>
      <c r="B8" t="s">
        <v>178</v>
      </c>
      <c r="C8" t="s">
        <v>154</v>
      </c>
      <c r="D8" s="7">
        <v>2045</v>
      </c>
      <c r="E8" s="6">
        <v>0.94</v>
      </c>
      <c r="F8" s="6">
        <v>45.5</v>
      </c>
      <c r="G8" s="15">
        <v>189.8</v>
      </c>
      <c r="H8" s="15">
        <v>269.10000000000002</v>
      </c>
      <c r="I8" s="6">
        <v>297857760</v>
      </c>
      <c r="J8" s="6">
        <v>189940560</v>
      </c>
      <c r="K8" s="6">
        <v>51425576</v>
      </c>
      <c r="L8" s="6">
        <v>214579.4</v>
      </c>
      <c r="M8" s="6">
        <v>0</v>
      </c>
      <c r="N8" s="6">
        <v>0</v>
      </c>
      <c r="O8" s="6">
        <v>6131553.5</v>
      </c>
      <c r="P8" s="6">
        <v>0</v>
      </c>
      <c r="Q8" s="6">
        <v>0</v>
      </c>
      <c r="R8" s="6">
        <v>8048455</v>
      </c>
      <c r="S8" s="6">
        <v>11885557</v>
      </c>
      <c r="T8" s="6">
        <v>0</v>
      </c>
      <c r="U8" s="6">
        <v>55639.8</v>
      </c>
      <c r="V8" s="6">
        <v>220840.1</v>
      </c>
      <c r="W8" s="6">
        <v>9523651</v>
      </c>
      <c r="X8" s="6">
        <v>26346014</v>
      </c>
      <c r="Y8" s="6">
        <v>35.700000000000003</v>
      </c>
      <c r="Z8" s="6">
        <v>2113764</v>
      </c>
      <c r="AA8" s="6">
        <v>0</v>
      </c>
      <c r="AB8" s="6">
        <v>156104260</v>
      </c>
      <c r="AC8" s="6">
        <v>25787846</v>
      </c>
      <c r="AD8" s="6">
        <v>0</v>
      </c>
      <c r="AE8" s="6">
        <f t="shared" si="0"/>
        <v>297857760</v>
      </c>
      <c r="AF8" s="6">
        <f t="shared" si="1"/>
        <v>0</v>
      </c>
      <c r="AG8" s="6">
        <f t="shared" si="13"/>
        <v>214579.4</v>
      </c>
      <c r="AH8" s="6">
        <f t="shared" si="2"/>
        <v>297643180.60000002</v>
      </c>
      <c r="AI8" s="6">
        <f t="shared" si="3"/>
        <v>6131553.5</v>
      </c>
      <c r="AJ8" s="6">
        <f t="shared" si="4"/>
        <v>11941196.800000001</v>
      </c>
      <c r="AK8" s="6">
        <f t="shared" si="5"/>
        <v>35.700000000000003</v>
      </c>
      <c r="AL8" s="6">
        <f t="shared" si="6"/>
        <v>26346014</v>
      </c>
      <c r="AM8" s="6">
        <f t="shared" si="7"/>
        <v>253224392.09999999</v>
      </c>
      <c r="AN8" s="10">
        <f t="shared" si="8"/>
        <v>2.0600349343263265E-2</v>
      </c>
      <c r="AO8" s="10">
        <f t="shared" si="9"/>
        <v>4.0119168112397199E-2</v>
      </c>
      <c r="AP8" s="10">
        <f t="shared" si="10"/>
        <v>1.1994227426287622E-7</v>
      </c>
      <c r="AQ8" s="10">
        <f t="shared" si="11"/>
        <v>8.8515429605646401E-2</v>
      </c>
      <c r="AR8" s="10">
        <f t="shared" si="12"/>
        <v>0.85076497163328579</v>
      </c>
    </row>
    <row r="9" spans="1:44" x14ac:dyDescent="0.3">
      <c r="A9" t="s">
        <v>6</v>
      </c>
      <c r="B9" t="s">
        <v>178</v>
      </c>
      <c r="C9" t="s">
        <v>154</v>
      </c>
      <c r="D9" s="7">
        <v>2050</v>
      </c>
      <c r="E9" s="6">
        <v>0.95</v>
      </c>
      <c r="F9" s="6">
        <v>40</v>
      </c>
      <c r="G9" s="15">
        <v>187.5</v>
      </c>
      <c r="H9" s="15">
        <v>229.4</v>
      </c>
      <c r="I9" s="6">
        <v>330927200</v>
      </c>
      <c r="J9" s="6">
        <v>214335340</v>
      </c>
      <c r="K9" s="6">
        <v>61150132</v>
      </c>
      <c r="L9" s="6">
        <v>193177</v>
      </c>
      <c r="M9" s="6">
        <v>0</v>
      </c>
      <c r="N9" s="6">
        <v>0</v>
      </c>
      <c r="O9" s="6">
        <v>5832343.5</v>
      </c>
      <c r="P9" s="6">
        <v>0</v>
      </c>
      <c r="Q9" s="6">
        <v>0</v>
      </c>
      <c r="R9" s="6">
        <v>8067721</v>
      </c>
      <c r="S9" s="6">
        <v>11950450</v>
      </c>
      <c r="T9" s="6">
        <v>0</v>
      </c>
      <c r="U9" s="6">
        <v>14199.6</v>
      </c>
      <c r="V9" s="6">
        <v>167714.9</v>
      </c>
      <c r="W9" s="6">
        <v>9155510</v>
      </c>
      <c r="X9" s="6">
        <v>25992604</v>
      </c>
      <c r="Y9" s="6">
        <v>35.700000000000003</v>
      </c>
      <c r="Z9" s="6">
        <v>2135682.2000000002</v>
      </c>
      <c r="AA9" s="6">
        <v>0</v>
      </c>
      <c r="AB9" s="6">
        <v>180499220</v>
      </c>
      <c r="AC9" s="6">
        <v>25768406</v>
      </c>
      <c r="AD9" s="6">
        <v>0</v>
      </c>
      <c r="AE9" s="6">
        <f t="shared" si="0"/>
        <v>330927200</v>
      </c>
      <c r="AF9" s="6">
        <f t="shared" si="1"/>
        <v>0</v>
      </c>
      <c r="AG9" s="6">
        <f t="shared" si="13"/>
        <v>193177</v>
      </c>
      <c r="AH9" s="6">
        <f t="shared" si="2"/>
        <v>330734023</v>
      </c>
      <c r="AI9" s="6">
        <f t="shared" si="3"/>
        <v>5832343.5</v>
      </c>
      <c r="AJ9" s="6">
        <f t="shared" si="4"/>
        <v>11964649.6</v>
      </c>
      <c r="AK9" s="6">
        <f t="shared" si="5"/>
        <v>35.700000000000003</v>
      </c>
      <c r="AL9" s="6">
        <f t="shared" si="6"/>
        <v>25992604</v>
      </c>
      <c r="AM9" s="6">
        <f t="shared" si="7"/>
        <v>286944386.10000002</v>
      </c>
      <c r="AN9" s="10">
        <f t="shared" si="8"/>
        <v>1.7634543453063492E-2</v>
      </c>
      <c r="AO9" s="10">
        <f t="shared" si="9"/>
        <v>3.6176047119288963E-2</v>
      </c>
      <c r="AP9" s="10">
        <f t="shared" si="10"/>
        <v>1.079417221009645E-7</v>
      </c>
      <c r="AQ9" s="10">
        <f t="shared" si="11"/>
        <v>7.8590656516762419E-2</v>
      </c>
      <c r="AR9" s="10">
        <f t="shared" si="12"/>
        <v>0.8675986325724947</v>
      </c>
    </row>
    <row r="10" spans="1:44" x14ac:dyDescent="0.3">
      <c r="A10" t="s">
        <v>6</v>
      </c>
      <c r="B10" t="s">
        <v>178</v>
      </c>
      <c r="C10" t="s">
        <v>155</v>
      </c>
      <c r="D10" s="7">
        <v>2024</v>
      </c>
      <c r="E10" s="6">
        <v>0.71</v>
      </c>
      <c r="F10" s="6">
        <v>145.6</v>
      </c>
      <c r="G10" s="15">
        <v>200.3</v>
      </c>
      <c r="H10" s="15">
        <v>725.8</v>
      </c>
      <c r="I10" s="6">
        <v>247127120</v>
      </c>
      <c r="J10" s="6">
        <v>92188440</v>
      </c>
      <c r="K10" s="6">
        <v>4130361.5</v>
      </c>
      <c r="L10" s="6">
        <v>5340433</v>
      </c>
      <c r="M10" s="6">
        <v>0</v>
      </c>
      <c r="N10" s="6">
        <v>0</v>
      </c>
      <c r="O10" s="6">
        <v>0</v>
      </c>
      <c r="P10" s="6">
        <v>0</v>
      </c>
      <c r="Q10" s="6">
        <v>1908843.6</v>
      </c>
      <c r="R10" s="6">
        <v>21138596</v>
      </c>
      <c r="S10" s="6">
        <v>71015330</v>
      </c>
      <c r="T10" s="6">
        <v>0</v>
      </c>
      <c r="U10" s="6">
        <v>474332.5</v>
      </c>
      <c r="V10" s="6">
        <v>23143360</v>
      </c>
      <c r="W10" s="6">
        <v>27758156</v>
      </c>
      <c r="X10" s="6">
        <v>17542990</v>
      </c>
      <c r="Y10" s="6">
        <v>11006.3</v>
      </c>
      <c r="Z10" s="6">
        <v>5522712</v>
      </c>
      <c r="AA10" s="6">
        <v>0</v>
      </c>
      <c r="AB10" s="6">
        <v>54388852</v>
      </c>
      <c r="AC10" s="6">
        <v>14752144</v>
      </c>
      <c r="AD10" s="6">
        <v>0</v>
      </c>
      <c r="AE10" s="6">
        <f t="shared" si="0"/>
        <v>247127120</v>
      </c>
      <c r="AF10" s="6">
        <f t="shared" si="1"/>
        <v>0</v>
      </c>
      <c r="AG10" s="6">
        <f t="shared" si="13"/>
        <v>5340433</v>
      </c>
      <c r="AH10" s="6">
        <f t="shared" si="2"/>
        <v>241786687</v>
      </c>
      <c r="AI10" s="6">
        <f t="shared" si="3"/>
        <v>0</v>
      </c>
      <c r="AJ10" s="6">
        <f t="shared" si="4"/>
        <v>71489662.5</v>
      </c>
      <c r="AK10" s="6">
        <f t="shared" si="5"/>
        <v>11006.3</v>
      </c>
      <c r="AL10" s="6">
        <f t="shared" si="6"/>
        <v>17542990</v>
      </c>
      <c r="AM10" s="6">
        <f t="shared" si="7"/>
        <v>152743025.09999999</v>
      </c>
      <c r="AN10" s="10">
        <f t="shared" si="8"/>
        <v>0</v>
      </c>
      <c r="AO10" s="10">
        <f t="shared" si="9"/>
        <v>0.29567245156057742</v>
      </c>
      <c r="AP10" s="10">
        <f t="shared" si="10"/>
        <v>4.5520703131186038E-5</v>
      </c>
      <c r="AQ10" s="10">
        <f t="shared" si="11"/>
        <v>7.2555649021321014E-2</v>
      </c>
      <c r="AR10" s="10">
        <f t="shared" si="12"/>
        <v>0.63172636589375164</v>
      </c>
    </row>
    <row r="11" spans="1:44" x14ac:dyDescent="0.3">
      <c r="A11" t="s">
        <v>6</v>
      </c>
      <c r="B11" t="s">
        <v>178</v>
      </c>
      <c r="C11" t="s">
        <v>155</v>
      </c>
      <c r="D11" s="7">
        <v>2026</v>
      </c>
      <c r="E11" s="6">
        <v>0.75</v>
      </c>
      <c r="F11" s="6">
        <v>125.6</v>
      </c>
      <c r="G11" s="15">
        <v>123.8</v>
      </c>
      <c r="H11" s="15">
        <v>681.9</v>
      </c>
      <c r="I11" s="6">
        <v>244958420</v>
      </c>
      <c r="J11" s="6">
        <v>97800600</v>
      </c>
      <c r="K11" s="6">
        <v>5430127.5</v>
      </c>
      <c r="L11" s="6">
        <v>5285959</v>
      </c>
      <c r="M11" s="6">
        <v>0</v>
      </c>
      <c r="N11" s="6">
        <v>0</v>
      </c>
      <c r="O11" s="6">
        <v>0</v>
      </c>
      <c r="P11" s="6">
        <v>0</v>
      </c>
      <c r="Q11" s="6">
        <v>1911202.2</v>
      </c>
      <c r="R11" s="6">
        <v>24547802</v>
      </c>
      <c r="S11" s="6">
        <v>61172950</v>
      </c>
      <c r="T11" s="6">
        <v>0</v>
      </c>
      <c r="U11" s="6">
        <v>422167.8</v>
      </c>
      <c r="V11" s="6">
        <v>23143360</v>
      </c>
      <c r="W11" s="6">
        <v>28278886</v>
      </c>
      <c r="X11" s="6">
        <v>17379404</v>
      </c>
      <c r="Y11" s="6">
        <v>7166.8</v>
      </c>
      <c r="Z11" s="6">
        <v>6037786</v>
      </c>
      <c r="AA11" s="6">
        <v>0</v>
      </c>
      <c r="AB11" s="6">
        <v>56695830</v>
      </c>
      <c r="AC11" s="6">
        <v>14645763</v>
      </c>
      <c r="AD11" s="6">
        <v>0</v>
      </c>
      <c r="AE11" s="6">
        <f t="shared" si="0"/>
        <v>244958420</v>
      </c>
      <c r="AF11" s="6">
        <f t="shared" si="1"/>
        <v>0</v>
      </c>
      <c r="AG11" s="6">
        <f t="shared" si="13"/>
        <v>5285959</v>
      </c>
      <c r="AH11" s="6">
        <f t="shared" si="2"/>
        <v>239672461</v>
      </c>
      <c r="AI11" s="6">
        <f t="shared" si="3"/>
        <v>0</v>
      </c>
      <c r="AJ11" s="6">
        <f t="shared" si="4"/>
        <v>61595117.799999997</v>
      </c>
      <c r="AK11" s="6">
        <f t="shared" si="5"/>
        <v>7166.8</v>
      </c>
      <c r="AL11" s="6">
        <f t="shared" si="6"/>
        <v>17379404</v>
      </c>
      <c r="AM11" s="6">
        <f t="shared" si="7"/>
        <v>160690756.69999999</v>
      </c>
      <c r="AN11" s="10">
        <f t="shared" si="8"/>
        <v>0</v>
      </c>
      <c r="AO11" s="10">
        <f t="shared" si="9"/>
        <v>0.25699705983325299</v>
      </c>
      <c r="AP11" s="10">
        <f t="shared" si="10"/>
        <v>2.9902475946120486E-5</v>
      </c>
      <c r="AQ11" s="10">
        <f t="shared" si="11"/>
        <v>7.2513145346306596E-2</v>
      </c>
      <c r="AR11" s="10">
        <f t="shared" si="12"/>
        <v>0.67045982683842842</v>
      </c>
    </row>
    <row r="12" spans="1:44" x14ac:dyDescent="0.3">
      <c r="A12" t="s">
        <v>6</v>
      </c>
      <c r="B12" t="s">
        <v>178</v>
      </c>
      <c r="C12" t="s">
        <v>155</v>
      </c>
      <c r="D12" s="7">
        <v>2028</v>
      </c>
      <c r="E12" s="6">
        <v>0.82</v>
      </c>
      <c r="F12" s="6">
        <v>87.1</v>
      </c>
      <c r="G12" s="15">
        <v>70.7</v>
      </c>
      <c r="H12" s="15">
        <v>607.9</v>
      </c>
      <c r="I12" s="6">
        <v>263171380</v>
      </c>
      <c r="J12" s="6">
        <v>113988430</v>
      </c>
      <c r="K12" s="6">
        <v>9943989</v>
      </c>
      <c r="L12" s="6">
        <v>5166420.5</v>
      </c>
      <c r="M12" s="6">
        <v>0</v>
      </c>
      <c r="N12" s="6">
        <v>0</v>
      </c>
      <c r="O12" s="6">
        <v>0</v>
      </c>
      <c r="P12" s="6">
        <v>0</v>
      </c>
      <c r="Q12" s="6">
        <v>1913210.8</v>
      </c>
      <c r="R12" s="6">
        <v>28361828</v>
      </c>
      <c r="S12" s="6">
        <v>45700970</v>
      </c>
      <c r="T12" s="6">
        <v>0</v>
      </c>
      <c r="U12" s="6">
        <v>459141.4</v>
      </c>
      <c r="V12" s="6">
        <v>35759140</v>
      </c>
      <c r="W12" s="6">
        <v>28190918</v>
      </c>
      <c r="X12" s="6">
        <v>17072884</v>
      </c>
      <c r="Y12" s="6">
        <v>7107.5</v>
      </c>
      <c r="Z12" s="6">
        <v>6882393.5</v>
      </c>
      <c r="AA12" s="6">
        <v>0</v>
      </c>
      <c r="AB12" s="6">
        <v>67360640</v>
      </c>
      <c r="AC12" s="6">
        <v>14562776</v>
      </c>
      <c r="AD12" s="6">
        <v>1789975.4</v>
      </c>
      <c r="AE12" s="6">
        <f t="shared" si="0"/>
        <v>263171380</v>
      </c>
      <c r="AF12" s="6">
        <f t="shared" si="1"/>
        <v>0</v>
      </c>
      <c r="AG12" s="6">
        <f t="shared" si="13"/>
        <v>5166420.5</v>
      </c>
      <c r="AH12" s="6">
        <f t="shared" si="2"/>
        <v>258004959.5</v>
      </c>
      <c r="AI12" s="6">
        <f t="shared" si="3"/>
        <v>0</v>
      </c>
      <c r="AJ12" s="6">
        <f t="shared" si="4"/>
        <v>46160111.399999999</v>
      </c>
      <c r="AK12" s="6">
        <f t="shared" si="5"/>
        <v>7107.5</v>
      </c>
      <c r="AL12" s="6">
        <f t="shared" si="6"/>
        <v>17072884</v>
      </c>
      <c r="AM12" s="6">
        <f t="shared" si="7"/>
        <v>194764870.70000002</v>
      </c>
      <c r="AN12" s="10">
        <f t="shared" si="8"/>
        <v>0</v>
      </c>
      <c r="AO12" s="10">
        <f t="shared" si="9"/>
        <v>0.17891172126867583</v>
      </c>
      <c r="AP12" s="10">
        <f t="shared" si="10"/>
        <v>2.754792006236609E-5</v>
      </c>
      <c r="AQ12" s="10">
        <f t="shared" si="11"/>
        <v>6.6172696963214775E-2</v>
      </c>
      <c r="AR12" s="10">
        <f t="shared" si="12"/>
        <v>0.75488808849815936</v>
      </c>
    </row>
    <row r="13" spans="1:44" x14ac:dyDescent="0.3">
      <c r="A13" t="s">
        <v>6</v>
      </c>
      <c r="B13" t="s">
        <v>178</v>
      </c>
      <c r="C13" t="s">
        <v>155</v>
      </c>
      <c r="D13" s="7">
        <v>2030</v>
      </c>
      <c r="E13" s="6">
        <v>0.89</v>
      </c>
      <c r="F13" s="6">
        <v>53.6</v>
      </c>
      <c r="G13" s="15">
        <v>54.7</v>
      </c>
      <c r="H13" s="15">
        <v>497</v>
      </c>
      <c r="I13" s="6">
        <v>296719360</v>
      </c>
      <c r="J13" s="6">
        <v>164583280</v>
      </c>
      <c r="K13" s="6">
        <v>15069920</v>
      </c>
      <c r="L13" s="6">
        <v>4841847</v>
      </c>
      <c r="M13" s="6">
        <v>0</v>
      </c>
      <c r="N13" s="6">
        <v>0</v>
      </c>
      <c r="O13" s="6">
        <v>0</v>
      </c>
      <c r="P13" s="6">
        <v>0</v>
      </c>
      <c r="Q13" s="6">
        <v>1903963.2</v>
      </c>
      <c r="R13" s="6">
        <v>32261280</v>
      </c>
      <c r="S13" s="6">
        <v>32017540</v>
      </c>
      <c r="T13" s="6">
        <v>0</v>
      </c>
      <c r="U13" s="6">
        <v>413163.6</v>
      </c>
      <c r="V13" s="6">
        <v>35751576</v>
      </c>
      <c r="W13" s="6">
        <v>26950644</v>
      </c>
      <c r="X13" s="6">
        <v>0</v>
      </c>
      <c r="Y13" s="6">
        <v>9388.1</v>
      </c>
      <c r="Z13" s="6">
        <v>17081986</v>
      </c>
      <c r="AA13" s="6">
        <v>0</v>
      </c>
      <c r="AB13" s="6">
        <v>108355580</v>
      </c>
      <c r="AC13" s="6">
        <v>14822717</v>
      </c>
      <c r="AD13" s="6">
        <v>7239737.5</v>
      </c>
      <c r="AE13" s="6">
        <f t="shared" si="0"/>
        <v>296719360</v>
      </c>
      <c r="AF13" s="6">
        <f t="shared" si="1"/>
        <v>0</v>
      </c>
      <c r="AG13" s="6">
        <f t="shared" si="13"/>
        <v>4841847</v>
      </c>
      <c r="AH13" s="6">
        <f t="shared" si="2"/>
        <v>291877513</v>
      </c>
      <c r="AI13" s="6">
        <f t="shared" si="3"/>
        <v>0</v>
      </c>
      <c r="AJ13" s="6">
        <f t="shared" si="4"/>
        <v>32430703.600000001</v>
      </c>
      <c r="AK13" s="6">
        <f t="shared" si="5"/>
        <v>9388.1</v>
      </c>
      <c r="AL13" s="6">
        <f t="shared" si="6"/>
        <v>0</v>
      </c>
      <c r="AM13" s="6">
        <f t="shared" si="7"/>
        <v>259437403.69999999</v>
      </c>
      <c r="AN13" s="10">
        <f t="shared" si="8"/>
        <v>0</v>
      </c>
      <c r="AO13" s="10">
        <f t="shared" si="9"/>
        <v>0.11111066168362206</v>
      </c>
      <c r="AP13" s="10">
        <f t="shared" si="10"/>
        <v>3.216451964218292E-5</v>
      </c>
      <c r="AQ13" s="10">
        <f t="shared" si="11"/>
        <v>0</v>
      </c>
      <c r="AR13" s="10">
        <f t="shared" si="12"/>
        <v>0.88885711349746899</v>
      </c>
    </row>
    <row r="14" spans="1:44" x14ac:dyDescent="0.3">
      <c r="A14" t="s">
        <v>6</v>
      </c>
      <c r="B14" t="s">
        <v>178</v>
      </c>
      <c r="C14" t="s">
        <v>155</v>
      </c>
      <c r="D14" s="7">
        <v>2035</v>
      </c>
      <c r="E14" s="6">
        <v>0.93</v>
      </c>
      <c r="F14" s="6">
        <v>34.1</v>
      </c>
      <c r="G14" s="15">
        <v>46.1</v>
      </c>
      <c r="H14" s="15">
        <v>425.1</v>
      </c>
      <c r="I14" s="6">
        <v>370129020</v>
      </c>
      <c r="J14" s="6">
        <v>231377870</v>
      </c>
      <c r="K14" s="6">
        <v>28811024</v>
      </c>
      <c r="L14" s="6">
        <v>1931110.3999999999</v>
      </c>
      <c r="M14" s="6">
        <v>0</v>
      </c>
      <c r="N14" s="6">
        <v>0</v>
      </c>
      <c r="O14" s="6">
        <v>0</v>
      </c>
      <c r="P14" s="6">
        <v>0</v>
      </c>
      <c r="Q14" s="6">
        <v>1750100</v>
      </c>
      <c r="R14" s="6">
        <v>37543536</v>
      </c>
      <c r="S14" s="6">
        <v>25345314</v>
      </c>
      <c r="T14" s="6">
        <v>0</v>
      </c>
      <c r="U14" s="6">
        <v>482555.4</v>
      </c>
      <c r="V14" s="6">
        <v>36468148</v>
      </c>
      <c r="W14" s="6">
        <v>26808232</v>
      </c>
      <c r="X14" s="6">
        <v>0</v>
      </c>
      <c r="Y14" s="6">
        <v>13866.9</v>
      </c>
      <c r="Z14" s="6">
        <v>18890906</v>
      </c>
      <c r="AA14" s="6">
        <v>0</v>
      </c>
      <c r="AB14" s="6">
        <v>151851540</v>
      </c>
      <c r="AC14" s="6">
        <v>14505197</v>
      </c>
      <c r="AD14" s="6">
        <v>25727518</v>
      </c>
      <c r="AE14" s="6">
        <f t="shared" si="0"/>
        <v>370129020</v>
      </c>
      <c r="AF14" s="6">
        <f t="shared" si="1"/>
        <v>0</v>
      </c>
      <c r="AG14" s="6">
        <f t="shared" si="13"/>
        <v>1931110.3999999999</v>
      </c>
      <c r="AH14" s="6">
        <f t="shared" si="2"/>
        <v>368197909.60000002</v>
      </c>
      <c r="AI14" s="6">
        <f t="shared" si="3"/>
        <v>0</v>
      </c>
      <c r="AJ14" s="6">
        <f t="shared" si="4"/>
        <v>25827869.399999999</v>
      </c>
      <c r="AK14" s="6">
        <f t="shared" si="5"/>
        <v>13866.9</v>
      </c>
      <c r="AL14" s="6">
        <f t="shared" si="6"/>
        <v>0</v>
      </c>
      <c r="AM14" s="6">
        <f t="shared" si="7"/>
        <v>342356201</v>
      </c>
      <c r="AN14" s="10">
        <f t="shared" si="8"/>
        <v>0</v>
      </c>
      <c r="AO14" s="10">
        <f t="shared" si="9"/>
        <v>7.0146702973025235E-2</v>
      </c>
      <c r="AP14" s="10">
        <f t="shared" si="10"/>
        <v>3.7661539184360426E-5</v>
      </c>
      <c r="AQ14" s="10">
        <f t="shared" si="11"/>
        <v>0</v>
      </c>
      <c r="AR14" s="10">
        <f t="shared" si="12"/>
        <v>0.92981571071907021</v>
      </c>
    </row>
    <row r="15" spans="1:44" x14ac:dyDescent="0.3">
      <c r="A15" t="s">
        <v>6</v>
      </c>
      <c r="B15" t="s">
        <v>178</v>
      </c>
      <c r="C15" t="s">
        <v>155</v>
      </c>
      <c r="D15" s="7">
        <v>2040</v>
      </c>
      <c r="E15" s="6">
        <v>0.96</v>
      </c>
      <c r="F15" s="6">
        <v>21.1</v>
      </c>
      <c r="G15" s="15">
        <v>22.4</v>
      </c>
      <c r="H15" s="15">
        <v>341.7</v>
      </c>
      <c r="I15" s="6">
        <v>489384400</v>
      </c>
      <c r="J15" s="6">
        <v>336078140</v>
      </c>
      <c r="K15" s="6">
        <v>49468236</v>
      </c>
      <c r="L15" s="6">
        <v>1240769.8999999999</v>
      </c>
      <c r="M15" s="6">
        <v>0</v>
      </c>
      <c r="N15" s="6">
        <v>0</v>
      </c>
      <c r="O15" s="6">
        <v>0</v>
      </c>
      <c r="P15" s="6">
        <v>0</v>
      </c>
      <c r="Q15" s="6">
        <v>1074626.3999999999</v>
      </c>
      <c r="R15" s="6">
        <v>36249224</v>
      </c>
      <c r="S15" s="6">
        <v>20830844</v>
      </c>
      <c r="T15" s="6">
        <v>0</v>
      </c>
      <c r="U15" s="6">
        <v>350042.2</v>
      </c>
      <c r="V15" s="6">
        <v>35992490</v>
      </c>
      <c r="W15" s="6">
        <v>24414458</v>
      </c>
      <c r="X15" s="6">
        <v>0</v>
      </c>
      <c r="Y15" s="6">
        <v>3236.8</v>
      </c>
      <c r="Z15" s="6">
        <v>21006162</v>
      </c>
      <c r="AA15" s="6">
        <v>0</v>
      </c>
      <c r="AB15" s="6">
        <v>210204640</v>
      </c>
      <c r="AC15" s="6">
        <v>16657011</v>
      </c>
      <c r="AD15" s="6">
        <v>71892660</v>
      </c>
      <c r="AE15" s="6">
        <f t="shared" si="0"/>
        <v>489384400</v>
      </c>
      <c r="AF15" s="6">
        <f t="shared" si="1"/>
        <v>0</v>
      </c>
      <c r="AG15" s="6">
        <f t="shared" si="13"/>
        <v>1240769.8999999999</v>
      </c>
      <c r="AH15" s="6">
        <f t="shared" si="2"/>
        <v>488143630.10000002</v>
      </c>
      <c r="AI15" s="6">
        <f t="shared" si="3"/>
        <v>0</v>
      </c>
      <c r="AJ15" s="6">
        <f t="shared" si="4"/>
        <v>21180886.199999999</v>
      </c>
      <c r="AK15" s="6">
        <f t="shared" si="5"/>
        <v>3236.8</v>
      </c>
      <c r="AL15" s="6">
        <f t="shared" si="6"/>
        <v>0</v>
      </c>
      <c r="AM15" s="6">
        <f t="shared" si="7"/>
        <v>466959507.39999998</v>
      </c>
      <c r="AN15" s="10">
        <f t="shared" si="8"/>
        <v>0</v>
      </c>
      <c r="AO15" s="10">
        <f t="shared" si="9"/>
        <v>4.3390684409137799E-2</v>
      </c>
      <c r="AP15" s="10">
        <f t="shared" si="10"/>
        <v>6.6308352714485216E-6</v>
      </c>
      <c r="AQ15" s="10">
        <f t="shared" si="11"/>
        <v>0</v>
      </c>
      <c r="AR15" s="10">
        <f t="shared" si="12"/>
        <v>0.95660268537016391</v>
      </c>
    </row>
    <row r="16" spans="1:44" x14ac:dyDescent="0.3">
      <c r="A16" t="s">
        <v>6</v>
      </c>
      <c r="B16" t="s">
        <v>178</v>
      </c>
      <c r="C16" t="s">
        <v>155</v>
      </c>
      <c r="D16" s="7">
        <v>2045</v>
      </c>
      <c r="E16" s="6">
        <v>0.97</v>
      </c>
      <c r="F16" s="6">
        <v>16</v>
      </c>
      <c r="G16" s="15">
        <v>8.3000000000000007</v>
      </c>
      <c r="H16" s="15">
        <v>304</v>
      </c>
      <c r="I16" s="6">
        <v>619787600</v>
      </c>
      <c r="J16" s="6">
        <v>442325570</v>
      </c>
      <c r="K16" s="6">
        <v>79212104</v>
      </c>
      <c r="L16" s="6">
        <v>1124065.6000000001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34517716</v>
      </c>
      <c r="S16" s="6">
        <v>20075564</v>
      </c>
      <c r="T16" s="6">
        <v>0</v>
      </c>
      <c r="U16" s="6">
        <v>182739.7</v>
      </c>
      <c r="V16" s="6">
        <v>35040870</v>
      </c>
      <c r="W16" s="6">
        <v>22452472</v>
      </c>
      <c r="X16" s="6">
        <v>0</v>
      </c>
      <c r="Y16" s="6">
        <v>1405.1</v>
      </c>
      <c r="Z16" s="6">
        <v>19372814</v>
      </c>
      <c r="AA16" s="6">
        <v>0</v>
      </c>
      <c r="AB16" s="6">
        <v>269135580</v>
      </c>
      <c r="AC16" s="6">
        <v>25998620</v>
      </c>
      <c r="AD16" s="6">
        <v>112673620</v>
      </c>
      <c r="AE16" s="6">
        <f t="shared" si="0"/>
        <v>619787600</v>
      </c>
      <c r="AF16" s="6">
        <f t="shared" si="1"/>
        <v>0</v>
      </c>
      <c r="AG16" s="6">
        <f t="shared" si="13"/>
        <v>1124065.6000000001</v>
      </c>
      <c r="AH16" s="6">
        <f t="shared" si="2"/>
        <v>618663534.39999998</v>
      </c>
      <c r="AI16" s="6">
        <f t="shared" si="3"/>
        <v>0</v>
      </c>
      <c r="AJ16" s="6">
        <f t="shared" si="4"/>
        <v>20258303.699999999</v>
      </c>
      <c r="AK16" s="6">
        <f t="shared" si="5"/>
        <v>1405.1</v>
      </c>
      <c r="AL16" s="6">
        <f t="shared" si="6"/>
        <v>0</v>
      </c>
      <c r="AM16" s="6">
        <f t="shared" si="7"/>
        <v>598403796</v>
      </c>
      <c r="AN16" s="10">
        <f t="shared" si="8"/>
        <v>0</v>
      </c>
      <c r="AO16" s="10">
        <f t="shared" si="9"/>
        <v>3.2745268750399459E-2</v>
      </c>
      <c r="AP16" s="10">
        <f t="shared" si="10"/>
        <v>2.2711860678239449E-6</v>
      </c>
      <c r="AQ16" s="10">
        <f t="shared" si="11"/>
        <v>0</v>
      </c>
      <c r="AR16" s="10">
        <f t="shared" si="12"/>
        <v>0.96725241221846292</v>
      </c>
    </row>
    <row r="17" spans="1:44" x14ac:dyDescent="0.3">
      <c r="A17" t="s">
        <v>6</v>
      </c>
      <c r="B17" t="s">
        <v>178</v>
      </c>
      <c r="C17" t="s">
        <v>155</v>
      </c>
      <c r="D17" s="7">
        <v>2050</v>
      </c>
      <c r="E17" s="6">
        <v>0.97</v>
      </c>
      <c r="F17" s="6">
        <v>15.5</v>
      </c>
      <c r="G17" s="15">
        <v>0</v>
      </c>
      <c r="H17" s="15">
        <v>270.8</v>
      </c>
      <c r="I17" s="6">
        <v>722061760</v>
      </c>
      <c r="J17" s="6">
        <v>514421950</v>
      </c>
      <c r="K17" s="6">
        <v>115115176</v>
      </c>
      <c r="L17" s="6">
        <v>1064890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34046390</v>
      </c>
      <c r="S17" s="6">
        <v>22550890</v>
      </c>
      <c r="T17" s="6">
        <v>0</v>
      </c>
      <c r="U17" s="6">
        <v>128683.1</v>
      </c>
      <c r="V17" s="6">
        <v>27733868</v>
      </c>
      <c r="W17" s="6">
        <v>22044494</v>
      </c>
      <c r="X17" s="6">
        <v>0</v>
      </c>
      <c r="Y17" s="6">
        <v>382.8</v>
      </c>
      <c r="Z17" s="6">
        <v>19001376</v>
      </c>
      <c r="AA17" s="6">
        <v>0</v>
      </c>
      <c r="AB17" s="6">
        <v>338227330</v>
      </c>
      <c r="AC17" s="6">
        <v>30492428</v>
      </c>
      <c r="AD17" s="6">
        <v>111655790</v>
      </c>
      <c r="AE17" s="6">
        <f t="shared" si="0"/>
        <v>722061760</v>
      </c>
      <c r="AF17" s="6">
        <f t="shared" si="1"/>
        <v>0</v>
      </c>
      <c r="AG17" s="6">
        <f t="shared" si="13"/>
        <v>1064890</v>
      </c>
      <c r="AH17" s="6">
        <f t="shared" si="2"/>
        <v>720996870</v>
      </c>
      <c r="AI17" s="6">
        <f t="shared" si="3"/>
        <v>0</v>
      </c>
      <c r="AJ17" s="6">
        <f t="shared" si="4"/>
        <v>22679573.100000001</v>
      </c>
      <c r="AK17" s="6">
        <f t="shared" si="5"/>
        <v>382.8</v>
      </c>
      <c r="AL17" s="6">
        <f t="shared" si="6"/>
        <v>0</v>
      </c>
      <c r="AM17" s="6">
        <f t="shared" si="7"/>
        <v>698316852</v>
      </c>
      <c r="AN17" s="10">
        <f t="shared" si="8"/>
        <v>0</v>
      </c>
      <c r="AO17" s="10">
        <f t="shared" si="9"/>
        <v>3.1455855141229672E-2</v>
      </c>
      <c r="AP17" s="10">
        <f t="shared" si="10"/>
        <v>5.3093156978614899E-7</v>
      </c>
      <c r="AQ17" s="10">
        <f t="shared" si="11"/>
        <v>0</v>
      </c>
      <c r="AR17" s="10">
        <f t="shared" si="12"/>
        <v>0.96854352779645214</v>
      </c>
    </row>
    <row r="18" spans="1:44" x14ac:dyDescent="0.3">
      <c r="A18" t="s">
        <v>6</v>
      </c>
      <c r="B18" t="s">
        <v>178</v>
      </c>
      <c r="C18" t="s">
        <v>156</v>
      </c>
      <c r="D18" s="7">
        <v>2024</v>
      </c>
      <c r="E18" s="6">
        <v>0.6</v>
      </c>
      <c r="F18" s="6">
        <v>274.3</v>
      </c>
      <c r="G18" s="15">
        <v>324.10000000000002</v>
      </c>
      <c r="H18" s="15">
        <v>652.1</v>
      </c>
      <c r="I18" s="6">
        <v>402675940</v>
      </c>
      <c r="J18" s="6">
        <v>200515360</v>
      </c>
      <c r="K18" s="6">
        <v>1625847.8</v>
      </c>
      <c r="L18" s="6">
        <v>585787.9</v>
      </c>
      <c r="M18" s="6">
        <v>0</v>
      </c>
      <c r="N18" s="6">
        <v>0</v>
      </c>
      <c r="O18" s="6">
        <v>39882584</v>
      </c>
      <c r="P18" s="6">
        <v>0</v>
      </c>
      <c r="Q18" s="6">
        <v>0</v>
      </c>
      <c r="R18" s="6">
        <v>2619595</v>
      </c>
      <c r="S18" s="6">
        <v>116101140</v>
      </c>
      <c r="T18" s="6">
        <v>0</v>
      </c>
      <c r="U18" s="6">
        <v>3318354.8</v>
      </c>
      <c r="V18" s="6">
        <v>0</v>
      </c>
      <c r="W18" s="6">
        <v>579141</v>
      </c>
      <c r="X18" s="6">
        <v>37673010</v>
      </c>
      <c r="Y18" s="6">
        <v>2386351</v>
      </c>
      <c r="Z18" s="6">
        <v>8358</v>
      </c>
      <c r="AA18" s="6">
        <v>0</v>
      </c>
      <c r="AB18" s="6">
        <v>77382270</v>
      </c>
      <c r="AC18" s="6">
        <v>120513490</v>
      </c>
      <c r="AD18" s="6">
        <v>0</v>
      </c>
      <c r="AE18" s="6">
        <f t="shared" si="0"/>
        <v>402675940</v>
      </c>
      <c r="AF18" s="6">
        <f t="shared" si="1"/>
        <v>0</v>
      </c>
      <c r="AG18" s="6">
        <f t="shared" si="13"/>
        <v>585787.9</v>
      </c>
      <c r="AH18" s="6">
        <f t="shared" si="2"/>
        <v>402090152.10000002</v>
      </c>
      <c r="AI18" s="6">
        <f t="shared" si="3"/>
        <v>39882584</v>
      </c>
      <c r="AJ18" s="6">
        <f t="shared" si="4"/>
        <v>119419494.8</v>
      </c>
      <c r="AK18" s="6">
        <f t="shared" si="5"/>
        <v>2386351</v>
      </c>
      <c r="AL18" s="6">
        <f t="shared" si="6"/>
        <v>37673010</v>
      </c>
      <c r="AM18" s="6">
        <f t="shared" si="7"/>
        <v>202728701.80000001</v>
      </c>
      <c r="AN18" s="10">
        <f t="shared" si="8"/>
        <v>9.9188164126141495E-2</v>
      </c>
      <c r="AO18" s="10">
        <f t="shared" si="9"/>
        <v>0.29699681570490266</v>
      </c>
      <c r="AP18" s="10">
        <f t="shared" si="10"/>
        <v>5.9348655706606647E-3</v>
      </c>
      <c r="AQ18" s="10">
        <f t="shared" si="11"/>
        <v>9.3692943742205118E-2</v>
      </c>
      <c r="AR18" s="10">
        <f t="shared" si="12"/>
        <v>0.5041871847425432</v>
      </c>
    </row>
    <row r="19" spans="1:44" x14ac:dyDescent="0.3">
      <c r="A19" t="s">
        <v>6</v>
      </c>
      <c r="B19" t="s">
        <v>178</v>
      </c>
      <c r="C19" t="s">
        <v>156</v>
      </c>
      <c r="D19" s="7">
        <v>2026</v>
      </c>
      <c r="E19" s="6">
        <v>0.71</v>
      </c>
      <c r="F19" s="6">
        <v>193.1</v>
      </c>
      <c r="G19" s="15">
        <v>226.1</v>
      </c>
      <c r="H19" s="15">
        <v>578.20000000000005</v>
      </c>
      <c r="I19" s="6">
        <v>420237700</v>
      </c>
      <c r="J19" s="6">
        <v>253462830</v>
      </c>
      <c r="K19" s="6">
        <v>5522119.5</v>
      </c>
      <c r="L19" s="6">
        <v>497421.2</v>
      </c>
      <c r="M19" s="6">
        <v>0</v>
      </c>
      <c r="N19" s="6">
        <v>0</v>
      </c>
      <c r="O19" s="6">
        <v>27204228</v>
      </c>
      <c r="P19" s="6">
        <v>0</v>
      </c>
      <c r="Q19" s="6">
        <v>0</v>
      </c>
      <c r="R19" s="6">
        <v>4696729.5</v>
      </c>
      <c r="S19" s="6">
        <v>93655920</v>
      </c>
      <c r="T19" s="6">
        <v>0</v>
      </c>
      <c r="U19" s="6">
        <v>1947177.8</v>
      </c>
      <c r="V19" s="6">
        <v>0</v>
      </c>
      <c r="W19" s="6">
        <v>539345</v>
      </c>
      <c r="X19" s="6">
        <v>36389200</v>
      </c>
      <c r="Y19" s="6">
        <v>1010745.6</v>
      </c>
      <c r="Z19" s="6">
        <v>8725.9</v>
      </c>
      <c r="AA19" s="6">
        <v>0</v>
      </c>
      <c r="AB19" s="6">
        <v>82435780</v>
      </c>
      <c r="AC19" s="6">
        <v>166330320</v>
      </c>
      <c r="AD19" s="6">
        <v>0</v>
      </c>
      <c r="AE19" s="6">
        <f t="shared" si="0"/>
        <v>420237700</v>
      </c>
      <c r="AF19" s="6">
        <f t="shared" si="1"/>
        <v>0</v>
      </c>
      <c r="AG19" s="6">
        <f t="shared" si="13"/>
        <v>497421.2</v>
      </c>
      <c r="AH19" s="6">
        <f t="shared" si="2"/>
        <v>419740278.80000001</v>
      </c>
      <c r="AI19" s="6">
        <f t="shared" si="3"/>
        <v>27204228</v>
      </c>
      <c r="AJ19" s="6">
        <f t="shared" si="4"/>
        <v>95603097.799999997</v>
      </c>
      <c r="AK19" s="6">
        <f t="shared" si="5"/>
        <v>1010745.6</v>
      </c>
      <c r="AL19" s="6">
        <f t="shared" si="6"/>
        <v>36389200</v>
      </c>
      <c r="AM19" s="6">
        <f t="shared" si="7"/>
        <v>259533019.90000001</v>
      </c>
      <c r="AN19" s="10">
        <f t="shared" si="8"/>
        <v>6.4812050151046879E-2</v>
      </c>
      <c r="AO19" s="10">
        <f t="shared" si="9"/>
        <v>0.2277672709260134</v>
      </c>
      <c r="AP19" s="10">
        <f t="shared" si="10"/>
        <v>2.4080262272890068E-3</v>
      </c>
      <c r="AQ19" s="10">
        <f t="shared" si="11"/>
        <v>8.6694562895020408E-2</v>
      </c>
      <c r="AR19" s="10">
        <f t="shared" si="12"/>
        <v>0.61831811958095073</v>
      </c>
    </row>
    <row r="20" spans="1:44" x14ac:dyDescent="0.3">
      <c r="A20" t="s">
        <v>6</v>
      </c>
      <c r="B20" t="s">
        <v>178</v>
      </c>
      <c r="C20" t="s">
        <v>156</v>
      </c>
      <c r="D20" s="7">
        <v>2028</v>
      </c>
      <c r="E20" s="6">
        <v>0.82</v>
      </c>
      <c r="F20" s="6">
        <v>111.8</v>
      </c>
      <c r="G20" s="15">
        <v>105.4</v>
      </c>
      <c r="H20" s="15">
        <v>449.9</v>
      </c>
      <c r="I20" s="6">
        <v>445673060</v>
      </c>
      <c r="J20" s="6">
        <v>318722340</v>
      </c>
      <c r="K20" s="6">
        <v>10047321</v>
      </c>
      <c r="L20" s="6">
        <v>397474.6</v>
      </c>
      <c r="M20" s="6">
        <v>0</v>
      </c>
      <c r="N20" s="6">
        <v>0</v>
      </c>
      <c r="O20" s="6">
        <v>12732796</v>
      </c>
      <c r="P20" s="6">
        <v>0</v>
      </c>
      <c r="Q20" s="6">
        <v>0</v>
      </c>
      <c r="R20" s="6">
        <v>7842837</v>
      </c>
      <c r="S20" s="6">
        <v>66826840</v>
      </c>
      <c r="T20" s="6">
        <v>0</v>
      </c>
      <c r="U20" s="6">
        <v>1188593</v>
      </c>
      <c r="V20" s="6">
        <v>0</v>
      </c>
      <c r="W20" s="6">
        <v>478647</v>
      </c>
      <c r="X20" s="6">
        <v>34507324</v>
      </c>
      <c r="Y20" s="6">
        <v>764092</v>
      </c>
      <c r="Z20" s="6">
        <v>7639</v>
      </c>
      <c r="AA20" s="6">
        <v>0</v>
      </c>
      <c r="AB20" s="6">
        <v>92541210</v>
      </c>
      <c r="AC20" s="6">
        <v>218338300</v>
      </c>
      <c r="AD20" s="6">
        <v>0</v>
      </c>
      <c r="AE20" s="6">
        <f t="shared" si="0"/>
        <v>445673060</v>
      </c>
      <c r="AF20" s="6">
        <f t="shared" si="1"/>
        <v>0</v>
      </c>
      <c r="AG20" s="6">
        <f t="shared" si="13"/>
        <v>397474.6</v>
      </c>
      <c r="AH20" s="6">
        <f t="shared" si="2"/>
        <v>445275585.39999998</v>
      </c>
      <c r="AI20" s="6">
        <f t="shared" si="3"/>
        <v>12732796</v>
      </c>
      <c r="AJ20" s="6">
        <f t="shared" si="4"/>
        <v>68015433</v>
      </c>
      <c r="AK20" s="6">
        <f t="shared" si="5"/>
        <v>764092</v>
      </c>
      <c r="AL20" s="6">
        <f t="shared" si="6"/>
        <v>34507324</v>
      </c>
      <c r="AM20" s="6">
        <f t="shared" si="7"/>
        <v>329255954</v>
      </c>
      <c r="AN20" s="10">
        <f t="shared" si="8"/>
        <v>2.8595315839205229E-2</v>
      </c>
      <c r="AO20" s="10">
        <f t="shared" si="9"/>
        <v>0.15274907322596717</v>
      </c>
      <c r="AP20" s="10">
        <f t="shared" si="10"/>
        <v>1.7159979685695114E-3</v>
      </c>
      <c r="AQ20" s="10">
        <f t="shared" si="11"/>
        <v>7.7496555237811612E-2</v>
      </c>
      <c r="AR20" s="10">
        <f t="shared" si="12"/>
        <v>0.73944308827132932</v>
      </c>
    </row>
    <row r="21" spans="1:44" x14ac:dyDescent="0.3">
      <c r="A21" t="s">
        <v>6</v>
      </c>
      <c r="B21" t="s">
        <v>178</v>
      </c>
      <c r="C21" t="s">
        <v>156</v>
      </c>
      <c r="D21" s="7">
        <v>2030</v>
      </c>
      <c r="E21" s="6">
        <v>0.88</v>
      </c>
      <c r="F21" s="6">
        <v>72.7</v>
      </c>
      <c r="G21" s="15">
        <v>74.099999999999994</v>
      </c>
      <c r="H21" s="15">
        <v>382.7</v>
      </c>
      <c r="I21" s="6">
        <v>483637060</v>
      </c>
      <c r="J21" s="6">
        <v>375207300</v>
      </c>
      <c r="K21" s="6">
        <v>17007790</v>
      </c>
      <c r="L21" s="6">
        <v>338949.9</v>
      </c>
      <c r="M21" s="6">
        <v>0</v>
      </c>
      <c r="N21" s="6">
        <v>0</v>
      </c>
      <c r="O21" s="6">
        <v>9814658</v>
      </c>
      <c r="P21" s="6">
        <v>0</v>
      </c>
      <c r="Q21" s="6">
        <v>0</v>
      </c>
      <c r="R21" s="6">
        <v>12031378</v>
      </c>
      <c r="S21" s="6">
        <v>46102710</v>
      </c>
      <c r="T21" s="6">
        <v>0</v>
      </c>
      <c r="U21" s="6">
        <v>772405.3</v>
      </c>
      <c r="V21" s="6">
        <v>0</v>
      </c>
      <c r="W21" s="6">
        <v>439898.2</v>
      </c>
      <c r="X21" s="6">
        <v>33358518</v>
      </c>
      <c r="Y21" s="6">
        <v>588272</v>
      </c>
      <c r="Z21" s="6">
        <v>6562.5</v>
      </c>
      <c r="AA21" s="6">
        <v>0</v>
      </c>
      <c r="AB21" s="6">
        <v>109031220</v>
      </c>
      <c r="AC21" s="6">
        <v>254144720</v>
      </c>
      <c r="AD21" s="6">
        <v>0</v>
      </c>
      <c r="AE21" s="6">
        <f t="shared" si="0"/>
        <v>483637060</v>
      </c>
      <c r="AF21" s="6">
        <f t="shared" si="1"/>
        <v>0</v>
      </c>
      <c r="AG21" s="6">
        <f t="shared" si="13"/>
        <v>338949.9</v>
      </c>
      <c r="AH21" s="6">
        <f t="shared" si="2"/>
        <v>483298110.10000002</v>
      </c>
      <c r="AI21" s="6">
        <f t="shared" si="3"/>
        <v>9814658</v>
      </c>
      <c r="AJ21" s="6">
        <f t="shared" si="4"/>
        <v>46875115.299999997</v>
      </c>
      <c r="AK21" s="6">
        <f t="shared" si="5"/>
        <v>588272</v>
      </c>
      <c r="AL21" s="6">
        <f t="shared" si="6"/>
        <v>33358518</v>
      </c>
      <c r="AM21" s="6">
        <f t="shared" si="7"/>
        <v>392661568.69999999</v>
      </c>
      <c r="AN21" s="10">
        <f t="shared" si="8"/>
        <v>2.0307668900193365E-2</v>
      </c>
      <c r="AO21" s="10">
        <f t="shared" si="9"/>
        <v>9.6990065386974078E-2</v>
      </c>
      <c r="AP21" s="10">
        <f t="shared" si="10"/>
        <v>1.2172031872383685E-3</v>
      </c>
      <c r="AQ21" s="10">
        <f t="shared" si="11"/>
        <v>6.9022653519372826E-2</v>
      </c>
      <c r="AR21" s="10">
        <f t="shared" si="12"/>
        <v>0.81246245431986841</v>
      </c>
    </row>
    <row r="22" spans="1:44" x14ac:dyDescent="0.3">
      <c r="A22" t="s">
        <v>6</v>
      </c>
      <c r="B22" t="s">
        <v>178</v>
      </c>
      <c r="C22" t="s">
        <v>156</v>
      </c>
      <c r="D22" s="7">
        <v>2035</v>
      </c>
      <c r="E22" s="6">
        <v>0.91</v>
      </c>
      <c r="F22" s="6">
        <v>55.1</v>
      </c>
      <c r="G22" s="15">
        <v>93.1</v>
      </c>
      <c r="H22" s="15">
        <v>347.9</v>
      </c>
      <c r="I22" s="6">
        <v>553459260</v>
      </c>
      <c r="J22" s="6">
        <v>442955680</v>
      </c>
      <c r="K22" s="6">
        <v>28161904</v>
      </c>
      <c r="L22" s="6">
        <v>324590.5</v>
      </c>
      <c r="M22" s="6">
        <v>0</v>
      </c>
      <c r="N22" s="6">
        <v>0</v>
      </c>
      <c r="O22" s="6">
        <v>9775302</v>
      </c>
      <c r="P22" s="6">
        <v>0</v>
      </c>
      <c r="Q22" s="6">
        <v>0</v>
      </c>
      <c r="R22" s="6">
        <v>16949516</v>
      </c>
      <c r="S22" s="6">
        <v>37331904</v>
      </c>
      <c r="T22" s="6">
        <v>0</v>
      </c>
      <c r="U22" s="6">
        <v>1031786.9</v>
      </c>
      <c r="V22" s="6">
        <v>0</v>
      </c>
      <c r="W22" s="6">
        <v>423433.2</v>
      </c>
      <c r="X22" s="6">
        <v>33064326</v>
      </c>
      <c r="Y22" s="6">
        <v>384701.6</v>
      </c>
      <c r="Z22" s="6">
        <v>5648.3</v>
      </c>
      <c r="AA22" s="6">
        <v>0</v>
      </c>
      <c r="AB22" s="6">
        <v>140841620</v>
      </c>
      <c r="AC22" s="6">
        <v>285164500</v>
      </c>
      <c r="AD22" s="6">
        <v>0</v>
      </c>
      <c r="AE22" s="6">
        <f t="shared" si="0"/>
        <v>553459260</v>
      </c>
      <c r="AF22" s="6">
        <f t="shared" si="1"/>
        <v>0</v>
      </c>
      <c r="AG22" s="6">
        <f t="shared" si="13"/>
        <v>324590.5</v>
      </c>
      <c r="AH22" s="6">
        <f t="shared" si="2"/>
        <v>553134669.5</v>
      </c>
      <c r="AI22" s="6">
        <f t="shared" si="3"/>
        <v>9775302</v>
      </c>
      <c r="AJ22" s="6">
        <f t="shared" si="4"/>
        <v>38363690.899999999</v>
      </c>
      <c r="AK22" s="6">
        <f t="shared" si="5"/>
        <v>384701.6</v>
      </c>
      <c r="AL22" s="6">
        <f t="shared" si="6"/>
        <v>33064326</v>
      </c>
      <c r="AM22" s="6">
        <f t="shared" si="7"/>
        <v>471546621.5</v>
      </c>
      <c r="AN22" s="10">
        <f t="shared" si="8"/>
        <v>1.767255342869084E-2</v>
      </c>
      <c r="AO22" s="10">
        <f t="shared" si="9"/>
        <v>6.9356872775084649E-2</v>
      </c>
      <c r="AP22" s="10">
        <f t="shared" si="10"/>
        <v>6.9549355918649392E-4</v>
      </c>
      <c r="AQ22" s="10">
        <f t="shared" si="11"/>
        <v>5.977626755865463E-2</v>
      </c>
      <c r="AR22" s="10">
        <f t="shared" si="12"/>
        <v>0.85249876296173843</v>
      </c>
    </row>
    <row r="23" spans="1:44" x14ac:dyDescent="0.3">
      <c r="A23" t="s">
        <v>6</v>
      </c>
      <c r="B23" t="s">
        <v>178</v>
      </c>
      <c r="C23" t="s">
        <v>156</v>
      </c>
      <c r="D23" s="7">
        <v>2040</v>
      </c>
      <c r="E23" s="6">
        <v>0.92</v>
      </c>
      <c r="F23" s="6">
        <v>46.5</v>
      </c>
      <c r="G23" s="15">
        <v>109.2</v>
      </c>
      <c r="H23" s="15">
        <v>307</v>
      </c>
      <c r="I23" s="6">
        <v>627449500</v>
      </c>
      <c r="J23" s="6">
        <v>510448030</v>
      </c>
      <c r="K23" s="6">
        <v>36482308</v>
      </c>
      <c r="L23" s="6">
        <v>289199.3</v>
      </c>
      <c r="M23" s="6">
        <v>0</v>
      </c>
      <c r="N23" s="6">
        <v>0</v>
      </c>
      <c r="O23" s="6">
        <v>8229263</v>
      </c>
      <c r="P23" s="6">
        <v>0</v>
      </c>
      <c r="Q23" s="6">
        <v>0</v>
      </c>
      <c r="R23" s="6">
        <v>17139902</v>
      </c>
      <c r="S23" s="6">
        <v>37177820</v>
      </c>
      <c r="T23" s="6">
        <v>0</v>
      </c>
      <c r="U23" s="6">
        <v>1748089</v>
      </c>
      <c r="V23" s="6">
        <v>0</v>
      </c>
      <c r="W23" s="6">
        <v>397405.7</v>
      </c>
      <c r="X23" s="6">
        <v>32462650</v>
      </c>
      <c r="Y23" s="6">
        <v>208867</v>
      </c>
      <c r="Z23" s="6">
        <v>5861.9</v>
      </c>
      <c r="AA23" s="6">
        <v>0</v>
      </c>
      <c r="AB23" s="6">
        <v>141377470</v>
      </c>
      <c r="AC23" s="6">
        <v>351930620</v>
      </c>
      <c r="AD23" s="6">
        <v>0</v>
      </c>
      <c r="AE23" s="6">
        <f t="shared" si="0"/>
        <v>627449500</v>
      </c>
      <c r="AF23" s="6">
        <f t="shared" si="1"/>
        <v>0</v>
      </c>
      <c r="AG23" s="6">
        <f t="shared" si="13"/>
        <v>289199.3</v>
      </c>
      <c r="AH23" s="6">
        <f t="shared" si="2"/>
        <v>627160300.70000005</v>
      </c>
      <c r="AI23" s="6">
        <f t="shared" si="3"/>
        <v>8229263</v>
      </c>
      <c r="AJ23" s="6">
        <f t="shared" si="4"/>
        <v>38925909</v>
      </c>
      <c r="AK23" s="6">
        <f t="shared" si="5"/>
        <v>208867</v>
      </c>
      <c r="AL23" s="6">
        <f t="shared" si="6"/>
        <v>32462650</v>
      </c>
      <c r="AM23" s="6">
        <f t="shared" si="7"/>
        <v>547333567.60000002</v>
      </c>
      <c r="AN23" s="10">
        <f t="shared" si="8"/>
        <v>1.3121466698091338E-2</v>
      </c>
      <c r="AO23" s="10">
        <f t="shared" si="9"/>
        <v>6.2066921258493488E-2</v>
      </c>
      <c r="AP23" s="10">
        <f t="shared" si="10"/>
        <v>3.330360671217147E-4</v>
      </c>
      <c r="AQ23" s="10">
        <f t="shared" si="11"/>
        <v>5.1761327947204352E-2</v>
      </c>
      <c r="AR23" s="10">
        <f t="shared" si="12"/>
        <v>0.8727171777121383</v>
      </c>
    </row>
    <row r="24" spans="1:44" x14ac:dyDescent="0.3">
      <c r="A24" t="s">
        <v>6</v>
      </c>
      <c r="B24" t="s">
        <v>178</v>
      </c>
      <c r="C24" t="s">
        <v>156</v>
      </c>
      <c r="D24" s="7">
        <v>2045</v>
      </c>
      <c r="E24" s="6">
        <v>0.93</v>
      </c>
      <c r="F24" s="6">
        <v>42.3</v>
      </c>
      <c r="G24" s="15">
        <v>87.8</v>
      </c>
      <c r="H24" s="15">
        <v>277.89999999999998</v>
      </c>
      <c r="I24" s="6">
        <v>692905700</v>
      </c>
      <c r="J24" s="6">
        <v>580062400</v>
      </c>
      <c r="K24" s="6">
        <v>47433644</v>
      </c>
      <c r="L24" s="6">
        <v>272345.59999999998</v>
      </c>
      <c r="M24" s="6">
        <v>0</v>
      </c>
      <c r="N24" s="6">
        <v>0</v>
      </c>
      <c r="O24" s="6">
        <v>7055651</v>
      </c>
      <c r="P24" s="6">
        <v>0</v>
      </c>
      <c r="Q24" s="6">
        <v>0</v>
      </c>
      <c r="R24" s="6">
        <v>17916724</v>
      </c>
      <c r="S24" s="6">
        <v>39512216</v>
      </c>
      <c r="T24" s="6">
        <v>0</v>
      </c>
      <c r="U24" s="6">
        <v>2512890.5</v>
      </c>
      <c r="V24" s="6">
        <v>0</v>
      </c>
      <c r="W24" s="6">
        <v>379722.1</v>
      </c>
      <c r="X24" s="6">
        <v>15578874</v>
      </c>
      <c r="Y24" s="6">
        <v>92789</v>
      </c>
      <c r="Z24" s="6">
        <v>5149.5</v>
      </c>
      <c r="AA24" s="6">
        <v>0</v>
      </c>
      <c r="AB24" s="6">
        <v>175580350</v>
      </c>
      <c r="AC24" s="6">
        <v>386565340</v>
      </c>
      <c r="AD24" s="6">
        <v>0</v>
      </c>
      <c r="AE24" s="6">
        <f t="shared" si="0"/>
        <v>692905700</v>
      </c>
      <c r="AF24" s="6">
        <f t="shared" si="1"/>
        <v>0</v>
      </c>
      <c r="AG24" s="6">
        <f t="shared" si="13"/>
        <v>272345.59999999998</v>
      </c>
      <c r="AH24" s="6">
        <f t="shared" si="2"/>
        <v>692633354.39999998</v>
      </c>
      <c r="AI24" s="6">
        <f t="shared" si="3"/>
        <v>7055651</v>
      </c>
      <c r="AJ24" s="6">
        <f t="shared" si="4"/>
        <v>42025106.5</v>
      </c>
      <c r="AK24" s="6">
        <f t="shared" si="5"/>
        <v>92789</v>
      </c>
      <c r="AL24" s="6">
        <f t="shared" si="6"/>
        <v>15578874</v>
      </c>
      <c r="AM24" s="6">
        <f t="shared" si="7"/>
        <v>627880929.60000002</v>
      </c>
      <c r="AN24" s="10">
        <f t="shared" si="8"/>
        <v>1.0186704055151983E-2</v>
      </c>
      <c r="AO24" s="10">
        <f t="shared" si="9"/>
        <v>6.0674390329360672E-2</v>
      </c>
      <c r="AP24" s="10">
        <f t="shared" si="10"/>
        <v>1.3396553805928004E-4</v>
      </c>
      <c r="AQ24" s="10">
        <f t="shared" si="11"/>
        <v>2.2492237633423447E-2</v>
      </c>
      <c r="AR24" s="10">
        <f t="shared" si="12"/>
        <v>0.90651269623581388</v>
      </c>
    </row>
    <row r="25" spans="1:44" x14ac:dyDescent="0.3">
      <c r="A25" t="s">
        <v>6</v>
      </c>
      <c r="B25" t="s">
        <v>178</v>
      </c>
      <c r="C25" t="s">
        <v>156</v>
      </c>
      <c r="D25" s="7">
        <v>2050</v>
      </c>
      <c r="E25" s="6">
        <v>0.93</v>
      </c>
      <c r="F25" s="6">
        <v>42.7</v>
      </c>
      <c r="G25" s="15">
        <v>75</v>
      </c>
      <c r="H25" s="15">
        <v>278</v>
      </c>
      <c r="I25" s="6">
        <v>763246140</v>
      </c>
      <c r="J25" s="6">
        <v>653428100</v>
      </c>
      <c r="K25" s="6">
        <v>56187640</v>
      </c>
      <c r="L25" s="6">
        <v>254215.1</v>
      </c>
      <c r="M25" s="6">
        <v>0</v>
      </c>
      <c r="N25" s="6">
        <v>0</v>
      </c>
      <c r="O25" s="6">
        <v>8557573</v>
      </c>
      <c r="P25" s="6">
        <v>0</v>
      </c>
      <c r="Q25" s="6">
        <v>0</v>
      </c>
      <c r="R25" s="6">
        <v>19490476</v>
      </c>
      <c r="S25" s="6">
        <v>40173040</v>
      </c>
      <c r="T25" s="6">
        <v>0</v>
      </c>
      <c r="U25" s="6">
        <v>4259449</v>
      </c>
      <c r="V25" s="6">
        <v>0</v>
      </c>
      <c r="W25" s="6">
        <v>360725</v>
      </c>
      <c r="X25" s="6">
        <v>0</v>
      </c>
      <c r="Y25" s="6">
        <v>20561.3</v>
      </c>
      <c r="Z25" s="6">
        <v>4867.8999999999996</v>
      </c>
      <c r="AA25" s="6">
        <v>0</v>
      </c>
      <c r="AB25" s="6">
        <v>192162560</v>
      </c>
      <c r="AC25" s="6">
        <v>441775040</v>
      </c>
      <c r="AD25" s="6">
        <v>0</v>
      </c>
      <c r="AE25" s="6">
        <f t="shared" si="0"/>
        <v>763246140</v>
      </c>
      <c r="AF25" s="6">
        <f t="shared" si="1"/>
        <v>0</v>
      </c>
      <c r="AG25" s="6">
        <f t="shared" si="13"/>
        <v>254215.1</v>
      </c>
      <c r="AH25" s="6">
        <f t="shared" si="2"/>
        <v>762991924.89999998</v>
      </c>
      <c r="AI25" s="6">
        <f t="shared" si="3"/>
        <v>8557573</v>
      </c>
      <c r="AJ25" s="6">
        <f t="shared" si="4"/>
        <v>44432489</v>
      </c>
      <c r="AK25" s="6">
        <f t="shared" si="5"/>
        <v>20561.3</v>
      </c>
      <c r="AL25" s="6">
        <f t="shared" si="6"/>
        <v>0</v>
      </c>
      <c r="AM25" s="6">
        <f t="shared" si="7"/>
        <v>709981308.89999998</v>
      </c>
      <c r="AN25" s="10">
        <f t="shared" si="8"/>
        <v>1.1215810706150764E-2</v>
      </c>
      <c r="AO25" s="10">
        <f t="shared" si="9"/>
        <v>5.8234546854245485E-2</v>
      </c>
      <c r="AP25" s="10">
        <f t="shared" si="10"/>
        <v>2.6948253748157066E-5</v>
      </c>
      <c r="AQ25" s="10">
        <f t="shared" si="11"/>
        <v>0</v>
      </c>
      <c r="AR25" s="10">
        <f t="shared" si="12"/>
        <v>0.93052270375345358</v>
      </c>
    </row>
    <row r="26" spans="1:44" x14ac:dyDescent="0.3">
      <c r="A26" t="s">
        <v>6</v>
      </c>
      <c r="B26" t="s">
        <v>178</v>
      </c>
      <c r="C26" t="s">
        <v>157</v>
      </c>
      <c r="D26" s="7">
        <v>2024</v>
      </c>
      <c r="E26" s="6">
        <v>0.37</v>
      </c>
      <c r="F26" s="6">
        <v>348.2</v>
      </c>
      <c r="G26" s="15">
        <v>311.10000000000002</v>
      </c>
      <c r="H26" s="15">
        <v>763.4</v>
      </c>
      <c r="I26" s="6">
        <v>236384160</v>
      </c>
      <c r="J26" s="6">
        <v>53722200</v>
      </c>
      <c r="K26" s="6">
        <v>349444</v>
      </c>
      <c r="L26" s="6">
        <v>3974161.5</v>
      </c>
      <c r="M26" s="6">
        <v>0</v>
      </c>
      <c r="N26" s="6">
        <v>0</v>
      </c>
      <c r="O26" s="6">
        <v>14485542</v>
      </c>
      <c r="P26" s="6">
        <v>0</v>
      </c>
      <c r="Q26" s="6">
        <v>0</v>
      </c>
      <c r="R26" s="6">
        <v>2695659</v>
      </c>
      <c r="S26" s="6">
        <v>133823700</v>
      </c>
      <c r="T26" s="6">
        <v>0</v>
      </c>
      <c r="U26" s="6">
        <v>625164.4</v>
      </c>
      <c r="V26" s="6">
        <v>0</v>
      </c>
      <c r="W26" s="6">
        <v>216447.9</v>
      </c>
      <c r="X26" s="6">
        <v>29187508</v>
      </c>
      <c r="Y26" s="6">
        <v>0</v>
      </c>
      <c r="Z26" s="6">
        <v>0</v>
      </c>
      <c r="AA26" s="6">
        <v>0</v>
      </c>
      <c r="AB26" s="6">
        <v>51026544</v>
      </c>
      <c r="AC26" s="6">
        <v>0</v>
      </c>
      <c r="AD26" s="6">
        <v>0</v>
      </c>
      <c r="AE26" s="6">
        <f t="shared" si="0"/>
        <v>236384160</v>
      </c>
      <c r="AF26" s="6">
        <f t="shared" si="1"/>
        <v>0</v>
      </c>
      <c r="AG26" s="6">
        <f t="shared" si="13"/>
        <v>3974161.5</v>
      </c>
      <c r="AH26" s="6">
        <f t="shared" si="2"/>
        <v>232409998.5</v>
      </c>
      <c r="AI26" s="6">
        <f t="shared" si="3"/>
        <v>14485542</v>
      </c>
      <c r="AJ26" s="6">
        <f t="shared" si="4"/>
        <v>134448864.40000001</v>
      </c>
      <c r="AK26" s="6">
        <f t="shared" si="5"/>
        <v>0</v>
      </c>
      <c r="AL26" s="6">
        <f t="shared" si="6"/>
        <v>29187508</v>
      </c>
      <c r="AM26" s="6">
        <f t="shared" si="7"/>
        <v>54288094.899999999</v>
      </c>
      <c r="AN26" s="10">
        <f t="shared" si="8"/>
        <v>6.2327533640941873E-2</v>
      </c>
      <c r="AO26" s="10">
        <f t="shared" si="9"/>
        <v>0.57849862427497933</v>
      </c>
      <c r="AP26" s="10">
        <f t="shared" si="10"/>
        <v>0</v>
      </c>
      <c r="AQ26" s="10">
        <f t="shared" si="11"/>
        <v>0.12558628367273106</v>
      </c>
      <c r="AR26" s="10">
        <f t="shared" si="12"/>
        <v>0.23358760488094921</v>
      </c>
    </row>
    <row r="27" spans="1:44" x14ac:dyDescent="0.3">
      <c r="A27" t="s">
        <v>6</v>
      </c>
      <c r="B27" t="s">
        <v>178</v>
      </c>
      <c r="C27" t="s">
        <v>157</v>
      </c>
      <c r="D27" s="7">
        <v>2026</v>
      </c>
      <c r="E27" s="6">
        <v>0.5</v>
      </c>
      <c r="F27" s="6">
        <v>275.3</v>
      </c>
      <c r="G27" s="15">
        <v>279.39999999999998</v>
      </c>
      <c r="H27" s="15">
        <v>622.70000000000005</v>
      </c>
      <c r="I27" s="6">
        <v>253198370</v>
      </c>
      <c r="J27" s="6">
        <v>90998424</v>
      </c>
      <c r="K27" s="6">
        <v>4472125.5</v>
      </c>
      <c r="L27" s="6">
        <v>3733892</v>
      </c>
      <c r="M27" s="6">
        <v>0</v>
      </c>
      <c r="N27" s="6">
        <v>0</v>
      </c>
      <c r="O27" s="6">
        <v>13269661</v>
      </c>
      <c r="P27" s="6">
        <v>0</v>
      </c>
      <c r="Q27" s="6">
        <v>0</v>
      </c>
      <c r="R27" s="6">
        <v>4106154</v>
      </c>
      <c r="S27" s="6">
        <v>111893170</v>
      </c>
      <c r="T27" s="6">
        <v>0</v>
      </c>
      <c r="U27" s="6">
        <v>616564.9</v>
      </c>
      <c r="V27" s="6">
        <v>0</v>
      </c>
      <c r="W27" s="6">
        <v>213136.3</v>
      </c>
      <c r="X27" s="6">
        <v>28001388</v>
      </c>
      <c r="Y27" s="6">
        <v>0</v>
      </c>
      <c r="Z27" s="6">
        <v>0</v>
      </c>
      <c r="AA27" s="6">
        <v>0</v>
      </c>
      <c r="AB27" s="6">
        <v>86892270</v>
      </c>
      <c r="AC27" s="6">
        <v>0</v>
      </c>
      <c r="AD27" s="6">
        <v>0</v>
      </c>
      <c r="AE27" s="6">
        <f t="shared" si="0"/>
        <v>253198370</v>
      </c>
      <c r="AF27" s="6">
        <f t="shared" si="1"/>
        <v>0</v>
      </c>
      <c r="AG27" s="6">
        <f t="shared" si="13"/>
        <v>3733892</v>
      </c>
      <c r="AH27" s="6">
        <f t="shared" si="2"/>
        <v>249464478</v>
      </c>
      <c r="AI27" s="6">
        <f t="shared" si="3"/>
        <v>13269661</v>
      </c>
      <c r="AJ27" s="6">
        <f t="shared" si="4"/>
        <v>112509734.90000001</v>
      </c>
      <c r="AK27" s="6">
        <f t="shared" si="5"/>
        <v>0</v>
      </c>
      <c r="AL27" s="6">
        <f t="shared" si="6"/>
        <v>28001388</v>
      </c>
      <c r="AM27" s="6">
        <f t="shared" si="7"/>
        <v>95683685.799999997</v>
      </c>
      <c r="AN27" s="10">
        <f t="shared" si="8"/>
        <v>5.3192587202735932E-2</v>
      </c>
      <c r="AO27" s="10">
        <f t="shared" si="9"/>
        <v>0.45100503206713066</v>
      </c>
      <c r="AP27" s="10">
        <f t="shared" si="10"/>
        <v>0</v>
      </c>
      <c r="AQ27" s="10">
        <f t="shared" si="11"/>
        <v>0.11224599279421257</v>
      </c>
      <c r="AR27" s="10">
        <f t="shared" si="12"/>
        <v>0.38355635466465088</v>
      </c>
    </row>
    <row r="28" spans="1:44" x14ac:dyDescent="0.3">
      <c r="A28" t="s">
        <v>6</v>
      </c>
      <c r="B28" t="s">
        <v>178</v>
      </c>
      <c r="C28" t="s">
        <v>157</v>
      </c>
      <c r="D28" s="7">
        <v>2028</v>
      </c>
      <c r="E28" s="6">
        <v>0.57999999999999996</v>
      </c>
      <c r="F28" s="6">
        <v>219.3</v>
      </c>
      <c r="G28" s="15">
        <v>202.6</v>
      </c>
      <c r="H28" s="15">
        <v>536.1</v>
      </c>
      <c r="I28" s="6">
        <v>266213170</v>
      </c>
      <c r="J28" s="6">
        <v>113824024</v>
      </c>
      <c r="K28" s="6">
        <v>10434512</v>
      </c>
      <c r="L28" s="6">
        <v>3436622.5</v>
      </c>
      <c r="M28" s="6">
        <v>0</v>
      </c>
      <c r="N28" s="6">
        <v>0</v>
      </c>
      <c r="O28" s="6">
        <v>7678953</v>
      </c>
      <c r="P28" s="6">
        <v>0</v>
      </c>
      <c r="Q28" s="6">
        <v>0</v>
      </c>
      <c r="R28" s="6">
        <v>6833029</v>
      </c>
      <c r="S28" s="6">
        <v>102694400</v>
      </c>
      <c r="T28" s="6">
        <v>0</v>
      </c>
      <c r="U28" s="6">
        <v>585359.4</v>
      </c>
      <c r="V28" s="6">
        <v>0</v>
      </c>
      <c r="W28" s="6">
        <v>224042.4</v>
      </c>
      <c r="X28" s="6">
        <v>27335254</v>
      </c>
      <c r="Y28" s="6">
        <v>0</v>
      </c>
      <c r="Z28" s="6">
        <v>0</v>
      </c>
      <c r="AA28" s="6">
        <v>0</v>
      </c>
      <c r="AB28" s="6">
        <v>106990990</v>
      </c>
      <c r="AC28" s="6">
        <v>0</v>
      </c>
      <c r="AD28" s="6">
        <v>0</v>
      </c>
      <c r="AE28" s="6">
        <f t="shared" si="0"/>
        <v>266213170</v>
      </c>
      <c r="AF28" s="6">
        <f t="shared" si="1"/>
        <v>0</v>
      </c>
      <c r="AG28" s="6">
        <f t="shared" si="13"/>
        <v>3436622.5</v>
      </c>
      <c r="AH28" s="6">
        <f t="shared" si="2"/>
        <v>262776547.5</v>
      </c>
      <c r="AI28" s="6">
        <f t="shared" si="3"/>
        <v>7678953</v>
      </c>
      <c r="AJ28" s="6">
        <f t="shared" si="4"/>
        <v>103279759.40000001</v>
      </c>
      <c r="AK28" s="6">
        <f t="shared" si="5"/>
        <v>0</v>
      </c>
      <c r="AL28" s="6">
        <f t="shared" si="6"/>
        <v>27335254</v>
      </c>
      <c r="AM28" s="6">
        <f t="shared" si="7"/>
        <v>124482573.40000001</v>
      </c>
      <c r="AN28" s="10">
        <f t="shared" si="8"/>
        <v>2.9222368103454896E-2</v>
      </c>
      <c r="AO28" s="10">
        <f t="shared" si="9"/>
        <v>0.39303263697838181</v>
      </c>
      <c r="AP28" s="10">
        <f t="shared" si="10"/>
        <v>0</v>
      </c>
      <c r="AQ28" s="10">
        <f t="shared" si="11"/>
        <v>0.10402470943492398</v>
      </c>
      <c r="AR28" s="10">
        <f t="shared" si="12"/>
        <v>0.47372025618077657</v>
      </c>
    </row>
    <row r="29" spans="1:44" x14ac:dyDescent="0.3">
      <c r="A29" t="s">
        <v>6</v>
      </c>
      <c r="B29" t="s">
        <v>178</v>
      </c>
      <c r="C29" t="s">
        <v>157</v>
      </c>
      <c r="D29" s="7">
        <v>2030</v>
      </c>
      <c r="E29" s="6">
        <v>0.62</v>
      </c>
      <c r="F29" s="6">
        <v>199.2</v>
      </c>
      <c r="G29" s="15">
        <v>260.89999999999998</v>
      </c>
      <c r="H29" s="15">
        <v>514.29999999999995</v>
      </c>
      <c r="I29" s="6">
        <v>276403000</v>
      </c>
      <c r="J29" s="6">
        <v>126205620</v>
      </c>
      <c r="K29" s="6">
        <v>14956712</v>
      </c>
      <c r="L29" s="6">
        <v>3384554.5</v>
      </c>
      <c r="M29" s="6">
        <v>0</v>
      </c>
      <c r="N29" s="6">
        <v>0</v>
      </c>
      <c r="O29" s="6">
        <v>7366093</v>
      </c>
      <c r="P29" s="6">
        <v>0</v>
      </c>
      <c r="Q29" s="6">
        <v>0</v>
      </c>
      <c r="R29" s="6">
        <v>10974812</v>
      </c>
      <c r="S29" s="6">
        <v>96476140</v>
      </c>
      <c r="T29" s="6">
        <v>0</v>
      </c>
      <c r="U29" s="6">
        <v>618212.80000000005</v>
      </c>
      <c r="V29" s="6">
        <v>0</v>
      </c>
      <c r="W29" s="6">
        <v>224115.4</v>
      </c>
      <c r="X29" s="6">
        <v>27171556</v>
      </c>
      <c r="Y29" s="6">
        <v>0</v>
      </c>
      <c r="Z29" s="6">
        <v>0</v>
      </c>
      <c r="AA29" s="6">
        <v>0</v>
      </c>
      <c r="AB29" s="6">
        <v>115230810</v>
      </c>
      <c r="AC29" s="6">
        <v>0</v>
      </c>
      <c r="AD29" s="6">
        <v>0</v>
      </c>
      <c r="AE29" s="6">
        <f t="shared" si="0"/>
        <v>276403000</v>
      </c>
      <c r="AF29" s="6">
        <f t="shared" si="1"/>
        <v>0</v>
      </c>
      <c r="AG29" s="6">
        <f t="shared" si="13"/>
        <v>3384554.5</v>
      </c>
      <c r="AH29" s="6">
        <f t="shared" si="2"/>
        <v>273018445.5</v>
      </c>
      <c r="AI29" s="6">
        <f t="shared" si="3"/>
        <v>7366093</v>
      </c>
      <c r="AJ29" s="6">
        <f t="shared" si="4"/>
        <v>97094352.799999997</v>
      </c>
      <c r="AK29" s="6">
        <f t="shared" si="5"/>
        <v>0</v>
      </c>
      <c r="AL29" s="6">
        <f t="shared" si="6"/>
        <v>27171556</v>
      </c>
      <c r="AM29" s="6">
        <f t="shared" si="7"/>
        <v>141386449.40000001</v>
      </c>
      <c r="AN29" s="10">
        <f t="shared" si="8"/>
        <v>2.6980202698429035E-2</v>
      </c>
      <c r="AO29" s="10">
        <f t="shared" si="9"/>
        <v>0.35563294129150697</v>
      </c>
      <c r="AP29" s="10">
        <f t="shared" si="10"/>
        <v>0</v>
      </c>
      <c r="AQ29" s="10">
        <f t="shared" si="11"/>
        <v>9.9522784807592787E-2</v>
      </c>
      <c r="AR29" s="10">
        <f t="shared" si="12"/>
        <v>0.51786409208018147</v>
      </c>
    </row>
    <row r="30" spans="1:44" x14ac:dyDescent="0.3">
      <c r="A30" t="s">
        <v>6</v>
      </c>
      <c r="B30" t="s">
        <v>178</v>
      </c>
      <c r="C30" t="s">
        <v>157</v>
      </c>
      <c r="D30" s="7">
        <v>2035</v>
      </c>
      <c r="E30" s="6">
        <v>0.76</v>
      </c>
      <c r="F30" s="6">
        <v>122.8</v>
      </c>
      <c r="G30" s="15">
        <v>285.2</v>
      </c>
      <c r="H30" s="15">
        <v>438</v>
      </c>
      <c r="I30" s="6">
        <v>344165760</v>
      </c>
      <c r="J30" s="6">
        <v>187285820</v>
      </c>
      <c r="K30" s="6">
        <v>42803064</v>
      </c>
      <c r="L30" s="6">
        <v>3115739.2</v>
      </c>
      <c r="M30" s="6">
        <v>0</v>
      </c>
      <c r="N30" s="6">
        <v>0</v>
      </c>
      <c r="O30" s="6">
        <v>3254142.5</v>
      </c>
      <c r="P30" s="6">
        <v>0</v>
      </c>
      <c r="Q30" s="6">
        <v>0</v>
      </c>
      <c r="R30" s="6">
        <v>11713085</v>
      </c>
      <c r="S30" s="6">
        <v>80221780</v>
      </c>
      <c r="T30" s="6">
        <v>0</v>
      </c>
      <c r="U30" s="6">
        <v>596771.4</v>
      </c>
      <c r="V30" s="6">
        <v>0</v>
      </c>
      <c r="W30" s="6">
        <v>221902.8</v>
      </c>
      <c r="X30" s="6">
        <v>26666538</v>
      </c>
      <c r="Y30" s="6">
        <v>0</v>
      </c>
      <c r="Z30" s="6">
        <v>0</v>
      </c>
      <c r="AA30" s="6">
        <v>0</v>
      </c>
      <c r="AB30" s="6">
        <v>175572750</v>
      </c>
      <c r="AC30" s="6">
        <v>0</v>
      </c>
      <c r="AD30" s="6">
        <v>0</v>
      </c>
      <c r="AE30" s="6">
        <f t="shared" si="0"/>
        <v>344165760</v>
      </c>
      <c r="AF30" s="6">
        <f t="shared" si="1"/>
        <v>0</v>
      </c>
      <c r="AG30" s="6">
        <f t="shared" si="13"/>
        <v>3115739.2</v>
      </c>
      <c r="AH30" s="6">
        <f t="shared" si="2"/>
        <v>341050020.80000001</v>
      </c>
      <c r="AI30" s="6">
        <f t="shared" si="3"/>
        <v>3254142.5</v>
      </c>
      <c r="AJ30" s="6">
        <f t="shared" si="4"/>
        <v>80818551.400000006</v>
      </c>
      <c r="AK30" s="6">
        <f t="shared" si="5"/>
        <v>0</v>
      </c>
      <c r="AL30" s="6">
        <f t="shared" si="6"/>
        <v>26666538</v>
      </c>
      <c r="AM30" s="6">
        <f t="shared" si="7"/>
        <v>230310801.80000001</v>
      </c>
      <c r="AN30" s="10">
        <f t="shared" si="8"/>
        <v>9.5415402478697051E-3</v>
      </c>
      <c r="AO30" s="10">
        <f t="shared" si="9"/>
        <v>0.23696978880231168</v>
      </c>
      <c r="AP30" s="10">
        <f t="shared" si="10"/>
        <v>0</v>
      </c>
      <c r="AQ30" s="10">
        <f t="shared" si="11"/>
        <v>7.8189521693763225E-2</v>
      </c>
      <c r="AR30" s="10">
        <f t="shared" si="12"/>
        <v>0.67529918708041903</v>
      </c>
    </row>
    <row r="31" spans="1:44" x14ac:dyDescent="0.3">
      <c r="A31" t="s">
        <v>6</v>
      </c>
      <c r="B31" t="s">
        <v>178</v>
      </c>
      <c r="C31" t="s">
        <v>157</v>
      </c>
      <c r="D31" s="7">
        <v>2040</v>
      </c>
      <c r="E31" s="6">
        <v>0.76</v>
      </c>
      <c r="F31" s="6">
        <v>116.6</v>
      </c>
      <c r="G31" s="15">
        <v>356.7</v>
      </c>
      <c r="H31" s="15">
        <v>433.9</v>
      </c>
      <c r="I31" s="6">
        <v>391089200</v>
      </c>
      <c r="J31" s="6">
        <v>210628020</v>
      </c>
      <c r="K31" s="6">
        <v>58188908</v>
      </c>
      <c r="L31" s="6">
        <v>3182544.5</v>
      </c>
      <c r="M31" s="6">
        <v>0</v>
      </c>
      <c r="N31" s="6">
        <v>0</v>
      </c>
      <c r="O31" s="6">
        <v>2512538.7999999998</v>
      </c>
      <c r="P31" s="6">
        <v>0</v>
      </c>
      <c r="Q31" s="6">
        <v>0</v>
      </c>
      <c r="R31" s="6">
        <v>12878642</v>
      </c>
      <c r="S31" s="6">
        <v>88989810</v>
      </c>
      <c r="T31" s="6">
        <v>0</v>
      </c>
      <c r="U31" s="6">
        <v>500946.2</v>
      </c>
      <c r="V31" s="6">
        <v>0</v>
      </c>
      <c r="W31" s="6">
        <v>222240</v>
      </c>
      <c r="X31" s="6">
        <v>26864196</v>
      </c>
      <c r="Y31" s="6">
        <v>0</v>
      </c>
      <c r="Z31" s="6">
        <v>0</v>
      </c>
      <c r="AA31" s="6">
        <v>0</v>
      </c>
      <c r="AB31" s="6">
        <v>197749380</v>
      </c>
      <c r="AC31" s="6">
        <v>0</v>
      </c>
      <c r="AD31" s="6">
        <v>0</v>
      </c>
      <c r="AE31" s="6">
        <f t="shared" si="0"/>
        <v>391089200</v>
      </c>
      <c r="AF31" s="6">
        <f t="shared" si="1"/>
        <v>0</v>
      </c>
      <c r="AG31" s="6">
        <f t="shared" si="13"/>
        <v>3182544.5</v>
      </c>
      <c r="AH31" s="6">
        <f t="shared" si="2"/>
        <v>387906655.5</v>
      </c>
      <c r="AI31" s="6">
        <f t="shared" si="3"/>
        <v>2512538.7999999998</v>
      </c>
      <c r="AJ31" s="6">
        <f t="shared" si="4"/>
        <v>89490756.200000003</v>
      </c>
      <c r="AK31" s="6">
        <f t="shared" si="5"/>
        <v>0</v>
      </c>
      <c r="AL31" s="6">
        <f t="shared" si="6"/>
        <v>26864196</v>
      </c>
      <c r="AM31" s="6">
        <f t="shared" si="7"/>
        <v>269039170</v>
      </c>
      <c r="AN31" s="10">
        <f t="shared" si="8"/>
        <v>6.4771737333596735E-3</v>
      </c>
      <c r="AO31" s="10">
        <f t="shared" si="9"/>
        <v>0.23070178077931949</v>
      </c>
      <c r="AP31" s="10">
        <f t="shared" si="10"/>
        <v>0</v>
      </c>
      <c r="AQ31" s="10">
        <f t="shared" si="11"/>
        <v>6.9254279654915582E-2</v>
      </c>
      <c r="AR31" s="10">
        <f t="shared" si="12"/>
        <v>0.69356678001107408</v>
      </c>
    </row>
    <row r="32" spans="1:44" x14ac:dyDescent="0.3">
      <c r="A32" t="s">
        <v>6</v>
      </c>
      <c r="B32" t="s">
        <v>178</v>
      </c>
      <c r="C32" t="s">
        <v>157</v>
      </c>
      <c r="D32" s="7">
        <v>2045</v>
      </c>
      <c r="E32" s="6">
        <v>0.77</v>
      </c>
      <c r="F32" s="6">
        <v>111.8</v>
      </c>
      <c r="G32" s="15">
        <v>348.2</v>
      </c>
      <c r="H32" s="15">
        <v>417.4</v>
      </c>
      <c r="I32" s="6">
        <v>441055650</v>
      </c>
      <c r="J32" s="6">
        <v>239608930</v>
      </c>
      <c r="K32" s="6">
        <v>71968584</v>
      </c>
      <c r="L32" s="6">
        <v>2555359</v>
      </c>
      <c r="M32" s="6">
        <v>0</v>
      </c>
      <c r="N32" s="6">
        <v>0</v>
      </c>
      <c r="O32" s="6">
        <v>2057210.4</v>
      </c>
      <c r="P32" s="6">
        <v>0</v>
      </c>
      <c r="Q32" s="6">
        <v>0</v>
      </c>
      <c r="R32" s="6">
        <v>12067521</v>
      </c>
      <c r="S32" s="6">
        <v>97104270</v>
      </c>
      <c r="T32" s="6">
        <v>0</v>
      </c>
      <c r="U32" s="6">
        <v>839837.9</v>
      </c>
      <c r="V32" s="6">
        <v>0</v>
      </c>
      <c r="W32" s="6">
        <v>221928.5</v>
      </c>
      <c r="X32" s="6">
        <v>26699508</v>
      </c>
      <c r="Y32" s="6">
        <v>0</v>
      </c>
      <c r="Z32" s="6">
        <v>0</v>
      </c>
      <c r="AA32" s="6">
        <v>0</v>
      </c>
      <c r="AB32" s="6">
        <v>227541400</v>
      </c>
      <c r="AC32" s="6">
        <v>0</v>
      </c>
      <c r="AD32" s="6">
        <v>0</v>
      </c>
      <c r="AE32" s="6">
        <f t="shared" si="0"/>
        <v>441055650</v>
      </c>
      <c r="AF32" s="6">
        <f t="shared" si="1"/>
        <v>0</v>
      </c>
      <c r="AG32" s="6">
        <f t="shared" si="13"/>
        <v>2555359</v>
      </c>
      <c r="AH32" s="6">
        <f t="shared" si="2"/>
        <v>438500291</v>
      </c>
      <c r="AI32" s="6">
        <f t="shared" si="3"/>
        <v>2057210.4</v>
      </c>
      <c r="AJ32" s="6">
        <f t="shared" si="4"/>
        <v>97944107.900000006</v>
      </c>
      <c r="AK32" s="6">
        <f t="shared" si="5"/>
        <v>0</v>
      </c>
      <c r="AL32" s="6">
        <f t="shared" si="6"/>
        <v>26699508</v>
      </c>
      <c r="AM32" s="6">
        <f t="shared" si="7"/>
        <v>311799433.5</v>
      </c>
      <c r="AN32" s="10">
        <f t="shared" si="8"/>
        <v>4.6914687224232652E-3</v>
      </c>
      <c r="AO32" s="10">
        <f t="shared" si="9"/>
        <v>0.22336155735869284</v>
      </c>
      <c r="AP32" s="10">
        <f t="shared" si="10"/>
        <v>0</v>
      </c>
      <c r="AQ32" s="10">
        <f t="shared" si="11"/>
        <v>6.0888233253190704E-2</v>
      </c>
      <c r="AR32" s="10">
        <f t="shared" si="12"/>
        <v>0.71105866951408703</v>
      </c>
    </row>
    <row r="33" spans="1:44" x14ac:dyDescent="0.3">
      <c r="A33" t="s">
        <v>6</v>
      </c>
      <c r="B33" t="s">
        <v>178</v>
      </c>
      <c r="C33" t="s">
        <v>157</v>
      </c>
      <c r="D33" s="7">
        <v>2050</v>
      </c>
      <c r="E33" s="6">
        <v>0.78</v>
      </c>
      <c r="F33" s="6">
        <v>110.5</v>
      </c>
      <c r="G33" s="15">
        <v>355.2</v>
      </c>
      <c r="H33" s="15">
        <v>405.8</v>
      </c>
      <c r="I33" s="6">
        <v>486994370</v>
      </c>
      <c r="J33" s="6">
        <v>266342750</v>
      </c>
      <c r="K33" s="6">
        <v>82414590</v>
      </c>
      <c r="L33" s="6">
        <v>2521530</v>
      </c>
      <c r="M33" s="6">
        <v>0</v>
      </c>
      <c r="N33" s="6">
        <v>0</v>
      </c>
      <c r="O33" s="6">
        <v>2045056.8</v>
      </c>
      <c r="P33" s="6">
        <v>0</v>
      </c>
      <c r="Q33" s="6">
        <v>0</v>
      </c>
      <c r="R33" s="6">
        <v>13106021</v>
      </c>
      <c r="S33" s="6">
        <v>105599600</v>
      </c>
      <c r="T33" s="6">
        <v>0</v>
      </c>
      <c r="U33" s="6">
        <v>1200887.8999999999</v>
      </c>
      <c r="V33" s="6">
        <v>0</v>
      </c>
      <c r="W33" s="6">
        <v>221859</v>
      </c>
      <c r="X33" s="6">
        <v>26648120</v>
      </c>
      <c r="Y33" s="6">
        <v>0</v>
      </c>
      <c r="Z33" s="6">
        <v>0</v>
      </c>
      <c r="AA33" s="6">
        <v>0</v>
      </c>
      <c r="AB33" s="6">
        <v>253236700</v>
      </c>
      <c r="AC33" s="6">
        <v>0</v>
      </c>
      <c r="AD33" s="6">
        <v>0</v>
      </c>
      <c r="AE33" s="6">
        <f t="shared" si="0"/>
        <v>486994370</v>
      </c>
      <c r="AF33" s="6">
        <f t="shared" si="1"/>
        <v>0</v>
      </c>
      <c r="AG33" s="6">
        <f t="shared" si="13"/>
        <v>2521530</v>
      </c>
      <c r="AH33" s="6">
        <f t="shared" si="2"/>
        <v>484472840</v>
      </c>
      <c r="AI33" s="6">
        <f t="shared" si="3"/>
        <v>2045056.8</v>
      </c>
      <c r="AJ33" s="6">
        <f t="shared" si="4"/>
        <v>106800487.90000001</v>
      </c>
      <c r="AK33" s="6">
        <f t="shared" si="5"/>
        <v>0</v>
      </c>
      <c r="AL33" s="6">
        <f t="shared" si="6"/>
        <v>26648120</v>
      </c>
      <c r="AM33" s="6">
        <f t="shared" si="7"/>
        <v>348979170</v>
      </c>
      <c r="AN33" s="10">
        <f t="shared" si="8"/>
        <v>4.2212000986474292E-3</v>
      </c>
      <c r="AO33" s="10">
        <f t="shared" si="9"/>
        <v>0.22044680131088465</v>
      </c>
      <c r="AP33" s="10">
        <f t="shared" si="10"/>
        <v>0</v>
      </c>
      <c r="AQ33" s="10">
        <f t="shared" si="11"/>
        <v>5.5004363092882563E-2</v>
      </c>
      <c r="AR33" s="10">
        <f t="shared" si="12"/>
        <v>0.72032762455785959</v>
      </c>
    </row>
    <row r="34" spans="1:44" x14ac:dyDescent="0.3">
      <c r="A34" t="s">
        <v>6</v>
      </c>
      <c r="B34" t="s">
        <v>178</v>
      </c>
      <c r="C34" t="s">
        <v>158</v>
      </c>
      <c r="D34" s="7">
        <v>2024</v>
      </c>
      <c r="E34" s="6">
        <v>0.54</v>
      </c>
      <c r="F34" s="6">
        <v>284.7</v>
      </c>
      <c r="G34" s="15">
        <v>375.1</v>
      </c>
      <c r="H34" s="15">
        <v>943.4</v>
      </c>
      <c r="I34" s="6">
        <v>36303904</v>
      </c>
      <c r="J34" s="6">
        <v>7712463</v>
      </c>
      <c r="K34" s="6">
        <v>0</v>
      </c>
      <c r="L34" s="6">
        <v>963881.4</v>
      </c>
      <c r="M34" s="6">
        <v>0</v>
      </c>
      <c r="N34" s="6">
        <v>0</v>
      </c>
      <c r="O34" s="6">
        <v>3053459.5</v>
      </c>
      <c r="P34" s="6">
        <v>0</v>
      </c>
      <c r="Q34" s="6">
        <v>0</v>
      </c>
      <c r="R34" s="6">
        <v>81561.2</v>
      </c>
      <c r="S34" s="6">
        <v>12960861</v>
      </c>
      <c r="T34" s="6">
        <v>0</v>
      </c>
      <c r="U34" s="6">
        <v>494861.5</v>
      </c>
      <c r="V34" s="6">
        <v>0</v>
      </c>
      <c r="W34" s="6">
        <v>1474158.4</v>
      </c>
      <c r="X34" s="6">
        <v>9559487</v>
      </c>
      <c r="Y34" s="6">
        <v>84732.800000000003</v>
      </c>
      <c r="Z34" s="6">
        <v>0</v>
      </c>
      <c r="AA34" s="6">
        <v>0</v>
      </c>
      <c r="AB34" s="6">
        <v>5368799.5</v>
      </c>
      <c r="AC34" s="6">
        <v>2262102.7999999998</v>
      </c>
      <c r="AD34" s="6">
        <v>0</v>
      </c>
      <c r="AE34" s="6">
        <f t="shared" si="0"/>
        <v>36303904</v>
      </c>
      <c r="AF34" s="6">
        <f t="shared" si="1"/>
        <v>0</v>
      </c>
      <c r="AG34" s="6">
        <f t="shared" si="13"/>
        <v>963881.4</v>
      </c>
      <c r="AH34" s="6">
        <f t="shared" si="2"/>
        <v>35340022.600000001</v>
      </c>
      <c r="AI34" s="6">
        <f t="shared" si="3"/>
        <v>3053459.5</v>
      </c>
      <c r="AJ34" s="6">
        <f t="shared" si="4"/>
        <v>13455722.5</v>
      </c>
      <c r="AK34" s="6">
        <f t="shared" si="5"/>
        <v>84732.800000000003</v>
      </c>
      <c r="AL34" s="6">
        <f t="shared" si="6"/>
        <v>9559487</v>
      </c>
      <c r="AM34" s="6">
        <f t="shared" si="7"/>
        <v>9186621.8999999985</v>
      </c>
      <c r="AN34" s="10">
        <f t="shared" si="8"/>
        <v>8.6402307507296272E-2</v>
      </c>
      <c r="AO34" s="10">
        <f t="shared" si="9"/>
        <v>0.38075025169904669</v>
      </c>
      <c r="AP34" s="10">
        <f t="shared" si="10"/>
        <v>2.3976441939230677E-3</v>
      </c>
      <c r="AQ34" s="10">
        <f t="shared" si="11"/>
        <v>0.27050030805583014</v>
      </c>
      <c r="AR34" s="10">
        <f t="shared" si="12"/>
        <v>0.25994951967008639</v>
      </c>
    </row>
    <row r="35" spans="1:44" x14ac:dyDescent="0.3">
      <c r="A35" t="s">
        <v>6</v>
      </c>
      <c r="B35" t="s">
        <v>178</v>
      </c>
      <c r="C35" t="s">
        <v>158</v>
      </c>
      <c r="D35" s="7">
        <v>2026</v>
      </c>
      <c r="E35" s="6">
        <v>0.59</v>
      </c>
      <c r="F35" s="6">
        <v>254.2</v>
      </c>
      <c r="G35" s="15">
        <v>299</v>
      </c>
      <c r="H35" s="15">
        <v>897.6</v>
      </c>
      <c r="I35" s="6">
        <v>35683010</v>
      </c>
      <c r="J35" s="6">
        <v>8985151</v>
      </c>
      <c r="K35" s="6">
        <v>70399.8</v>
      </c>
      <c r="L35" s="6">
        <v>963664.8</v>
      </c>
      <c r="M35" s="6">
        <v>0</v>
      </c>
      <c r="N35" s="6">
        <v>0</v>
      </c>
      <c r="O35" s="6">
        <v>2763426.8</v>
      </c>
      <c r="P35" s="6">
        <v>0</v>
      </c>
      <c r="Q35" s="6">
        <v>0</v>
      </c>
      <c r="R35" s="6">
        <v>136023.79999999999</v>
      </c>
      <c r="S35" s="6">
        <v>11560556</v>
      </c>
      <c r="T35" s="6">
        <v>0</v>
      </c>
      <c r="U35" s="6">
        <v>269176</v>
      </c>
      <c r="V35" s="6">
        <v>0</v>
      </c>
      <c r="W35" s="6">
        <v>1474449.4</v>
      </c>
      <c r="X35" s="6">
        <v>9549052</v>
      </c>
      <c r="Y35" s="6">
        <v>47132.2</v>
      </c>
      <c r="Z35" s="6">
        <v>0</v>
      </c>
      <c r="AA35" s="6">
        <v>0</v>
      </c>
      <c r="AB35" s="6">
        <v>6598472.5</v>
      </c>
      <c r="AC35" s="6">
        <v>2250654.5</v>
      </c>
      <c r="AD35" s="6">
        <v>0</v>
      </c>
      <c r="AE35" s="6">
        <f t="shared" si="0"/>
        <v>35683010</v>
      </c>
      <c r="AF35" s="6">
        <f t="shared" si="1"/>
        <v>0</v>
      </c>
      <c r="AG35" s="6">
        <f t="shared" si="13"/>
        <v>963664.8</v>
      </c>
      <c r="AH35" s="6">
        <f t="shared" si="2"/>
        <v>34719345.200000003</v>
      </c>
      <c r="AI35" s="6">
        <f t="shared" si="3"/>
        <v>2763426.8</v>
      </c>
      <c r="AJ35" s="6">
        <f t="shared" si="4"/>
        <v>11829732</v>
      </c>
      <c r="AK35" s="6">
        <f t="shared" si="5"/>
        <v>47132.2</v>
      </c>
      <c r="AL35" s="6">
        <f t="shared" si="6"/>
        <v>9549052</v>
      </c>
      <c r="AM35" s="6">
        <f t="shared" si="7"/>
        <v>10530000</v>
      </c>
      <c r="AN35" s="10">
        <f t="shared" si="8"/>
        <v>7.9593286799660018E-2</v>
      </c>
      <c r="AO35" s="10">
        <f t="shared" si="9"/>
        <v>0.3407245134335079</v>
      </c>
      <c r="AP35" s="10">
        <f t="shared" si="10"/>
        <v>1.3575198417048486E-3</v>
      </c>
      <c r="AQ35" s="10">
        <f t="shared" si="11"/>
        <v>0.27503548655635357</v>
      </c>
      <c r="AR35" s="10">
        <f t="shared" si="12"/>
        <v>0.3032891300035232</v>
      </c>
    </row>
    <row r="36" spans="1:44" x14ac:dyDescent="0.3">
      <c r="A36" t="s">
        <v>6</v>
      </c>
      <c r="B36" t="s">
        <v>178</v>
      </c>
      <c r="C36" t="s">
        <v>158</v>
      </c>
      <c r="D36" s="7">
        <v>2028</v>
      </c>
      <c r="E36" s="6">
        <v>0.69</v>
      </c>
      <c r="F36" s="6">
        <v>183.5</v>
      </c>
      <c r="G36" s="15">
        <v>248</v>
      </c>
      <c r="H36" s="15">
        <v>671.6</v>
      </c>
      <c r="I36" s="6">
        <v>31019396</v>
      </c>
      <c r="J36" s="6">
        <v>9555487</v>
      </c>
      <c r="K36" s="6">
        <v>267602</v>
      </c>
      <c r="L36" s="6">
        <v>908792.6</v>
      </c>
      <c r="M36" s="6">
        <v>0</v>
      </c>
      <c r="N36" s="6">
        <v>0</v>
      </c>
      <c r="O36" s="6">
        <v>1331350.8999999999</v>
      </c>
      <c r="P36" s="6">
        <v>0</v>
      </c>
      <c r="Q36" s="6">
        <v>0</v>
      </c>
      <c r="R36" s="6">
        <v>239940.4</v>
      </c>
      <c r="S36" s="6">
        <v>8074875</v>
      </c>
      <c r="T36" s="6">
        <v>0</v>
      </c>
      <c r="U36" s="6">
        <v>145021.6</v>
      </c>
      <c r="V36" s="6">
        <v>0</v>
      </c>
      <c r="W36" s="6">
        <v>1448069.6</v>
      </c>
      <c r="X36" s="6">
        <v>9253710</v>
      </c>
      <c r="Y36" s="6">
        <v>34487.1</v>
      </c>
      <c r="Z36" s="6">
        <v>0</v>
      </c>
      <c r="AA36" s="6">
        <v>0</v>
      </c>
      <c r="AB36" s="6">
        <v>6957611</v>
      </c>
      <c r="AC36" s="6">
        <v>2357935.7999999998</v>
      </c>
      <c r="AD36" s="6">
        <v>0</v>
      </c>
      <c r="AE36" s="6">
        <f t="shared" si="0"/>
        <v>31019396</v>
      </c>
      <c r="AF36" s="6">
        <f t="shared" si="1"/>
        <v>0</v>
      </c>
      <c r="AG36" s="6">
        <f t="shared" si="13"/>
        <v>908792.6</v>
      </c>
      <c r="AH36" s="6">
        <f t="shared" si="2"/>
        <v>30110603.399999999</v>
      </c>
      <c r="AI36" s="6">
        <f t="shared" si="3"/>
        <v>1331350.8999999999</v>
      </c>
      <c r="AJ36" s="6">
        <f t="shared" si="4"/>
        <v>8219896.5999999996</v>
      </c>
      <c r="AK36" s="6">
        <f t="shared" si="5"/>
        <v>34487.1</v>
      </c>
      <c r="AL36" s="6">
        <f t="shared" si="6"/>
        <v>9253710</v>
      </c>
      <c r="AM36" s="6">
        <f t="shared" si="7"/>
        <v>11271158.800000001</v>
      </c>
      <c r="AN36" s="10">
        <f t="shared" si="8"/>
        <v>4.4215351061347379E-2</v>
      </c>
      <c r="AO36" s="10">
        <f t="shared" si="9"/>
        <v>0.27299009889652359</v>
      </c>
      <c r="AP36" s="10">
        <f t="shared" si="10"/>
        <v>1.1453473562738367E-3</v>
      </c>
      <c r="AQ36" s="10">
        <f t="shared" si="11"/>
        <v>0.30732396415543106</v>
      </c>
      <c r="AR36" s="10">
        <f t="shared" si="12"/>
        <v>0.37432523853042415</v>
      </c>
    </row>
    <row r="37" spans="1:44" x14ac:dyDescent="0.3">
      <c r="A37" t="s">
        <v>6</v>
      </c>
      <c r="B37" t="s">
        <v>178</v>
      </c>
      <c r="C37" t="s">
        <v>158</v>
      </c>
      <c r="D37" s="7">
        <v>2030</v>
      </c>
      <c r="E37" s="6">
        <v>0.78</v>
      </c>
      <c r="F37" s="6">
        <v>130.80000000000001</v>
      </c>
      <c r="G37" s="15">
        <v>226.3</v>
      </c>
      <c r="H37" s="15">
        <v>593.70000000000005</v>
      </c>
      <c r="I37" s="6">
        <v>33009434</v>
      </c>
      <c r="J37" s="6">
        <v>14509491</v>
      </c>
      <c r="K37" s="6">
        <v>484946.2</v>
      </c>
      <c r="L37" s="6">
        <v>408569.2</v>
      </c>
      <c r="M37" s="6">
        <v>0</v>
      </c>
      <c r="N37" s="6">
        <v>0</v>
      </c>
      <c r="O37" s="6">
        <v>1036786.2</v>
      </c>
      <c r="P37" s="6">
        <v>0</v>
      </c>
      <c r="Q37" s="6">
        <v>0</v>
      </c>
      <c r="R37" s="6">
        <v>437118.4</v>
      </c>
      <c r="S37" s="6">
        <v>6221774</v>
      </c>
      <c r="T37" s="6">
        <v>0</v>
      </c>
      <c r="U37" s="6">
        <v>75194.8</v>
      </c>
      <c r="V37" s="6">
        <v>0</v>
      </c>
      <c r="W37" s="6">
        <v>1348373.6</v>
      </c>
      <c r="X37" s="6">
        <v>8924083</v>
      </c>
      <c r="Y37" s="6">
        <v>213.4</v>
      </c>
      <c r="Z37" s="6">
        <v>0</v>
      </c>
      <c r="AA37" s="6">
        <v>0</v>
      </c>
      <c r="AB37" s="6">
        <v>10393827</v>
      </c>
      <c r="AC37" s="6">
        <v>3678547.2</v>
      </c>
      <c r="AD37" s="6">
        <v>0</v>
      </c>
      <c r="AE37" s="6">
        <f t="shared" si="0"/>
        <v>33009434</v>
      </c>
      <c r="AF37" s="6">
        <f t="shared" si="1"/>
        <v>0</v>
      </c>
      <c r="AG37" s="6">
        <f t="shared" si="13"/>
        <v>408569.2</v>
      </c>
      <c r="AH37" s="6">
        <f t="shared" si="2"/>
        <v>32600864.800000001</v>
      </c>
      <c r="AI37" s="6">
        <f t="shared" si="3"/>
        <v>1036786.2</v>
      </c>
      <c r="AJ37" s="6">
        <f t="shared" si="4"/>
        <v>6296968.7999999998</v>
      </c>
      <c r="AK37" s="6">
        <f t="shared" si="5"/>
        <v>213.4</v>
      </c>
      <c r="AL37" s="6">
        <f t="shared" si="6"/>
        <v>8924083</v>
      </c>
      <c r="AM37" s="6">
        <f t="shared" si="7"/>
        <v>16342812.399999999</v>
      </c>
      <c r="AN37" s="10">
        <f t="shared" si="8"/>
        <v>3.1802414026759193E-2</v>
      </c>
      <c r="AO37" s="10">
        <f t="shared" si="9"/>
        <v>0.19315342824893406</v>
      </c>
      <c r="AP37" s="10">
        <f t="shared" si="10"/>
        <v>6.545838624501765E-6</v>
      </c>
      <c r="AQ37" s="10">
        <f t="shared" si="11"/>
        <v>0.27373761569662408</v>
      </c>
      <c r="AR37" s="10">
        <f t="shared" si="12"/>
        <v>0.5012999655150252</v>
      </c>
    </row>
    <row r="38" spans="1:44" x14ac:dyDescent="0.3">
      <c r="A38" t="s">
        <v>6</v>
      </c>
      <c r="B38" t="s">
        <v>178</v>
      </c>
      <c r="C38" t="s">
        <v>158</v>
      </c>
      <c r="D38" s="7">
        <v>2035</v>
      </c>
      <c r="E38" s="6">
        <v>0.81</v>
      </c>
      <c r="F38" s="6">
        <v>112.1</v>
      </c>
      <c r="G38" s="15">
        <v>212.3</v>
      </c>
      <c r="H38" s="15">
        <v>538.79999999999995</v>
      </c>
      <c r="I38" s="6">
        <v>38091220</v>
      </c>
      <c r="J38" s="6">
        <v>18997334</v>
      </c>
      <c r="K38" s="6">
        <v>1348742.5</v>
      </c>
      <c r="L38" s="6">
        <v>385677</v>
      </c>
      <c r="M38" s="6">
        <v>0</v>
      </c>
      <c r="N38" s="6">
        <v>0</v>
      </c>
      <c r="O38" s="6">
        <v>908392.9</v>
      </c>
      <c r="P38" s="6">
        <v>0</v>
      </c>
      <c r="Q38" s="6">
        <v>0</v>
      </c>
      <c r="R38" s="6">
        <v>964563.8</v>
      </c>
      <c r="S38" s="6">
        <v>6062143</v>
      </c>
      <c r="T38" s="6">
        <v>0</v>
      </c>
      <c r="U38" s="6">
        <v>345030.7</v>
      </c>
      <c r="V38" s="6">
        <v>0</v>
      </c>
      <c r="W38" s="6">
        <v>1289685.8</v>
      </c>
      <c r="X38" s="6">
        <v>8754154</v>
      </c>
      <c r="Y38" s="6">
        <v>62</v>
      </c>
      <c r="Z38" s="6">
        <v>0</v>
      </c>
      <c r="AA38" s="6">
        <v>0</v>
      </c>
      <c r="AB38" s="6">
        <v>11901415</v>
      </c>
      <c r="AC38" s="6">
        <v>6131355</v>
      </c>
      <c r="AD38" s="6">
        <v>0</v>
      </c>
      <c r="AE38" s="6">
        <f t="shared" si="0"/>
        <v>38091220</v>
      </c>
      <c r="AF38" s="6">
        <f t="shared" si="1"/>
        <v>0</v>
      </c>
      <c r="AG38" s="6">
        <f t="shared" si="13"/>
        <v>385677</v>
      </c>
      <c r="AH38" s="6">
        <f t="shared" si="2"/>
        <v>37705543</v>
      </c>
      <c r="AI38" s="6">
        <f t="shared" si="3"/>
        <v>908392.9</v>
      </c>
      <c r="AJ38" s="6">
        <f t="shared" si="4"/>
        <v>6407173.7000000002</v>
      </c>
      <c r="AK38" s="6">
        <f t="shared" si="5"/>
        <v>62</v>
      </c>
      <c r="AL38" s="6">
        <f t="shared" si="6"/>
        <v>8754154</v>
      </c>
      <c r="AM38" s="6">
        <f t="shared" si="7"/>
        <v>21635762.100000001</v>
      </c>
      <c r="AN38" s="10">
        <f t="shared" si="8"/>
        <v>2.4091760195576552E-2</v>
      </c>
      <c r="AO38" s="10">
        <f t="shared" si="9"/>
        <v>0.16992657286489682</v>
      </c>
      <c r="AP38" s="10">
        <f t="shared" si="10"/>
        <v>1.6443205711160294E-6</v>
      </c>
      <c r="AQ38" s="10">
        <f t="shared" si="11"/>
        <v>0.23217154040189794</v>
      </c>
      <c r="AR38" s="10">
        <f t="shared" si="12"/>
        <v>0.57380852730326681</v>
      </c>
    </row>
    <row r="39" spans="1:44" x14ac:dyDescent="0.3">
      <c r="A39" t="s">
        <v>6</v>
      </c>
      <c r="B39" t="s">
        <v>178</v>
      </c>
      <c r="C39" t="s">
        <v>158</v>
      </c>
      <c r="D39" s="7">
        <v>2040</v>
      </c>
      <c r="E39" s="6">
        <v>0.84</v>
      </c>
      <c r="F39" s="6">
        <v>90.8</v>
      </c>
      <c r="G39" s="15">
        <v>225.1</v>
      </c>
      <c r="H39" s="15">
        <v>468.7</v>
      </c>
      <c r="I39" s="6">
        <v>47772228</v>
      </c>
      <c r="J39" s="6">
        <v>28328038</v>
      </c>
      <c r="K39" s="6">
        <v>1951313.6</v>
      </c>
      <c r="L39" s="6">
        <v>344768.7</v>
      </c>
      <c r="M39" s="6">
        <v>0</v>
      </c>
      <c r="N39" s="6">
        <v>0</v>
      </c>
      <c r="O39" s="6">
        <v>749150.7</v>
      </c>
      <c r="P39" s="6">
        <v>0</v>
      </c>
      <c r="Q39" s="6">
        <v>0</v>
      </c>
      <c r="R39" s="6">
        <v>1000901.1</v>
      </c>
      <c r="S39" s="6">
        <v>6118043</v>
      </c>
      <c r="T39" s="6">
        <v>0</v>
      </c>
      <c r="U39" s="6">
        <v>560561.19999999995</v>
      </c>
      <c r="V39" s="6">
        <v>0</v>
      </c>
      <c r="W39" s="6">
        <v>1192918.8</v>
      </c>
      <c r="X39" s="6">
        <v>8527336</v>
      </c>
      <c r="Y39" s="6">
        <v>96.7</v>
      </c>
      <c r="Z39" s="6">
        <v>0</v>
      </c>
      <c r="AA39" s="6">
        <v>0</v>
      </c>
      <c r="AB39" s="6">
        <v>16494086</v>
      </c>
      <c r="AC39" s="6">
        <v>10833053</v>
      </c>
      <c r="AD39" s="6">
        <v>0</v>
      </c>
      <c r="AE39" s="6">
        <f t="shared" si="0"/>
        <v>47772228</v>
      </c>
      <c r="AF39" s="6">
        <f t="shared" si="1"/>
        <v>0</v>
      </c>
      <c r="AG39" s="6">
        <f t="shared" si="13"/>
        <v>344768.7</v>
      </c>
      <c r="AH39" s="6">
        <f t="shared" si="2"/>
        <v>47427459.299999997</v>
      </c>
      <c r="AI39" s="6">
        <f t="shared" si="3"/>
        <v>749150.7</v>
      </c>
      <c r="AJ39" s="6">
        <f t="shared" si="4"/>
        <v>6678604.2000000002</v>
      </c>
      <c r="AK39" s="6">
        <f t="shared" si="5"/>
        <v>96.7</v>
      </c>
      <c r="AL39" s="6">
        <f t="shared" si="6"/>
        <v>8527336</v>
      </c>
      <c r="AM39" s="6">
        <f t="shared" si="7"/>
        <v>31472272.5</v>
      </c>
      <c r="AN39" s="10">
        <f t="shared" si="8"/>
        <v>1.5795716470099842E-2</v>
      </c>
      <c r="AO39" s="10">
        <f t="shared" si="9"/>
        <v>0.14081724592824649</v>
      </c>
      <c r="AP39" s="10">
        <f t="shared" si="10"/>
        <v>2.0389032308968742E-6</v>
      </c>
      <c r="AQ39" s="10">
        <f t="shared" si="11"/>
        <v>0.17979744489496616</v>
      </c>
      <c r="AR39" s="10">
        <f t="shared" si="12"/>
        <v>0.66358757067132212</v>
      </c>
    </row>
    <row r="40" spans="1:44" x14ac:dyDescent="0.3">
      <c r="A40" t="s">
        <v>6</v>
      </c>
      <c r="B40" t="s">
        <v>178</v>
      </c>
      <c r="C40" t="s">
        <v>158</v>
      </c>
      <c r="D40" s="7">
        <v>2045</v>
      </c>
      <c r="E40" s="6">
        <v>0.82</v>
      </c>
      <c r="F40" s="6">
        <v>110.9</v>
      </c>
      <c r="G40" s="15">
        <v>216.4</v>
      </c>
      <c r="H40" s="15">
        <v>461.5</v>
      </c>
      <c r="I40" s="6">
        <v>52988370</v>
      </c>
      <c r="J40" s="6">
        <v>31535156</v>
      </c>
      <c r="K40" s="6">
        <v>1894494.8</v>
      </c>
      <c r="L40" s="6">
        <v>330534.40000000002</v>
      </c>
      <c r="M40" s="6">
        <v>0</v>
      </c>
      <c r="N40" s="6">
        <v>0</v>
      </c>
      <c r="O40" s="6">
        <v>861741.7</v>
      </c>
      <c r="P40" s="6">
        <v>0</v>
      </c>
      <c r="Q40" s="6">
        <v>0</v>
      </c>
      <c r="R40" s="6">
        <v>1019221.2</v>
      </c>
      <c r="S40" s="6">
        <v>6897846.5</v>
      </c>
      <c r="T40" s="6">
        <v>0</v>
      </c>
      <c r="U40" s="6">
        <v>1910630.8</v>
      </c>
      <c r="V40" s="6">
        <v>0</v>
      </c>
      <c r="W40" s="6">
        <v>1146042.1000000001</v>
      </c>
      <c r="X40" s="6">
        <v>8411868</v>
      </c>
      <c r="Y40" s="6">
        <v>57</v>
      </c>
      <c r="Z40" s="6">
        <v>0</v>
      </c>
      <c r="AA40" s="6">
        <v>0</v>
      </c>
      <c r="AB40" s="6">
        <v>17867434</v>
      </c>
      <c r="AC40" s="6">
        <v>12648500</v>
      </c>
      <c r="AD40" s="6">
        <v>0</v>
      </c>
      <c r="AE40" s="6">
        <f t="shared" si="0"/>
        <v>52988370</v>
      </c>
      <c r="AF40" s="6">
        <f t="shared" si="1"/>
        <v>0</v>
      </c>
      <c r="AG40" s="6">
        <f t="shared" si="13"/>
        <v>330534.40000000002</v>
      </c>
      <c r="AH40" s="6">
        <f t="shared" si="2"/>
        <v>52657835.600000001</v>
      </c>
      <c r="AI40" s="6">
        <f t="shared" si="3"/>
        <v>861741.7</v>
      </c>
      <c r="AJ40" s="6">
        <f t="shared" si="4"/>
        <v>8808477.3000000007</v>
      </c>
      <c r="AK40" s="6">
        <f t="shared" si="5"/>
        <v>57</v>
      </c>
      <c r="AL40" s="6">
        <f t="shared" si="6"/>
        <v>8411868</v>
      </c>
      <c r="AM40" s="6">
        <f t="shared" si="7"/>
        <v>34575692.100000001</v>
      </c>
      <c r="AN40" s="10">
        <f t="shared" si="8"/>
        <v>1.6364928223521591E-2</v>
      </c>
      <c r="AO40" s="10">
        <f t="shared" si="9"/>
        <v>0.1672776178442093</v>
      </c>
      <c r="AP40" s="10">
        <f t="shared" si="10"/>
        <v>1.082459986258911E-6</v>
      </c>
      <c r="AQ40" s="10">
        <f t="shared" si="11"/>
        <v>0.15974579859108376</v>
      </c>
      <c r="AR40" s="10">
        <f t="shared" si="12"/>
        <v>0.65661058237646208</v>
      </c>
    </row>
    <row r="41" spans="1:44" x14ac:dyDescent="0.3">
      <c r="A41" t="s">
        <v>6</v>
      </c>
      <c r="B41" t="s">
        <v>178</v>
      </c>
      <c r="C41" t="s">
        <v>158</v>
      </c>
      <c r="D41" s="7">
        <v>2050</v>
      </c>
      <c r="E41" s="6">
        <v>0.79</v>
      </c>
      <c r="F41" s="6">
        <v>135.30000000000001</v>
      </c>
      <c r="G41" s="15">
        <v>236.2</v>
      </c>
      <c r="H41" s="15">
        <v>430.1</v>
      </c>
      <c r="I41" s="6">
        <v>58404460</v>
      </c>
      <c r="J41" s="6">
        <v>38075590</v>
      </c>
      <c r="K41" s="6">
        <v>2280620.7999999998</v>
      </c>
      <c r="L41" s="6">
        <v>317102.59999999998</v>
      </c>
      <c r="M41" s="6">
        <v>0</v>
      </c>
      <c r="N41" s="6">
        <v>0</v>
      </c>
      <c r="O41" s="6">
        <v>1147136.6000000001</v>
      </c>
      <c r="P41" s="6">
        <v>0</v>
      </c>
      <c r="Q41" s="6">
        <v>0</v>
      </c>
      <c r="R41" s="6">
        <v>1097330.8999999999</v>
      </c>
      <c r="S41" s="6">
        <v>7180293.5</v>
      </c>
      <c r="T41" s="6">
        <v>0</v>
      </c>
      <c r="U41" s="6">
        <v>4099556.5</v>
      </c>
      <c r="V41" s="6">
        <v>0</v>
      </c>
      <c r="W41" s="6">
        <v>1109893.5</v>
      </c>
      <c r="X41" s="6">
        <v>4194213.5</v>
      </c>
      <c r="Y41" s="6">
        <v>52.1</v>
      </c>
      <c r="Z41" s="6">
        <v>0</v>
      </c>
      <c r="AA41" s="6">
        <v>0</v>
      </c>
      <c r="AB41" s="6">
        <v>18683102</v>
      </c>
      <c r="AC41" s="6">
        <v>18295160</v>
      </c>
      <c r="AD41" s="6">
        <v>0</v>
      </c>
      <c r="AE41" s="6">
        <f t="shared" si="0"/>
        <v>58404460</v>
      </c>
      <c r="AF41" s="6">
        <f t="shared" si="1"/>
        <v>0</v>
      </c>
      <c r="AG41" s="6">
        <f t="shared" si="13"/>
        <v>317102.59999999998</v>
      </c>
      <c r="AH41" s="6">
        <f t="shared" si="2"/>
        <v>58087357.399999999</v>
      </c>
      <c r="AI41" s="6">
        <f t="shared" si="3"/>
        <v>1147136.6000000001</v>
      </c>
      <c r="AJ41" s="6">
        <f t="shared" si="4"/>
        <v>11279850</v>
      </c>
      <c r="AK41" s="6">
        <f t="shared" si="5"/>
        <v>52.1</v>
      </c>
      <c r="AL41" s="6">
        <f t="shared" si="6"/>
        <v>4194213.5</v>
      </c>
      <c r="AM41" s="6">
        <f t="shared" si="7"/>
        <v>41466107.200000003</v>
      </c>
      <c r="AN41" s="10">
        <f t="shared" si="8"/>
        <v>1.9748472840666706E-2</v>
      </c>
      <c r="AO41" s="10">
        <f t="shared" si="9"/>
        <v>0.19418769427441712</v>
      </c>
      <c r="AP41" s="10">
        <f t="shared" si="10"/>
        <v>8.9692494773397979E-7</v>
      </c>
      <c r="AQ41" s="10">
        <f t="shared" si="11"/>
        <v>7.2205273018668956E-2</v>
      </c>
      <c r="AR41" s="10">
        <f t="shared" si="12"/>
        <v>0.71385769737219973</v>
      </c>
    </row>
    <row r="42" spans="1:44" x14ac:dyDescent="0.3">
      <c r="A42" t="s">
        <v>6</v>
      </c>
      <c r="B42" t="s">
        <v>178</v>
      </c>
      <c r="C42" t="s">
        <v>159</v>
      </c>
      <c r="D42" s="7">
        <v>2024</v>
      </c>
      <c r="E42" s="6">
        <v>0.73</v>
      </c>
      <c r="F42" s="6">
        <v>284.39999999999998</v>
      </c>
      <c r="G42" s="15">
        <v>324.39999999999998</v>
      </c>
      <c r="H42" s="15">
        <v>867.4</v>
      </c>
      <c r="I42" s="6">
        <v>270936740</v>
      </c>
      <c r="J42" s="6">
        <v>150864300</v>
      </c>
      <c r="K42" s="6">
        <v>14649.1</v>
      </c>
      <c r="L42" s="6">
        <v>1088046.3999999999</v>
      </c>
      <c r="M42" s="6">
        <v>0</v>
      </c>
      <c r="N42" s="6">
        <v>14642598</v>
      </c>
      <c r="O42" s="6">
        <v>57922024</v>
      </c>
      <c r="P42" s="6">
        <v>0</v>
      </c>
      <c r="Q42" s="6">
        <v>0</v>
      </c>
      <c r="R42" s="6">
        <v>1686073.4</v>
      </c>
      <c r="S42" s="6">
        <v>15318952</v>
      </c>
      <c r="T42" s="6">
        <v>0</v>
      </c>
      <c r="U42" s="6">
        <v>895732.6</v>
      </c>
      <c r="V42" s="6">
        <v>0</v>
      </c>
      <c r="W42" s="6">
        <v>11216545</v>
      </c>
      <c r="X42" s="6">
        <v>18606334</v>
      </c>
      <c r="Y42" s="6">
        <v>367538.8</v>
      </c>
      <c r="Z42" s="6">
        <v>0</v>
      </c>
      <c r="AA42" s="6">
        <v>0</v>
      </c>
      <c r="AB42" s="6">
        <v>17677336</v>
      </c>
      <c r="AC42" s="6">
        <v>131500904</v>
      </c>
      <c r="AD42" s="6">
        <v>0</v>
      </c>
      <c r="AE42" s="6">
        <f t="shared" si="0"/>
        <v>270936740</v>
      </c>
      <c r="AF42" s="6">
        <f t="shared" si="1"/>
        <v>14642598</v>
      </c>
      <c r="AG42" s="6">
        <f t="shared" si="13"/>
        <v>1088046.3999999999</v>
      </c>
      <c r="AH42" s="6">
        <f t="shared" si="2"/>
        <v>255206095.59999999</v>
      </c>
      <c r="AI42" s="6">
        <f t="shared" si="3"/>
        <v>57922024</v>
      </c>
      <c r="AJ42" s="6">
        <f t="shared" si="4"/>
        <v>16214684.6</v>
      </c>
      <c r="AK42" s="6">
        <f t="shared" si="5"/>
        <v>367538.8</v>
      </c>
      <c r="AL42" s="6">
        <f t="shared" si="6"/>
        <v>18606334</v>
      </c>
      <c r="AM42" s="6">
        <f t="shared" si="7"/>
        <v>162095507.5</v>
      </c>
      <c r="AN42" s="10">
        <f t="shared" si="8"/>
        <v>0.22696175757018244</v>
      </c>
      <c r="AO42" s="10">
        <f t="shared" si="9"/>
        <v>6.3535647774707771E-2</v>
      </c>
      <c r="AP42" s="10">
        <f t="shared" si="10"/>
        <v>1.4401646603930099E-3</v>
      </c>
      <c r="AQ42" s="10">
        <f t="shared" si="11"/>
        <v>7.2907090860254514E-2</v>
      </c>
      <c r="AR42" s="10">
        <f t="shared" si="12"/>
        <v>0.63515531288117089</v>
      </c>
    </row>
    <row r="43" spans="1:44" x14ac:dyDescent="0.3">
      <c r="A43" t="s">
        <v>6</v>
      </c>
      <c r="B43" t="s">
        <v>178</v>
      </c>
      <c r="C43" t="s">
        <v>159</v>
      </c>
      <c r="D43" s="7">
        <v>2026</v>
      </c>
      <c r="E43" s="6">
        <v>0.81</v>
      </c>
      <c r="F43" s="6">
        <v>190</v>
      </c>
      <c r="G43" s="15">
        <v>211.9</v>
      </c>
      <c r="H43" s="15">
        <v>736.1</v>
      </c>
      <c r="I43" s="6">
        <v>289305200</v>
      </c>
      <c r="J43" s="6">
        <v>190691040</v>
      </c>
      <c r="K43" s="6">
        <v>896398.1</v>
      </c>
      <c r="L43" s="6">
        <v>1017560</v>
      </c>
      <c r="M43" s="6">
        <v>0</v>
      </c>
      <c r="N43" s="6">
        <v>13585550</v>
      </c>
      <c r="O43" s="6">
        <v>41105876</v>
      </c>
      <c r="P43" s="6">
        <v>0</v>
      </c>
      <c r="Q43" s="6">
        <v>0</v>
      </c>
      <c r="R43" s="6">
        <v>2134741.7999999998</v>
      </c>
      <c r="S43" s="6">
        <v>11838403</v>
      </c>
      <c r="T43" s="6">
        <v>0</v>
      </c>
      <c r="U43" s="6">
        <v>465768.4</v>
      </c>
      <c r="V43" s="6">
        <v>0</v>
      </c>
      <c r="W43" s="6">
        <v>11626777</v>
      </c>
      <c r="X43" s="6">
        <v>17822624</v>
      </c>
      <c r="Y43" s="6">
        <v>255217.8</v>
      </c>
      <c r="Z43" s="6">
        <v>0</v>
      </c>
      <c r="AA43" s="6">
        <v>0</v>
      </c>
      <c r="AB43" s="6">
        <v>34641350</v>
      </c>
      <c r="AC43" s="6">
        <v>153914940</v>
      </c>
      <c r="AD43" s="6">
        <v>0</v>
      </c>
      <c r="AE43" s="6">
        <f t="shared" si="0"/>
        <v>289305200</v>
      </c>
      <c r="AF43" s="6">
        <f t="shared" si="1"/>
        <v>13585550</v>
      </c>
      <c r="AG43" s="6">
        <f t="shared" si="13"/>
        <v>1017560</v>
      </c>
      <c r="AH43" s="6">
        <f t="shared" si="2"/>
        <v>274702090</v>
      </c>
      <c r="AI43" s="6">
        <f t="shared" si="3"/>
        <v>41105876</v>
      </c>
      <c r="AJ43" s="6">
        <f t="shared" si="4"/>
        <v>12304171.4</v>
      </c>
      <c r="AK43" s="6">
        <f t="shared" si="5"/>
        <v>255217.8</v>
      </c>
      <c r="AL43" s="6">
        <f t="shared" si="6"/>
        <v>17822624</v>
      </c>
      <c r="AM43" s="6">
        <f t="shared" si="7"/>
        <v>203214206.90000001</v>
      </c>
      <c r="AN43" s="10">
        <f t="shared" si="8"/>
        <v>0.14963801695138176</v>
      </c>
      <c r="AO43" s="10">
        <f t="shared" si="9"/>
        <v>4.4790963912942926E-2</v>
      </c>
      <c r="AP43" s="10">
        <f t="shared" si="10"/>
        <v>9.2907119854821634E-4</v>
      </c>
      <c r="AQ43" s="10">
        <f t="shared" si="11"/>
        <v>6.4879826724288853E-2</v>
      </c>
      <c r="AR43" s="10">
        <f t="shared" si="12"/>
        <v>0.73976214341871227</v>
      </c>
    </row>
    <row r="44" spans="1:44" x14ac:dyDescent="0.3">
      <c r="A44" t="s">
        <v>6</v>
      </c>
      <c r="B44" t="s">
        <v>178</v>
      </c>
      <c r="C44" t="s">
        <v>159</v>
      </c>
      <c r="D44" s="7">
        <v>2028</v>
      </c>
      <c r="E44" s="6">
        <v>0.91</v>
      </c>
      <c r="F44" s="6">
        <v>94.6</v>
      </c>
      <c r="G44" s="15">
        <v>120.6</v>
      </c>
      <c r="H44" s="15">
        <v>563.70000000000005</v>
      </c>
      <c r="I44" s="6">
        <v>343457120</v>
      </c>
      <c r="J44" s="6">
        <v>262722850</v>
      </c>
      <c r="K44" s="6">
        <v>3019372</v>
      </c>
      <c r="L44" s="6">
        <v>834631.5</v>
      </c>
      <c r="M44" s="6">
        <v>0</v>
      </c>
      <c r="N44" s="6">
        <v>16581179</v>
      </c>
      <c r="O44" s="6">
        <v>24278094</v>
      </c>
      <c r="P44" s="6">
        <v>0</v>
      </c>
      <c r="Q44" s="6">
        <v>0</v>
      </c>
      <c r="R44" s="6">
        <v>2873261.2</v>
      </c>
      <c r="S44" s="6">
        <v>7492726.5</v>
      </c>
      <c r="T44" s="6">
        <v>0</v>
      </c>
      <c r="U44" s="6">
        <v>143403.79999999999</v>
      </c>
      <c r="V44" s="6">
        <v>0</v>
      </c>
      <c r="W44" s="6">
        <v>11206562</v>
      </c>
      <c r="X44" s="6">
        <v>17044588</v>
      </c>
      <c r="Y44" s="6">
        <v>133725.6</v>
      </c>
      <c r="Z44" s="6">
        <v>0</v>
      </c>
      <c r="AA44" s="6">
        <v>0</v>
      </c>
      <c r="AB44" s="6">
        <v>45062076</v>
      </c>
      <c r="AC44" s="6">
        <v>214787490</v>
      </c>
      <c r="AD44" s="6">
        <v>0</v>
      </c>
      <c r="AE44" s="6">
        <f t="shared" si="0"/>
        <v>343457120</v>
      </c>
      <c r="AF44" s="6">
        <f t="shared" si="1"/>
        <v>16581179</v>
      </c>
      <c r="AG44" s="6">
        <f t="shared" si="13"/>
        <v>834631.5</v>
      </c>
      <c r="AH44" s="6">
        <f t="shared" si="2"/>
        <v>326041309.5</v>
      </c>
      <c r="AI44" s="6">
        <f t="shared" si="3"/>
        <v>24278094</v>
      </c>
      <c r="AJ44" s="6">
        <f t="shared" si="4"/>
        <v>7636130.2999999998</v>
      </c>
      <c r="AK44" s="6">
        <f t="shared" si="5"/>
        <v>133725.6</v>
      </c>
      <c r="AL44" s="6">
        <f t="shared" si="6"/>
        <v>17044588</v>
      </c>
      <c r="AM44" s="6">
        <f t="shared" si="7"/>
        <v>276948761.19999999</v>
      </c>
      <c r="AN44" s="10">
        <f t="shared" si="8"/>
        <v>7.4463245277819626E-2</v>
      </c>
      <c r="AO44" s="10">
        <f t="shared" si="9"/>
        <v>2.3420744787555823E-2</v>
      </c>
      <c r="AP44" s="10">
        <f t="shared" si="10"/>
        <v>4.1014925441525992E-4</v>
      </c>
      <c r="AQ44" s="10">
        <f t="shared" si="11"/>
        <v>5.2277387874986439E-2</v>
      </c>
      <c r="AR44" s="10">
        <f t="shared" si="12"/>
        <v>0.84942844090742431</v>
      </c>
    </row>
    <row r="45" spans="1:44" x14ac:dyDescent="0.3">
      <c r="A45" t="s">
        <v>6</v>
      </c>
      <c r="B45" t="s">
        <v>178</v>
      </c>
      <c r="C45" t="s">
        <v>159</v>
      </c>
      <c r="D45" s="7">
        <v>2030</v>
      </c>
      <c r="E45" s="6">
        <v>0.93</v>
      </c>
      <c r="F45" s="6">
        <v>67.7</v>
      </c>
      <c r="G45" s="15">
        <v>130.30000000000001</v>
      </c>
      <c r="H45" s="15">
        <v>486.2</v>
      </c>
      <c r="I45" s="6">
        <v>359466180</v>
      </c>
      <c r="J45" s="6">
        <v>283112930</v>
      </c>
      <c r="K45" s="6">
        <v>5895573.5</v>
      </c>
      <c r="L45" s="6">
        <v>669375.9</v>
      </c>
      <c r="M45" s="6">
        <v>0</v>
      </c>
      <c r="N45" s="6">
        <v>19150044</v>
      </c>
      <c r="O45" s="6">
        <v>18693010</v>
      </c>
      <c r="P45" s="6">
        <v>0</v>
      </c>
      <c r="Q45" s="6">
        <v>0</v>
      </c>
      <c r="R45" s="6">
        <v>4040584</v>
      </c>
      <c r="S45" s="6">
        <v>4667449.5</v>
      </c>
      <c r="T45" s="6">
        <v>0</v>
      </c>
      <c r="U45" s="6">
        <v>69637.399999999994</v>
      </c>
      <c r="V45" s="6">
        <v>0</v>
      </c>
      <c r="W45" s="6">
        <v>10543163</v>
      </c>
      <c r="X45" s="6">
        <v>16595163</v>
      </c>
      <c r="Y45" s="6">
        <v>69825.100000000006</v>
      </c>
      <c r="Z45" s="6">
        <v>0</v>
      </c>
      <c r="AA45" s="6">
        <v>0</v>
      </c>
      <c r="AB45" s="6">
        <v>50803336</v>
      </c>
      <c r="AC45" s="6">
        <v>228269020</v>
      </c>
      <c r="AD45" s="6">
        <v>0</v>
      </c>
      <c r="AE45" s="6">
        <f t="shared" si="0"/>
        <v>359466180</v>
      </c>
      <c r="AF45" s="6">
        <f t="shared" si="1"/>
        <v>19150044</v>
      </c>
      <c r="AG45" s="6">
        <f t="shared" si="13"/>
        <v>669375.9</v>
      </c>
      <c r="AH45" s="6">
        <f t="shared" si="2"/>
        <v>339646760.10000002</v>
      </c>
      <c r="AI45" s="6">
        <f t="shared" si="3"/>
        <v>18693010</v>
      </c>
      <c r="AJ45" s="6">
        <f t="shared" si="4"/>
        <v>4737086.9000000004</v>
      </c>
      <c r="AK45" s="6">
        <f t="shared" si="5"/>
        <v>69825.100000000006</v>
      </c>
      <c r="AL45" s="6">
        <f t="shared" si="6"/>
        <v>16595163</v>
      </c>
      <c r="AM45" s="6">
        <f t="shared" si="7"/>
        <v>299551676.5</v>
      </c>
      <c r="AN45" s="10">
        <f t="shared" si="8"/>
        <v>5.5036620972024983E-2</v>
      </c>
      <c r="AO45" s="10">
        <f t="shared" si="9"/>
        <v>1.3947098740483466E-2</v>
      </c>
      <c r="AP45" s="10">
        <f t="shared" si="10"/>
        <v>2.0558152823080616E-4</v>
      </c>
      <c r="AQ45" s="10">
        <f t="shared" si="11"/>
        <v>4.8860065660906032E-2</v>
      </c>
      <c r="AR45" s="10">
        <f t="shared" si="12"/>
        <v>0.88195063722028411</v>
      </c>
    </row>
    <row r="46" spans="1:44" x14ac:dyDescent="0.3">
      <c r="A46" t="s">
        <v>6</v>
      </c>
      <c r="B46" t="s">
        <v>178</v>
      </c>
      <c r="C46" t="s">
        <v>159</v>
      </c>
      <c r="D46" s="7">
        <v>2035</v>
      </c>
      <c r="E46" s="6">
        <v>0.96</v>
      </c>
      <c r="F46" s="6">
        <v>42.7</v>
      </c>
      <c r="G46" s="15">
        <v>132.9</v>
      </c>
      <c r="H46" s="15">
        <v>421.3</v>
      </c>
      <c r="I46" s="6">
        <v>388452320</v>
      </c>
      <c r="J46" s="6">
        <v>322548740</v>
      </c>
      <c r="K46" s="6">
        <v>9026638</v>
      </c>
      <c r="L46" s="6">
        <v>636268.19999999995</v>
      </c>
      <c r="M46" s="6">
        <v>0</v>
      </c>
      <c r="N46" s="6">
        <v>18978490</v>
      </c>
      <c r="O46" s="6">
        <v>12759816</v>
      </c>
      <c r="P46" s="6">
        <v>0</v>
      </c>
      <c r="Q46" s="6">
        <v>0</v>
      </c>
      <c r="R46" s="6">
        <v>6135648.5</v>
      </c>
      <c r="S46" s="6">
        <v>3193880.8</v>
      </c>
      <c r="T46" s="6">
        <v>0</v>
      </c>
      <c r="U46" s="6">
        <v>63435.199999999997</v>
      </c>
      <c r="V46" s="6">
        <v>0</v>
      </c>
      <c r="W46" s="6">
        <v>10158597</v>
      </c>
      <c r="X46" s="6">
        <v>11049651</v>
      </c>
      <c r="Y46" s="6">
        <v>36789.199999999997</v>
      </c>
      <c r="Z46" s="6">
        <v>0</v>
      </c>
      <c r="AA46" s="6">
        <v>0</v>
      </c>
      <c r="AB46" s="6">
        <v>60154900</v>
      </c>
      <c r="AC46" s="6">
        <v>256258200</v>
      </c>
      <c r="AD46" s="6">
        <v>0</v>
      </c>
      <c r="AE46" s="6">
        <f t="shared" si="0"/>
        <v>388452320</v>
      </c>
      <c r="AF46" s="6">
        <f t="shared" si="1"/>
        <v>18978490</v>
      </c>
      <c r="AG46" s="6">
        <f t="shared" si="13"/>
        <v>636268.19999999995</v>
      </c>
      <c r="AH46" s="6">
        <f t="shared" si="2"/>
        <v>368837561.80000001</v>
      </c>
      <c r="AI46" s="6">
        <f t="shared" si="3"/>
        <v>12759816</v>
      </c>
      <c r="AJ46" s="6">
        <f t="shared" si="4"/>
        <v>3257316</v>
      </c>
      <c r="AK46" s="6">
        <f t="shared" si="5"/>
        <v>36789.199999999997</v>
      </c>
      <c r="AL46" s="6">
        <f t="shared" si="6"/>
        <v>11049651</v>
      </c>
      <c r="AM46" s="6">
        <f t="shared" si="7"/>
        <v>341733983.5</v>
      </c>
      <c r="AN46" s="10">
        <f t="shared" si="8"/>
        <v>3.4594676143420919E-2</v>
      </c>
      <c r="AO46" s="10">
        <f t="shared" si="9"/>
        <v>8.8313022787149323E-3</v>
      </c>
      <c r="AP46" s="10">
        <f t="shared" si="10"/>
        <v>9.9743637335800208E-5</v>
      </c>
      <c r="AQ46" s="10">
        <f t="shared" si="11"/>
        <v>2.995804154564824E-2</v>
      </c>
      <c r="AR46" s="10">
        <f t="shared" si="12"/>
        <v>0.9265162198564344</v>
      </c>
    </row>
    <row r="47" spans="1:44" x14ac:dyDescent="0.3">
      <c r="A47" t="s">
        <v>6</v>
      </c>
      <c r="B47" t="s">
        <v>178</v>
      </c>
      <c r="C47" t="s">
        <v>159</v>
      </c>
      <c r="D47" s="7">
        <v>2040</v>
      </c>
      <c r="E47" s="6">
        <v>0.97</v>
      </c>
      <c r="F47" s="6">
        <v>28.3</v>
      </c>
      <c r="G47" s="15">
        <v>153.1</v>
      </c>
      <c r="H47" s="15">
        <v>344.1</v>
      </c>
      <c r="I47" s="6">
        <v>428390300</v>
      </c>
      <c r="J47" s="6">
        <v>366384770</v>
      </c>
      <c r="K47" s="6">
        <v>11763522</v>
      </c>
      <c r="L47" s="6">
        <v>599138.80000000005</v>
      </c>
      <c r="M47" s="6">
        <v>0</v>
      </c>
      <c r="N47" s="6">
        <v>19200620</v>
      </c>
      <c r="O47" s="6">
        <v>9111308</v>
      </c>
      <c r="P47" s="6">
        <v>0</v>
      </c>
      <c r="Q47" s="6">
        <v>0</v>
      </c>
      <c r="R47" s="6">
        <v>6591245.5</v>
      </c>
      <c r="S47" s="6">
        <v>2746204.8</v>
      </c>
      <c r="T47" s="6">
        <v>0</v>
      </c>
      <c r="U47" s="6">
        <v>80242.2</v>
      </c>
      <c r="V47" s="6">
        <v>0</v>
      </c>
      <c r="W47" s="6">
        <v>9505415</v>
      </c>
      <c r="X47" s="6">
        <v>8970752</v>
      </c>
      <c r="Y47" s="6">
        <v>28321.8</v>
      </c>
      <c r="Z47" s="6">
        <v>0</v>
      </c>
      <c r="AA47" s="6">
        <v>0</v>
      </c>
      <c r="AB47" s="6">
        <v>85020130</v>
      </c>
      <c r="AC47" s="6">
        <v>274773400</v>
      </c>
      <c r="AD47" s="6">
        <v>0</v>
      </c>
      <c r="AE47" s="6">
        <f t="shared" si="0"/>
        <v>428390300</v>
      </c>
      <c r="AF47" s="6">
        <f t="shared" si="1"/>
        <v>19200620</v>
      </c>
      <c r="AG47" s="6">
        <f t="shared" si="13"/>
        <v>599138.80000000005</v>
      </c>
      <c r="AH47" s="6">
        <f t="shared" si="2"/>
        <v>408590541.19999999</v>
      </c>
      <c r="AI47" s="6">
        <f t="shared" si="3"/>
        <v>9111308</v>
      </c>
      <c r="AJ47" s="6">
        <f t="shared" si="4"/>
        <v>2826447</v>
      </c>
      <c r="AK47" s="6">
        <f t="shared" si="5"/>
        <v>28321.8</v>
      </c>
      <c r="AL47" s="6">
        <f t="shared" si="6"/>
        <v>8970752</v>
      </c>
      <c r="AM47" s="6">
        <f t="shared" si="7"/>
        <v>387653712.5</v>
      </c>
      <c r="AN47" s="10">
        <f t="shared" si="8"/>
        <v>2.2299361050407009E-2</v>
      </c>
      <c r="AO47" s="10">
        <f t="shared" si="9"/>
        <v>6.9175536753712796E-3</v>
      </c>
      <c r="AP47" s="10">
        <f t="shared" si="10"/>
        <v>6.9315848371871217E-5</v>
      </c>
      <c r="AQ47" s="10">
        <f t="shared" si="11"/>
        <v>2.1955358960717909E-2</v>
      </c>
      <c r="AR47" s="10">
        <f t="shared" si="12"/>
        <v>0.94875841070987577</v>
      </c>
    </row>
    <row r="48" spans="1:44" x14ac:dyDescent="0.3">
      <c r="A48" t="s">
        <v>6</v>
      </c>
      <c r="B48" t="s">
        <v>178</v>
      </c>
      <c r="C48" t="s">
        <v>159</v>
      </c>
      <c r="D48" s="7">
        <v>2045</v>
      </c>
      <c r="E48" s="6">
        <v>0.97</v>
      </c>
      <c r="F48" s="6">
        <v>25.7</v>
      </c>
      <c r="G48" s="15">
        <v>132.6</v>
      </c>
      <c r="H48" s="15">
        <v>330.8</v>
      </c>
      <c r="I48" s="6">
        <v>454885200</v>
      </c>
      <c r="J48" s="6">
        <v>395844220</v>
      </c>
      <c r="K48" s="6">
        <v>17185348</v>
      </c>
      <c r="L48" s="6">
        <v>595537.80000000005</v>
      </c>
      <c r="M48" s="6">
        <v>0</v>
      </c>
      <c r="N48" s="6">
        <v>19773928</v>
      </c>
      <c r="O48" s="6">
        <v>8349560</v>
      </c>
      <c r="P48" s="6">
        <v>0</v>
      </c>
      <c r="Q48" s="6">
        <v>0</v>
      </c>
      <c r="R48" s="6">
        <v>7071611</v>
      </c>
      <c r="S48" s="6">
        <v>3695706.5</v>
      </c>
      <c r="T48" s="6">
        <v>0</v>
      </c>
      <c r="U48" s="6">
        <v>107138.1</v>
      </c>
      <c r="V48" s="6">
        <v>0</v>
      </c>
      <c r="W48" s="6">
        <v>9315047</v>
      </c>
      <c r="X48" s="6">
        <v>0</v>
      </c>
      <c r="Y48" s="6">
        <v>18722.900000000001</v>
      </c>
      <c r="Z48" s="6">
        <v>0</v>
      </c>
      <c r="AA48" s="6">
        <v>0</v>
      </c>
      <c r="AB48" s="6">
        <v>93419430</v>
      </c>
      <c r="AC48" s="6">
        <v>295353180</v>
      </c>
      <c r="AD48" s="6">
        <v>0</v>
      </c>
      <c r="AE48" s="6">
        <f t="shared" si="0"/>
        <v>454885200</v>
      </c>
      <c r="AF48" s="6">
        <f t="shared" si="1"/>
        <v>19773928</v>
      </c>
      <c r="AG48" s="6">
        <f t="shared" si="13"/>
        <v>595537.80000000005</v>
      </c>
      <c r="AH48" s="6">
        <f t="shared" si="2"/>
        <v>434515734.19999999</v>
      </c>
      <c r="AI48" s="6">
        <f t="shared" si="3"/>
        <v>8349560</v>
      </c>
      <c r="AJ48" s="6">
        <f t="shared" si="4"/>
        <v>3802844.6</v>
      </c>
      <c r="AK48" s="6">
        <f t="shared" si="5"/>
        <v>18722.900000000001</v>
      </c>
      <c r="AL48" s="6">
        <f t="shared" si="6"/>
        <v>0</v>
      </c>
      <c r="AM48" s="6">
        <f t="shared" si="7"/>
        <v>422344616</v>
      </c>
      <c r="AN48" s="10">
        <f t="shared" si="8"/>
        <v>1.9215782865429781E-2</v>
      </c>
      <c r="AO48" s="10">
        <f t="shared" si="9"/>
        <v>8.7519146044309111E-3</v>
      </c>
      <c r="AP48" s="10">
        <f t="shared" si="10"/>
        <v>4.3089118589620918E-5</v>
      </c>
      <c r="AQ48" s="10">
        <f t="shared" si="11"/>
        <v>0</v>
      </c>
      <c r="AR48" s="10">
        <f t="shared" si="12"/>
        <v>0.97198923481468724</v>
      </c>
    </row>
    <row r="49" spans="1:44" x14ac:dyDescent="0.3">
      <c r="A49" t="s">
        <v>6</v>
      </c>
      <c r="B49" t="s">
        <v>178</v>
      </c>
      <c r="C49" t="s">
        <v>159</v>
      </c>
      <c r="D49" s="7">
        <v>2050</v>
      </c>
      <c r="E49" s="6">
        <v>0.98</v>
      </c>
      <c r="F49" s="6">
        <v>20.2</v>
      </c>
      <c r="G49" s="15">
        <v>145.30000000000001</v>
      </c>
      <c r="H49" s="15">
        <v>292.5</v>
      </c>
      <c r="I49" s="6">
        <v>490028860</v>
      </c>
      <c r="J49" s="6">
        <v>431568800</v>
      </c>
      <c r="K49" s="6">
        <v>19013684</v>
      </c>
      <c r="L49" s="6">
        <v>335998.4</v>
      </c>
      <c r="M49" s="6">
        <v>0</v>
      </c>
      <c r="N49" s="6">
        <v>19047430</v>
      </c>
      <c r="O49" s="6">
        <v>6532542.5</v>
      </c>
      <c r="P49" s="6">
        <v>0</v>
      </c>
      <c r="Q49" s="6">
        <v>0</v>
      </c>
      <c r="R49" s="6">
        <v>7582112</v>
      </c>
      <c r="S49" s="6">
        <v>4175698.8</v>
      </c>
      <c r="T49" s="6">
        <v>0</v>
      </c>
      <c r="U49" s="6">
        <v>177769.9</v>
      </c>
      <c r="V49" s="6">
        <v>0</v>
      </c>
      <c r="W49" s="6">
        <v>9155238</v>
      </c>
      <c r="X49" s="6">
        <v>0</v>
      </c>
      <c r="Y49" s="6">
        <v>21748.1</v>
      </c>
      <c r="Z49" s="6">
        <v>0</v>
      </c>
      <c r="AA49" s="6">
        <v>0</v>
      </c>
      <c r="AB49" s="6">
        <v>103338550</v>
      </c>
      <c r="AC49" s="6">
        <v>320648100</v>
      </c>
      <c r="AD49" s="6">
        <v>0</v>
      </c>
      <c r="AE49" s="6">
        <f t="shared" si="0"/>
        <v>490028860</v>
      </c>
      <c r="AF49" s="6">
        <f t="shared" si="1"/>
        <v>19047430</v>
      </c>
      <c r="AG49" s="6">
        <f t="shared" si="13"/>
        <v>335998.4</v>
      </c>
      <c r="AH49" s="6">
        <f t="shared" si="2"/>
        <v>470645431.60000002</v>
      </c>
      <c r="AI49" s="6">
        <f t="shared" si="3"/>
        <v>6532542.5</v>
      </c>
      <c r="AJ49" s="6">
        <f t="shared" si="4"/>
        <v>4353468.7</v>
      </c>
      <c r="AK49" s="6">
        <f t="shared" si="5"/>
        <v>21748.1</v>
      </c>
      <c r="AL49" s="6">
        <f t="shared" si="6"/>
        <v>0</v>
      </c>
      <c r="AM49" s="6">
        <f t="shared" si="7"/>
        <v>459737684</v>
      </c>
      <c r="AN49" s="10">
        <f t="shared" si="8"/>
        <v>1.387996581161333E-2</v>
      </c>
      <c r="AO49" s="10">
        <f t="shared" si="9"/>
        <v>9.2499967230107918E-3</v>
      </c>
      <c r="AP49" s="10">
        <f t="shared" si="10"/>
        <v>4.620909614710472E-5</v>
      </c>
      <c r="AQ49" s="10">
        <f t="shared" si="11"/>
        <v>0</v>
      </c>
      <c r="AR49" s="10">
        <f t="shared" si="12"/>
        <v>0.97682385322870724</v>
      </c>
    </row>
    <row r="50" spans="1:44" x14ac:dyDescent="0.3">
      <c r="A50" t="s">
        <v>6</v>
      </c>
      <c r="B50" t="s">
        <v>178</v>
      </c>
      <c r="C50" t="s">
        <v>160</v>
      </c>
      <c r="D50" s="7">
        <v>2024</v>
      </c>
      <c r="E50" s="6">
        <v>0.69</v>
      </c>
      <c r="F50" s="6">
        <v>159.6</v>
      </c>
      <c r="G50" s="15">
        <v>361.6</v>
      </c>
      <c r="H50" s="15">
        <v>761.7</v>
      </c>
      <c r="I50" s="6">
        <v>130528430</v>
      </c>
      <c r="J50" s="6">
        <v>23358050</v>
      </c>
      <c r="K50" s="6">
        <v>101880.5</v>
      </c>
      <c r="L50" s="6">
        <v>6460556.5</v>
      </c>
      <c r="M50" s="6">
        <v>0</v>
      </c>
      <c r="N50" s="6">
        <v>25294152</v>
      </c>
      <c r="O50" s="6">
        <v>312292.59999999998</v>
      </c>
      <c r="P50" s="6">
        <v>0</v>
      </c>
      <c r="Q50" s="6">
        <v>0</v>
      </c>
      <c r="R50" s="6">
        <v>5799717.5</v>
      </c>
      <c r="S50" s="6">
        <v>39445710</v>
      </c>
      <c r="T50" s="6">
        <v>0</v>
      </c>
      <c r="U50" s="6">
        <v>91940</v>
      </c>
      <c r="V50" s="6">
        <v>0</v>
      </c>
      <c r="W50" s="6">
        <v>7545270.5</v>
      </c>
      <c r="X50" s="6">
        <v>26513108</v>
      </c>
      <c r="Y50" s="6">
        <v>27108.3</v>
      </c>
      <c r="Z50" s="6">
        <v>1378363.5</v>
      </c>
      <c r="AA50" s="6">
        <v>0</v>
      </c>
      <c r="AB50" s="6">
        <v>5494761</v>
      </c>
      <c r="AC50" s="6">
        <v>6136636</v>
      </c>
      <c r="AD50" s="6">
        <v>5926936</v>
      </c>
      <c r="AE50" s="6">
        <f t="shared" si="0"/>
        <v>130528430</v>
      </c>
      <c r="AF50" s="6">
        <f t="shared" si="1"/>
        <v>25294152</v>
      </c>
      <c r="AG50" s="6">
        <f t="shared" si="13"/>
        <v>6460556.5</v>
      </c>
      <c r="AH50" s="6">
        <f t="shared" si="2"/>
        <v>98773721.5</v>
      </c>
      <c r="AI50" s="6">
        <f t="shared" si="3"/>
        <v>312292.59999999998</v>
      </c>
      <c r="AJ50" s="6">
        <f t="shared" si="4"/>
        <v>39537650</v>
      </c>
      <c r="AK50" s="6">
        <f t="shared" si="5"/>
        <v>27108.3</v>
      </c>
      <c r="AL50" s="6">
        <f t="shared" si="6"/>
        <v>26513108</v>
      </c>
      <c r="AM50" s="6">
        <f t="shared" si="7"/>
        <v>32383565</v>
      </c>
      <c r="AN50" s="10">
        <f t="shared" si="8"/>
        <v>3.1616972131600809E-3</v>
      </c>
      <c r="AO50" s="10">
        <f t="shared" si="9"/>
        <v>0.40028511024564362</v>
      </c>
      <c r="AP50" s="10">
        <f t="shared" si="10"/>
        <v>2.7444850298568533E-4</v>
      </c>
      <c r="AQ50" s="10">
        <f t="shared" si="11"/>
        <v>0.26842268973332145</v>
      </c>
      <c r="AR50" s="10">
        <f t="shared" si="12"/>
        <v>0.32785607860284982</v>
      </c>
    </row>
    <row r="51" spans="1:44" x14ac:dyDescent="0.3">
      <c r="A51" t="s">
        <v>6</v>
      </c>
      <c r="B51" t="s">
        <v>178</v>
      </c>
      <c r="C51" t="s">
        <v>160</v>
      </c>
      <c r="D51" s="7">
        <v>2026</v>
      </c>
      <c r="E51" s="6">
        <v>0.71</v>
      </c>
      <c r="F51" s="6">
        <v>151.19999999999999</v>
      </c>
      <c r="G51" s="15">
        <v>316.60000000000002</v>
      </c>
      <c r="H51" s="15">
        <v>723.9</v>
      </c>
      <c r="I51" s="6">
        <v>138566580</v>
      </c>
      <c r="J51" s="6">
        <v>31365126</v>
      </c>
      <c r="K51" s="6">
        <v>141188.9</v>
      </c>
      <c r="L51" s="6">
        <v>6460198.5</v>
      </c>
      <c r="M51" s="6">
        <v>0</v>
      </c>
      <c r="N51" s="6">
        <v>24594830</v>
      </c>
      <c r="O51" s="6">
        <v>187443</v>
      </c>
      <c r="P51" s="6">
        <v>0</v>
      </c>
      <c r="Q51" s="6">
        <v>0</v>
      </c>
      <c r="R51" s="6">
        <v>6513590</v>
      </c>
      <c r="S51" s="6">
        <v>39898270</v>
      </c>
      <c r="T51" s="6">
        <v>0</v>
      </c>
      <c r="U51" s="6">
        <v>105904.2</v>
      </c>
      <c r="V51" s="6">
        <v>0</v>
      </c>
      <c r="W51" s="6">
        <v>7538735</v>
      </c>
      <c r="X51" s="6">
        <v>26467188</v>
      </c>
      <c r="Y51" s="6">
        <v>31834.7</v>
      </c>
      <c r="Z51" s="6">
        <v>1775847.8</v>
      </c>
      <c r="AA51" s="6">
        <v>0</v>
      </c>
      <c r="AB51" s="6">
        <v>5726964</v>
      </c>
      <c r="AC51" s="6">
        <v>7017337</v>
      </c>
      <c r="AD51" s="6">
        <v>12107235</v>
      </c>
      <c r="AE51" s="6">
        <f t="shared" si="0"/>
        <v>138566580</v>
      </c>
      <c r="AF51" s="6">
        <f t="shared" si="1"/>
        <v>24594830</v>
      </c>
      <c r="AG51" s="6">
        <f t="shared" si="13"/>
        <v>6460198.5</v>
      </c>
      <c r="AH51" s="6">
        <f t="shared" si="2"/>
        <v>107511551.5</v>
      </c>
      <c r="AI51" s="6">
        <f t="shared" si="3"/>
        <v>187443</v>
      </c>
      <c r="AJ51" s="6">
        <f t="shared" si="4"/>
        <v>40004174.200000003</v>
      </c>
      <c r="AK51" s="6">
        <f t="shared" si="5"/>
        <v>31834.7</v>
      </c>
      <c r="AL51" s="6">
        <f t="shared" si="6"/>
        <v>26467188</v>
      </c>
      <c r="AM51" s="6">
        <f t="shared" si="7"/>
        <v>40820897.700000003</v>
      </c>
      <c r="AN51" s="10">
        <f t="shared" si="8"/>
        <v>1.7434684681301431E-3</v>
      </c>
      <c r="AO51" s="10">
        <f t="shared" si="9"/>
        <v>0.37209186958854373</v>
      </c>
      <c r="AP51" s="10">
        <f t="shared" si="10"/>
        <v>2.9610492599020861E-4</v>
      </c>
      <c r="AQ51" s="10">
        <f t="shared" si="11"/>
        <v>0.24617994653346623</v>
      </c>
      <c r="AR51" s="10">
        <f t="shared" si="12"/>
        <v>0.37968848119543697</v>
      </c>
    </row>
    <row r="52" spans="1:44" x14ac:dyDescent="0.3">
      <c r="A52" t="s">
        <v>6</v>
      </c>
      <c r="B52" t="s">
        <v>178</v>
      </c>
      <c r="C52" t="s">
        <v>160</v>
      </c>
      <c r="D52" s="7">
        <v>2028</v>
      </c>
      <c r="E52" s="6">
        <v>0.72</v>
      </c>
      <c r="F52" s="6">
        <v>147.9</v>
      </c>
      <c r="G52" s="15">
        <v>275.2</v>
      </c>
      <c r="H52" s="15">
        <v>666</v>
      </c>
      <c r="I52" s="6">
        <v>149136000</v>
      </c>
      <c r="J52" s="6">
        <v>39092636</v>
      </c>
      <c r="K52" s="6">
        <v>1162835</v>
      </c>
      <c r="L52" s="6">
        <v>6446727.5</v>
      </c>
      <c r="M52" s="6">
        <v>0</v>
      </c>
      <c r="N52" s="6">
        <v>24319910</v>
      </c>
      <c r="O52" s="6">
        <v>33099.4</v>
      </c>
      <c r="P52" s="6">
        <v>0</v>
      </c>
      <c r="Q52" s="6">
        <v>0</v>
      </c>
      <c r="R52" s="6">
        <v>7254941.5</v>
      </c>
      <c r="S52" s="6">
        <v>42112100</v>
      </c>
      <c r="T52" s="6">
        <v>0</v>
      </c>
      <c r="U52" s="6">
        <v>111200.5</v>
      </c>
      <c r="V52" s="6">
        <v>0</v>
      </c>
      <c r="W52" s="6">
        <v>7595889</v>
      </c>
      <c r="X52" s="6">
        <v>26421396</v>
      </c>
      <c r="Y52" s="6">
        <v>46246.3</v>
      </c>
      <c r="Z52" s="6">
        <v>1793964.4</v>
      </c>
      <c r="AA52" s="6">
        <v>0</v>
      </c>
      <c r="AB52" s="6">
        <v>6114495.5</v>
      </c>
      <c r="AC52" s="6">
        <v>7112241</v>
      </c>
      <c r="AD52" s="6">
        <v>18610960</v>
      </c>
      <c r="AE52" s="6">
        <f t="shared" si="0"/>
        <v>149136000</v>
      </c>
      <c r="AF52" s="6">
        <f t="shared" si="1"/>
        <v>24319910</v>
      </c>
      <c r="AG52" s="6">
        <f t="shared" si="13"/>
        <v>6446727.5</v>
      </c>
      <c r="AH52" s="6">
        <f t="shared" si="2"/>
        <v>118369362.5</v>
      </c>
      <c r="AI52" s="6">
        <f t="shared" si="3"/>
        <v>33099.4</v>
      </c>
      <c r="AJ52" s="6">
        <f t="shared" si="4"/>
        <v>42223300.5</v>
      </c>
      <c r="AK52" s="6">
        <f t="shared" si="5"/>
        <v>46246.3</v>
      </c>
      <c r="AL52" s="6">
        <f t="shared" si="6"/>
        <v>26421396</v>
      </c>
      <c r="AM52" s="6">
        <f t="shared" si="7"/>
        <v>49645326.399999999</v>
      </c>
      <c r="AN52" s="10">
        <f t="shared" si="8"/>
        <v>2.7962810055684809E-4</v>
      </c>
      <c r="AO52" s="10">
        <f t="shared" si="9"/>
        <v>0.35670801640078109</v>
      </c>
      <c r="AP52" s="10">
        <f t="shared" si="10"/>
        <v>3.906948472414051E-4</v>
      </c>
      <c r="AQ52" s="10">
        <f t="shared" si="11"/>
        <v>0.22321144122069594</v>
      </c>
      <c r="AR52" s="10">
        <f t="shared" si="12"/>
        <v>0.41941027096432998</v>
      </c>
    </row>
    <row r="53" spans="1:44" x14ac:dyDescent="0.3">
      <c r="A53" t="s">
        <v>6</v>
      </c>
      <c r="B53" t="s">
        <v>178</v>
      </c>
      <c r="C53" t="s">
        <v>160</v>
      </c>
      <c r="D53" s="7">
        <v>2030</v>
      </c>
      <c r="E53" s="6">
        <v>0.75</v>
      </c>
      <c r="F53" s="6">
        <v>126.6</v>
      </c>
      <c r="G53" s="15">
        <v>243.9</v>
      </c>
      <c r="H53" s="15">
        <v>615.20000000000005</v>
      </c>
      <c r="I53" s="6">
        <v>154066100</v>
      </c>
      <c r="J53" s="6">
        <v>47571610</v>
      </c>
      <c r="K53" s="6">
        <v>3107523.2</v>
      </c>
      <c r="L53" s="6">
        <v>5677017</v>
      </c>
      <c r="M53" s="6">
        <v>0</v>
      </c>
      <c r="N53" s="6">
        <v>23874786</v>
      </c>
      <c r="O53" s="6">
        <v>0</v>
      </c>
      <c r="P53" s="6">
        <v>0</v>
      </c>
      <c r="Q53" s="6">
        <v>0</v>
      </c>
      <c r="R53" s="6">
        <v>8249582.5</v>
      </c>
      <c r="S53" s="6">
        <v>38075650</v>
      </c>
      <c r="T53" s="6">
        <v>0</v>
      </c>
      <c r="U53" s="6">
        <v>103894</v>
      </c>
      <c r="V53" s="6">
        <v>0</v>
      </c>
      <c r="W53" s="6">
        <v>7546689.5</v>
      </c>
      <c r="X53" s="6">
        <v>26124536</v>
      </c>
      <c r="Y53" s="6">
        <v>32893.199999999997</v>
      </c>
      <c r="Z53" s="6">
        <v>1951507.2</v>
      </c>
      <c r="AA53" s="6">
        <v>0</v>
      </c>
      <c r="AB53" s="6">
        <v>6459583</v>
      </c>
      <c r="AC53" s="6">
        <v>10316681</v>
      </c>
      <c r="AD53" s="6">
        <v>22545760</v>
      </c>
      <c r="AE53" s="6">
        <f t="shared" si="0"/>
        <v>154066100</v>
      </c>
      <c r="AF53" s="6">
        <f t="shared" si="1"/>
        <v>23874786</v>
      </c>
      <c r="AG53" s="6">
        <f t="shared" si="13"/>
        <v>5677017</v>
      </c>
      <c r="AH53" s="6">
        <f t="shared" si="2"/>
        <v>124514297</v>
      </c>
      <c r="AI53" s="6">
        <f t="shared" si="3"/>
        <v>0</v>
      </c>
      <c r="AJ53" s="6">
        <f t="shared" si="4"/>
        <v>38179544</v>
      </c>
      <c r="AK53" s="6">
        <f t="shared" si="5"/>
        <v>32893.199999999997</v>
      </c>
      <c r="AL53" s="6">
        <f t="shared" si="6"/>
        <v>26124536</v>
      </c>
      <c r="AM53" s="6">
        <f t="shared" si="7"/>
        <v>60177326.399999999</v>
      </c>
      <c r="AN53" s="10">
        <f t="shared" si="8"/>
        <v>0</v>
      </c>
      <c r="AO53" s="10">
        <f t="shared" si="9"/>
        <v>0.30662779230886233</v>
      </c>
      <c r="AP53" s="10">
        <f t="shared" si="10"/>
        <v>2.6417207334833204E-4</v>
      </c>
      <c r="AQ53" s="10">
        <f t="shared" si="11"/>
        <v>0.20981153674264411</v>
      </c>
      <c r="AR53" s="10">
        <f t="shared" si="12"/>
        <v>0.48329651975628146</v>
      </c>
    </row>
    <row r="54" spans="1:44" x14ac:dyDescent="0.3">
      <c r="A54" t="s">
        <v>6</v>
      </c>
      <c r="B54" t="s">
        <v>178</v>
      </c>
      <c r="C54" t="s">
        <v>160</v>
      </c>
      <c r="D54" s="7">
        <v>2035</v>
      </c>
      <c r="E54" s="6">
        <v>0.77</v>
      </c>
      <c r="F54" s="6">
        <v>117.5</v>
      </c>
      <c r="G54" s="15">
        <v>216.6</v>
      </c>
      <c r="H54" s="15">
        <v>571.20000000000005</v>
      </c>
      <c r="I54" s="6">
        <v>161031870</v>
      </c>
      <c r="J54" s="6">
        <v>58357428</v>
      </c>
      <c r="K54" s="6">
        <v>5052053.5</v>
      </c>
      <c r="L54" s="6">
        <v>3748921.5</v>
      </c>
      <c r="M54" s="6">
        <v>0</v>
      </c>
      <c r="N54" s="6">
        <v>21656050</v>
      </c>
      <c r="O54" s="6">
        <v>3935.6</v>
      </c>
      <c r="P54" s="6">
        <v>0</v>
      </c>
      <c r="Q54" s="6">
        <v>0</v>
      </c>
      <c r="R54" s="6">
        <v>9284482</v>
      </c>
      <c r="S54" s="6">
        <v>35719740</v>
      </c>
      <c r="T54" s="6">
        <v>0</v>
      </c>
      <c r="U54" s="6">
        <v>952990.2</v>
      </c>
      <c r="V54" s="6">
        <v>0</v>
      </c>
      <c r="W54" s="6">
        <v>7467097</v>
      </c>
      <c r="X54" s="6">
        <v>25956366</v>
      </c>
      <c r="Y54" s="6">
        <v>37481.599999999999</v>
      </c>
      <c r="Z54" s="6">
        <v>2079819.8</v>
      </c>
      <c r="AA54" s="6">
        <v>0</v>
      </c>
      <c r="AB54" s="6">
        <v>6688897.5</v>
      </c>
      <c r="AC54" s="6">
        <v>10176670</v>
      </c>
      <c r="AD54" s="6">
        <v>32207372</v>
      </c>
      <c r="AE54" s="6">
        <f t="shared" si="0"/>
        <v>161031870</v>
      </c>
      <c r="AF54" s="6">
        <f t="shared" si="1"/>
        <v>21656050</v>
      </c>
      <c r="AG54" s="6">
        <f t="shared" si="13"/>
        <v>3748921.5</v>
      </c>
      <c r="AH54" s="6">
        <f t="shared" si="2"/>
        <v>135626898.5</v>
      </c>
      <c r="AI54" s="6">
        <f t="shared" si="3"/>
        <v>3935.6</v>
      </c>
      <c r="AJ54" s="6">
        <f t="shared" si="4"/>
        <v>36672730.200000003</v>
      </c>
      <c r="AK54" s="6">
        <f t="shared" si="5"/>
        <v>37481.599999999999</v>
      </c>
      <c r="AL54" s="6">
        <f t="shared" si="6"/>
        <v>25956366</v>
      </c>
      <c r="AM54" s="6">
        <f t="shared" si="7"/>
        <v>72956391.799999997</v>
      </c>
      <c r="AN54" s="10">
        <f t="shared" si="8"/>
        <v>2.9017842651618255E-5</v>
      </c>
      <c r="AO54" s="10">
        <f t="shared" si="9"/>
        <v>0.27039422567050742</v>
      </c>
      <c r="AP54" s="10">
        <f t="shared" si="10"/>
        <v>2.7635815914495751E-4</v>
      </c>
      <c r="AQ54" s="10">
        <f t="shared" si="11"/>
        <v>0.19138066480227003</v>
      </c>
      <c r="AR54" s="10">
        <f t="shared" si="12"/>
        <v>0.53791978292565612</v>
      </c>
    </row>
    <row r="55" spans="1:44" x14ac:dyDescent="0.3">
      <c r="A55" t="s">
        <v>6</v>
      </c>
      <c r="B55" t="s">
        <v>178</v>
      </c>
      <c r="C55" t="s">
        <v>160</v>
      </c>
      <c r="D55" s="7">
        <v>2040</v>
      </c>
      <c r="E55" s="6">
        <v>0.76</v>
      </c>
      <c r="F55" s="6">
        <v>123.1</v>
      </c>
      <c r="G55" s="15">
        <v>194.7</v>
      </c>
      <c r="H55" s="15">
        <v>573.4</v>
      </c>
      <c r="I55" s="6">
        <v>173778080</v>
      </c>
      <c r="J55" s="6">
        <v>65273428</v>
      </c>
      <c r="K55" s="6">
        <v>8303347</v>
      </c>
      <c r="L55" s="6">
        <v>3206753.8</v>
      </c>
      <c r="M55" s="6">
        <v>0</v>
      </c>
      <c r="N55" s="6">
        <v>20462288</v>
      </c>
      <c r="O55" s="6">
        <v>0</v>
      </c>
      <c r="P55" s="6">
        <v>0</v>
      </c>
      <c r="Q55" s="6">
        <v>0</v>
      </c>
      <c r="R55" s="6">
        <v>9295364</v>
      </c>
      <c r="S55" s="6">
        <v>39686450</v>
      </c>
      <c r="T55" s="6">
        <v>0</v>
      </c>
      <c r="U55" s="6">
        <v>1437040.1</v>
      </c>
      <c r="V55" s="6">
        <v>0</v>
      </c>
      <c r="W55" s="6">
        <v>7441553</v>
      </c>
      <c r="X55" s="6">
        <v>25950008</v>
      </c>
      <c r="Y55" s="6">
        <v>67048.7</v>
      </c>
      <c r="Z55" s="6">
        <v>1950170.2</v>
      </c>
      <c r="AA55" s="6">
        <v>0</v>
      </c>
      <c r="AB55" s="6">
        <v>12148059</v>
      </c>
      <c r="AC55" s="6">
        <v>12054563</v>
      </c>
      <c r="AD55" s="6">
        <v>31775440</v>
      </c>
      <c r="AE55" s="6">
        <f t="shared" si="0"/>
        <v>173778080</v>
      </c>
      <c r="AF55" s="6">
        <f t="shared" si="1"/>
        <v>20462288</v>
      </c>
      <c r="AG55" s="6">
        <f t="shared" si="13"/>
        <v>3206753.8</v>
      </c>
      <c r="AH55" s="6">
        <f t="shared" si="2"/>
        <v>150109038.19999999</v>
      </c>
      <c r="AI55" s="6">
        <f t="shared" si="3"/>
        <v>0</v>
      </c>
      <c r="AJ55" s="6">
        <f t="shared" si="4"/>
        <v>41123490.100000001</v>
      </c>
      <c r="AK55" s="6">
        <f t="shared" si="5"/>
        <v>67048.7</v>
      </c>
      <c r="AL55" s="6">
        <f t="shared" si="6"/>
        <v>25950008</v>
      </c>
      <c r="AM55" s="6">
        <f t="shared" si="7"/>
        <v>82968496.200000003</v>
      </c>
      <c r="AN55" s="10">
        <f t="shared" si="8"/>
        <v>0</v>
      </c>
      <c r="AO55" s="10">
        <f t="shared" si="9"/>
        <v>0.27395745514809383</v>
      </c>
      <c r="AP55" s="10">
        <f t="shared" si="10"/>
        <v>4.4666664182250424E-4</v>
      </c>
      <c r="AQ55" s="10">
        <f t="shared" si="11"/>
        <v>0.17287438725325202</v>
      </c>
      <c r="AR55" s="10">
        <f t="shared" si="12"/>
        <v>0.55272152293358712</v>
      </c>
    </row>
    <row r="56" spans="1:44" x14ac:dyDescent="0.3">
      <c r="A56" t="s">
        <v>6</v>
      </c>
      <c r="B56" t="s">
        <v>178</v>
      </c>
      <c r="C56" t="s">
        <v>160</v>
      </c>
      <c r="D56" s="7">
        <v>2045</v>
      </c>
      <c r="E56" s="6">
        <v>0.76</v>
      </c>
      <c r="F56" s="6">
        <v>127.7</v>
      </c>
      <c r="G56" s="15">
        <v>177.2</v>
      </c>
      <c r="H56" s="15">
        <v>582.79999999999995</v>
      </c>
      <c r="I56" s="6">
        <v>194777440</v>
      </c>
      <c r="J56" s="6">
        <v>77455890</v>
      </c>
      <c r="K56" s="6">
        <v>11400371</v>
      </c>
      <c r="L56" s="6">
        <v>3165990.8</v>
      </c>
      <c r="M56" s="6">
        <v>0</v>
      </c>
      <c r="N56" s="6">
        <v>20502366</v>
      </c>
      <c r="O56" s="6">
        <v>0</v>
      </c>
      <c r="P56" s="6">
        <v>0</v>
      </c>
      <c r="Q56" s="6">
        <v>0</v>
      </c>
      <c r="R56" s="6">
        <v>9429689</v>
      </c>
      <c r="S56" s="6">
        <v>43934510</v>
      </c>
      <c r="T56" s="6">
        <v>0</v>
      </c>
      <c r="U56" s="6">
        <v>3062537.2</v>
      </c>
      <c r="V56" s="6">
        <v>0</v>
      </c>
      <c r="W56" s="6">
        <v>7425026.5</v>
      </c>
      <c r="X56" s="6">
        <v>25844160</v>
      </c>
      <c r="Y56" s="6">
        <v>89558</v>
      </c>
      <c r="Z56" s="6">
        <v>1897031.8</v>
      </c>
      <c r="AA56" s="6">
        <v>0</v>
      </c>
      <c r="AB56" s="6">
        <v>21172960</v>
      </c>
      <c r="AC56" s="6">
        <v>15504638</v>
      </c>
      <c r="AD56" s="6">
        <v>31348602</v>
      </c>
      <c r="AE56" s="6">
        <f t="shared" si="0"/>
        <v>194777440</v>
      </c>
      <c r="AF56" s="6">
        <f t="shared" si="1"/>
        <v>20502366</v>
      </c>
      <c r="AG56" s="6">
        <f t="shared" si="13"/>
        <v>3165990.8</v>
      </c>
      <c r="AH56" s="6">
        <f t="shared" si="2"/>
        <v>171109083.19999999</v>
      </c>
      <c r="AI56" s="6">
        <f t="shared" si="3"/>
        <v>0</v>
      </c>
      <c r="AJ56" s="6">
        <f t="shared" si="4"/>
        <v>46997047.200000003</v>
      </c>
      <c r="AK56" s="6">
        <f t="shared" si="5"/>
        <v>89558</v>
      </c>
      <c r="AL56" s="6">
        <f t="shared" si="6"/>
        <v>25844160</v>
      </c>
      <c r="AM56" s="6">
        <f t="shared" si="7"/>
        <v>98178318.299999997</v>
      </c>
      <c r="AN56" s="10">
        <f t="shared" si="8"/>
        <v>0</v>
      </c>
      <c r="AO56" s="10">
        <f t="shared" si="9"/>
        <v>0.27466132318100112</v>
      </c>
      <c r="AP56" s="10">
        <f t="shared" si="10"/>
        <v>5.2339711209439756E-4</v>
      </c>
      <c r="AQ56" s="10">
        <f t="shared" si="11"/>
        <v>0.1510390887302703</v>
      </c>
      <c r="AR56" s="10">
        <f t="shared" si="12"/>
        <v>0.57377619272990177</v>
      </c>
    </row>
    <row r="57" spans="1:44" x14ac:dyDescent="0.3">
      <c r="A57" t="s">
        <v>6</v>
      </c>
      <c r="B57" t="s">
        <v>178</v>
      </c>
      <c r="C57" t="s">
        <v>160</v>
      </c>
      <c r="D57" s="7">
        <v>2050</v>
      </c>
      <c r="E57" s="6">
        <v>0.77</v>
      </c>
      <c r="F57" s="6">
        <v>121.4</v>
      </c>
      <c r="G57" s="15">
        <v>171.4</v>
      </c>
      <c r="H57" s="15">
        <v>564</v>
      </c>
      <c r="I57" s="6">
        <v>218044720</v>
      </c>
      <c r="J57" s="6">
        <v>95426560</v>
      </c>
      <c r="K57" s="6">
        <v>14672830</v>
      </c>
      <c r="L57" s="6">
        <v>3061273.2</v>
      </c>
      <c r="M57" s="6">
        <v>0</v>
      </c>
      <c r="N57" s="6">
        <v>20510316</v>
      </c>
      <c r="O57" s="6">
        <v>0</v>
      </c>
      <c r="P57" s="6">
        <v>0</v>
      </c>
      <c r="Q57" s="6">
        <v>0</v>
      </c>
      <c r="R57" s="6">
        <v>9654941</v>
      </c>
      <c r="S57" s="6">
        <v>44016240</v>
      </c>
      <c r="T57" s="6">
        <v>0</v>
      </c>
      <c r="U57" s="6">
        <v>5226202</v>
      </c>
      <c r="V57" s="6">
        <v>0</v>
      </c>
      <c r="W57" s="6">
        <v>7153912</v>
      </c>
      <c r="X57" s="6">
        <v>25600176</v>
      </c>
      <c r="Y57" s="6">
        <v>103355.8</v>
      </c>
      <c r="Z57" s="6">
        <v>2273866</v>
      </c>
      <c r="AA57" s="6">
        <v>0</v>
      </c>
      <c r="AB57" s="6">
        <v>32558064</v>
      </c>
      <c r="AC57" s="6">
        <v>22257288</v>
      </c>
      <c r="AD57" s="6">
        <v>30956262</v>
      </c>
      <c r="AE57" s="6">
        <f t="shared" si="0"/>
        <v>218044720</v>
      </c>
      <c r="AF57" s="6">
        <f t="shared" si="1"/>
        <v>20510316</v>
      </c>
      <c r="AG57" s="6">
        <f t="shared" si="13"/>
        <v>3061273.2</v>
      </c>
      <c r="AH57" s="6">
        <f t="shared" si="2"/>
        <v>194473130.80000001</v>
      </c>
      <c r="AI57" s="6">
        <f t="shared" si="3"/>
        <v>0</v>
      </c>
      <c r="AJ57" s="6">
        <f t="shared" si="4"/>
        <v>49242442</v>
      </c>
      <c r="AK57" s="6">
        <f t="shared" si="5"/>
        <v>103355.8</v>
      </c>
      <c r="AL57" s="6">
        <f t="shared" si="6"/>
        <v>25600176</v>
      </c>
      <c r="AM57" s="6">
        <f t="shared" si="7"/>
        <v>119527163</v>
      </c>
      <c r="AN57" s="10">
        <f t="shared" si="8"/>
        <v>0</v>
      </c>
      <c r="AO57" s="10">
        <f t="shared" si="9"/>
        <v>0.25320948861897996</v>
      </c>
      <c r="AP57" s="10">
        <f t="shared" si="10"/>
        <v>5.3146570724103338E-4</v>
      </c>
      <c r="AQ57" s="10">
        <f t="shared" si="11"/>
        <v>0.13163862737586984</v>
      </c>
      <c r="AR57" s="10">
        <f t="shared" si="12"/>
        <v>0.61462044915050029</v>
      </c>
    </row>
    <row r="58" spans="1:44" x14ac:dyDescent="0.3">
      <c r="A58" t="s">
        <v>6</v>
      </c>
      <c r="B58" t="s">
        <v>178</v>
      </c>
      <c r="C58" t="s">
        <v>161</v>
      </c>
      <c r="D58" s="7">
        <v>2024</v>
      </c>
      <c r="E58" s="6">
        <v>0.76</v>
      </c>
      <c r="F58" s="6">
        <v>214.6</v>
      </c>
      <c r="G58" s="15">
        <v>324.8</v>
      </c>
      <c r="H58" s="15">
        <v>760.3</v>
      </c>
      <c r="I58" s="6">
        <v>290765950</v>
      </c>
      <c r="J58" s="6">
        <v>46118520</v>
      </c>
      <c r="K58" s="6">
        <v>505985.8</v>
      </c>
      <c r="L58" s="6">
        <v>1885351.4</v>
      </c>
      <c r="M58" s="6">
        <v>0</v>
      </c>
      <c r="N58" s="6">
        <v>8772366</v>
      </c>
      <c r="O58" s="6">
        <v>39724610</v>
      </c>
      <c r="P58" s="6">
        <v>0</v>
      </c>
      <c r="Q58" s="6">
        <v>221969.5</v>
      </c>
      <c r="R58" s="6">
        <v>2596831.7999999998</v>
      </c>
      <c r="S58" s="6">
        <v>29595284</v>
      </c>
      <c r="T58" s="6">
        <v>0</v>
      </c>
      <c r="U58" s="6">
        <v>45988</v>
      </c>
      <c r="V58" s="6">
        <v>5848751.5</v>
      </c>
      <c r="W58" s="6">
        <v>149053870</v>
      </c>
      <c r="X58" s="6">
        <v>9025404</v>
      </c>
      <c r="Y58" s="6">
        <v>5179.7</v>
      </c>
      <c r="Z58" s="6">
        <v>184640.7</v>
      </c>
      <c r="AA58" s="6">
        <v>0</v>
      </c>
      <c r="AB58" s="6">
        <v>13444891</v>
      </c>
      <c r="AC58" s="6">
        <v>29854826</v>
      </c>
      <c r="AD58" s="6">
        <v>0</v>
      </c>
      <c r="AE58" s="6">
        <f t="shared" si="0"/>
        <v>290765950</v>
      </c>
      <c r="AF58" s="6">
        <f t="shared" si="1"/>
        <v>8772366</v>
      </c>
      <c r="AG58" s="6">
        <f t="shared" si="13"/>
        <v>1885351.4</v>
      </c>
      <c r="AH58" s="6">
        <f t="shared" si="2"/>
        <v>280108232.60000002</v>
      </c>
      <c r="AI58" s="6">
        <f t="shared" si="3"/>
        <v>39724610</v>
      </c>
      <c r="AJ58" s="6">
        <f t="shared" si="4"/>
        <v>29641272</v>
      </c>
      <c r="AK58" s="6">
        <f t="shared" si="5"/>
        <v>5179.7</v>
      </c>
      <c r="AL58" s="6">
        <f t="shared" si="6"/>
        <v>9025404</v>
      </c>
      <c r="AM58" s="6">
        <f t="shared" si="7"/>
        <v>201711766.29999998</v>
      </c>
      <c r="AN58" s="10">
        <f t="shared" si="8"/>
        <v>0.14181878779952717</v>
      </c>
      <c r="AO58" s="10">
        <f t="shared" si="9"/>
        <v>0.10582078122040886</v>
      </c>
      <c r="AP58" s="10">
        <f t="shared" si="10"/>
        <v>1.8491780666071002E-5</v>
      </c>
      <c r="AQ58" s="10">
        <f t="shared" si="11"/>
        <v>3.2221130797281679E-2</v>
      </c>
      <c r="AR58" s="10">
        <f t="shared" si="12"/>
        <v>0.7201208062600869</v>
      </c>
    </row>
    <row r="59" spans="1:44" x14ac:dyDescent="0.3">
      <c r="A59" t="s">
        <v>6</v>
      </c>
      <c r="B59" t="s">
        <v>178</v>
      </c>
      <c r="C59" t="s">
        <v>161</v>
      </c>
      <c r="D59" s="7">
        <v>2026</v>
      </c>
      <c r="E59" s="6">
        <v>0.8</v>
      </c>
      <c r="F59" s="6">
        <v>174.3</v>
      </c>
      <c r="G59" s="15">
        <v>249.6</v>
      </c>
      <c r="H59" s="15">
        <v>709.4</v>
      </c>
      <c r="I59" s="6">
        <v>290912580</v>
      </c>
      <c r="J59" s="6">
        <v>50644536</v>
      </c>
      <c r="K59" s="6">
        <v>1432079.1</v>
      </c>
      <c r="L59" s="6">
        <v>1861951</v>
      </c>
      <c r="M59" s="6">
        <v>0</v>
      </c>
      <c r="N59" s="6">
        <v>10671111</v>
      </c>
      <c r="O59" s="6">
        <v>31509100</v>
      </c>
      <c r="P59" s="6">
        <v>0</v>
      </c>
      <c r="Q59" s="6">
        <v>220199.5</v>
      </c>
      <c r="R59" s="6">
        <v>3607382.5</v>
      </c>
      <c r="S59" s="6">
        <v>27074428</v>
      </c>
      <c r="T59" s="6">
        <v>0</v>
      </c>
      <c r="U59" s="6">
        <v>40851.4</v>
      </c>
      <c r="V59" s="6">
        <v>5848751.5</v>
      </c>
      <c r="W59" s="6">
        <v>152575000</v>
      </c>
      <c r="X59" s="6">
        <v>8955408</v>
      </c>
      <c r="Y59" s="6">
        <v>3113.5</v>
      </c>
      <c r="Z59" s="6">
        <v>296226.5</v>
      </c>
      <c r="AA59" s="6">
        <v>0</v>
      </c>
      <c r="AB59" s="6">
        <v>17117536</v>
      </c>
      <c r="AC59" s="6">
        <v>29699418</v>
      </c>
      <c r="AD59" s="6">
        <v>0</v>
      </c>
      <c r="AE59" s="6">
        <f t="shared" si="0"/>
        <v>290912580</v>
      </c>
      <c r="AF59" s="6">
        <f t="shared" si="1"/>
        <v>10671111</v>
      </c>
      <c r="AG59" s="6">
        <f t="shared" si="13"/>
        <v>1861951</v>
      </c>
      <c r="AH59" s="6">
        <f t="shared" si="2"/>
        <v>278379518</v>
      </c>
      <c r="AI59" s="6">
        <f t="shared" si="3"/>
        <v>31509100</v>
      </c>
      <c r="AJ59" s="6">
        <f t="shared" si="4"/>
        <v>27115279.399999999</v>
      </c>
      <c r="AK59" s="6">
        <f t="shared" si="5"/>
        <v>3113.5</v>
      </c>
      <c r="AL59" s="6">
        <f t="shared" si="6"/>
        <v>8955408</v>
      </c>
      <c r="AM59" s="6">
        <f t="shared" si="7"/>
        <v>210796593.09999999</v>
      </c>
      <c r="AN59" s="10">
        <f t="shared" si="8"/>
        <v>0.11318756576049535</v>
      </c>
      <c r="AO59" s="10">
        <f t="shared" si="9"/>
        <v>9.7404002976971882E-2</v>
      </c>
      <c r="AP59" s="10">
        <f t="shared" si="10"/>
        <v>1.1184371689299354E-5</v>
      </c>
      <c r="AQ59" s="10">
        <f t="shared" si="11"/>
        <v>3.2169780536799406E-2</v>
      </c>
      <c r="AR59" s="10">
        <f t="shared" si="12"/>
        <v>0.75722738014080471</v>
      </c>
    </row>
    <row r="60" spans="1:44" x14ac:dyDescent="0.3">
      <c r="A60" t="s">
        <v>6</v>
      </c>
      <c r="B60" t="s">
        <v>178</v>
      </c>
      <c r="C60" t="s">
        <v>161</v>
      </c>
      <c r="D60" s="7">
        <v>2028</v>
      </c>
      <c r="E60" s="6">
        <v>0.84</v>
      </c>
      <c r="F60" s="6">
        <v>137.69999999999999</v>
      </c>
      <c r="G60" s="15">
        <v>172.7</v>
      </c>
      <c r="H60" s="15">
        <v>648.9</v>
      </c>
      <c r="I60" s="6">
        <v>287849730</v>
      </c>
      <c r="J60" s="6">
        <v>58182790</v>
      </c>
      <c r="K60" s="6">
        <v>2904904.2</v>
      </c>
      <c r="L60" s="6">
        <v>1359456.5</v>
      </c>
      <c r="M60" s="6">
        <v>0</v>
      </c>
      <c r="N60" s="6">
        <v>10471012</v>
      </c>
      <c r="O60" s="6">
        <v>24784346</v>
      </c>
      <c r="P60" s="6">
        <v>0</v>
      </c>
      <c r="Q60" s="6">
        <v>222112.6</v>
      </c>
      <c r="R60" s="6">
        <v>4756776</v>
      </c>
      <c r="S60" s="6">
        <v>21131520</v>
      </c>
      <c r="T60" s="6">
        <v>0</v>
      </c>
      <c r="U60" s="6">
        <v>22689.4</v>
      </c>
      <c r="V60" s="6">
        <v>7832711</v>
      </c>
      <c r="W60" s="6">
        <v>151943580</v>
      </c>
      <c r="X60" s="6">
        <v>8792619</v>
      </c>
      <c r="Y60" s="6">
        <v>447.1</v>
      </c>
      <c r="Z60" s="6">
        <v>423655.4</v>
      </c>
      <c r="AA60" s="6">
        <v>0</v>
      </c>
      <c r="AB60" s="6">
        <v>20616536</v>
      </c>
      <c r="AC60" s="6">
        <v>32587364</v>
      </c>
      <c r="AD60" s="6">
        <v>0</v>
      </c>
      <c r="AE60" s="6">
        <f t="shared" si="0"/>
        <v>287849730</v>
      </c>
      <c r="AF60" s="6">
        <f t="shared" si="1"/>
        <v>10471012</v>
      </c>
      <c r="AG60" s="6">
        <f t="shared" si="13"/>
        <v>1359456.5</v>
      </c>
      <c r="AH60" s="6">
        <f t="shared" si="2"/>
        <v>276019261.5</v>
      </c>
      <c r="AI60" s="6">
        <f t="shared" si="3"/>
        <v>24784346</v>
      </c>
      <c r="AJ60" s="6">
        <f t="shared" si="4"/>
        <v>21154209.399999999</v>
      </c>
      <c r="AK60" s="6">
        <f t="shared" si="5"/>
        <v>447.1</v>
      </c>
      <c r="AL60" s="6">
        <f t="shared" si="6"/>
        <v>8792619</v>
      </c>
      <c r="AM60" s="6">
        <f t="shared" si="7"/>
        <v>221287639.20000002</v>
      </c>
      <c r="AN60" s="10">
        <f t="shared" si="8"/>
        <v>8.9792088658276481E-2</v>
      </c>
      <c r="AO60" s="10">
        <f t="shared" si="9"/>
        <v>7.6640337652667756E-2</v>
      </c>
      <c r="AP60" s="10">
        <f t="shared" si="10"/>
        <v>1.6198144925476515E-6</v>
      </c>
      <c r="AQ60" s="10">
        <f t="shared" si="11"/>
        <v>3.1855092112837928E-2</v>
      </c>
      <c r="AR60" s="10">
        <f t="shared" si="12"/>
        <v>0.8017108588633769</v>
      </c>
    </row>
    <row r="61" spans="1:44" x14ac:dyDescent="0.3">
      <c r="A61" t="s">
        <v>6</v>
      </c>
      <c r="B61" t="s">
        <v>178</v>
      </c>
      <c r="C61" t="s">
        <v>161</v>
      </c>
      <c r="D61" s="7">
        <v>2030</v>
      </c>
      <c r="E61" s="6">
        <v>0.87</v>
      </c>
      <c r="F61" s="6">
        <v>115.5</v>
      </c>
      <c r="G61" s="15">
        <v>125</v>
      </c>
      <c r="H61" s="15">
        <v>531.5</v>
      </c>
      <c r="I61" s="6">
        <v>283605860</v>
      </c>
      <c r="J61" s="6">
        <v>67502530</v>
      </c>
      <c r="K61" s="6">
        <v>4316831.5</v>
      </c>
      <c r="L61" s="6">
        <v>1108500.5</v>
      </c>
      <c r="M61" s="6">
        <v>0</v>
      </c>
      <c r="N61" s="6">
        <v>10241216</v>
      </c>
      <c r="O61" s="6">
        <v>20924070</v>
      </c>
      <c r="P61" s="6">
        <v>0</v>
      </c>
      <c r="Q61" s="6">
        <v>222570.3</v>
      </c>
      <c r="R61" s="6">
        <v>6530920.5</v>
      </c>
      <c r="S61" s="6">
        <v>16295949</v>
      </c>
      <c r="T61" s="6">
        <v>0</v>
      </c>
      <c r="U61" s="6">
        <v>27897</v>
      </c>
      <c r="V61" s="6">
        <v>7832711</v>
      </c>
      <c r="W61" s="6">
        <v>146438980</v>
      </c>
      <c r="X61" s="6">
        <v>8442606</v>
      </c>
      <c r="Y61" s="6">
        <v>220.9</v>
      </c>
      <c r="Z61" s="6">
        <v>474342</v>
      </c>
      <c r="AA61" s="6">
        <v>0</v>
      </c>
      <c r="AB61" s="6">
        <v>24735178</v>
      </c>
      <c r="AC61" s="6">
        <v>36013860</v>
      </c>
      <c r="AD61" s="6">
        <v>0</v>
      </c>
      <c r="AE61" s="6">
        <f t="shared" si="0"/>
        <v>283605860</v>
      </c>
      <c r="AF61" s="6">
        <f t="shared" si="1"/>
        <v>10241216</v>
      </c>
      <c r="AG61" s="6">
        <f t="shared" si="13"/>
        <v>1108500.5</v>
      </c>
      <c r="AH61" s="6">
        <f t="shared" si="2"/>
        <v>272256143.5</v>
      </c>
      <c r="AI61" s="6">
        <f t="shared" si="3"/>
        <v>20924070</v>
      </c>
      <c r="AJ61" s="6">
        <f t="shared" si="4"/>
        <v>16323846</v>
      </c>
      <c r="AK61" s="6">
        <f t="shared" si="5"/>
        <v>220.9</v>
      </c>
      <c r="AL61" s="6">
        <f t="shared" si="6"/>
        <v>8442606</v>
      </c>
      <c r="AM61" s="6">
        <f t="shared" si="7"/>
        <v>226565393.30000001</v>
      </c>
      <c r="AN61" s="10">
        <f t="shared" si="8"/>
        <v>7.6854353885314627E-2</v>
      </c>
      <c r="AO61" s="10">
        <f t="shared" si="9"/>
        <v>5.9957677318675455E-2</v>
      </c>
      <c r="AP61" s="10">
        <f t="shared" si="10"/>
        <v>8.1136828414672677E-7</v>
      </c>
      <c r="AQ61" s="10">
        <f t="shared" si="11"/>
        <v>3.1009790601841829E-2</v>
      </c>
      <c r="AR61" s="10">
        <f t="shared" si="12"/>
        <v>0.83217734001289856</v>
      </c>
    </row>
    <row r="62" spans="1:44" x14ac:dyDescent="0.3">
      <c r="A62" t="s">
        <v>6</v>
      </c>
      <c r="B62" t="s">
        <v>178</v>
      </c>
      <c r="C62" t="s">
        <v>161</v>
      </c>
      <c r="D62" s="7">
        <v>2035</v>
      </c>
      <c r="E62" s="6">
        <v>0.88</v>
      </c>
      <c r="F62" s="6">
        <v>95.1</v>
      </c>
      <c r="G62" s="15">
        <v>96.9</v>
      </c>
      <c r="H62" s="15">
        <v>467.2</v>
      </c>
      <c r="I62" s="6">
        <v>351272060</v>
      </c>
      <c r="J62" s="6">
        <v>125020056</v>
      </c>
      <c r="K62" s="6">
        <v>9788695</v>
      </c>
      <c r="L62" s="6">
        <v>727706.6</v>
      </c>
      <c r="M62" s="6">
        <v>0</v>
      </c>
      <c r="N62" s="6">
        <v>9762453</v>
      </c>
      <c r="O62" s="6">
        <v>18163240</v>
      </c>
      <c r="P62" s="6">
        <v>0</v>
      </c>
      <c r="Q62" s="6">
        <v>221879.9</v>
      </c>
      <c r="R62" s="6">
        <v>8588158</v>
      </c>
      <c r="S62" s="6">
        <v>24790768</v>
      </c>
      <c r="T62" s="6">
        <v>0</v>
      </c>
      <c r="U62" s="6">
        <v>144288.4</v>
      </c>
      <c r="V62" s="6">
        <v>7830384</v>
      </c>
      <c r="W62" s="6">
        <v>142723310</v>
      </c>
      <c r="X62" s="6">
        <v>8250481</v>
      </c>
      <c r="Y62" s="6">
        <v>317</v>
      </c>
      <c r="Z62" s="6">
        <v>4070351.2</v>
      </c>
      <c r="AA62" s="6">
        <v>0</v>
      </c>
      <c r="AB62" s="6">
        <v>50656044</v>
      </c>
      <c r="AC62" s="6">
        <v>65553976</v>
      </c>
      <c r="AD62" s="6">
        <v>0</v>
      </c>
      <c r="AE62" s="6">
        <f t="shared" si="0"/>
        <v>351272060</v>
      </c>
      <c r="AF62" s="6">
        <f t="shared" si="1"/>
        <v>9762453</v>
      </c>
      <c r="AG62" s="6">
        <f t="shared" si="13"/>
        <v>727706.6</v>
      </c>
      <c r="AH62" s="6">
        <f t="shared" si="2"/>
        <v>340781900.39999998</v>
      </c>
      <c r="AI62" s="6">
        <f t="shared" si="3"/>
        <v>18163240</v>
      </c>
      <c r="AJ62" s="6">
        <f t="shared" si="4"/>
        <v>24935056.399999999</v>
      </c>
      <c r="AK62" s="6">
        <f t="shared" si="5"/>
        <v>317</v>
      </c>
      <c r="AL62" s="6">
        <f t="shared" si="6"/>
        <v>8250481</v>
      </c>
      <c r="AM62" s="6">
        <f t="shared" si="7"/>
        <v>289432798.10000002</v>
      </c>
      <c r="AN62" s="10">
        <f t="shared" si="8"/>
        <v>5.3298722668899116E-2</v>
      </c>
      <c r="AO62" s="10">
        <f t="shared" si="9"/>
        <v>7.3170131309004224E-2</v>
      </c>
      <c r="AP62" s="10">
        <f t="shared" si="10"/>
        <v>9.3021372211351175E-7</v>
      </c>
      <c r="AQ62" s="10">
        <f t="shared" si="11"/>
        <v>2.4210443660053021E-2</v>
      </c>
      <c r="AR62" s="10">
        <f t="shared" si="12"/>
        <v>0.84931974896633933</v>
      </c>
    </row>
    <row r="63" spans="1:44" x14ac:dyDescent="0.3">
      <c r="A63" t="s">
        <v>6</v>
      </c>
      <c r="B63" t="s">
        <v>178</v>
      </c>
      <c r="C63" t="s">
        <v>161</v>
      </c>
      <c r="D63" s="7">
        <v>2040</v>
      </c>
      <c r="E63" s="6">
        <v>0.9</v>
      </c>
      <c r="F63" s="6">
        <v>76.7</v>
      </c>
      <c r="G63" s="15">
        <v>83.4</v>
      </c>
      <c r="H63" s="15">
        <v>409.2</v>
      </c>
      <c r="I63" s="6">
        <v>401317150</v>
      </c>
      <c r="J63" s="6">
        <v>173748800</v>
      </c>
      <c r="K63" s="6">
        <v>20251576</v>
      </c>
      <c r="L63" s="6">
        <v>668014.9</v>
      </c>
      <c r="M63" s="6">
        <v>0</v>
      </c>
      <c r="N63" s="6">
        <v>9581913</v>
      </c>
      <c r="O63" s="6">
        <v>15631410</v>
      </c>
      <c r="P63" s="6">
        <v>0</v>
      </c>
      <c r="Q63" s="6">
        <v>215181.4</v>
      </c>
      <c r="R63" s="6">
        <v>8654746</v>
      </c>
      <c r="S63" s="6">
        <v>24811726</v>
      </c>
      <c r="T63" s="6">
        <v>0</v>
      </c>
      <c r="U63" s="6">
        <v>523099.5</v>
      </c>
      <c r="V63" s="6">
        <v>7031905</v>
      </c>
      <c r="W63" s="6">
        <v>136686560</v>
      </c>
      <c r="X63" s="6">
        <v>8130449.5</v>
      </c>
      <c r="Y63" s="6">
        <v>305</v>
      </c>
      <c r="Z63" s="6">
        <v>4251399.5</v>
      </c>
      <c r="AA63" s="6">
        <v>0</v>
      </c>
      <c r="AB63" s="6">
        <v>81959990</v>
      </c>
      <c r="AC63" s="6">
        <v>82918870</v>
      </c>
      <c r="AD63" s="6">
        <v>0</v>
      </c>
      <c r="AE63" s="6">
        <f t="shared" si="0"/>
        <v>401317150</v>
      </c>
      <c r="AF63" s="6">
        <f t="shared" si="1"/>
        <v>9581913</v>
      </c>
      <c r="AG63" s="6">
        <f t="shared" si="13"/>
        <v>668014.9</v>
      </c>
      <c r="AH63" s="6">
        <f t="shared" si="2"/>
        <v>391067222.10000002</v>
      </c>
      <c r="AI63" s="6">
        <f t="shared" si="3"/>
        <v>15631410</v>
      </c>
      <c r="AJ63" s="6">
        <f t="shared" si="4"/>
        <v>25334825.5</v>
      </c>
      <c r="AK63" s="6">
        <f t="shared" si="5"/>
        <v>305</v>
      </c>
      <c r="AL63" s="6">
        <f t="shared" si="6"/>
        <v>8130449.5</v>
      </c>
      <c r="AM63" s="6">
        <f t="shared" si="7"/>
        <v>341970227.89999998</v>
      </c>
      <c r="AN63" s="10">
        <f t="shared" si="8"/>
        <v>3.9971158707857349E-2</v>
      </c>
      <c r="AO63" s="10">
        <f t="shared" si="9"/>
        <v>6.4783812266223678E-2</v>
      </c>
      <c r="AP63" s="10">
        <f t="shared" si="10"/>
        <v>7.7991706480071158E-7</v>
      </c>
      <c r="AQ63" s="10">
        <f t="shared" si="11"/>
        <v>2.0790414129673487E-2</v>
      </c>
      <c r="AR63" s="10">
        <f t="shared" si="12"/>
        <v>0.87445382423933904</v>
      </c>
    </row>
    <row r="64" spans="1:44" x14ac:dyDescent="0.3">
      <c r="A64" t="s">
        <v>6</v>
      </c>
      <c r="B64" t="s">
        <v>178</v>
      </c>
      <c r="C64" t="s">
        <v>161</v>
      </c>
      <c r="D64" s="7">
        <v>2045</v>
      </c>
      <c r="E64" s="6">
        <v>0.91</v>
      </c>
      <c r="F64" s="6">
        <v>65.900000000000006</v>
      </c>
      <c r="G64" s="15">
        <v>79.400000000000006</v>
      </c>
      <c r="H64" s="15">
        <v>383.2</v>
      </c>
      <c r="I64" s="6">
        <v>441697800</v>
      </c>
      <c r="J64" s="6">
        <v>213953800</v>
      </c>
      <c r="K64" s="6">
        <v>28234586</v>
      </c>
      <c r="L64" s="6">
        <v>622559</v>
      </c>
      <c r="M64" s="6">
        <v>0</v>
      </c>
      <c r="N64" s="6">
        <v>9902913</v>
      </c>
      <c r="O64" s="6">
        <v>13398121</v>
      </c>
      <c r="P64" s="6">
        <v>0</v>
      </c>
      <c r="Q64" s="6">
        <v>194756.4</v>
      </c>
      <c r="R64" s="6">
        <v>8774335</v>
      </c>
      <c r="S64" s="6">
        <v>25450434</v>
      </c>
      <c r="T64" s="6">
        <v>0</v>
      </c>
      <c r="U64" s="6">
        <v>1210007.1000000001</v>
      </c>
      <c r="V64" s="6">
        <v>6369765</v>
      </c>
      <c r="W64" s="6">
        <v>129970510</v>
      </c>
      <c r="X64" s="6">
        <v>8006360</v>
      </c>
      <c r="Y64" s="6">
        <v>86.4</v>
      </c>
      <c r="Z64" s="6">
        <v>4578663.5</v>
      </c>
      <c r="AA64" s="6">
        <v>0</v>
      </c>
      <c r="AB64" s="6">
        <v>107130820</v>
      </c>
      <c r="AC64" s="6">
        <v>97853880</v>
      </c>
      <c r="AD64" s="6">
        <v>0</v>
      </c>
      <c r="AE64" s="6">
        <f t="shared" si="0"/>
        <v>441697800</v>
      </c>
      <c r="AF64" s="6">
        <f t="shared" si="1"/>
        <v>9902913</v>
      </c>
      <c r="AG64" s="6">
        <f t="shared" si="13"/>
        <v>622559</v>
      </c>
      <c r="AH64" s="6">
        <f t="shared" si="2"/>
        <v>431172328</v>
      </c>
      <c r="AI64" s="6">
        <f t="shared" si="3"/>
        <v>13398121</v>
      </c>
      <c r="AJ64" s="6">
        <f t="shared" si="4"/>
        <v>26660441.100000001</v>
      </c>
      <c r="AK64" s="6">
        <f t="shared" si="5"/>
        <v>86.4</v>
      </c>
      <c r="AL64" s="6">
        <f t="shared" si="6"/>
        <v>8006360</v>
      </c>
      <c r="AM64" s="6">
        <f t="shared" si="7"/>
        <v>383107315.89999998</v>
      </c>
      <c r="AN64" s="10">
        <f t="shared" si="8"/>
        <v>3.1073703319847559E-2</v>
      </c>
      <c r="AO64" s="10">
        <f t="shared" si="9"/>
        <v>6.1832449275362592E-2</v>
      </c>
      <c r="AP64" s="10">
        <f t="shared" si="10"/>
        <v>2.0038391703096495E-7</v>
      </c>
      <c r="AQ64" s="10">
        <f t="shared" si="11"/>
        <v>1.8568816874537458E-2</v>
      </c>
      <c r="AR64" s="10">
        <f t="shared" si="12"/>
        <v>0.88852482179700543</v>
      </c>
    </row>
    <row r="65" spans="1:44" x14ac:dyDescent="0.3">
      <c r="A65" t="s">
        <v>6</v>
      </c>
      <c r="B65" t="s">
        <v>178</v>
      </c>
      <c r="C65" t="s">
        <v>161</v>
      </c>
      <c r="D65" s="7">
        <v>2050</v>
      </c>
      <c r="E65" s="6">
        <v>0.93</v>
      </c>
      <c r="F65" s="6">
        <v>51</v>
      </c>
      <c r="G65" s="15">
        <v>84.2</v>
      </c>
      <c r="H65" s="15">
        <v>362.4</v>
      </c>
      <c r="I65" s="6">
        <v>516730720</v>
      </c>
      <c r="J65" s="6">
        <v>286782600</v>
      </c>
      <c r="K65" s="6">
        <v>37371570</v>
      </c>
      <c r="L65" s="6">
        <v>600820.5</v>
      </c>
      <c r="M65" s="6">
        <v>0</v>
      </c>
      <c r="N65" s="6">
        <v>9889438</v>
      </c>
      <c r="O65" s="6">
        <v>9410402</v>
      </c>
      <c r="P65" s="6">
        <v>0</v>
      </c>
      <c r="Q65" s="6">
        <v>0</v>
      </c>
      <c r="R65" s="6">
        <v>8951480</v>
      </c>
      <c r="S65" s="6">
        <v>25966848</v>
      </c>
      <c r="T65" s="6">
        <v>0</v>
      </c>
      <c r="U65" s="6">
        <v>3282976</v>
      </c>
      <c r="V65" s="6">
        <v>5348263</v>
      </c>
      <c r="W65" s="6">
        <v>125607384</v>
      </c>
      <c r="X65" s="6">
        <v>7952295</v>
      </c>
      <c r="Y65" s="6">
        <v>0</v>
      </c>
      <c r="Z65" s="6">
        <v>4518133</v>
      </c>
      <c r="AA65" s="6">
        <v>0</v>
      </c>
      <c r="AB65" s="6">
        <v>135575940</v>
      </c>
      <c r="AC65" s="6">
        <v>142255180</v>
      </c>
      <c r="AD65" s="6">
        <v>0</v>
      </c>
      <c r="AE65" s="6">
        <f t="shared" si="0"/>
        <v>516730720</v>
      </c>
      <c r="AF65" s="6">
        <f t="shared" si="1"/>
        <v>9889438</v>
      </c>
      <c r="AG65" s="6">
        <f t="shared" si="13"/>
        <v>600820.5</v>
      </c>
      <c r="AH65" s="6">
        <f t="shared" si="2"/>
        <v>506240461.5</v>
      </c>
      <c r="AI65" s="6">
        <f t="shared" si="3"/>
        <v>9410402</v>
      </c>
      <c r="AJ65" s="6">
        <f t="shared" si="4"/>
        <v>29249824</v>
      </c>
      <c r="AK65" s="6">
        <f t="shared" si="5"/>
        <v>0</v>
      </c>
      <c r="AL65" s="6">
        <f t="shared" si="6"/>
        <v>7952295</v>
      </c>
      <c r="AM65" s="6">
        <f t="shared" si="7"/>
        <v>459627950</v>
      </c>
      <c r="AN65" s="10">
        <f t="shared" si="8"/>
        <v>1.8588798635566985E-2</v>
      </c>
      <c r="AO65" s="10">
        <f t="shared" si="9"/>
        <v>5.7778518756347964E-2</v>
      </c>
      <c r="AP65" s="10">
        <f t="shared" si="10"/>
        <v>0</v>
      </c>
      <c r="AQ65" s="10">
        <f t="shared" si="11"/>
        <v>1.5708533009070828E-2</v>
      </c>
      <c r="AR65" s="10">
        <f t="shared" si="12"/>
        <v>0.90792416836479994</v>
      </c>
    </row>
    <row r="66" spans="1:44" x14ac:dyDescent="0.3">
      <c r="A66" t="s">
        <v>6</v>
      </c>
      <c r="B66" t="s">
        <v>178</v>
      </c>
      <c r="C66" t="s">
        <v>162</v>
      </c>
      <c r="D66" s="7">
        <v>2024</v>
      </c>
      <c r="E66" s="6">
        <v>0.68</v>
      </c>
      <c r="F66" s="6">
        <v>204.1</v>
      </c>
      <c r="G66" s="15">
        <v>311</v>
      </c>
      <c r="H66" s="15">
        <v>826.3</v>
      </c>
      <c r="I66" s="6">
        <v>145090400</v>
      </c>
      <c r="J66" s="6">
        <v>27614320</v>
      </c>
      <c r="K66" s="6">
        <v>1422539.9</v>
      </c>
      <c r="L66" s="6">
        <v>2012466.8</v>
      </c>
      <c r="M66" s="6">
        <v>0</v>
      </c>
      <c r="N66" s="6">
        <v>13724098</v>
      </c>
      <c r="O66" s="6">
        <v>1671968.4</v>
      </c>
      <c r="P66" s="6">
        <v>0</v>
      </c>
      <c r="Q66" s="6">
        <v>0</v>
      </c>
      <c r="R66" s="6">
        <v>2489187</v>
      </c>
      <c r="S66" s="6">
        <v>36563612</v>
      </c>
      <c r="T66" s="6">
        <v>0</v>
      </c>
      <c r="U66" s="6">
        <v>1401580.1</v>
      </c>
      <c r="V66" s="6">
        <v>0</v>
      </c>
      <c r="W66" s="6">
        <v>26825972</v>
      </c>
      <c r="X66" s="6">
        <v>25580692</v>
      </c>
      <c r="Y66" s="6">
        <v>6781995</v>
      </c>
      <c r="Z66" s="6">
        <v>1491155.6</v>
      </c>
      <c r="AA66" s="6">
        <v>0</v>
      </c>
      <c r="AB66" s="6">
        <v>7687428</v>
      </c>
      <c r="AC66" s="6">
        <v>16954940</v>
      </c>
      <c r="AD66" s="6">
        <v>482764.3</v>
      </c>
      <c r="AE66" s="6">
        <f t="shared" si="0"/>
        <v>145090400</v>
      </c>
      <c r="AF66" s="6">
        <f t="shared" si="1"/>
        <v>13724098</v>
      </c>
      <c r="AG66" s="6">
        <f t="shared" si="13"/>
        <v>2012466.8</v>
      </c>
      <c r="AH66" s="6">
        <f t="shared" si="2"/>
        <v>129353835.2</v>
      </c>
      <c r="AI66" s="6">
        <f t="shared" si="3"/>
        <v>1671968.4</v>
      </c>
      <c r="AJ66" s="6">
        <f t="shared" si="4"/>
        <v>37965192.100000001</v>
      </c>
      <c r="AK66" s="6">
        <f t="shared" si="5"/>
        <v>6781995</v>
      </c>
      <c r="AL66" s="6">
        <f t="shared" si="6"/>
        <v>25580692</v>
      </c>
      <c r="AM66" s="6">
        <f t="shared" si="7"/>
        <v>57353986.799999997</v>
      </c>
      <c r="AN66" s="10">
        <f t="shared" si="8"/>
        <v>1.2925541770098208E-2</v>
      </c>
      <c r="AO66" s="10">
        <f t="shared" si="9"/>
        <v>0.29349877443757461</v>
      </c>
      <c r="AP66" s="10">
        <f t="shared" si="10"/>
        <v>5.2429794520696203E-2</v>
      </c>
      <c r="AQ66" s="10">
        <f t="shared" si="11"/>
        <v>0.19775750723160623</v>
      </c>
      <c r="AR66" s="10">
        <f t="shared" si="12"/>
        <v>0.44338837508236473</v>
      </c>
    </row>
    <row r="67" spans="1:44" x14ac:dyDescent="0.3">
      <c r="A67" t="s">
        <v>6</v>
      </c>
      <c r="B67" t="s">
        <v>178</v>
      </c>
      <c r="C67" t="s">
        <v>162</v>
      </c>
      <c r="D67" s="7">
        <v>2026</v>
      </c>
      <c r="E67" s="6">
        <v>0.75</v>
      </c>
      <c r="F67" s="6">
        <v>146.9</v>
      </c>
      <c r="G67" s="15">
        <v>263.7</v>
      </c>
      <c r="H67" s="15">
        <v>777.6</v>
      </c>
      <c r="I67" s="6">
        <v>157991920</v>
      </c>
      <c r="J67" s="6">
        <v>38366936</v>
      </c>
      <c r="K67" s="6">
        <v>1802821.6</v>
      </c>
      <c r="L67" s="6">
        <v>2005208.2</v>
      </c>
      <c r="M67" s="6">
        <v>0</v>
      </c>
      <c r="N67" s="6">
        <v>22659312</v>
      </c>
      <c r="O67" s="6">
        <v>1159360.6000000001</v>
      </c>
      <c r="P67" s="6">
        <v>0</v>
      </c>
      <c r="Q67" s="6">
        <v>0</v>
      </c>
      <c r="R67" s="6">
        <v>2848871.8</v>
      </c>
      <c r="S67" s="6">
        <v>33140372</v>
      </c>
      <c r="T67" s="6">
        <v>0</v>
      </c>
      <c r="U67" s="6">
        <v>907384.2</v>
      </c>
      <c r="V67" s="6">
        <v>0</v>
      </c>
      <c r="W67" s="6">
        <v>27633596</v>
      </c>
      <c r="X67" s="6">
        <v>25558522</v>
      </c>
      <c r="Y67" s="6">
        <v>3710215.5</v>
      </c>
      <c r="Z67" s="6">
        <v>1048188</v>
      </c>
      <c r="AA67" s="6">
        <v>0</v>
      </c>
      <c r="AB67" s="6">
        <v>7570019</v>
      </c>
      <c r="AC67" s="6">
        <v>16863508</v>
      </c>
      <c r="AD67" s="6">
        <v>11084536</v>
      </c>
      <c r="AE67" s="6">
        <f t="shared" ref="AE67:AE130" si="14">I67</f>
        <v>157991920</v>
      </c>
      <c r="AF67" s="6">
        <f t="shared" ref="AF67:AF130" si="15">N67</f>
        <v>22659312</v>
      </c>
      <c r="AG67" s="6">
        <f t="shared" si="13"/>
        <v>2005208.2</v>
      </c>
      <c r="AH67" s="6">
        <f t="shared" ref="AH67:AH130" si="16">AE67-AF67-AG67</f>
        <v>133327399.8</v>
      </c>
      <c r="AI67" s="6">
        <f t="shared" ref="AI67:AI130" si="17">SUM(O67,P67)</f>
        <v>1159360.6000000001</v>
      </c>
      <c r="AJ67" s="6">
        <f t="shared" ref="AJ67:AJ130" si="18">SUM(S67,T67,U67)</f>
        <v>34047756.200000003</v>
      </c>
      <c r="AK67" s="6">
        <f t="shared" ref="AK67:AK130" si="19">Y67</f>
        <v>3710215.5</v>
      </c>
      <c r="AL67" s="6">
        <f t="shared" ref="AL67:AL130" si="20">X67</f>
        <v>25558522</v>
      </c>
      <c r="AM67" s="6">
        <f t="shared" ref="AM67:AM130" si="21">SUM(K67,Q67,R67,V67,W67,Z67,AA67,AB67,AC67,AD67)</f>
        <v>68851540.400000006</v>
      </c>
      <c r="AN67" s="10">
        <f t="shared" ref="AN67:AN130" si="22">AI67/AH67</f>
        <v>8.6955914668636631E-3</v>
      </c>
      <c r="AO67" s="10">
        <f t="shared" ref="AO67:AO130" si="23">AJ67/AH67</f>
        <v>0.25536953582739863</v>
      </c>
      <c r="AP67" s="10">
        <f t="shared" ref="AP67:AP130" si="24">AK67/AH67</f>
        <v>2.7827854631272873E-2</v>
      </c>
      <c r="AQ67" s="10">
        <f t="shared" ref="AQ67:AQ130" si="25">AL67/AH67</f>
        <v>0.19169744582388534</v>
      </c>
      <c r="AR67" s="10">
        <f t="shared" ref="AR67:AR130" si="26">AM67/AH67</f>
        <v>0.51640953399887735</v>
      </c>
    </row>
    <row r="68" spans="1:44" x14ac:dyDescent="0.3">
      <c r="A68" t="s">
        <v>6</v>
      </c>
      <c r="B68" t="s">
        <v>178</v>
      </c>
      <c r="C68" t="s">
        <v>162</v>
      </c>
      <c r="D68" s="7">
        <v>2028</v>
      </c>
      <c r="E68" s="6">
        <v>0.78</v>
      </c>
      <c r="F68" s="6">
        <v>130.30000000000001</v>
      </c>
      <c r="G68" s="15">
        <v>169.9</v>
      </c>
      <c r="H68" s="15">
        <v>704.2</v>
      </c>
      <c r="I68" s="6">
        <v>164207630</v>
      </c>
      <c r="J68" s="6">
        <v>43065080</v>
      </c>
      <c r="K68" s="6">
        <v>2519897.5</v>
      </c>
      <c r="L68" s="6">
        <v>1994894.8</v>
      </c>
      <c r="M68" s="6">
        <v>0</v>
      </c>
      <c r="N68" s="6">
        <v>25173490</v>
      </c>
      <c r="O68" s="6">
        <v>606499.5</v>
      </c>
      <c r="P68" s="6">
        <v>0</v>
      </c>
      <c r="Q68" s="6">
        <v>0</v>
      </c>
      <c r="R68" s="6">
        <v>3403371.5</v>
      </c>
      <c r="S68" s="6">
        <v>31699098</v>
      </c>
      <c r="T68" s="6">
        <v>0</v>
      </c>
      <c r="U68" s="6">
        <v>824523.8</v>
      </c>
      <c r="V68" s="6">
        <v>0</v>
      </c>
      <c r="W68" s="6">
        <v>27928172</v>
      </c>
      <c r="X68" s="6">
        <v>25488708</v>
      </c>
      <c r="Y68" s="6">
        <v>3405164.8</v>
      </c>
      <c r="Z68" s="6">
        <v>1502101.2</v>
      </c>
      <c r="AA68" s="6">
        <v>0</v>
      </c>
      <c r="AB68" s="6">
        <v>7462459</v>
      </c>
      <c r="AC68" s="6">
        <v>16772566</v>
      </c>
      <c r="AD68" s="6">
        <v>15426682</v>
      </c>
      <c r="AE68" s="6">
        <f t="shared" si="14"/>
        <v>164207630</v>
      </c>
      <c r="AF68" s="6">
        <f t="shared" si="15"/>
        <v>25173490</v>
      </c>
      <c r="AG68" s="6">
        <f t="shared" ref="AG68:AG131" si="27">SUM(L68,M68)</f>
        <v>1994894.8</v>
      </c>
      <c r="AH68" s="6">
        <f t="shared" si="16"/>
        <v>137039245.19999999</v>
      </c>
      <c r="AI68" s="6">
        <f t="shared" si="17"/>
        <v>606499.5</v>
      </c>
      <c r="AJ68" s="6">
        <f t="shared" si="18"/>
        <v>32523621.800000001</v>
      </c>
      <c r="AK68" s="6">
        <f t="shared" si="19"/>
        <v>3405164.8</v>
      </c>
      <c r="AL68" s="6">
        <f t="shared" si="20"/>
        <v>25488708</v>
      </c>
      <c r="AM68" s="6">
        <f t="shared" si="21"/>
        <v>75015249.200000003</v>
      </c>
      <c r="AN68" s="10">
        <f t="shared" si="22"/>
        <v>4.4257358475293185E-3</v>
      </c>
      <c r="AO68" s="10">
        <f t="shared" si="23"/>
        <v>0.23733071320214777</v>
      </c>
      <c r="AP68" s="10">
        <f t="shared" si="24"/>
        <v>2.4848099499018551E-2</v>
      </c>
      <c r="AQ68" s="10">
        <f t="shared" si="25"/>
        <v>0.18599568293594193</v>
      </c>
      <c r="AR68" s="10">
        <f t="shared" si="26"/>
        <v>0.5473997546507211</v>
      </c>
    </row>
    <row r="69" spans="1:44" x14ac:dyDescent="0.3">
      <c r="A69" t="s">
        <v>6</v>
      </c>
      <c r="B69" t="s">
        <v>178</v>
      </c>
      <c r="C69" t="s">
        <v>162</v>
      </c>
      <c r="D69" s="7">
        <v>2030</v>
      </c>
      <c r="E69" s="6">
        <v>0.82</v>
      </c>
      <c r="F69" s="6">
        <v>107.9</v>
      </c>
      <c r="G69" s="15">
        <v>100.1</v>
      </c>
      <c r="H69" s="15">
        <v>664</v>
      </c>
      <c r="I69" s="6">
        <v>180624690</v>
      </c>
      <c r="J69" s="6">
        <v>61705270</v>
      </c>
      <c r="K69" s="6">
        <v>4723330.5</v>
      </c>
      <c r="L69" s="6">
        <v>1961062.8</v>
      </c>
      <c r="M69" s="6">
        <v>0</v>
      </c>
      <c r="N69" s="6">
        <v>24763826</v>
      </c>
      <c r="O69" s="6">
        <v>414425.1</v>
      </c>
      <c r="P69" s="6">
        <v>0</v>
      </c>
      <c r="Q69" s="6">
        <v>0</v>
      </c>
      <c r="R69" s="6">
        <v>4275024</v>
      </c>
      <c r="S69" s="6">
        <v>28210400</v>
      </c>
      <c r="T69" s="6">
        <v>0</v>
      </c>
      <c r="U69" s="6">
        <v>833810</v>
      </c>
      <c r="V69" s="6">
        <v>0</v>
      </c>
      <c r="W69" s="6">
        <v>27743686</v>
      </c>
      <c r="X69" s="6">
        <v>25199000</v>
      </c>
      <c r="Y69" s="6">
        <v>3488283.2</v>
      </c>
      <c r="Z69" s="6">
        <v>1581585.2</v>
      </c>
      <c r="AA69" s="6">
        <v>0</v>
      </c>
      <c r="AB69" s="6">
        <v>25401616</v>
      </c>
      <c r="AC69" s="6">
        <v>16682117</v>
      </c>
      <c r="AD69" s="6">
        <v>15346520</v>
      </c>
      <c r="AE69" s="6">
        <f t="shared" si="14"/>
        <v>180624690</v>
      </c>
      <c r="AF69" s="6">
        <f t="shared" si="15"/>
        <v>24763826</v>
      </c>
      <c r="AG69" s="6">
        <f t="shared" si="27"/>
        <v>1961062.8</v>
      </c>
      <c r="AH69" s="6">
        <f t="shared" si="16"/>
        <v>153899801.19999999</v>
      </c>
      <c r="AI69" s="6">
        <f t="shared" si="17"/>
        <v>414425.1</v>
      </c>
      <c r="AJ69" s="6">
        <f t="shared" si="18"/>
        <v>29044210</v>
      </c>
      <c r="AK69" s="6">
        <f t="shared" si="19"/>
        <v>3488283.2</v>
      </c>
      <c r="AL69" s="6">
        <f t="shared" si="20"/>
        <v>25199000</v>
      </c>
      <c r="AM69" s="6">
        <f t="shared" si="21"/>
        <v>95753878.700000003</v>
      </c>
      <c r="AN69" s="10">
        <f t="shared" si="22"/>
        <v>2.6928241412179292E-3</v>
      </c>
      <c r="AO69" s="10">
        <f t="shared" si="23"/>
        <v>0.18872155632128265</v>
      </c>
      <c r="AP69" s="10">
        <f t="shared" si="24"/>
        <v>2.2665937010969969E-2</v>
      </c>
      <c r="AQ69" s="10">
        <f t="shared" si="25"/>
        <v>0.16373640383883745</v>
      </c>
      <c r="AR69" s="10">
        <f t="shared" si="26"/>
        <v>0.62218325139720854</v>
      </c>
    </row>
    <row r="70" spans="1:44" x14ac:dyDescent="0.3">
      <c r="A70" t="s">
        <v>6</v>
      </c>
      <c r="B70" t="s">
        <v>178</v>
      </c>
      <c r="C70" t="s">
        <v>162</v>
      </c>
      <c r="D70" s="7">
        <v>2035</v>
      </c>
      <c r="E70" s="6">
        <v>0.84</v>
      </c>
      <c r="F70" s="6">
        <v>85</v>
      </c>
      <c r="G70" s="15">
        <v>30.4</v>
      </c>
      <c r="H70" s="15">
        <v>595.29999999999995</v>
      </c>
      <c r="I70" s="6">
        <v>208712320</v>
      </c>
      <c r="J70" s="6">
        <v>87304050</v>
      </c>
      <c r="K70" s="6">
        <v>8587086</v>
      </c>
      <c r="L70" s="6">
        <v>1506783.8</v>
      </c>
      <c r="M70" s="6">
        <v>0</v>
      </c>
      <c r="N70" s="6">
        <v>24044820</v>
      </c>
      <c r="O70" s="6">
        <v>0</v>
      </c>
      <c r="P70" s="6">
        <v>0</v>
      </c>
      <c r="Q70" s="6">
        <v>0</v>
      </c>
      <c r="R70" s="6">
        <v>5264557.5</v>
      </c>
      <c r="S70" s="6">
        <v>31161808</v>
      </c>
      <c r="T70" s="6">
        <v>0</v>
      </c>
      <c r="U70" s="6">
        <v>642655.9</v>
      </c>
      <c r="V70" s="6">
        <v>0</v>
      </c>
      <c r="W70" s="6">
        <v>27323588</v>
      </c>
      <c r="X70" s="6">
        <v>24941010</v>
      </c>
      <c r="Y70" s="6">
        <v>1592315.2</v>
      </c>
      <c r="Z70" s="6">
        <v>1608202.9</v>
      </c>
      <c r="AA70" s="6">
        <v>0</v>
      </c>
      <c r="AB70" s="6">
        <v>33781890</v>
      </c>
      <c r="AC70" s="6">
        <v>16661789</v>
      </c>
      <c r="AD70" s="6">
        <v>31595812</v>
      </c>
      <c r="AE70" s="6">
        <f t="shared" si="14"/>
        <v>208712320</v>
      </c>
      <c r="AF70" s="6">
        <f t="shared" si="15"/>
        <v>24044820</v>
      </c>
      <c r="AG70" s="6">
        <f t="shared" si="27"/>
        <v>1506783.8</v>
      </c>
      <c r="AH70" s="6">
        <f t="shared" si="16"/>
        <v>183160716.19999999</v>
      </c>
      <c r="AI70" s="6">
        <f t="shared" si="17"/>
        <v>0</v>
      </c>
      <c r="AJ70" s="6">
        <f t="shared" si="18"/>
        <v>31804463.899999999</v>
      </c>
      <c r="AK70" s="6">
        <f t="shared" si="19"/>
        <v>1592315.2</v>
      </c>
      <c r="AL70" s="6">
        <f t="shared" si="20"/>
        <v>24941010</v>
      </c>
      <c r="AM70" s="6">
        <f t="shared" si="21"/>
        <v>124822925.40000001</v>
      </c>
      <c r="AN70" s="10">
        <f t="shared" si="22"/>
        <v>0</v>
      </c>
      <c r="AO70" s="10">
        <f t="shared" si="23"/>
        <v>0.17364238664185788</v>
      </c>
      <c r="AP70" s="10">
        <f t="shared" si="24"/>
        <v>8.693541022526315E-3</v>
      </c>
      <c r="AQ70" s="10">
        <f t="shared" si="25"/>
        <v>0.13617008339695497</v>
      </c>
      <c r="AR70" s="10">
        <f t="shared" si="26"/>
        <v>0.68149397965719472</v>
      </c>
    </row>
    <row r="71" spans="1:44" x14ac:dyDescent="0.3">
      <c r="A71" t="s">
        <v>6</v>
      </c>
      <c r="B71" t="s">
        <v>178</v>
      </c>
      <c r="C71" t="s">
        <v>162</v>
      </c>
      <c r="D71" s="7">
        <v>2040</v>
      </c>
      <c r="E71" s="6">
        <v>0.82</v>
      </c>
      <c r="F71" s="6">
        <v>97.1</v>
      </c>
      <c r="G71" s="15">
        <v>9.5</v>
      </c>
      <c r="H71" s="15">
        <v>574.6</v>
      </c>
      <c r="I71" s="6">
        <v>257232690</v>
      </c>
      <c r="J71" s="6">
        <v>120666030</v>
      </c>
      <c r="K71" s="6">
        <v>12295237</v>
      </c>
      <c r="L71" s="6">
        <v>1471275.6</v>
      </c>
      <c r="M71" s="6">
        <v>0</v>
      </c>
      <c r="N71" s="6">
        <v>23035360</v>
      </c>
      <c r="O71" s="6">
        <v>0</v>
      </c>
      <c r="P71" s="6">
        <v>0</v>
      </c>
      <c r="Q71" s="6">
        <v>0</v>
      </c>
      <c r="R71" s="6">
        <v>5379280</v>
      </c>
      <c r="S71" s="6">
        <v>40766670</v>
      </c>
      <c r="T71" s="6">
        <v>0</v>
      </c>
      <c r="U71" s="6">
        <v>3699440.8</v>
      </c>
      <c r="V71" s="6">
        <v>0</v>
      </c>
      <c r="W71" s="6">
        <v>26999984</v>
      </c>
      <c r="X71" s="6">
        <v>24676794</v>
      </c>
      <c r="Y71" s="6">
        <v>1902090.8</v>
      </c>
      <c r="Z71" s="6">
        <v>1719797.8</v>
      </c>
      <c r="AA71" s="6">
        <v>0</v>
      </c>
      <c r="AB71" s="6">
        <v>57764940</v>
      </c>
      <c r="AC71" s="6">
        <v>26383208</v>
      </c>
      <c r="AD71" s="6">
        <v>31138612</v>
      </c>
      <c r="AE71" s="6">
        <f t="shared" si="14"/>
        <v>257232690</v>
      </c>
      <c r="AF71" s="6">
        <f t="shared" si="15"/>
        <v>23035360</v>
      </c>
      <c r="AG71" s="6">
        <f t="shared" si="27"/>
        <v>1471275.6</v>
      </c>
      <c r="AH71" s="6">
        <f t="shared" si="16"/>
        <v>232726054.40000001</v>
      </c>
      <c r="AI71" s="6">
        <f t="shared" si="17"/>
        <v>0</v>
      </c>
      <c r="AJ71" s="6">
        <f t="shared" si="18"/>
        <v>44466110.799999997</v>
      </c>
      <c r="AK71" s="6">
        <f t="shared" si="19"/>
        <v>1902090.8</v>
      </c>
      <c r="AL71" s="6">
        <f t="shared" si="20"/>
        <v>24676794</v>
      </c>
      <c r="AM71" s="6">
        <f t="shared" si="21"/>
        <v>161681058.80000001</v>
      </c>
      <c r="AN71" s="10">
        <f t="shared" si="22"/>
        <v>0</v>
      </c>
      <c r="AO71" s="10">
        <f t="shared" si="23"/>
        <v>0.19106632007593558</v>
      </c>
      <c r="AP71" s="10">
        <f t="shared" si="24"/>
        <v>8.1730891923719219E-3</v>
      </c>
      <c r="AQ71" s="10">
        <f t="shared" si="25"/>
        <v>0.10603365430493028</v>
      </c>
      <c r="AR71" s="10">
        <f t="shared" si="26"/>
        <v>0.6947269364267622</v>
      </c>
    </row>
    <row r="72" spans="1:44" x14ac:dyDescent="0.3">
      <c r="A72" t="s">
        <v>6</v>
      </c>
      <c r="B72" t="s">
        <v>178</v>
      </c>
      <c r="C72" t="s">
        <v>162</v>
      </c>
      <c r="D72" s="7">
        <v>2045</v>
      </c>
      <c r="E72" s="6">
        <v>0.79</v>
      </c>
      <c r="F72" s="6">
        <v>116</v>
      </c>
      <c r="G72" s="15">
        <v>0</v>
      </c>
      <c r="H72" s="15">
        <v>592.6</v>
      </c>
      <c r="I72" s="6">
        <v>292803260</v>
      </c>
      <c r="J72" s="6">
        <v>136542110</v>
      </c>
      <c r="K72" s="6">
        <v>16507154</v>
      </c>
      <c r="L72" s="6">
        <v>1469692.1</v>
      </c>
      <c r="M72" s="6">
        <v>0</v>
      </c>
      <c r="N72" s="6">
        <v>23074822</v>
      </c>
      <c r="O72" s="6">
        <v>0</v>
      </c>
      <c r="P72" s="6">
        <v>0</v>
      </c>
      <c r="Q72" s="6">
        <v>0</v>
      </c>
      <c r="R72" s="6">
        <v>6139105.5</v>
      </c>
      <c r="S72" s="6">
        <v>50869090</v>
      </c>
      <c r="T72" s="6">
        <v>0</v>
      </c>
      <c r="U72" s="6">
        <v>8172601</v>
      </c>
      <c r="V72" s="6">
        <v>0</v>
      </c>
      <c r="W72" s="6">
        <v>27125674</v>
      </c>
      <c r="X72" s="6">
        <v>24639800</v>
      </c>
      <c r="Y72" s="6">
        <v>2595776.7999999998</v>
      </c>
      <c r="Z72" s="6">
        <v>1806547.8</v>
      </c>
      <c r="AA72" s="6">
        <v>0</v>
      </c>
      <c r="AB72" s="6">
        <v>68178290</v>
      </c>
      <c r="AC72" s="6">
        <v>31559820</v>
      </c>
      <c r="AD72" s="6">
        <v>30664890</v>
      </c>
      <c r="AE72" s="6">
        <f t="shared" si="14"/>
        <v>292803260</v>
      </c>
      <c r="AF72" s="6">
        <f t="shared" si="15"/>
        <v>23074822</v>
      </c>
      <c r="AG72" s="6">
        <f t="shared" si="27"/>
        <v>1469692.1</v>
      </c>
      <c r="AH72" s="6">
        <f t="shared" si="16"/>
        <v>268258745.90000001</v>
      </c>
      <c r="AI72" s="6">
        <f t="shared" si="17"/>
        <v>0</v>
      </c>
      <c r="AJ72" s="6">
        <f t="shared" si="18"/>
        <v>59041691</v>
      </c>
      <c r="AK72" s="6">
        <f t="shared" si="19"/>
        <v>2595776.7999999998</v>
      </c>
      <c r="AL72" s="6">
        <f t="shared" si="20"/>
        <v>24639800</v>
      </c>
      <c r="AM72" s="6">
        <f t="shared" si="21"/>
        <v>181981481.30000001</v>
      </c>
      <c r="AN72" s="10">
        <f t="shared" si="22"/>
        <v>0</v>
      </c>
      <c r="AO72" s="10">
        <f t="shared" si="23"/>
        <v>0.22009232467674783</v>
      </c>
      <c r="AP72" s="10">
        <f t="shared" si="24"/>
        <v>9.6763920642782657E-3</v>
      </c>
      <c r="AQ72" s="10">
        <f t="shared" si="25"/>
        <v>9.1850872997017163E-2</v>
      </c>
      <c r="AR72" s="10">
        <f t="shared" si="26"/>
        <v>0.67838042219073835</v>
      </c>
    </row>
    <row r="73" spans="1:44" x14ac:dyDescent="0.3">
      <c r="A73" t="s">
        <v>6</v>
      </c>
      <c r="B73" t="s">
        <v>178</v>
      </c>
      <c r="C73" t="s">
        <v>162</v>
      </c>
      <c r="D73" s="7">
        <v>2050</v>
      </c>
      <c r="E73" s="6">
        <v>0.78</v>
      </c>
      <c r="F73" s="6">
        <v>123</v>
      </c>
      <c r="G73" s="15">
        <v>0</v>
      </c>
      <c r="H73" s="15">
        <v>564.79999999999995</v>
      </c>
      <c r="I73" s="6">
        <v>322956860</v>
      </c>
      <c r="J73" s="6">
        <v>161498240</v>
      </c>
      <c r="K73" s="6">
        <v>23034096</v>
      </c>
      <c r="L73" s="6">
        <v>1415974.5</v>
      </c>
      <c r="M73" s="6">
        <v>0</v>
      </c>
      <c r="N73" s="6">
        <v>23067128</v>
      </c>
      <c r="O73" s="6">
        <v>0</v>
      </c>
      <c r="P73" s="6">
        <v>0</v>
      </c>
      <c r="Q73" s="6">
        <v>0</v>
      </c>
      <c r="R73" s="6">
        <v>6511819</v>
      </c>
      <c r="S73" s="6">
        <v>50224296</v>
      </c>
      <c r="T73" s="6">
        <v>0</v>
      </c>
      <c r="U73" s="6">
        <v>19741274</v>
      </c>
      <c r="V73" s="6">
        <v>0</v>
      </c>
      <c r="W73" s="6">
        <v>26185952</v>
      </c>
      <c r="X73" s="6">
        <v>15078731</v>
      </c>
      <c r="Y73" s="6">
        <v>685520.8</v>
      </c>
      <c r="Z73" s="6">
        <v>2025671.6</v>
      </c>
      <c r="AA73" s="6">
        <v>0</v>
      </c>
      <c r="AB73" s="6">
        <v>90047340</v>
      </c>
      <c r="AC73" s="6">
        <v>34886870</v>
      </c>
      <c r="AD73" s="6">
        <v>30052202</v>
      </c>
      <c r="AE73" s="6">
        <f t="shared" si="14"/>
        <v>322956860</v>
      </c>
      <c r="AF73" s="6">
        <f t="shared" si="15"/>
        <v>23067128</v>
      </c>
      <c r="AG73" s="6">
        <f t="shared" si="27"/>
        <v>1415974.5</v>
      </c>
      <c r="AH73" s="6">
        <f t="shared" si="16"/>
        <v>298473757.5</v>
      </c>
      <c r="AI73" s="6">
        <f t="shared" si="17"/>
        <v>0</v>
      </c>
      <c r="AJ73" s="6">
        <f t="shared" si="18"/>
        <v>69965570</v>
      </c>
      <c r="AK73" s="6">
        <f t="shared" si="19"/>
        <v>685520.8</v>
      </c>
      <c r="AL73" s="6">
        <f t="shared" si="20"/>
        <v>15078731</v>
      </c>
      <c r="AM73" s="6">
        <f t="shared" si="21"/>
        <v>212743950.59999999</v>
      </c>
      <c r="AN73" s="10">
        <f t="shared" si="22"/>
        <v>0</v>
      </c>
      <c r="AO73" s="10">
        <f t="shared" si="23"/>
        <v>0.23441112741712308</v>
      </c>
      <c r="AP73" s="10">
        <f t="shared" si="24"/>
        <v>2.2967540119502804E-3</v>
      </c>
      <c r="AQ73" s="10">
        <f t="shared" si="25"/>
        <v>5.0519453121435645E-2</v>
      </c>
      <c r="AR73" s="10">
        <f t="shared" si="26"/>
        <v>0.71277271537012765</v>
      </c>
    </row>
    <row r="74" spans="1:44" x14ac:dyDescent="0.3">
      <c r="A74" t="s">
        <v>6</v>
      </c>
      <c r="B74" t="s">
        <v>178</v>
      </c>
      <c r="C74" t="s">
        <v>163</v>
      </c>
      <c r="D74" s="7">
        <v>2024</v>
      </c>
      <c r="E74" s="6">
        <v>0.47</v>
      </c>
      <c r="F74" s="6">
        <v>293.3</v>
      </c>
      <c r="G74" s="15">
        <v>428.9</v>
      </c>
      <c r="H74" s="15">
        <v>855.8</v>
      </c>
      <c r="I74" s="6">
        <v>336315900</v>
      </c>
      <c r="J74" s="6">
        <v>49035456</v>
      </c>
      <c r="K74" s="6">
        <v>889047.1</v>
      </c>
      <c r="L74" s="6">
        <v>2687975.2</v>
      </c>
      <c r="M74" s="6">
        <v>0</v>
      </c>
      <c r="N74" s="6">
        <v>0</v>
      </c>
      <c r="O74" s="6">
        <v>14482765</v>
      </c>
      <c r="P74" s="6">
        <v>0</v>
      </c>
      <c r="Q74" s="6">
        <v>0</v>
      </c>
      <c r="R74" s="6">
        <v>7439097</v>
      </c>
      <c r="S74" s="6">
        <v>162719340</v>
      </c>
      <c r="T74" s="6">
        <v>0</v>
      </c>
      <c r="U74" s="6">
        <v>768310.3</v>
      </c>
      <c r="V74" s="6">
        <v>0</v>
      </c>
      <c r="W74" s="6">
        <v>4541532.5</v>
      </c>
      <c r="X74" s="6">
        <v>99557010</v>
      </c>
      <c r="Y74" s="6">
        <v>556985.59999999998</v>
      </c>
      <c r="Z74" s="6">
        <v>1077489.3999999999</v>
      </c>
      <c r="AA74" s="6">
        <v>0</v>
      </c>
      <c r="AB74" s="6">
        <v>22116730</v>
      </c>
      <c r="AC74" s="6">
        <v>10218395</v>
      </c>
      <c r="AD74" s="6">
        <v>9261237</v>
      </c>
      <c r="AE74" s="6">
        <f t="shared" si="14"/>
        <v>336315900</v>
      </c>
      <c r="AF74" s="6">
        <f t="shared" si="15"/>
        <v>0</v>
      </c>
      <c r="AG74" s="6">
        <f t="shared" si="27"/>
        <v>2687975.2</v>
      </c>
      <c r="AH74" s="6">
        <f t="shared" si="16"/>
        <v>333627924.80000001</v>
      </c>
      <c r="AI74" s="6">
        <f t="shared" si="17"/>
        <v>14482765</v>
      </c>
      <c r="AJ74" s="6">
        <f t="shared" si="18"/>
        <v>163487650.30000001</v>
      </c>
      <c r="AK74" s="6">
        <f t="shared" si="19"/>
        <v>556985.59999999998</v>
      </c>
      <c r="AL74" s="6">
        <f t="shared" si="20"/>
        <v>99557010</v>
      </c>
      <c r="AM74" s="6">
        <f t="shared" si="21"/>
        <v>55543528</v>
      </c>
      <c r="AN74" s="10">
        <f t="shared" si="22"/>
        <v>4.3409930414793622E-2</v>
      </c>
      <c r="AO74" s="10">
        <f t="shared" si="23"/>
        <v>0.49002987504120338</v>
      </c>
      <c r="AP74" s="10">
        <f t="shared" si="24"/>
        <v>1.6694813551170701E-3</v>
      </c>
      <c r="AQ74" s="10">
        <f t="shared" si="25"/>
        <v>0.29840730526283571</v>
      </c>
      <c r="AR74" s="10">
        <f t="shared" si="26"/>
        <v>0.16648345018869953</v>
      </c>
    </row>
    <row r="75" spans="1:44" x14ac:dyDescent="0.3">
      <c r="A75" t="s">
        <v>6</v>
      </c>
      <c r="B75" t="s">
        <v>178</v>
      </c>
      <c r="C75" t="s">
        <v>163</v>
      </c>
      <c r="D75" s="7">
        <v>2026</v>
      </c>
      <c r="E75" s="6">
        <v>0.5</v>
      </c>
      <c r="F75" s="6">
        <v>271.5</v>
      </c>
      <c r="G75" s="15">
        <v>375.8</v>
      </c>
      <c r="H75" s="15">
        <v>811</v>
      </c>
      <c r="I75" s="6">
        <v>335321060</v>
      </c>
      <c r="J75" s="6">
        <v>57174680</v>
      </c>
      <c r="K75" s="6">
        <v>1677783.2</v>
      </c>
      <c r="L75" s="6">
        <v>2685536.5</v>
      </c>
      <c r="M75" s="6">
        <v>0</v>
      </c>
      <c r="N75" s="6">
        <v>0</v>
      </c>
      <c r="O75" s="6">
        <v>11574337</v>
      </c>
      <c r="P75" s="6">
        <v>0</v>
      </c>
      <c r="Q75" s="6">
        <v>0</v>
      </c>
      <c r="R75" s="6">
        <v>9486132</v>
      </c>
      <c r="S75" s="6">
        <v>155428720</v>
      </c>
      <c r="T75" s="6">
        <v>0</v>
      </c>
      <c r="U75" s="6">
        <v>559884</v>
      </c>
      <c r="V75" s="6">
        <v>0</v>
      </c>
      <c r="W75" s="6">
        <v>4730131.5</v>
      </c>
      <c r="X75" s="6">
        <v>99479780</v>
      </c>
      <c r="Y75" s="6">
        <v>429423.2</v>
      </c>
      <c r="Z75" s="6">
        <v>1580769</v>
      </c>
      <c r="AA75" s="6">
        <v>0</v>
      </c>
      <c r="AB75" s="6">
        <v>21807864</v>
      </c>
      <c r="AC75" s="6">
        <v>10163292</v>
      </c>
      <c r="AD75" s="6">
        <v>15717395</v>
      </c>
      <c r="AE75" s="6">
        <f t="shared" si="14"/>
        <v>335321060</v>
      </c>
      <c r="AF75" s="6">
        <f t="shared" si="15"/>
        <v>0</v>
      </c>
      <c r="AG75" s="6">
        <f t="shared" si="27"/>
        <v>2685536.5</v>
      </c>
      <c r="AH75" s="6">
        <f t="shared" si="16"/>
        <v>332635523.5</v>
      </c>
      <c r="AI75" s="6">
        <f t="shared" si="17"/>
        <v>11574337</v>
      </c>
      <c r="AJ75" s="6">
        <f t="shared" si="18"/>
        <v>155988604</v>
      </c>
      <c r="AK75" s="6">
        <f t="shared" si="19"/>
        <v>429423.2</v>
      </c>
      <c r="AL75" s="6">
        <f t="shared" si="20"/>
        <v>99479780</v>
      </c>
      <c r="AM75" s="6">
        <f t="shared" si="21"/>
        <v>65163366.700000003</v>
      </c>
      <c r="AN75" s="10">
        <f t="shared" si="22"/>
        <v>3.4795853666543225E-2</v>
      </c>
      <c r="AO75" s="10">
        <f t="shared" si="23"/>
        <v>0.46894752057352046</v>
      </c>
      <c r="AP75" s="10">
        <f t="shared" si="24"/>
        <v>1.2909721592017516E-3</v>
      </c>
      <c r="AQ75" s="10">
        <f t="shared" si="25"/>
        <v>0.29906541235665707</v>
      </c>
      <c r="AR75" s="10">
        <f t="shared" si="26"/>
        <v>0.19590020336477984</v>
      </c>
    </row>
    <row r="76" spans="1:44" x14ac:dyDescent="0.3">
      <c r="A76" t="s">
        <v>6</v>
      </c>
      <c r="B76" t="s">
        <v>178</v>
      </c>
      <c r="C76" t="s">
        <v>163</v>
      </c>
      <c r="D76" s="7">
        <v>2028</v>
      </c>
      <c r="E76" s="6">
        <v>0.53</v>
      </c>
      <c r="F76" s="6">
        <v>250</v>
      </c>
      <c r="G76" s="15">
        <v>309.2</v>
      </c>
      <c r="H76" s="15">
        <v>736.8</v>
      </c>
      <c r="I76" s="6">
        <v>343520220</v>
      </c>
      <c r="J76" s="6">
        <v>69096610</v>
      </c>
      <c r="K76" s="6">
        <v>3276753.8</v>
      </c>
      <c r="L76" s="6">
        <v>2666077.5</v>
      </c>
      <c r="M76" s="6">
        <v>0</v>
      </c>
      <c r="N76" s="6">
        <v>0</v>
      </c>
      <c r="O76" s="6">
        <v>7943589.5</v>
      </c>
      <c r="P76" s="6">
        <v>0</v>
      </c>
      <c r="Q76" s="6">
        <v>0</v>
      </c>
      <c r="R76" s="6">
        <v>11954482</v>
      </c>
      <c r="S76" s="6">
        <v>153762220</v>
      </c>
      <c r="T76" s="6">
        <v>0</v>
      </c>
      <c r="U76" s="6">
        <v>524798.4</v>
      </c>
      <c r="V76" s="6">
        <v>0</v>
      </c>
      <c r="W76" s="6">
        <v>4706429</v>
      </c>
      <c r="X76" s="6">
        <v>99174480</v>
      </c>
      <c r="Y76" s="6">
        <v>382553.2</v>
      </c>
      <c r="Z76" s="6">
        <v>1986708.6</v>
      </c>
      <c r="AA76" s="6">
        <v>0</v>
      </c>
      <c r="AB76" s="6">
        <v>21505280</v>
      </c>
      <c r="AC76" s="6">
        <v>10108480</v>
      </c>
      <c r="AD76" s="6">
        <v>25528368</v>
      </c>
      <c r="AE76" s="6">
        <f t="shared" si="14"/>
        <v>343520220</v>
      </c>
      <c r="AF76" s="6">
        <f t="shared" si="15"/>
        <v>0</v>
      </c>
      <c r="AG76" s="6">
        <f t="shared" si="27"/>
        <v>2666077.5</v>
      </c>
      <c r="AH76" s="6">
        <f t="shared" si="16"/>
        <v>340854142.5</v>
      </c>
      <c r="AI76" s="6">
        <f t="shared" si="17"/>
        <v>7943589.5</v>
      </c>
      <c r="AJ76" s="6">
        <f t="shared" si="18"/>
        <v>154287018.40000001</v>
      </c>
      <c r="AK76" s="6">
        <f t="shared" si="19"/>
        <v>382553.2</v>
      </c>
      <c r="AL76" s="6">
        <f t="shared" si="20"/>
        <v>99174480</v>
      </c>
      <c r="AM76" s="6">
        <f t="shared" si="21"/>
        <v>79066501.400000006</v>
      </c>
      <c r="AN76" s="10">
        <f t="shared" si="22"/>
        <v>2.3304952205473049E-2</v>
      </c>
      <c r="AO76" s="10">
        <f t="shared" si="23"/>
        <v>0.45264821271755556</v>
      </c>
      <c r="AP76" s="10">
        <f t="shared" si="24"/>
        <v>1.1223369538482285E-3</v>
      </c>
      <c r="AQ76" s="10">
        <f t="shared" si="25"/>
        <v>0.29095870530603862</v>
      </c>
      <c r="AR76" s="10">
        <f t="shared" si="26"/>
        <v>0.23196579281708452</v>
      </c>
    </row>
    <row r="77" spans="1:44" x14ac:dyDescent="0.3">
      <c r="A77" t="s">
        <v>6</v>
      </c>
      <c r="B77" t="s">
        <v>178</v>
      </c>
      <c r="C77" t="s">
        <v>163</v>
      </c>
      <c r="D77" s="7">
        <v>2030</v>
      </c>
      <c r="E77" s="6">
        <v>0.55000000000000004</v>
      </c>
      <c r="F77" s="6">
        <v>237.3</v>
      </c>
      <c r="G77" s="15">
        <v>313</v>
      </c>
      <c r="H77" s="15">
        <v>694.7</v>
      </c>
      <c r="I77" s="6">
        <v>332903800</v>
      </c>
      <c r="J77" s="6">
        <v>72030170</v>
      </c>
      <c r="K77" s="6">
        <v>3295891.5</v>
      </c>
      <c r="L77" s="6">
        <v>2609695.7999999998</v>
      </c>
      <c r="M77" s="6">
        <v>0</v>
      </c>
      <c r="N77" s="6">
        <v>0</v>
      </c>
      <c r="O77" s="6">
        <v>7227874.5</v>
      </c>
      <c r="P77" s="6">
        <v>0</v>
      </c>
      <c r="Q77" s="6">
        <v>0</v>
      </c>
      <c r="R77" s="6">
        <v>15240096</v>
      </c>
      <c r="S77" s="6">
        <v>142134500</v>
      </c>
      <c r="T77" s="6">
        <v>0</v>
      </c>
      <c r="U77" s="6">
        <v>494073.8</v>
      </c>
      <c r="V77" s="6">
        <v>0</v>
      </c>
      <c r="W77" s="6">
        <v>4628421</v>
      </c>
      <c r="X77" s="6">
        <v>98209420</v>
      </c>
      <c r="Y77" s="6">
        <v>313047.8</v>
      </c>
      <c r="Z77" s="6">
        <v>1960710.2</v>
      </c>
      <c r="AA77" s="6">
        <v>0</v>
      </c>
      <c r="AB77" s="6">
        <v>21262140</v>
      </c>
      <c r="AC77" s="6">
        <v>10053970</v>
      </c>
      <c r="AD77" s="6">
        <v>25473960</v>
      </c>
      <c r="AE77" s="6">
        <f t="shared" si="14"/>
        <v>332903800</v>
      </c>
      <c r="AF77" s="6">
        <f t="shared" si="15"/>
        <v>0</v>
      </c>
      <c r="AG77" s="6">
        <f t="shared" si="27"/>
        <v>2609695.7999999998</v>
      </c>
      <c r="AH77" s="6">
        <f t="shared" si="16"/>
        <v>330294104.19999999</v>
      </c>
      <c r="AI77" s="6">
        <f t="shared" si="17"/>
        <v>7227874.5</v>
      </c>
      <c r="AJ77" s="6">
        <f t="shared" si="18"/>
        <v>142628573.80000001</v>
      </c>
      <c r="AK77" s="6">
        <f t="shared" si="19"/>
        <v>313047.8</v>
      </c>
      <c r="AL77" s="6">
        <f t="shared" si="20"/>
        <v>98209420</v>
      </c>
      <c r="AM77" s="6">
        <f t="shared" si="21"/>
        <v>81915188.700000003</v>
      </c>
      <c r="AN77" s="10">
        <f t="shared" si="22"/>
        <v>2.1883147195456358E-2</v>
      </c>
      <c r="AO77" s="10">
        <f t="shared" si="23"/>
        <v>0.43182294805248911</v>
      </c>
      <c r="AP77" s="10">
        <f t="shared" si="24"/>
        <v>9.4778500742006286E-4</v>
      </c>
      <c r="AQ77" s="10">
        <f t="shared" si="25"/>
        <v>0.29733930685160564</v>
      </c>
      <c r="AR77" s="10">
        <f t="shared" si="26"/>
        <v>0.24800681470959179</v>
      </c>
    </row>
    <row r="78" spans="1:44" x14ac:dyDescent="0.3">
      <c r="A78" t="s">
        <v>6</v>
      </c>
      <c r="B78" t="s">
        <v>178</v>
      </c>
      <c r="C78" t="s">
        <v>163</v>
      </c>
      <c r="D78" s="7">
        <v>2035</v>
      </c>
      <c r="E78" s="6">
        <v>0.6</v>
      </c>
      <c r="F78" s="6">
        <v>211.9</v>
      </c>
      <c r="G78" s="15">
        <v>316.10000000000002</v>
      </c>
      <c r="H78" s="15">
        <v>647.5</v>
      </c>
      <c r="I78" s="6">
        <v>345084380</v>
      </c>
      <c r="J78" s="6">
        <v>94842520</v>
      </c>
      <c r="K78" s="6">
        <v>6161279</v>
      </c>
      <c r="L78" s="6">
        <v>2519939.5</v>
      </c>
      <c r="M78" s="6">
        <v>0</v>
      </c>
      <c r="N78" s="6">
        <v>0</v>
      </c>
      <c r="O78" s="6">
        <v>7608415</v>
      </c>
      <c r="P78" s="6">
        <v>0</v>
      </c>
      <c r="Q78" s="6">
        <v>0</v>
      </c>
      <c r="R78" s="6">
        <v>16540984</v>
      </c>
      <c r="S78" s="6">
        <v>128778900</v>
      </c>
      <c r="T78" s="6">
        <v>0</v>
      </c>
      <c r="U78" s="6">
        <v>1097549.5</v>
      </c>
      <c r="V78" s="6">
        <v>0</v>
      </c>
      <c r="W78" s="6">
        <v>4419364.5</v>
      </c>
      <c r="X78" s="6">
        <v>97021590</v>
      </c>
      <c r="Y78" s="6">
        <v>254894.9</v>
      </c>
      <c r="Z78" s="6">
        <v>2379931.2000000002</v>
      </c>
      <c r="AA78" s="6">
        <v>0</v>
      </c>
      <c r="AB78" s="6">
        <v>21651380</v>
      </c>
      <c r="AC78" s="6">
        <v>10072818</v>
      </c>
      <c r="AD78" s="6">
        <v>46577340</v>
      </c>
      <c r="AE78" s="6">
        <f t="shared" si="14"/>
        <v>345084380</v>
      </c>
      <c r="AF78" s="6">
        <f t="shared" si="15"/>
        <v>0</v>
      </c>
      <c r="AG78" s="6">
        <f t="shared" si="27"/>
        <v>2519939.5</v>
      </c>
      <c r="AH78" s="6">
        <f t="shared" si="16"/>
        <v>342564440.5</v>
      </c>
      <c r="AI78" s="6">
        <f t="shared" si="17"/>
        <v>7608415</v>
      </c>
      <c r="AJ78" s="6">
        <f t="shared" si="18"/>
        <v>129876449.5</v>
      </c>
      <c r="AK78" s="6">
        <f t="shared" si="19"/>
        <v>254894.9</v>
      </c>
      <c r="AL78" s="6">
        <f t="shared" si="20"/>
        <v>97021590</v>
      </c>
      <c r="AM78" s="6">
        <f t="shared" si="21"/>
        <v>107803096.7</v>
      </c>
      <c r="AN78" s="10">
        <f t="shared" si="22"/>
        <v>2.2210171577922433E-2</v>
      </c>
      <c r="AO78" s="10">
        <f t="shared" si="23"/>
        <v>0.37912998007158888</v>
      </c>
      <c r="AP78" s="10">
        <f t="shared" si="24"/>
        <v>7.4407868962686453E-4</v>
      </c>
      <c r="AQ78" s="10">
        <f t="shared" si="25"/>
        <v>0.28322142794035859</v>
      </c>
      <c r="AR78" s="10">
        <f t="shared" si="26"/>
        <v>0.3146943580677925</v>
      </c>
    </row>
    <row r="79" spans="1:44" x14ac:dyDescent="0.3">
      <c r="A79" t="s">
        <v>6</v>
      </c>
      <c r="B79" t="s">
        <v>178</v>
      </c>
      <c r="C79" t="s">
        <v>163</v>
      </c>
      <c r="D79" s="7">
        <v>2040</v>
      </c>
      <c r="E79" s="6">
        <v>0.6</v>
      </c>
      <c r="F79" s="6">
        <v>209.3</v>
      </c>
      <c r="G79" s="15">
        <v>322.89999999999998</v>
      </c>
      <c r="H79" s="15">
        <v>633.6</v>
      </c>
      <c r="I79" s="6">
        <v>360164860</v>
      </c>
      <c r="J79" s="6">
        <v>99731816</v>
      </c>
      <c r="K79" s="6">
        <v>11394952</v>
      </c>
      <c r="L79" s="6">
        <v>2475035.7999999998</v>
      </c>
      <c r="M79" s="6">
        <v>0</v>
      </c>
      <c r="N79" s="6">
        <v>0</v>
      </c>
      <c r="O79" s="6">
        <v>5795080.5</v>
      </c>
      <c r="P79" s="6">
        <v>0</v>
      </c>
      <c r="Q79" s="6">
        <v>0</v>
      </c>
      <c r="R79" s="6">
        <v>16120275</v>
      </c>
      <c r="S79" s="6">
        <v>133601300</v>
      </c>
      <c r="T79" s="6">
        <v>0</v>
      </c>
      <c r="U79" s="6">
        <v>3230341.2</v>
      </c>
      <c r="V79" s="6">
        <v>0</v>
      </c>
      <c r="W79" s="6">
        <v>4367286</v>
      </c>
      <c r="X79" s="6">
        <v>96730610</v>
      </c>
      <c r="Y79" s="6">
        <v>342270.9</v>
      </c>
      <c r="Z79" s="6">
        <v>2496187.5</v>
      </c>
      <c r="AA79" s="6">
        <v>0</v>
      </c>
      <c r="AB79" s="6">
        <v>21730688</v>
      </c>
      <c r="AC79" s="6">
        <v>15505362</v>
      </c>
      <c r="AD79" s="6">
        <v>46375490</v>
      </c>
      <c r="AE79" s="6">
        <f t="shared" si="14"/>
        <v>360164860</v>
      </c>
      <c r="AF79" s="6">
        <f t="shared" si="15"/>
        <v>0</v>
      </c>
      <c r="AG79" s="6">
        <f t="shared" si="27"/>
        <v>2475035.7999999998</v>
      </c>
      <c r="AH79" s="6">
        <f t="shared" si="16"/>
        <v>357689824.19999999</v>
      </c>
      <c r="AI79" s="6">
        <f t="shared" si="17"/>
        <v>5795080.5</v>
      </c>
      <c r="AJ79" s="6">
        <f t="shared" si="18"/>
        <v>136831641.19999999</v>
      </c>
      <c r="AK79" s="6">
        <f t="shared" si="19"/>
        <v>342270.9</v>
      </c>
      <c r="AL79" s="6">
        <f t="shared" si="20"/>
        <v>96730610</v>
      </c>
      <c r="AM79" s="6">
        <f t="shared" si="21"/>
        <v>117990240.5</v>
      </c>
      <c r="AN79" s="10">
        <f t="shared" si="22"/>
        <v>1.6201412810557668E-2</v>
      </c>
      <c r="AO79" s="10">
        <f t="shared" si="23"/>
        <v>0.38254272820322516</v>
      </c>
      <c r="AP79" s="10">
        <f t="shared" si="24"/>
        <v>9.5689303089769033E-4</v>
      </c>
      <c r="AQ79" s="10">
        <f t="shared" si="25"/>
        <v>0.27043153999794439</v>
      </c>
      <c r="AR79" s="10">
        <f t="shared" si="26"/>
        <v>0.32986747879645162</v>
      </c>
    </row>
    <row r="80" spans="1:44" x14ac:dyDescent="0.3">
      <c r="A80" t="s">
        <v>6</v>
      </c>
      <c r="B80" t="s">
        <v>178</v>
      </c>
      <c r="C80" t="s">
        <v>163</v>
      </c>
      <c r="D80" s="7">
        <v>2045</v>
      </c>
      <c r="E80" s="6">
        <v>0.59</v>
      </c>
      <c r="F80" s="6">
        <v>225.7</v>
      </c>
      <c r="G80" s="15">
        <v>315.39999999999998</v>
      </c>
      <c r="H80" s="15">
        <v>669.6</v>
      </c>
      <c r="I80" s="6">
        <v>394784450</v>
      </c>
      <c r="J80" s="6">
        <v>109542060</v>
      </c>
      <c r="K80" s="6">
        <v>15357560</v>
      </c>
      <c r="L80" s="6">
        <v>2488817.5</v>
      </c>
      <c r="M80" s="6">
        <v>0</v>
      </c>
      <c r="N80" s="6">
        <v>0</v>
      </c>
      <c r="O80" s="6">
        <v>6346911</v>
      </c>
      <c r="P80" s="6">
        <v>0</v>
      </c>
      <c r="Q80" s="6">
        <v>0</v>
      </c>
      <c r="R80" s="6">
        <v>15883685</v>
      </c>
      <c r="S80" s="6">
        <v>143062000</v>
      </c>
      <c r="T80" s="6">
        <v>0</v>
      </c>
      <c r="U80" s="6">
        <v>13687522</v>
      </c>
      <c r="V80" s="6">
        <v>0</v>
      </c>
      <c r="W80" s="6">
        <v>4374036.5</v>
      </c>
      <c r="X80" s="6">
        <v>97037030</v>
      </c>
      <c r="Y80" s="6">
        <v>405821.2</v>
      </c>
      <c r="Z80" s="6">
        <v>2482673.2000000002</v>
      </c>
      <c r="AA80" s="6">
        <v>0</v>
      </c>
      <c r="AB80" s="6">
        <v>28800396</v>
      </c>
      <c r="AC80" s="6">
        <v>18900204</v>
      </c>
      <c r="AD80" s="6">
        <v>45957780</v>
      </c>
      <c r="AE80" s="6">
        <f t="shared" si="14"/>
        <v>394784450</v>
      </c>
      <c r="AF80" s="6">
        <f t="shared" si="15"/>
        <v>0</v>
      </c>
      <c r="AG80" s="6">
        <f t="shared" si="27"/>
        <v>2488817.5</v>
      </c>
      <c r="AH80" s="6">
        <f t="shared" si="16"/>
        <v>392295632.5</v>
      </c>
      <c r="AI80" s="6">
        <f t="shared" si="17"/>
        <v>6346911</v>
      </c>
      <c r="AJ80" s="6">
        <f t="shared" si="18"/>
        <v>156749522</v>
      </c>
      <c r="AK80" s="6">
        <f t="shared" si="19"/>
        <v>405821.2</v>
      </c>
      <c r="AL80" s="6">
        <f t="shared" si="20"/>
        <v>97037030</v>
      </c>
      <c r="AM80" s="6">
        <f t="shared" si="21"/>
        <v>131756334.7</v>
      </c>
      <c r="AN80" s="10">
        <f t="shared" si="22"/>
        <v>1.6178897938661094E-2</v>
      </c>
      <c r="AO80" s="10">
        <f t="shared" si="23"/>
        <v>0.39956988815061562</v>
      </c>
      <c r="AP80" s="10">
        <f t="shared" si="24"/>
        <v>1.034477996641984E-3</v>
      </c>
      <c r="AQ80" s="10">
        <f t="shared" si="25"/>
        <v>0.24735689607760292</v>
      </c>
      <c r="AR80" s="10">
        <f t="shared" si="26"/>
        <v>0.33585980516874603</v>
      </c>
    </row>
    <row r="81" spans="1:44" x14ac:dyDescent="0.3">
      <c r="A81" t="s">
        <v>6</v>
      </c>
      <c r="B81" t="s">
        <v>178</v>
      </c>
      <c r="C81" t="s">
        <v>163</v>
      </c>
      <c r="D81" s="7">
        <v>2050</v>
      </c>
      <c r="E81" s="6">
        <v>0.6</v>
      </c>
      <c r="F81" s="6">
        <v>215.5</v>
      </c>
      <c r="G81" s="15">
        <v>309.5</v>
      </c>
      <c r="H81" s="15">
        <v>625.70000000000005</v>
      </c>
      <c r="I81" s="6">
        <v>439182140</v>
      </c>
      <c r="J81" s="6">
        <v>134973820</v>
      </c>
      <c r="K81" s="6">
        <v>23954674</v>
      </c>
      <c r="L81" s="6">
        <v>2453744.5</v>
      </c>
      <c r="M81" s="6">
        <v>0</v>
      </c>
      <c r="N81" s="6">
        <v>0</v>
      </c>
      <c r="O81" s="6">
        <v>1357748.8</v>
      </c>
      <c r="P81" s="6">
        <v>0</v>
      </c>
      <c r="Q81" s="6">
        <v>0</v>
      </c>
      <c r="R81" s="6">
        <v>15912666</v>
      </c>
      <c r="S81" s="6">
        <v>141439490</v>
      </c>
      <c r="T81" s="6">
        <v>0</v>
      </c>
      <c r="U81" s="6">
        <v>31166004</v>
      </c>
      <c r="V81" s="6">
        <v>0</v>
      </c>
      <c r="W81" s="6">
        <v>4325659.5</v>
      </c>
      <c r="X81" s="6">
        <v>96620220</v>
      </c>
      <c r="Y81" s="6">
        <v>272303.40000000002</v>
      </c>
      <c r="Z81" s="6">
        <v>2618480</v>
      </c>
      <c r="AA81" s="6">
        <v>0</v>
      </c>
      <c r="AB81" s="6">
        <v>46435136</v>
      </c>
      <c r="AC81" s="6">
        <v>27062858</v>
      </c>
      <c r="AD81" s="6">
        <v>45563164</v>
      </c>
      <c r="AE81" s="6">
        <f t="shared" si="14"/>
        <v>439182140</v>
      </c>
      <c r="AF81" s="6">
        <f t="shared" si="15"/>
        <v>0</v>
      </c>
      <c r="AG81" s="6">
        <f t="shared" si="27"/>
        <v>2453744.5</v>
      </c>
      <c r="AH81" s="6">
        <f t="shared" si="16"/>
        <v>436728395.5</v>
      </c>
      <c r="AI81" s="6">
        <f t="shared" si="17"/>
        <v>1357748.8</v>
      </c>
      <c r="AJ81" s="6">
        <f t="shared" si="18"/>
        <v>172605494</v>
      </c>
      <c r="AK81" s="6">
        <f t="shared" si="19"/>
        <v>272303.40000000002</v>
      </c>
      <c r="AL81" s="6">
        <f t="shared" si="20"/>
        <v>96620220</v>
      </c>
      <c r="AM81" s="6">
        <f t="shared" si="21"/>
        <v>165872637.5</v>
      </c>
      <c r="AN81" s="10">
        <f t="shared" si="22"/>
        <v>3.1089089099543108E-3</v>
      </c>
      <c r="AO81" s="10">
        <f t="shared" si="23"/>
        <v>0.39522388692493432</v>
      </c>
      <c r="AP81" s="10">
        <f t="shared" si="24"/>
        <v>6.235074311764096E-4</v>
      </c>
      <c r="AQ81" s="10">
        <f t="shared" si="25"/>
        <v>0.22123640458363555</v>
      </c>
      <c r="AR81" s="10">
        <f t="shared" si="26"/>
        <v>0.37980731092627112</v>
      </c>
    </row>
    <row r="82" spans="1:44" x14ac:dyDescent="0.3">
      <c r="A82" t="s">
        <v>6</v>
      </c>
      <c r="B82" t="s">
        <v>178</v>
      </c>
      <c r="C82" t="s">
        <v>164</v>
      </c>
      <c r="D82" s="7">
        <v>2024</v>
      </c>
      <c r="E82" s="6">
        <v>0.41</v>
      </c>
      <c r="F82" s="6">
        <v>503.9</v>
      </c>
      <c r="G82" s="15">
        <v>434.8</v>
      </c>
      <c r="H82" s="15">
        <v>925.9</v>
      </c>
      <c r="I82" s="6">
        <v>116896140</v>
      </c>
      <c r="J82" s="6">
        <v>15524269</v>
      </c>
      <c r="K82" s="6">
        <v>691.2</v>
      </c>
      <c r="L82" s="6">
        <v>1918557.4</v>
      </c>
      <c r="M82" s="6">
        <v>0</v>
      </c>
      <c r="N82" s="6">
        <v>1680397.2</v>
      </c>
      <c r="O82" s="6">
        <v>33181204</v>
      </c>
      <c r="P82" s="6">
        <v>0</v>
      </c>
      <c r="Q82" s="6">
        <v>0</v>
      </c>
      <c r="R82" s="6">
        <v>294164</v>
      </c>
      <c r="S82" s="6">
        <v>32600746</v>
      </c>
      <c r="T82" s="6">
        <v>0</v>
      </c>
      <c r="U82" s="6">
        <v>1766472.8</v>
      </c>
      <c r="V82" s="6">
        <v>0</v>
      </c>
      <c r="W82" s="6">
        <v>629256.19999999995</v>
      </c>
      <c r="X82" s="6">
        <v>26502164</v>
      </c>
      <c r="Y82" s="6">
        <v>1701690.2</v>
      </c>
      <c r="Z82" s="6">
        <v>1390693.9</v>
      </c>
      <c r="AA82" s="6">
        <v>0</v>
      </c>
      <c r="AB82" s="6">
        <v>5125030.5</v>
      </c>
      <c r="AC82" s="6">
        <v>10105075</v>
      </c>
      <c r="AD82" s="6">
        <v>0</v>
      </c>
      <c r="AE82" s="6">
        <f t="shared" si="14"/>
        <v>116896140</v>
      </c>
      <c r="AF82" s="6">
        <f t="shared" si="15"/>
        <v>1680397.2</v>
      </c>
      <c r="AG82" s="6">
        <f t="shared" si="27"/>
        <v>1918557.4</v>
      </c>
      <c r="AH82" s="6">
        <f t="shared" si="16"/>
        <v>113297185.39999999</v>
      </c>
      <c r="AI82" s="6">
        <f t="shared" si="17"/>
        <v>33181204</v>
      </c>
      <c r="AJ82" s="6">
        <f t="shared" si="18"/>
        <v>34367218.799999997</v>
      </c>
      <c r="AK82" s="6">
        <f t="shared" si="19"/>
        <v>1701690.2</v>
      </c>
      <c r="AL82" s="6">
        <f t="shared" si="20"/>
        <v>26502164</v>
      </c>
      <c r="AM82" s="6">
        <f t="shared" si="21"/>
        <v>17544910.800000001</v>
      </c>
      <c r="AN82" s="10">
        <f t="shared" si="22"/>
        <v>0.29286874058567747</v>
      </c>
      <c r="AO82" s="10">
        <f t="shared" si="23"/>
        <v>0.30333691590541489</v>
      </c>
      <c r="AP82" s="10">
        <f t="shared" si="24"/>
        <v>1.5019704099374741E-2</v>
      </c>
      <c r="AQ82" s="10">
        <f t="shared" si="25"/>
        <v>0.23391723198094561</v>
      </c>
      <c r="AR82" s="10">
        <f t="shared" si="26"/>
        <v>0.15485742861181442</v>
      </c>
    </row>
    <row r="83" spans="1:44" x14ac:dyDescent="0.3">
      <c r="A83" t="s">
        <v>6</v>
      </c>
      <c r="B83" t="s">
        <v>178</v>
      </c>
      <c r="C83" t="s">
        <v>164</v>
      </c>
      <c r="D83" s="7">
        <v>2026</v>
      </c>
      <c r="E83" s="6">
        <v>0.38</v>
      </c>
      <c r="F83" s="6">
        <v>431</v>
      </c>
      <c r="G83" s="15">
        <v>424.5</v>
      </c>
      <c r="H83" s="15">
        <v>877.8</v>
      </c>
      <c r="I83" s="6">
        <v>122462160</v>
      </c>
      <c r="J83" s="6">
        <v>15671632</v>
      </c>
      <c r="K83" s="6">
        <v>68058.399999999994</v>
      </c>
      <c r="L83" s="6">
        <v>1918446.4</v>
      </c>
      <c r="M83" s="6">
        <v>0</v>
      </c>
      <c r="N83" s="6">
        <v>586549.80000000005</v>
      </c>
      <c r="O83" s="6">
        <v>22325994</v>
      </c>
      <c r="P83" s="6">
        <v>0</v>
      </c>
      <c r="Q83" s="6">
        <v>0</v>
      </c>
      <c r="R83" s="6">
        <v>567520.4</v>
      </c>
      <c r="S83" s="6">
        <v>51405330</v>
      </c>
      <c r="T83" s="6">
        <v>0</v>
      </c>
      <c r="U83" s="6">
        <v>928317.9</v>
      </c>
      <c r="V83" s="6">
        <v>0</v>
      </c>
      <c r="W83" s="6">
        <v>629187</v>
      </c>
      <c r="X83" s="6">
        <v>26495240</v>
      </c>
      <c r="Y83" s="6">
        <v>1086676.8</v>
      </c>
      <c r="Z83" s="6">
        <v>1346723.9</v>
      </c>
      <c r="AA83" s="6">
        <v>0</v>
      </c>
      <c r="AB83" s="6">
        <v>5053532</v>
      </c>
      <c r="AC83" s="6">
        <v>10050580</v>
      </c>
      <c r="AD83" s="6">
        <v>0</v>
      </c>
      <c r="AE83" s="6">
        <f t="shared" si="14"/>
        <v>122462160</v>
      </c>
      <c r="AF83" s="6">
        <f t="shared" si="15"/>
        <v>586549.80000000005</v>
      </c>
      <c r="AG83" s="6">
        <f t="shared" si="27"/>
        <v>1918446.4</v>
      </c>
      <c r="AH83" s="6">
        <f t="shared" si="16"/>
        <v>119957163.8</v>
      </c>
      <c r="AI83" s="6">
        <f t="shared" si="17"/>
        <v>22325994</v>
      </c>
      <c r="AJ83" s="6">
        <f t="shared" si="18"/>
        <v>52333647.899999999</v>
      </c>
      <c r="AK83" s="6">
        <f t="shared" si="19"/>
        <v>1086676.8</v>
      </c>
      <c r="AL83" s="6">
        <f t="shared" si="20"/>
        <v>26495240</v>
      </c>
      <c r="AM83" s="6">
        <f t="shared" si="21"/>
        <v>17715601.699999999</v>
      </c>
      <c r="AN83" s="10">
        <f t="shared" si="22"/>
        <v>0.18611638765670785</v>
      </c>
      <c r="AO83" s="10">
        <f t="shared" si="23"/>
        <v>0.43626946688447799</v>
      </c>
      <c r="AP83" s="10">
        <f t="shared" si="24"/>
        <v>9.0588737310576539E-3</v>
      </c>
      <c r="AQ83" s="10">
        <f t="shared" si="25"/>
        <v>0.2208725111588542</v>
      </c>
      <c r="AR83" s="10">
        <f t="shared" si="26"/>
        <v>0.14768273222545131</v>
      </c>
    </row>
    <row r="84" spans="1:44" x14ac:dyDescent="0.3">
      <c r="A84" t="s">
        <v>6</v>
      </c>
      <c r="B84" t="s">
        <v>178</v>
      </c>
      <c r="C84" t="s">
        <v>164</v>
      </c>
      <c r="D84" s="7">
        <v>2028</v>
      </c>
      <c r="E84" s="6">
        <v>0.35</v>
      </c>
      <c r="F84" s="6">
        <v>386.5</v>
      </c>
      <c r="G84" s="15">
        <v>407.5</v>
      </c>
      <c r="H84" s="15">
        <v>795.3</v>
      </c>
      <c r="I84" s="6">
        <v>143851460</v>
      </c>
      <c r="J84" s="6">
        <v>16251514</v>
      </c>
      <c r="K84" s="6">
        <v>134526.5</v>
      </c>
      <c r="L84" s="6">
        <v>1912086.2</v>
      </c>
      <c r="M84" s="6">
        <v>0</v>
      </c>
      <c r="N84" s="6">
        <v>3221760</v>
      </c>
      <c r="O84" s="6">
        <v>15846454</v>
      </c>
      <c r="P84" s="6">
        <v>0</v>
      </c>
      <c r="Q84" s="6">
        <v>0</v>
      </c>
      <c r="R84" s="6">
        <v>1122784.1000000001</v>
      </c>
      <c r="S84" s="6">
        <v>76279280</v>
      </c>
      <c r="T84" s="6">
        <v>0</v>
      </c>
      <c r="U84" s="6">
        <v>537275.19999999995</v>
      </c>
      <c r="V84" s="6">
        <v>0</v>
      </c>
      <c r="W84" s="6">
        <v>625813.6</v>
      </c>
      <c r="X84" s="6">
        <v>26412090</v>
      </c>
      <c r="Y84" s="6">
        <v>811294.9</v>
      </c>
      <c r="Z84" s="6">
        <v>1819360</v>
      </c>
      <c r="AA84" s="6">
        <v>0</v>
      </c>
      <c r="AB84" s="6">
        <v>5132344</v>
      </c>
      <c r="AC84" s="6">
        <v>9996385</v>
      </c>
      <c r="AD84" s="6">
        <v>0</v>
      </c>
      <c r="AE84" s="6">
        <f t="shared" si="14"/>
        <v>143851460</v>
      </c>
      <c r="AF84" s="6">
        <f t="shared" si="15"/>
        <v>3221760</v>
      </c>
      <c r="AG84" s="6">
        <f t="shared" si="27"/>
        <v>1912086.2</v>
      </c>
      <c r="AH84" s="6">
        <f t="shared" si="16"/>
        <v>138717613.80000001</v>
      </c>
      <c r="AI84" s="6">
        <f t="shared" si="17"/>
        <v>15846454</v>
      </c>
      <c r="AJ84" s="6">
        <f t="shared" si="18"/>
        <v>76816555.200000003</v>
      </c>
      <c r="AK84" s="6">
        <f t="shared" si="19"/>
        <v>811294.9</v>
      </c>
      <c r="AL84" s="6">
        <f t="shared" si="20"/>
        <v>26412090</v>
      </c>
      <c r="AM84" s="6">
        <f t="shared" si="21"/>
        <v>18831213.199999999</v>
      </c>
      <c r="AN84" s="10">
        <f t="shared" si="22"/>
        <v>0.11423534161167929</v>
      </c>
      <c r="AO84" s="10">
        <f t="shared" si="23"/>
        <v>0.55376208612377387</v>
      </c>
      <c r="AP84" s="10">
        <f t="shared" si="24"/>
        <v>5.848535580850656E-3</v>
      </c>
      <c r="AQ84" s="10">
        <f t="shared" si="25"/>
        <v>0.19040184787261671</v>
      </c>
      <c r="AR84" s="10">
        <f t="shared" si="26"/>
        <v>0.13575214195329532</v>
      </c>
    </row>
    <row r="85" spans="1:44" x14ac:dyDescent="0.3">
      <c r="A85" t="s">
        <v>6</v>
      </c>
      <c r="B85" t="s">
        <v>178</v>
      </c>
      <c r="C85" t="s">
        <v>164</v>
      </c>
      <c r="D85" s="7">
        <v>2030</v>
      </c>
      <c r="E85" s="6">
        <v>0.39</v>
      </c>
      <c r="F85" s="6">
        <v>341.4</v>
      </c>
      <c r="G85" s="15">
        <v>431.5</v>
      </c>
      <c r="H85" s="15">
        <v>745.2</v>
      </c>
      <c r="I85" s="6">
        <v>138527660</v>
      </c>
      <c r="J85" s="6">
        <v>19259822</v>
      </c>
      <c r="K85" s="6">
        <v>576507</v>
      </c>
      <c r="L85" s="6">
        <v>1892522.4</v>
      </c>
      <c r="M85" s="6">
        <v>0</v>
      </c>
      <c r="N85" s="6">
        <v>3145514</v>
      </c>
      <c r="O85" s="6">
        <v>10690206</v>
      </c>
      <c r="P85" s="6">
        <v>0</v>
      </c>
      <c r="Q85" s="6">
        <v>0</v>
      </c>
      <c r="R85" s="6">
        <v>2054073</v>
      </c>
      <c r="S85" s="6">
        <v>73028750</v>
      </c>
      <c r="T85" s="6">
        <v>0</v>
      </c>
      <c r="U85" s="6">
        <v>409998</v>
      </c>
      <c r="V85" s="6">
        <v>0</v>
      </c>
      <c r="W85" s="6">
        <v>615837.30000000005</v>
      </c>
      <c r="X85" s="6">
        <v>26164676</v>
      </c>
      <c r="Y85" s="6">
        <v>434221.6</v>
      </c>
      <c r="Z85" s="6">
        <v>2309611.7999999998</v>
      </c>
      <c r="AA85" s="6">
        <v>0</v>
      </c>
      <c r="AB85" s="6">
        <v>5696482.5</v>
      </c>
      <c r="AC85" s="6">
        <v>11509266</v>
      </c>
      <c r="AD85" s="6">
        <v>0</v>
      </c>
      <c r="AE85" s="6">
        <f t="shared" si="14"/>
        <v>138527660</v>
      </c>
      <c r="AF85" s="6">
        <f t="shared" si="15"/>
        <v>3145514</v>
      </c>
      <c r="AG85" s="6">
        <f t="shared" si="27"/>
        <v>1892522.4</v>
      </c>
      <c r="AH85" s="6">
        <f t="shared" si="16"/>
        <v>133489623.59999999</v>
      </c>
      <c r="AI85" s="6">
        <f t="shared" si="17"/>
        <v>10690206</v>
      </c>
      <c r="AJ85" s="6">
        <f t="shared" si="18"/>
        <v>73438748</v>
      </c>
      <c r="AK85" s="6">
        <f t="shared" si="19"/>
        <v>434221.6</v>
      </c>
      <c r="AL85" s="6">
        <f t="shared" si="20"/>
        <v>26164676</v>
      </c>
      <c r="AM85" s="6">
        <f t="shared" si="21"/>
        <v>22761777.600000001</v>
      </c>
      <c r="AN85" s="10">
        <f t="shared" si="22"/>
        <v>8.008267393151898E-2</v>
      </c>
      <c r="AO85" s="10">
        <f t="shared" si="23"/>
        <v>0.55014574181479681</v>
      </c>
      <c r="AP85" s="10">
        <f t="shared" si="24"/>
        <v>3.2528490851179538E-3</v>
      </c>
      <c r="AQ85" s="10">
        <f t="shared" si="25"/>
        <v>0.19600531707544647</v>
      </c>
      <c r="AR85" s="10">
        <f t="shared" si="26"/>
        <v>0.17051346004394607</v>
      </c>
    </row>
    <row r="86" spans="1:44" x14ac:dyDescent="0.3">
      <c r="A86" t="s">
        <v>6</v>
      </c>
      <c r="B86" t="s">
        <v>178</v>
      </c>
      <c r="C86" t="s">
        <v>164</v>
      </c>
      <c r="D86" s="7">
        <v>2035</v>
      </c>
      <c r="E86" s="6">
        <v>0.41</v>
      </c>
      <c r="F86" s="6">
        <v>308.89999999999998</v>
      </c>
      <c r="G86" s="15">
        <v>403.8</v>
      </c>
      <c r="H86" s="15">
        <v>669.8</v>
      </c>
      <c r="I86" s="6">
        <v>163372770</v>
      </c>
      <c r="J86" s="6">
        <v>30576028</v>
      </c>
      <c r="K86" s="6">
        <v>2087199.4</v>
      </c>
      <c r="L86" s="6">
        <v>1469556.1</v>
      </c>
      <c r="M86" s="6">
        <v>0</v>
      </c>
      <c r="N86" s="6">
        <v>3549608.5</v>
      </c>
      <c r="O86" s="6">
        <v>7438600</v>
      </c>
      <c r="P86" s="6">
        <v>0</v>
      </c>
      <c r="Q86" s="6">
        <v>0</v>
      </c>
      <c r="R86" s="6">
        <v>4386848</v>
      </c>
      <c r="S86" s="6">
        <v>88531176</v>
      </c>
      <c r="T86" s="6">
        <v>0</v>
      </c>
      <c r="U86" s="6">
        <v>860055.4</v>
      </c>
      <c r="V86" s="6">
        <v>0</v>
      </c>
      <c r="W86" s="6">
        <v>576313.9</v>
      </c>
      <c r="X86" s="6">
        <v>25650846</v>
      </c>
      <c r="Y86" s="6">
        <v>242790.2</v>
      </c>
      <c r="Z86" s="6">
        <v>2390598</v>
      </c>
      <c r="AA86" s="6">
        <v>0</v>
      </c>
      <c r="AB86" s="6">
        <v>5965772.5</v>
      </c>
      <c r="AC86" s="6">
        <v>20223408</v>
      </c>
      <c r="AD86" s="6">
        <v>0</v>
      </c>
      <c r="AE86" s="6">
        <f t="shared" si="14"/>
        <v>163372770</v>
      </c>
      <c r="AF86" s="6">
        <f t="shared" si="15"/>
        <v>3549608.5</v>
      </c>
      <c r="AG86" s="6">
        <f t="shared" si="27"/>
        <v>1469556.1</v>
      </c>
      <c r="AH86" s="6">
        <f t="shared" si="16"/>
        <v>158353605.40000001</v>
      </c>
      <c r="AI86" s="6">
        <f t="shared" si="17"/>
        <v>7438600</v>
      </c>
      <c r="AJ86" s="6">
        <f t="shared" si="18"/>
        <v>89391231.400000006</v>
      </c>
      <c r="AK86" s="6">
        <f t="shared" si="19"/>
        <v>242790.2</v>
      </c>
      <c r="AL86" s="6">
        <f t="shared" si="20"/>
        <v>25650846</v>
      </c>
      <c r="AM86" s="6">
        <f t="shared" si="21"/>
        <v>35630139.799999997</v>
      </c>
      <c r="AN86" s="10">
        <f t="shared" si="22"/>
        <v>4.6974617225860771E-2</v>
      </c>
      <c r="AO86" s="10">
        <f t="shared" si="23"/>
        <v>0.56450392256114679</v>
      </c>
      <c r="AP86" s="10">
        <f t="shared" si="24"/>
        <v>1.5332154856008097E-3</v>
      </c>
      <c r="AQ86" s="10">
        <f t="shared" si="25"/>
        <v>0.16198460360410588</v>
      </c>
      <c r="AR86" s="10">
        <f t="shared" si="26"/>
        <v>0.22500365375324757</v>
      </c>
    </row>
    <row r="87" spans="1:44" x14ac:dyDescent="0.3">
      <c r="A87" t="s">
        <v>6</v>
      </c>
      <c r="B87" t="s">
        <v>178</v>
      </c>
      <c r="C87" t="s">
        <v>164</v>
      </c>
      <c r="D87" s="7">
        <v>2040</v>
      </c>
      <c r="E87" s="6">
        <v>0.45</v>
      </c>
      <c r="F87" s="6">
        <v>284.10000000000002</v>
      </c>
      <c r="G87" s="15">
        <v>377</v>
      </c>
      <c r="H87" s="15">
        <v>638.79999999999995</v>
      </c>
      <c r="I87" s="6">
        <v>180991680</v>
      </c>
      <c r="J87" s="6">
        <v>43808836</v>
      </c>
      <c r="K87" s="6">
        <v>4914735</v>
      </c>
      <c r="L87" s="6">
        <v>893960.2</v>
      </c>
      <c r="M87" s="6">
        <v>0</v>
      </c>
      <c r="N87" s="6">
        <v>3186257.2</v>
      </c>
      <c r="O87" s="6">
        <v>6836103</v>
      </c>
      <c r="P87" s="6">
        <v>0</v>
      </c>
      <c r="Q87" s="6">
        <v>0</v>
      </c>
      <c r="R87" s="6">
        <v>4866289.5</v>
      </c>
      <c r="S87" s="6">
        <v>90601050</v>
      </c>
      <c r="T87" s="6">
        <v>0</v>
      </c>
      <c r="U87" s="6">
        <v>1524874.8</v>
      </c>
      <c r="V87" s="6">
        <v>0</v>
      </c>
      <c r="W87" s="6">
        <v>548943.6</v>
      </c>
      <c r="X87" s="6">
        <v>25322462</v>
      </c>
      <c r="Y87" s="6">
        <v>396766.7</v>
      </c>
      <c r="Z87" s="6">
        <v>2957690</v>
      </c>
      <c r="AA87" s="6">
        <v>0</v>
      </c>
      <c r="AB87" s="6">
        <v>10344888</v>
      </c>
      <c r="AC87" s="6">
        <v>28597658</v>
      </c>
      <c r="AD87" s="6">
        <v>0</v>
      </c>
      <c r="AE87" s="6">
        <f t="shared" si="14"/>
        <v>180991680</v>
      </c>
      <c r="AF87" s="6">
        <f t="shared" si="15"/>
        <v>3186257.2</v>
      </c>
      <c r="AG87" s="6">
        <f t="shared" si="27"/>
        <v>893960.2</v>
      </c>
      <c r="AH87" s="6">
        <f t="shared" si="16"/>
        <v>176911462.60000002</v>
      </c>
      <c r="AI87" s="6">
        <f t="shared" si="17"/>
        <v>6836103</v>
      </c>
      <c r="AJ87" s="6">
        <f t="shared" si="18"/>
        <v>92125924.799999997</v>
      </c>
      <c r="AK87" s="6">
        <f t="shared" si="19"/>
        <v>396766.7</v>
      </c>
      <c r="AL87" s="6">
        <f t="shared" si="20"/>
        <v>25322462</v>
      </c>
      <c r="AM87" s="6">
        <f t="shared" si="21"/>
        <v>52230204.100000001</v>
      </c>
      <c r="AN87" s="10">
        <f t="shared" si="22"/>
        <v>3.8641379702210425E-2</v>
      </c>
      <c r="AO87" s="10">
        <f t="shared" si="23"/>
        <v>0.52074593384770296</v>
      </c>
      <c r="AP87" s="10">
        <f t="shared" si="24"/>
        <v>2.2427416187106915E-3</v>
      </c>
      <c r="AQ87" s="10">
        <f t="shared" si="25"/>
        <v>0.14313635548452017</v>
      </c>
      <c r="AR87" s="10">
        <f t="shared" si="26"/>
        <v>0.29523357804176559</v>
      </c>
    </row>
    <row r="88" spans="1:44" x14ac:dyDescent="0.3">
      <c r="A88" t="s">
        <v>6</v>
      </c>
      <c r="B88" t="s">
        <v>178</v>
      </c>
      <c r="C88" t="s">
        <v>164</v>
      </c>
      <c r="D88" s="7">
        <v>2045</v>
      </c>
      <c r="E88" s="6">
        <v>0.53</v>
      </c>
      <c r="F88" s="6">
        <v>251.6</v>
      </c>
      <c r="G88" s="15">
        <v>325.2</v>
      </c>
      <c r="H88" s="15">
        <v>629.20000000000005</v>
      </c>
      <c r="I88" s="6">
        <v>210609660</v>
      </c>
      <c r="J88" s="6">
        <v>69018520</v>
      </c>
      <c r="K88" s="6">
        <v>8444902</v>
      </c>
      <c r="L88" s="6">
        <v>867272.1</v>
      </c>
      <c r="M88" s="6">
        <v>0</v>
      </c>
      <c r="N88" s="6">
        <v>3187168.5</v>
      </c>
      <c r="O88" s="6">
        <v>6775531</v>
      </c>
      <c r="P88" s="6">
        <v>0</v>
      </c>
      <c r="Q88" s="6">
        <v>0</v>
      </c>
      <c r="R88" s="6">
        <v>5383694.5</v>
      </c>
      <c r="S88" s="6">
        <v>87095896</v>
      </c>
      <c r="T88" s="6">
        <v>0</v>
      </c>
      <c r="U88" s="6">
        <v>5118151.5</v>
      </c>
      <c r="V88" s="6">
        <v>0</v>
      </c>
      <c r="W88" s="6">
        <v>532538</v>
      </c>
      <c r="X88" s="6">
        <v>25109824</v>
      </c>
      <c r="Y88" s="6">
        <v>874707.6</v>
      </c>
      <c r="Z88" s="6">
        <v>3585164.8</v>
      </c>
      <c r="AA88" s="6">
        <v>0</v>
      </c>
      <c r="AB88" s="6">
        <v>30338644</v>
      </c>
      <c r="AC88" s="6">
        <v>33296180</v>
      </c>
      <c r="AD88" s="6">
        <v>0</v>
      </c>
      <c r="AE88" s="6">
        <f t="shared" si="14"/>
        <v>210609660</v>
      </c>
      <c r="AF88" s="6">
        <f t="shared" si="15"/>
        <v>3187168.5</v>
      </c>
      <c r="AG88" s="6">
        <f t="shared" si="27"/>
        <v>867272.1</v>
      </c>
      <c r="AH88" s="6">
        <f t="shared" si="16"/>
        <v>206555219.40000001</v>
      </c>
      <c r="AI88" s="6">
        <f t="shared" si="17"/>
        <v>6775531</v>
      </c>
      <c r="AJ88" s="6">
        <f t="shared" si="18"/>
        <v>92214047.5</v>
      </c>
      <c r="AK88" s="6">
        <f t="shared" si="19"/>
        <v>874707.6</v>
      </c>
      <c r="AL88" s="6">
        <f t="shared" si="20"/>
        <v>25109824</v>
      </c>
      <c r="AM88" s="6">
        <f t="shared" si="21"/>
        <v>81581123.299999997</v>
      </c>
      <c r="AN88" s="10">
        <f t="shared" si="22"/>
        <v>3.2802516536166504E-2</v>
      </c>
      <c r="AO88" s="10">
        <f t="shared" si="23"/>
        <v>0.44643775048562145</v>
      </c>
      <c r="AP88" s="10">
        <f t="shared" si="24"/>
        <v>4.2347397588927737E-3</v>
      </c>
      <c r="AQ88" s="10">
        <f t="shared" si="25"/>
        <v>0.1215647034867423</v>
      </c>
      <c r="AR88" s="10">
        <f t="shared" si="26"/>
        <v>0.39496035751106268</v>
      </c>
    </row>
    <row r="89" spans="1:44" x14ac:dyDescent="0.3">
      <c r="A89" t="s">
        <v>6</v>
      </c>
      <c r="B89" t="s">
        <v>178</v>
      </c>
      <c r="C89" t="s">
        <v>164</v>
      </c>
      <c r="D89" s="7">
        <v>2050</v>
      </c>
      <c r="E89" s="6">
        <v>0.55000000000000004</v>
      </c>
      <c r="F89" s="6">
        <v>228.8</v>
      </c>
      <c r="G89" s="15">
        <v>321.60000000000002</v>
      </c>
      <c r="H89" s="15">
        <v>562.29999999999995</v>
      </c>
      <c r="I89" s="6">
        <v>224824530</v>
      </c>
      <c r="J89" s="6">
        <v>81101090</v>
      </c>
      <c r="K89" s="6">
        <v>10202837</v>
      </c>
      <c r="L89" s="6">
        <v>844483</v>
      </c>
      <c r="M89" s="6">
        <v>0</v>
      </c>
      <c r="N89" s="6">
        <v>3181911.8</v>
      </c>
      <c r="O89" s="6">
        <v>14316.8</v>
      </c>
      <c r="P89" s="6">
        <v>0</v>
      </c>
      <c r="Q89" s="6">
        <v>0</v>
      </c>
      <c r="R89" s="6">
        <v>6012650.5</v>
      </c>
      <c r="S89" s="6">
        <v>83949096</v>
      </c>
      <c r="T89" s="6">
        <v>0</v>
      </c>
      <c r="U89" s="6">
        <v>15660938</v>
      </c>
      <c r="V89" s="6">
        <v>0</v>
      </c>
      <c r="W89" s="6">
        <v>517798.8</v>
      </c>
      <c r="X89" s="6">
        <v>24750960</v>
      </c>
      <c r="Y89" s="6">
        <v>689412</v>
      </c>
      <c r="Z89" s="6">
        <v>3911668</v>
      </c>
      <c r="AA89" s="6">
        <v>0</v>
      </c>
      <c r="AB89" s="6">
        <v>37879108</v>
      </c>
      <c r="AC89" s="6">
        <v>37209330</v>
      </c>
      <c r="AD89" s="6">
        <v>0</v>
      </c>
      <c r="AE89" s="6">
        <f t="shared" si="14"/>
        <v>224824530</v>
      </c>
      <c r="AF89" s="6">
        <f t="shared" si="15"/>
        <v>3181911.8</v>
      </c>
      <c r="AG89" s="6">
        <f t="shared" si="27"/>
        <v>844483</v>
      </c>
      <c r="AH89" s="6">
        <f t="shared" si="16"/>
        <v>220798135.19999999</v>
      </c>
      <c r="AI89" s="6">
        <f t="shared" si="17"/>
        <v>14316.8</v>
      </c>
      <c r="AJ89" s="6">
        <f t="shared" si="18"/>
        <v>99610034</v>
      </c>
      <c r="AK89" s="6">
        <f t="shared" si="19"/>
        <v>689412</v>
      </c>
      <c r="AL89" s="6">
        <f t="shared" si="20"/>
        <v>24750960</v>
      </c>
      <c r="AM89" s="6">
        <f t="shared" si="21"/>
        <v>95733392.299999997</v>
      </c>
      <c r="AN89" s="10">
        <f t="shared" si="22"/>
        <v>6.484112733575297E-5</v>
      </c>
      <c r="AO89" s="10">
        <f t="shared" si="23"/>
        <v>0.45113621050183583</v>
      </c>
      <c r="AP89" s="10">
        <f t="shared" si="24"/>
        <v>3.122363326916359E-3</v>
      </c>
      <c r="AQ89" s="10">
        <f t="shared" si="25"/>
        <v>0.11209768586849914</v>
      </c>
      <c r="AR89" s="10">
        <f t="shared" si="26"/>
        <v>0.43357880814203542</v>
      </c>
    </row>
    <row r="90" spans="1:44" x14ac:dyDescent="0.3">
      <c r="A90" t="s">
        <v>6</v>
      </c>
      <c r="B90" t="s">
        <v>178</v>
      </c>
      <c r="C90" t="s">
        <v>165</v>
      </c>
      <c r="D90" s="7">
        <v>2024</v>
      </c>
      <c r="E90" s="6">
        <v>0.33</v>
      </c>
      <c r="F90" s="6">
        <v>522.4</v>
      </c>
      <c r="G90" s="15">
        <v>446.6</v>
      </c>
      <c r="H90" s="15">
        <v>915.5</v>
      </c>
      <c r="I90" s="6">
        <v>429172830</v>
      </c>
      <c r="J90" s="6">
        <v>35671670</v>
      </c>
      <c r="K90" s="6">
        <v>252779.6</v>
      </c>
      <c r="L90" s="6">
        <v>1421224.5</v>
      </c>
      <c r="M90" s="6">
        <v>0</v>
      </c>
      <c r="N90" s="6">
        <v>0</v>
      </c>
      <c r="O90" s="6">
        <v>125247510</v>
      </c>
      <c r="P90" s="6">
        <v>0</v>
      </c>
      <c r="Q90" s="6">
        <v>0</v>
      </c>
      <c r="R90" s="6">
        <v>2249480.2000000002</v>
      </c>
      <c r="S90" s="6">
        <v>159263570</v>
      </c>
      <c r="T90" s="6">
        <v>0</v>
      </c>
      <c r="U90" s="6">
        <v>2772084.5</v>
      </c>
      <c r="V90" s="6">
        <v>0</v>
      </c>
      <c r="W90" s="6">
        <v>3054975.2</v>
      </c>
      <c r="X90" s="6">
        <v>100931370</v>
      </c>
      <c r="Y90" s="6">
        <v>557635.6</v>
      </c>
      <c r="Z90" s="6">
        <v>0</v>
      </c>
      <c r="AA90" s="6">
        <v>0</v>
      </c>
      <c r="AB90" s="6">
        <v>10560703</v>
      </c>
      <c r="AC90" s="6">
        <v>22792698</v>
      </c>
      <c r="AD90" s="6">
        <v>68789.7</v>
      </c>
      <c r="AE90" s="6">
        <f t="shared" si="14"/>
        <v>429172830</v>
      </c>
      <c r="AF90" s="6">
        <f t="shared" si="15"/>
        <v>0</v>
      </c>
      <c r="AG90" s="6">
        <f t="shared" si="27"/>
        <v>1421224.5</v>
      </c>
      <c r="AH90" s="6">
        <f t="shared" si="16"/>
        <v>427751605.5</v>
      </c>
      <c r="AI90" s="6">
        <f t="shared" si="17"/>
        <v>125247510</v>
      </c>
      <c r="AJ90" s="6">
        <f t="shared" si="18"/>
        <v>162035654.5</v>
      </c>
      <c r="AK90" s="6">
        <f t="shared" si="19"/>
        <v>557635.6</v>
      </c>
      <c r="AL90" s="6">
        <f t="shared" si="20"/>
        <v>100931370</v>
      </c>
      <c r="AM90" s="6">
        <f t="shared" si="21"/>
        <v>38979425.700000003</v>
      </c>
      <c r="AN90" s="10">
        <f t="shared" si="22"/>
        <v>0.29280430135054164</v>
      </c>
      <c r="AO90" s="10">
        <f t="shared" si="23"/>
        <v>0.37880782308367045</v>
      </c>
      <c r="AP90" s="10">
        <f t="shared" si="24"/>
        <v>1.3036434997086175E-3</v>
      </c>
      <c r="AQ90" s="10">
        <f t="shared" si="25"/>
        <v>0.23595789870156314</v>
      </c>
      <c r="AR90" s="10">
        <f t="shared" si="26"/>
        <v>9.112631068780408E-2</v>
      </c>
    </row>
    <row r="91" spans="1:44" x14ac:dyDescent="0.3">
      <c r="A91" t="s">
        <v>6</v>
      </c>
      <c r="B91" t="s">
        <v>178</v>
      </c>
      <c r="C91" t="s">
        <v>165</v>
      </c>
      <c r="D91" s="7">
        <v>2026</v>
      </c>
      <c r="E91" s="6">
        <v>0.34</v>
      </c>
      <c r="F91" s="6">
        <v>493</v>
      </c>
      <c r="G91" s="15">
        <v>425.6</v>
      </c>
      <c r="H91" s="15">
        <v>874.6</v>
      </c>
      <c r="I91" s="6">
        <v>423525200</v>
      </c>
      <c r="J91" s="6">
        <v>38696536</v>
      </c>
      <c r="K91" s="6">
        <v>954622.2</v>
      </c>
      <c r="L91" s="6">
        <v>1418919.8</v>
      </c>
      <c r="M91" s="6">
        <v>0</v>
      </c>
      <c r="N91" s="6">
        <v>0</v>
      </c>
      <c r="O91" s="6">
        <v>112049260</v>
      </c>
      <c r="P91" s="6">
        <v>0</v>
      </c>
      <c r="Q91" s="6">
        <v>0</v>
      </c>
      <c r="R91" s="6">
        <v>3699150.5</v>
      </c>
      <c r="S91" s="6">
        <v>164851440</v>
      </c>
      <c r="T91" s="6">
        <v>0</v>
      </c>
      <c r="U91" s="6">
        <v>1355305.5</v>
      </c>
      <c r="V91" s="6">
        <v>0</v>
      </c>
      <c r="W91" s="6">
        <v>3054095</v>
      </c>
      <c r="X91" s="6">
        <v>100874760</v>
      </c>
      <c r="Y91" s="6">
        <v>270245.8</v>
      </c>
      <c r="Z91" s="6">
        <v>0</v>
      </c>
      <c r="AA91" s="6">
        <v>0</v>
      </c>
      <c r="AB91" s="6">
        <v>12261970</v>
      </c>
      <c r="AC91" s="6">
        <v>22666998</v>
      </c>
      <c r="AD91" s="6">
        <v>68418.8</v>
      </c>
      <c r="AE91" s="6">
        <f t="shared" si="14"/>
        <v>423525200</v>
      </c>
      <c r="AF91" s="6">
        <f t="shared" si="15"/>
        <v>0</v>
      </c>
      <c r="AG91" s="6">
        <f t="shared" si="27"/>
        <v>1418919.8</v>
      </c>
      <c r="AH91" s="6">
        <f t="shared" si="16"/>
        <v>422106280.19999999</v>
      </c>
      <c r="AI91" s="6">
        <f t="shared" si="17"/>
        <v>112049260</v>
      </c>
      <c r="AJ91" s="6">
        <f t="shared" si="18"/>
        <v>166206745.5</v>
      </c>
      <c r="AK91" s="6">
        <f t="shared" si="19"/>
        <v>270245.8</v>
      </c>
      <c r="AL91" s="6">
        <f t="shared" si="20"/>
        <v>100874760</v>
      </c>
      <c r="AM91" s="6">
        <f t="shared" si="21"/>
        <v>42705254.5</v>
      </c>
      <c r="AN91" s="10">
        <f t="shared" si="22"/>
        <v>0.26545271950682531</v>
      </c>
      <c r="AO91" s="10">
        <f t="shared" si="23"/>
        <v>0.39375568025486107</v>
      </c>
      <c r="AP91" s="10">
        <f t="shared" si="24"/>
        <v>6.4023164941292426E-4</v>
      </c>
      <c r="AQ91" s="10">
        <f t="shared" si="25"/>
        <v>0.23897952892860086</v>
      </c>
      <c r="AR91" s="10">
        <f t="shared" si="26"/>
        <v>0.10117180554566883</v>
      </c>
    </row>
    <row r="92" spans="1:44" x14ac:dyDescent="0.3">
      <c r="A92" t="s">
        <v>6</v>
      </c>
      <c r="B92" t="s">
        <v>178</v>
      </c>
      <c r="C92" t="s">
        <v>165</v>
      </c>
      <c r="D92" s="7">
        <v>2028</v>
      </c>
      <c r="E92" s="6">
        <v>0.43</v>
      </c>
      <c r="F92" s="6">
        <v>372.5</v>
      </c>
      <c r="G92" s="15">
        <v>374.9</v>
      </c>
      <c r="H92" s="15">
        <v>757.6</v>
      </c>
      <c r="I92" s="6">
        <v>374813280</v>
      </c>
      <c r="J92" s="6">
        <v>50927452</v>
      </c>
      <c r="K92" s="6">
        <v>8067122.5</v>
      </c>
      <c r="L92" s="6">
        <v>1339048.8</v>
      </c>
      <c r="M92" s="6">
        <v>0</v>
      </c>
      <c r="N92" s="6">
        <v>0</v>
      </c>
      <c r="O92" s="6">
        <v>55585612</v>
      </c>
      <c r="P92" s="6">
        <v>0</v>
      </c>
      <c r="Q92" s="6">
        <v>0</v>
      </c>
      <c r="R92" s="6">
        <v>5854172</v>
      </c>
      <c r="S92" s="6">
        <v>157215570</v>
      </c>
      <c r="T92" s="6">
        <v>0</v>
      </c>
      <c r="U92" s="6">
        <v>808349.4</v>
      </c>
      <c r="V92" s="6">
        <v>0</v>
      </c>
      <c r="W92" s="6">
        <v>3115617.2</v>
      </c>
      <c r="X92" s="6">
        <v>97658056</v>
      </c>
      <c r="Y92" s="6">
        <v>96450.1</v>
      </c>
      <c r="Z92" s="6">
        <v>0</v>
      </c>
      <c r="AA92" s="6">
        <v>0</v>
      </c>
      <c r="AB92" s="6">
        <v>22125544</v>
      </c>
      <c r="AC92" s="6">
        <v>22879686</v>
      </c>
      <c r="AD92" s="6">
        <v>68049.8</v>
      </c>
      <c r="AE92" s="6">
        <f t="shared" si="14"/>
        <v>374813280</v>
      </c>
      <c r="AF92" s="6">
        <f t="shared" si="15"/>
        <v>0</v>
      </c>
      <c r="AG92" s="6">
        <f t="shared" si="27"/>
        <v>1339048.8</v>
      </c>
      <c r="AH92" s="6">
        <f t="shared" si="16"/>
        <v>373474231.19999999</v>
      </c>
      <c r="AI92" s="6">
        <f t="shared" si="17"/>
        <v>55585612</v>
      </c>
      <c r="AJ92" s="6">
        <f t="shared" si="18"/>
        <v>158023919.40000001</v>
      </c>
      <c r="AK92" s="6">
        <f t="shared" si="19"/>
        <v>96450.1</v>
      </c>
      <c r="AL92" s="6">
        <f t="shared" si="20"/>
        <v>97658056</v>
      </c>
      <c r="AM92" s="6">
        <f t="shared" si="21"/>
        <v>62110191.5</v>
      </c>
      <c r="AN92" s="10">
        <f t="shared" si="22"/>
        <v>0.14883386149935798</v>
      </c>
      <c r="AO92" s="10">
        <f t="shared" si="23"/>
        <v>0.42311866843465373</v>
      </c>
      <c r="AP92" s="10">
        <f t="shared" si="24"/>
        <v>2.5825101691781728E-4</v>
      </c>
      <c r="AQ92" s="10">
        <f t="shared" si="25"/>
        <v>0.26148539267680537</v>
      </c>
      <c r="AR92" s="10">
        <f t="shared" si="26"/>
        <v>0.16630382048163114</v>
      </c>
    </row>
    <row r="93" spans="1:44" x14ac:dyDescent="0.3">
      <c r="A93" t="s">
        <v>6</v>
      </c>
      <c r="B93" t="s">
        <v>178</v>
      </c>
      <c r="C93" t="s">
        <v>165</v>
      </c>
      <c r="D93" s="7">
        <v>2030</v>
      </c>
      <c r="E93" s="6">
        <v>0.52</v>
      </c>
      <c r="F93" s="6">
        <v>299.3</v>
      </c>
      <c r="G93" s="15">
        <v>408.1</v>
      </c>
      <c r="H93" s="15">
        <v>701.9</v>
      </c>
      <c r="I93" s="6">
        <v>403963900</v>
      </c>
      <c r="J93" s="6">
        <v>93644310</v>
      </c>
      <c r="K93" s="6">
        <v>18724078</v>
      </c>
      <c r="L93" s="6">
        <v>1273502.3999999999</v>
      </c>
      <c r="M93" s="6">
        <v>0</v>
      </c>
      <c r="N93" s="6">
        <v>0</v>
      </c>
      <c r="O93" s="6">
        <v>43901816</v>
      </c>
      <c r="P93" s="6">
        <v>0</v>
      </c>
      <c r="Q93" s="6">
        <v>0</v>
      </c>
      <c r="R93" s="6">
        <v>9042421</v>
      </c>
      <c r="S93" s="6">
        <v>147386350</v>
      </c>
      <c r="T93" s="6">
        <v>0</v>
      </c>
      <c r="U93" s="6">
        <v>629487.1</v>
      </c>
      <c r="V93" s="6">
        <v>0</v>
      </c>
      <c r="W93" s="6">
        <v>3057520.2</v>
      </c>
      <c r="X93" s="6">
        <v>95302160</v>
      </c>
      <c r="Y93" s="6">
        <v>44682.8</v>
      </c>
      <c r="Z93" s="6">
        <v>0</v>
      </c>
      <c r="AA93" s="6">
        <v>0</v>
      </c>
      <c r="AB93" s="6">
        <v>54128664</v>
      </c>
      <c r="AC93" s="6">
        <v>30405540</v>
      </c>
      <c r="AD93" s="6">
        <v>67682.8</v>
      </c>
      <c r="AE93" s="6">
        <f t="shared" si="14"/>
        <v>403963900</v>
      </c>
      <c r="AF93" s="6">
        <f t="shared" si="15"/>
        <v>0</v>
      </c>
      <c r="AG93" s="6">
        <f t="shared" si="27"/>
        <v>1273502.3999999999</v>
      </c>
      <c r="AH93" s="6">
        <f t="shared" si="16"/>
        <v>402690397.60000002</v>
      </c>
      <c r="AI93" s="6">
        <f t="shared" si="17"/>
        <v>43901816</v>
      </c>
      <c r="AJ93" s="6">
        <f t="shared" si="18"/>
        <v>148015837.09999999</v>
      </c>
      <c r="AK93" s="6">
        <f t="shared" si="19"/>
        <v>44682.8</v>
      </c>
      <c r="AL93" s="6">
        <f t="shared" si="20"/>
        <v>95302160</v>
      </c>
      <c r="AM93" s="6">
        <f t="shared" si="21"/>
        <v>115425906</v>
      </c>
      <c r="AN93" s="10">
        <f t="shared" si="22"/>
        <v>0.10902126363491911</v>
      </c>
      <c r="AO93" s="10">
        <f t="shared" si="23"/>
        <v>0.36756733704642969</v>
      </c>
      <c r="AP93" s="10">
        <f t="shared" si="24"/>
        <v>1.1096067913788267E-4</v>
      </c>
      <c r="AQ93" s="10">
        <f t="shared" si="25"/>
        <v>0.23666360203270959</v>
      </c>
      <c r="AR93" s="10">
        <f t="shared" si="26"/>
        <v>0.28663684728498229</v>
      </c>
    </row>
    <row r="94" spans="1:44" x14ac:dyDescent="0.3">
      <c r="A94" t="s">
        <v>6</v>
      </c>
      <c r="B94" t="s">
        <v>178</v>
      </c>
      <c r="C94" t="s">
        <v>165</v>
      </c>
      <c r="D94" s="7">
        <v>2035</v>
      </c>
      <c r="E94" s="6">
        <v>0.62</v>
      </c>
      <c r="F94" s="6">
        <v>219</v>
      </c>
      <c r="G94" s="15">
        <v>378.8</v>
      </c>
      <c r="H94" s="15">
        <v>637.79999999999995</v>
      </c>
      <c r="I94" s="6">
        <v>559708800</v>
      </c>
      <c r="J94" s="6">
        <v>207180510</v>
      </c>
      <c r="K94" s="6">
        <v>42044612</v>
      </c>
      <c r="L94" s="6">
        <v>1202159.2</v>
      </c>
      <c r="M94" s="6">
        <v>0</v>
      </c>
      <c r="N94" s="6">
        <v>0</v>
      </c>
      <c r="O94" s="6">
        <v>33332532</v>
      </c>
      <c r="P94" s="6">
        <v>0</v>
      </c>
      <c r="Q94" s="6">
        <v>0</v>
      </c>
      <c r="R94" s="6">
        <v>14397802</v>
      </c>
      <c r="S94" s="6">
        <v>178488200</v>
      </c>
      <c r="T94" s="6">
        <v>0</v>
      </c>
      <c r="U94" s="6">
        <v>902476.5</v>
      </c>
      <c r="V94" s="6">
        <v>0</v>
      </c>
      <c r="W94" s="6">
        <v>2894301</v>
      </c>
      <c r="X94" s="6">
        <v>93657850</v>
      </c>
      <c r="Y94" s="6">
        <v>6135.9</v>
      </c>
      <c r="Z94" s="6">
        <v>0</v>
      </c>
      <c r="AA94" s="6">
        <v>0</v>
      </c>
      <c r="AB94" s="6">
        <v>153663400</v>
      </c>
      <c r="AC94" s="6">
        <v>39053108</v>
      </c>
      <c r="AD94" s="6">
        <v>66212.3</v>
      </c>
      <c r="AE94" s="6">
        <f t="shared" si="14"/>
        <v>559708800</v>
      </c>
      <c r="AF94" s="6">
        <f t="shared" si="15"/>
        <v>0</v>
      </c>
      <c r="AG94" s="6">
        <f t="shared" si="27"/>
        <v>1202159.2</v>
      </c>
      <c r="AH94" s="6">
        <f t="shared" si="16"/>
        <v>558506640.79999995</v>
      </c>
      <c r="AI94" s="6">
        <f t="shared" si="17"/>
        <v>33332532</v>
      </c>
      <c r="AJ94" s="6">
        <f t="shared" si="18"/>
        <v>179390676.5</v>
      </c>
      <c r="AK94" s="6">
        <f t="shared" si="19"/>
        <v>6135.9</v>
      </c>
      <c r="AL94" s="6">
        <f t="shared" si="20"/>
        <v>93657850</v>
      </c>
      <c r="AM94" s="6">
        <f t="shared" si="21"/>
        <v>252119435.30000001</v>
      </c>
      <c r="AN94" s="10">
        <f t="shared" si="22"/>
        <v>5.9681532080361262E-2</v>
      </c>
      <c r="AO94" s="10">
        <f t="shared" si="23"/>
        <v>0.32119703401027139</v>
      </c>
      <c r="AP94" s="10">
        <f t="shared" si="24"/>
        <v>1.098626149048289E-5</v>
      </c>
      <c r="AQ94" s="10">
        <f t="shared" si="25"/>
        <v>0.1676933507287314</v>
      </c>
      <c r="AR94" s="10">
        <f t="shared" si="26"/>
        <v>0.45141707704471762</v>
      </c>
    </row>
    <row r="95" spans="1:44" x14ac:dyDescent="0.3">
      <c r="A95" t="s">
        <v>6</v>
      </c>
      <c r="B95" t="s">
        <v>178</v>
      </c>
      <c r="C95" t="s">
        <v>165</v>
      </c>
      <c r="D95" s="7">
        <v>2040</v>
      </c>
      <c r="E95" s="6">
        <v>0.68</v>
      </c>
      <c r="F95" s="6">
        <v>179.6</v>
      </c>
      <c r="G95" s="15">
        <v>376</v>
      </c>
      <c r="H95" s="15">
        <v>595.20000000000005</v>
      </c>
      <c r="I95" s="6">
        <v>668067500</v>
      </c>
      <c r="J95" s="6">
        <v>297626460</v>
      </c>
      <c r="K95" s="6">
        <v>59077256</v>
      </c>
      <c r="L95" s="6">
        <v>1073744.5</v>
      </c>
      <c r="M95" s="6">
        <v>0</v>
      </c>
      <c r="N95" s="6">
        <v>0</v>
      </c>
      <c r="O95" s="6">
        <v>27139370</v>
      </c>
      <c r="P95" s="6">
        <v>0</v>
      </c>
      <c r="Q95" s="6">
        <v>0</v>
      </c>
      <c r="R95" s="6">
        <v>16820918</v>
      </c>
      <c r="S95" s="6">
        <v>186202430</v>
      </c>
      <c r="T95" s="6">
        <v>0</v>
      </c>
      <c r="U95" s="6">
        <v>2106318</v>
      </c>
      <c r="V95" s="6">
        <v>0</v>
      </c>
      <c r="W95" s="6">
        <v>2765894</v>
      </c>
      <c r="X95" s="6">
        <v>92065576</v>
      </c>
      <c r="Y95" s="6">
        <v>10477</v>
      </c>
      <c r="Z95" s="6">
        <v>0</v>
      </c>
      <c r="AA95" s="6">
        <v>0</v>
      </c>
      <c r="AB95" s="6">
        <v>222413150</v>
      </c>
      <c r="AC95" s="6">
        <v>58327220</v>
      </c>
      <c r="AD95" s="6">
        <v>65178.1</v>
      </c>
      <c r="AE95" s="6">
        <f t="shared" si="14"/>
        <v>668067500</v>
      </c>
      <c r="AF95" s="6">
        <f t="shared" si="15"/>
        <v>0</v>
      </c>
      <c r="AG95" s="6">
        <f t="shared" si="27"/>
        <v>1073744.5</v>
      </c>
      <c r="AH95" s="6">
        <f t="shared" si="16"/>
        <v>666993755.5</v>
      </c>
      <c r="AI95" s="6">
        <f t="shared" si="17"/>
        <v>27139370</v>
      </c>
      <c r="AJ95" s="6">
        <f t="shared" si="18"/>
        <v>188308748</v>
      </c>
      <c r="AK95" s="6">
        <f t="shared" si="19"/>
        <v>10477</v>
      </c>
      <c r="AL95" s="6">
        <f t="shared" si="20"/>
        <v>92065576</v>
      </c>
      <c r="AM95" s="6">
        <f t="shared" si="21"/>
        <v>359469616.10000002</v>
      </c>
      <c r="AN95" s="10">
        <f t="shared" si="22"/>
        <v>4.0689091578759169E-2</v>
      </c>
      <c r="AO95" s="10">
        <f t="shared" si="23"/>
        <v>0.28232460416190508</v>
      </c>
      <c r="AP95" s="10">
        <f t="shared" si="24"/>
        <v>1.57077932343551E-5</v>
      </c>
      <c r="AQ95" s="10">
        <f t="shared" si="25"/>
        <v>0.13803064157772313</v>
      </c>
      <c r="AR95" s="10">
        <f t="shared" si="26"/>
        <v>0.53894000226513372</v>
      </c>
    </row>
    <row r="96" spans="1:44" x14ac:dyDescent="0.3">
      <c r="A96" t="s">
        <v>6</v>
      </c>
      <c r="B96" t="s">
        <v>178</v>
      </c>
      <c r="C96" t="s">
        <v>165</v>
      </c>
      <c r="D96" s="7">
        <v>2045</v>
      </c>
      <c r="E96" s="6">
        <v>0.68</v>
      </c>
      <c r="F96" s="6">
        <v>176.5</v>
      </c>
      <c r="G96" s="15">
        <v>276.3</v>
      </c>
      <c r="H96" s="15">
        <v>597.9</v>
      </c>
      <c r="I96" s="6">
        <v>730497500</v>
      </c>
      <c r="J96" s="6">
        <v>343776960</v>
      </c>
      <c r="K96" s="6">
        <v>59206904</v>
      </c>
      <c r="L96" s="6">
        <v>1040572.1</v>
      </c>
      <c r="M96" s="6">
        <v>0</v>
      </c>
      <c r="N96" s="6">
        <v>0</v>
      </c>
      <c r="O96" s="6">
        <v>25792312</v>
      </c>
      <c r="P96" s="6">
        <v>0</v>
      </c>
      <c r="Q96" s="6">
        <v>0</v>
      </c>
      <c r="R96" s="6">
        <v>18076724</v>
      </c>
      <c r="S96" s="6">
        <v>195814600</v>
      </c>
      <c r="T96" s="6">
        <v>0</v>
      </c>
      <c r="U96" s="6">
        <v>10865038</v>
      </c>
      <c r="V96" s="6">
        <v>0</v>
      </c>
      <c r="W96" s="6">
        <v>2727231</v>
      </c>
      <c r="X96" s="6">
        <v>91266984</v>
      </c>
      <c r="Y96" s="6">
        <v>6894.8</v>
      </c>
      <c r="Z96" s="6">
        <v>0</v>
      </c>
      <c r="AA96" s="6">
        <v>0</v>
      </c>
      <c r="AB96" s="6">
        <v>236403970</v>
      </c>
      <c r="AC96" s="6">
        <v>89232424</v>
      </c>
      <c r="AD96" s="6">
        <v>63848.4</v>
      </c>
      <c r="AE96" s="6">
        <f t="shared" si="14"/>
        <v>730497500</v>
      </c>
      <c r="AF96" s="6">
        <f t="shared" si="15"/>
        <v>0</v>
      </c>
      <c r="AG96" s="6">
        <f t="shared" si="27"/>
        <v>1040572.1</v>
      </c>
      <c r="AH96" s="6">
        <f t="shared" si="16"/>
        <v>729456927.89999998</v>
      </c>
      <c r="AI96" s="6">
        <f t="shared" si="17"/>
        <v>25792312</v>
      </c>
      <c r="AJ96" s="6">
        <f t="shared" si="18"/>
        <v>206679638</v>
      </c>
      <c r="AK96" s="6">
        <f t="shared" si="19"/>
        <v>6894.8</v>
      </c>
      <c r="AL96" s="6">
        <f t="shared" si="20"/>
        <v>91266984</v>
      </c>
      <c r="AM96" s="6">
        <f t="shared" si="21"/>
        <v>405711101.39999998</v>
      </c>
      <c r="AN96" s="10">
        <f t="shared" si="22"/>
        <v>3.5358238455904863E-2</v>
      </c>
      <c r="AO96" s="10">
        <f t="shared" si="23"/>
        <v>0.2833335733680678</v>
      </c>
      <c r="AP96" s="10">
        <f t="shared" si="24"/>
        <v>9.4519631472266954E-6</v>
      </c>
      <c r="AQ96" s="10">
        <f t="shared" si="25"/>
        <v>0.12511634410374897</v>
      </c>
      <c r="AR96" s="10">
        <f t="shared" si="26"/>
        <v>0.55618239526216173</v>
      </c>
    </row>
    <row r="97" spans="1:44" x14ac:dyDescent="0.3">
      <c r="A97" t="s">
        <v>6</v>
      </c>
      <c r="B97" t="s">
        <v>178</v>
      </c>
      <c r="C97" t="s">
        <v>165</v>
      </c>
      <c r="D97" s="7">
        <v>2050</v>
      </c>
      <c r="E97" s="6">
        <v>0.69</v>
      </c>
      <c r="F97" s="6">
        <v>169.1</v>
      </c>
      <c r="G97" s="15">
        <v>262.10000000000002</v>
      </c>
      <c r="H97" s="15">
        <v>550.29999999999995</v>
      </c>
      <c r="I97" s="6">
        <v>797164860</v>
      </c>
      <c r="J97" s="6">
        <v>415337300</v>
      </c>
      <c r="K97" s="6">
        <v>65263276</v>
      </c>
      <c r="L97" s="6">
        <v>991570.9</v>
      </c>
      <c r="M97" s="6">
        <v>0</v>
      </c>
      <c r="N97" s="6">
        <v>0</v>
      </c>
      <c r="O97" s="6">
        <v>16114586</v>
      </c>
      <c r="P97" s="6">
        <v>0</v>
      </c>
      <c r="Q97" s="6">
        <v>0</v>
      </c>
      <c r="R97" s="6">
        <v>19155824</v>
      </c>
      <c r="S97" s="6">
        <v>194930530</v>
      </c>
      <c r="T97" s="6">
        <v>0</v>
      </c>
      <c r="U97" s="6">
        <v>33489892</v>
      </c>
      <c r="V97" s="6">
        <v>0</v>
      </c>
      <c r="W97" s="6">
        <v>2646683</v>
      </c>
      <c r="X97" s="6">
        <v>68382950</v>
      </c>
      <c r="Y97" s="6">
        <v>8041.5</v>
      </c>
      <c r="Z97" s="6">
        <v>0</v>
      </c>
      <c r="AA97" s="6">
        <v>0</v>
      </c>
      <c r="AB97" s="6">
        <v>274961400</v>
      </c>
      <c r="AC97" s="6">
        <v>121157140</v>
      </c>
      <c r="AD97" s="6">
        <v>62933.7</v>
      </c>
      <c r="AE97" s="6">
        <f t="shared" si="14"/>
        <v>797164860</v>
      </c>
      <c r="AF97" s="6">
        <f t="shared" si="15"/>
        <v>0</v>
      </c>
      <c r="AG97" s="6">
        <f t="shared" si="27"/>
        <v>991570.9</v>
      </c>
      <c r="AH97" s="6">
        <f t="shared" si="16"/>
        <v>796173289.10000002</v>
      </c>
      <c r="AI97" s="6">
        <f t="shared" si="17"/>
        <v>16114586</v>
      </c>
      <c r="AJ97" s="6">
        <f t="shared" si="18"/>
        <v>228420422</v>
      </c>
      <c r="AK97" s="6">
        <f t="shared" si="19"/>
        <v>8041.5</v>
      </c>
      <c r="AL97" s="6">
        <f t="shared" si="20"/>
        <v>68382950</v>
      </c>
      <c r="AM97" s="6">
        <f t="shared" si="21"/>
        <v>483247256.69999999</v>
      </c>
      <c r="AN97" s="10">
        <f t="shared" si="22"/>
        <v>2.0240048517849728E-2</v>
      </c>
      <c r="AO97" s="10">
        <f t="shared" si="23"/>
        <v>0.28689787151514223</v>
      </c>
      <c r="AP97" s="10">
        <f t="shared" si="24"/>
        <v>1.0100188124987425E-5</v>
      </c>
      <c r="AQ97" s="10">
        <f t="shared" si="25"/>
        <v>8.5889530503215669E-2</v>
      </c>
      <c r="AR97" s="10">
        <f t="shared" si="26"/>
        <v>0.60696240795300493</v>
      </c>
    </row>
    <row r="98" spans="1:44" x14ac:dyDescent="0.3">
      <c r="A98" t="s">
        <v>6</v>
      </c>
      <c r="B98" t="s">
        <v>178</v>
      </c>
      <c r="C98" t="s">
        <v>166</v>
      </c>
      <c r="D98" s="7">
        <v>2024</v>
      </c>
      <c r="E98" s="6">
        <v>0.42</v>
      </c>
      <c r="F98" s="6">
        <v>588</v>
      </c>
      <c r="G98" s="15">
        <v>383.3</v>
      </c>
      <c r="H98" s="15">
        <v>838.6</v>
      </c>
      <c r="I98" s="6">
        <v>83347496</v>
      </c>
      <c r="J98" s="6">
        <v>31338630</v>
      </c>
      <c r="K98" s="6">
        <v>2452</v>
      </c>
      <c r="L98" s="6">
        <v>188575.4</v>
      </c>
      <c r="M98" s="6">
        <v>0</v>
      </c>
      <c r="N98" s="6">
        <v>0</v>
      </c>
      <c r="O98" s="6">
        <v>37459010</v>
      </c>
      <c r="P98" s="6">
        <v>0</v>
      </c>
      <c r="Q98" s="6">
        <v>0</v>
      </c>
      <c r="R98" s="6">
        <v>1469627</v>
      </c>
      <c r="S98" s="6">
        <v>11245504</v>
      </c>
      <c r="T98" s="6">
        <v>0</v>
      </c>
      <c r="U98" s="6">
        <v>2190.6999999999998</v>
      </c>
      <c r="V98" s="6">
        <v>0</v>
      </c>
      <c r="W98" s="6">
        <v>2620397.2000000002</v>
      </c>
      <c r="X98" s="6">
        <v>0</v>
      </c>
      <c r="Y98" s="6">
        <v>160.9</v>
      </c>
      <c r="Z98" s="6">
        <v>490574.2</v>
      </c>
      <c r="AA98" s="6">
        <v>0</v>
      </c>
      <c r="AB98" s="6">
        <v>4417981.5</v>
      </c>
      <c r="AC98" s="6">
        <v>25451024</v>
      </c>
      <c r="AD98" s="6">
        <v>0</v>
      </c>
      <c r="AE98" s="6">
        <f t="shared" si="14"/>
        <v>83347496</v>
      </c>
      <c r="AF98" s="6">
        <f t="shared" si="15"/>
        <v>0</v>
      </c>
      <c r="AG98" s="6">
        <f t="shared" si="27"/>
        <v>188575.4</v>
      </c>
      <c r="AH98" s="6">
        <f t="shared" si="16"/>
        <v>83158920.599999994</v>
      </c>
      <c r="AI98" s="6">
        <f t="shared" si="17"/>
        <v>37459010</v>
      </c>
      <c r="AJ98" s="6">
        <f t="shared" si="18"/>
        <v>11247694.699999999</v>
      </c>
      <c r="AK98" s="6">
        <f t="shared" si="19"/>
        <v>160.9</v>
      </c>
      <c r="AL98" s="6">
        <f t="shared" si="20"/>
        <v>0</v>
      </c>
      <c r="AM98" s="6">
        <f t="shared" si="21"/>
        <v>34452055.899999999</v>
      </c>
      <c r="AN98" s="10">
        <f t="shared" si="22"/>
        <v>0.45045089245662961</v>
      </c>
      <c r="AO98" s="10">
        <f t="shared" si="23"/>
        <v>0.13525541960918622</v>
      </c>
      <c r="AP98" s="10">
        <f t="shared" si="24"/>
        <v>1.9348495487806995E-6</v>
      </c>
      <c r="AQ98" s="10">
        <f t="shared" si="25"/>
        <v>0</v>
      </c>
      <c r="AR98" s="10">
        <f t="shared" si="26"/>
        <v>0.41429176390728673</v>
      </c>
    </row>
    <row r="99" spans="1:44" x14ac:dyDescent="0.3">
      <c r="A99" t="s">
        <v>6</v>
      </c>
      <c r="B99" t="s">
        <v>178</v>
      </c>
      <c r="C99" t="s">
        <v>166</v>
      </c>
      <c r="D99" s="7">
        <v>2026</v>
      </c>
      <c r="E99" s="6">
        <v>0.54</v>
      </c>
      <c r="F99" s="6">
        <v>455.7</v>
      </c>
      <c r="G99" s="15">
        <v>334.5</v>
      </c>
      <c r="H99" s="15">
        <v>797.4</v>
      </c>
      <c r="I99" s="6">
        <v>89780250</v>
      </c>
      <c r="J99" s="6">
        <v>45284704</v>
      </c>
      <c r="K99" s="6">
        <v>7250.7</v>
      </c>
      <c r="L99" s="6">
        <v>185226.8</v>
      </c>
      <c r="M99" s="6">
        <v>0</v>
      </c>
      <c r="N99" s="6">
        <v>0</v>
      </c>
      <c r="O99" s="6">
        <v>31457104</v>
      </c>
      <c r="P99" s="6">
        <v>0</v>
      </c>
      <c r="Q99" s="6">
        <v>0</v>
      </c>
      <c r="R99" s="6">
        <v>1841670.6</v>
      </c>
      <c r="S99" s="6">
        <v>9632207</v>
      </c>
      <c r="T99" s="6">
        <v>0</v>
      </c>
      <c r="U99" s="6">
        <v>15.5</v>
      </c>
      <c r="V99" s="6">
        <v>0</v>
      </c>
      <c r="W99" s="6">
        <v>2584599</v>
      </c>
      <c r="X99" s="6">
        <v>0</v>
      </c>
      <c r="Y99" s="6">
        <v>45.8</v>
      </c>
      <c r="Z99" s="6">
        <v>629097</v>
      </c>
      <c r="AA99" s="6">
        <v>0</v>
      </c>
      <c r="AB99" s="6">
        <v>4356984</v>
      </c>
      <c r="AC99" s="6">
        <v>39086050</v>
      </c>
      <c r="AD99" s="6">
        <v>0</v>
      </c>
      <c r="AE99" s="6">
        <f t="shared" si="14"/>
        <v>89780250</v>
      </c>
      <c r="AF99" s="6">
        <f t="shared" si="15"/>
        <v>0</v>
      </c>
      <c r="AG99" s="6">
        <f t="shared" si="27"/>
        <v>185226.8</v>
      </c>
      <c r="AH99" s="6">
        <f t="shared" si="16"/>
        <v>89595023.200000003</v>
      </c>
      <c r="AI99" s="6">
        <f t="shared" si="17"/>
        <v>31457104</v>
      </c>
      <c r="AJ99" s="6">
        <f t="shared" si="18"/>
        <v>9632222.5</v>
      </c>
      <c r="AK99" s="6">
        <f t="shared" si="19"/>
        <v>45.8</v>
      </c>
      <c r="AL99" s="6">
        <f t="shared" si="20"/>
        <v>0</v>
      </c>
      <c r="AM99" s="6">
        <f t="shared" si="21"/>
        <v>48505651.299999997</v>
      </c>
      <c r="AN99" s="10">
        <f t="shared" si="22"/>
        <v>0.35110325190473302</v>
      </c>
      <c r="AO99" s="10">
        <f t="shared" si="23"/>
        <v>0.10750845477765332</v>
      </c>
      <c r="AP99" s="10">
        <f t="shared" si="24"/>
        <v>5.1118910810215626E-7</v>
      </c>
      <c r="AQ99" s="10">
        <f t="shared" si="25"/>
        <v>0</v>
      </c>
      <c r="AR99" s="10">
        <f t="shared" si="26"/>
        <v>0.54138778659303921</v>
      </c>
    </row>
    <row r="100" spans="1:44" x14ac:dyDescent="0.3">
      <c r="A100" t="s">
        <v>6</v>
      </c>
      <c r="B100" t="s">
        <v>178</v>
      </c>
      <c r="C100" t="s">
        <v>166</v>
      </c>
      <c r="D100" s="7">
        <v>2028</v>
      </c>
      <c r="E100" s="6">
        <v>0.71</v>
      </c>
      <c r="F100" s="6">
        <v>286</v>
      </c>
      <c r="G100" s="15">
        <v>228</v>
      </c>
      <c r="H100" s="15">
        <v>755.9</v>
      </c>
      <c r="I100" s="6">
        <v>88309890</v>
      </c>
      <c r="J100" s="6">
        <v>59116470</v>
      </c>
      <c r="K100" s="6">
        <v>128830.39999999999</v>
      </c>
      <c r="L100" s="6">
        <v>177188.7</v>
      </c>
      <c r="M100" s="6">
        <v>0</v>
      </c>
      <c r="N100" s="6">
        <v>0</v>
      </c>
      <c r="O100" s="6">
        <v>19770484</v>
      </c>
      <c r="P100" s="6">
        <v>0</v>
      </c>
      <c r="Q100" s="6">
        <v>0</v>
      </c>
      <c r="R100" s="6">
        <v>2312259</v>
      </c>
      <c r="S100" s="6">
        <v>5859379.5</v>
      </c>
      <c r="T100" s="6">
        <v>0</v>
      </c>
      <c r="U100" s="6">
        <v>0</v>
      </c>
      <c r="V100" s="6">
        <v>0</v>
      </c>
      <c r="W100" s="6">
        <v>2496073.2000000002</v>
      </c>
      <c r="X100" s="6">
        <v>0</v>
      </c>
      <c r="Y100" s="6">
        <v>0</v>
      </c>
      <c r="Z100" s="6">
        <v>761454.8</v>
      </c>
      <c r="AA100" s="6">
        <v>0</v>
      </c>
      <c r="AB100" s="6">
        <v>9014250</v>
      </c>
      <c r="AC100" s="6">
        <v>47789970</v>
      </c>
      <c r="AD100" s="6">
        <v>0</v>
      </c>
      <c r="AE100" s="6">
        <f t="shared" si="14"/>
        <v>88309890</v>
      </c>
      <c r="AF100" s="6">
        <f t="shared" si="15"/>
        <v>0</v>
      </c>
      <c r="AG100" s="6">
        <f t="shared" si="27"/>
        <v>177188.7</v>
      </c>
      <c r="AH100" s="6">
        <f t="shared" si="16"/>
        <v>88132701.299999997</v>
      </c>
      <c r="AI100" s="6">
        <f t="shared" si="17"/>
        <v>19770484</v>
      </c>
      <c r="AJ100" s="6">
        <f t="shared" si="18"/>
        <v>5859379.5</v>
      </c>
      <c r="AK100" s="6">
        <f t="shared" si="19"/>
        <v>0</v>
      </c>
      <c r="AL100" s="6">
        <f t="shared" si="20"/>
        <v>0</v>
      </c>
      <c r="AM100" s="6">
        <f t="shared" si="21"/>
        <v>62502837.399999999</v>
      </c>
      <c r="AN100" s="10">
        <f t="shared" si="22"/>
        <v>0.22432631371075426</v>
      </c>
      <c r="AO100" s="10">
        <f t="shared" si="23"/>
        <v>6.6483602721479282E-2</v>
      </c>
      <c r="AP100" s="10">
        <f t="shared" si="24"/>
        <v>0</v>
      </c>
      <c r="AQ100" s="10">
        <f t="shared" si="25"/>
        <v>0</v>
      </c>
      <c r="AR100" s="10">
        <f t="shared" si="26"/>
        <v>0.70919007902915598</v>
      </c>
    </row>
    <row r="101" spans="1:44" x14ac:dyDescent="0.3">
      <c r="A101" t="s">
        <v>6</v>
      </c>
      <c r="B101" t="s">
        <v>178</v>
      </c>
      <c r="C101" t="s">
        <v>166</v>
      </c>
      <c r="D101" s="7">
        <v>2030</v>
      </c>
      <c r="E101" s="6">
        <v>0.94</v>
      </c>
      <c r="F101" s="6">
        <v>64.599999999999994</v>
      </c>
      <c r="G101" s="15">
        <v>196.1</v>
      </c>
      <c r="H101" s="15">
        <v>440.6</v>
      </c>
      <c r="I101" s="6">
        <v>124794090</v>
      </c>
      <c r="J101" s="6">
        <v>113159410</v>
      </c>
      <c r="K101" s="6">
        <v>412474.2</v>
      </c>
      <c r="L101" s="6">
        <v>98091.199999999997</v>
      </c>
      <c r="M101" s="6">
        <v>0</v>
      </c>
      <c r="N101" s="6">
        <v>0</v>
      </c>
      <c r="O101" s="6">
        <v>6584597</v>
      </c>
      <c r="P101" s="6">
        <v>0</v>
      </c>
      <c r="Q101" s="6">
        <v>0</v>
      </c>
      <c r="R101" s="6">
        <v>2673520</v>
      </c>
      <c r="S101" s="6">
        <v>1424701.6</v>
      </c>
      <c r="T101" s="6">
        <v>0</v>
      </c>
      <c r="U101" s="6">
        <v>1077.5999999999999</v>
      </c>
      <c r="V101" s="6">
        <v>0</v>
      </c>
      <c r="W101" s="6">
        <v>2157588.2000000002</v>
      </c>
      <c r="X101" s="6">
        <v>0</v>
      </c>
      <c r="Y101" s="6">
        <v>0</v>
      </c>
      <c r="Z101" s="6">
        <v>956155.6</v>
      </c>
      <c r="AA101" s="6">
        <v>0</v>
      </c>
      <c r="AB101" s="6">
        <v>18886366</v>
      </c>
      <c r="AC101" s="6">
        <v>91599520</v>
      </c>
      <c r="AD101" s="6">
        <v>0</v>
      </c>
      <c r="AE101" s="6">
        <f t="shared" si="14"/>
        <v>124794090</v>
      </c>
      <c r="AF101" s="6">
        <f t="shared" si="15"/>
        <v>0</v>
      </c>
      <c r="AG101" s="6">
        <f t="shared" si="27"/>
        <v>98091.199999999997</v>
      </c>
      <c r="AH101" s="6">
        <f t="shared" si="16"/>
        <v>124695998.8</v>
      </c>
      <c r="AI101" s="6">
        <f t="shared" si="17"/>
        <v>6584597</v>
      </c>
      <c r="AJ101" s="6">
        <f t="shared" si="18"/>
        <v>1425779.2000000002</v>
      </c>
      <c r="AK101" s="6">
        <f t="shared" si="19"/>
        <v>0</v>
      </c>
      <c r="AL101" s="6">
        <f t="shared" si="20"/>
        <v>0</v>
      </c>
      <c r="AM101" s="6">
        <f t="shared" si="21"/>
        <v>116685624</v>
      </c>
      <c r="AN101" s="10">
        <f t="shared" si="22"/>
        <v>5.2805198750290619E-2</v>
      </c>
      <c r="AO101" s="10">
        <f t="shared" si="23"/>
        <v>1.143404129820403E-2</v>
      </c>
      <c r="AP101" s="10">
        <f t="shared" si="24"/>
        <v>0</v>
      </c>
      <c r="AQ101" s="10">
        <f t="shared" si="25"/>
        <v>0</v>
      </c>
      <c r="AR101" s="10">
        <f t="shared" si="26"/>
        <v>0.93576077117881029</v>
      </c>
    </row>
    <row r="102" spans="1:44" x14ac:dyDescent="0.3">
      <c r="A102" t="s">
        <v>6</v>
      </c>
      <c r="B102" t="s">
        <v>178</v>
      </c>
      <c r="C102" t="s">
        <v>166</v>
      </c>
      <c r="D102" s="7">
        <v>2035</v>
      </c>
      <c r="E102" s="6">
        <v>0.93</v>
      </c>
      <c r="F102" s="6">
        <v>76.7</v>
      </c>
      <c r="G102" s="15">
        <v>150.30000000000001</v>
      </c>
      <c r="H102" s="15">
        <v>410.6</v>
      </c>
      <c r="I102" s="6">
        <v>135474300</v>
      </c>
      <c r="J102" s="6">
        <v>120946050</v>
      </c>
      <c r="K102" s="6">
        <v>1297042.2</v>
      </c>
      <c r="L102" s="6">
        <v>95633.9</v>
      </c>
      <c r="M102" s="6">
        <v>0</v>
      </c>
      <c r="N102" s="6">
        <v>0</v>
      </c>
      <c r="O102" s="6">
        <v>8646802</v>
      </c>
      <c r="P102" s="6">
        <v>0</v>
      </c>
      <c r="Q102" s="6">
        <v>0</v>
      </c>
      <c r="R102" s="6">
        <v>3565232.8</v>
      </c>
      <c r="S102" s="6">
        <v>1280379.2</v>
      </c>
      <c r="T102" s="6">
        <v>0</v>
      </c>
      <c r="U102" s="6">
        <v>15094.4</v>
      </c>
      <c r="V102" s="6">
        <v>0</v>
      </c>
      <c r="W102" s="6">
        <v>2111660.2000000002</v>
      </c>
      <c r="X102" s="6">
        <v>0</v>
      </c>
      <c r="Y102" s="6">
        <v>0</v>
      </c>
      <c r="Z102" s="6">
        <v>1081635</v>
      </c>
      <c r="AA102" s="6">
        <v>0</v>
      </c>
      <c r="AB102" s="6">
        <v>18165250</v>
      </c>
      <c r="AC102" s="6">
        <v>99215570</v>
      </c>
      <c r="AD102" s="6">
        <v>0</v>
      </c>
      <c r="AE102" s="6">
        <f t="shared" si="14"/>
        <v>135474300</v>
      </c>
      <c r="AF102" s="6">
        <f t="shared" si="15"/>
        <v>0</v>
      </c>
      <c r="AG102" s="6">
        <f t="shared" si="27"/>
        <v>95633.9</v>
      </c>
      <c r="AH102" s="6">
        <f t="shared" si="16"/>
        <v>135378666.09999999</v>
      </c>
      <c r="AI102" s="6">
        <f t="shared" si="17"/>
        <v>8646802</v>
      </c>
      <c r="AJ102" s="6">
        <f t="shared" si="18"/>
        <v>1295473.5999999999</v>
      </c>
      <c r="AK102" s="6">
        <f t="shared" si="19"/>
        <v>0</v>
      </c>
      <c r="AL102" s="6">
        <f t="shared" si="20"/>
        <v>0</v>
      </c>
      <c r="AM102" s="6">
        <f t="shared" si="21"/>
        <v>125436390.2</v>
      </c>
      <c r="AN102" s="10">
        <f t="shared" si="22"/>
        <v>6.3871230594138642E-2</v>
      </c>
      <c r="AO102" s="10">
        <f t="shared" si="23"/>
        <v>9.569259598429445E-3</v>
      </c>
      <c r="AP102" s="10">
        <f t="shared" si="24"/>
        <v>0</v>
      </c>
      <c r="AQ102" s="10">
        <f t="shared" si="25"/>
        <v>0</v>
      </c>
      <c r="AR102" s="10">
        <f t="shared" si="26"/>
        <v>0.92655950759142547</v>
      </c>
    </row>
    <row r="103" spans="1:44" x14ac:dyDescent="0.3">
      <c r="A103" t="s">
        <v>6</v>
      </c>
      <c r="B103" t="s">
        <v>178</v>
      </c>
      <c r="C103" t="s">
        <v>166</v>
      </c>
      <c r="D103" s="7">
        <v>2040</v>
      </c>
      <c r="E103" s="6">
        <v>0.93</v>
      </c>
      <c r="F103" s="6">
        <v>68.400000000000006</v>
      </c>
      <c r="G103" s="15">
        <v>159.80000000000001</v>
      </c>
      <c r="H103" s="15">
        <v>366.2</v>
      </c>
      <c r="I103" s="6">
        <v>140501800</v>
      </c>
      <c r="J103" s="6">
        <v>125749740</v>
      </c>
      <c r="K103" s="6">
        <v>2024464</v>
      </c>
      <c r="L103" s="6">
        <v>91274.5</v>
      </c>
      <c r="M103" s="6">
        <v>0</v>
      </c>
      <c r="N103" s="6">
        <v>0</v>
      </c>
      <c r="O103" s="6">
        <v>7810224</v>
      </c>
      <c r="P103" s="6">
        <v>0</v>
      </c>
      <c r="Q103" s="6">
        <v>0</v>
      </c>
      <c r="R103" s="6">
        <v>3924324.5</v>
      </c>
      <c r="S103" s="6">
        <v>1635603.8</v>
      </c>
      <c r="T103" s="6">
        <v>0</v>
      </c>
      <c r="U103" s="6">
        <v>36338.9</v>
      </c>
      <c r="V103" s="6">
        <v>0</v>
      </c>
      <c r="W103" s="6">
        <v>2067004.4</v>
      </c>
      <c r="X103" s="6">
        <v>0</v>
      </c>
      <c r="Y103" s="6">
        <v>0</v>
      </c>
      <c r="Z103" s="6">
        <v>1087121.5</v>
      </c>
      <c r="AA103" s="6">
        <v>0</v>
      </c>
      <c r="AB103" s="6">
        <v>18138382</v>
      </c>
      <c r="AC103" s="6">
        <v>103687050</v>
      </c>
      <c r="AD103" s="6">
        <v>0</v>
      </c>
      <c r="AE103" s="6">
        <f t="shared" si="14"/>
        <v>140501800</v>
      </c>
      <c r="AF103" s="6">
        <f t="shared" si="15"/>
        <v>0</v>
      </c>
      <c r="AG103" s="6">
        <f t="shared" si="27"/>
        <v>91274.5</v>
      </c>
      <c r="AH103" s="6">
        <f t="shared" si="16"/>
        <v>140410525.5</v>
      </c>
      <c r="AI103" s="6">
        <f t="shared" si="17"/>
        <v>7810224</v>
      </c>
      <c r="AJ103" s="6">
        <f t="shared" si="18"/>
        <v>1671942.7</v>
      </c>
      <c r="AK103" s="6">
        <f t="shared" si="19"/>
        <v>0</v>
      </c>
      <c r="AL103" s="6">
        <f t="shared" si="20"/>
        <v>0</v>
      </c>
      <c r="AM103" s="6">
        <f t="shared" si="21"/>
        <v>130928346.40000001</v>
      </c>
      <c r="AN103" s="10">
        <f t="shared" si="22"/>
        <v>5.5624206035750502E-2</v>
      </c>
      <c r="AO103" s="10">
        <f t="shared" si="23"/>
        <v>1.1907531105992478E-2</v>
      </c>
      <c r="AP103" s="10">
        <f t="shared" si="24"/>
        <v>0</v>
      </c>
      <c r="AQ103" s="10">
        <f t="shared" si="25"/>
        <v>0</v>
      </c>
      <c r="AR103" s="10">
        <f t="shared" si="26"/>
        <v>0.93246817454578934</v>
      </c>
    </row>
    <row r="104" spans="1:44" x14ac:dyDescent="0.3">
      <c r="A104" t="s">
        <v>6</v>
      </c>
      <c r="B104" t="s">
        <v>178</v>
      </c>
      <c r="C104" t="s">
        <v>166</v>
      </c>
      <c r="D104" s="7">
        <v>2045</v>
      </c>
      <c r="E104" s="6">
        <v>0.96</v>
      </c>
      <c r="F104" s="6">
        <v>38.6</v>
      </c>
      <c r="G104" s="15">
        <v>155.6</v>
      </c>
      <c r="H104" s="15">
        <v>281.5</v>
      </c>
      <c r="I104" s="6">
        <v>169606220</v>
      </c>
      <c r="J104" s="6">
        <v>157008030</v>
      </c>
      <c r="K104" s="6">
        <v>3350763</v>
      </c>
      <c r="L104" s="6">
        <v>38464.1</v>
      </c>
      <c r="M104" s="6">
        <v>0</v>
      </c>
      <c r="N104" s="6">
        <v>0</v>
      </c>
      <c r="O104" s="6">
        <v>5385261</v>
      </c>
      <c r="P104" s="6">
        <v>0</v>
      </c>
      <c r="Q104" s="6">
        <v>0</v>
      </c>
      <c r="R104" s="6">
        <v>4138465.5</v>
      </c>
      <c r="S104" s="6">
        <v>1093218</v>
      </c>
      <c r="T104" s="6">
        <v>0</v>
      </c>
      <c r="U104" s="6">
        <v>18706.3</v>
      </c>
      <c r="V104" s="6">
        <v>0</v>
      </c>
      <c r="W104" s="6">
        <v>1853118.2</v>
      </c>
      <c r="X104" s="6">
        <v>0</v>
      </c>
      <c r="Y104" s="6">
        <v>0</v>
      </c>
      <c r="Z104" s="6">
        <v>858663.6</v>
      </c>
      <c r="AA104" s="6">
        <v>0</v>
      </c>
      <c r="AB104" s="6">
        <v>17145308</v>
      </c>
      <c r="AC104" s="6">
        <v>135724260</v>
      </c>
      <c r="AD104" s="6">
        <v>0</v>
      </c>
      <c r="AE104" s="6">
        <f t="shared" si="14"/>
        <v>169606220</v>
      </c>
      <c r="AF104" s="6">
        <f t="shared" si="15"/>
        <v>0</v>
      </c>
      <c r="AG104" s="6">
        <f t="shared" si="27"/>
        <v>38464.1</v>
      </c>
      <c r="AH104" s="6">
        <f t="shared" si="16"/>
        <v>169567755.90000001</v>
      </c>
      <c r="AI104" s="6">
        <f t="shared" si="17"/>
        <v>5385261</v>
      </c>
      <c r="AJ104" s="6">
        <f t="shared" si="18"/>
        <v>1111924.3</v>
      </c>
      <c r="AK104" s="6">
        <f t="shared" si="19"/>
        <v>0</v>
      </c>
      <c r="AL104" s="6">
        <f t="shared" si="20"/>
        <v>0</v>
      </c>
      <c r="AM104" s="6">
        <f t="shared" si="21"/>
        <v>163070578.30000001</v>
      </c>
      <c r="AN104" s="10">
        <f t="shared" si="22"/>
        <v>3.1758756087896071E-2</v>
      </c>
      <c r="AO104" s="10">
        <f t="shared" si="23"/>
        <v>6.5574041131719668E-3</v>
      </c>
      <c r="AP104" s="10">
        <f t="shared" si="24"/>
        <v>0</v>
      </c>
      <c r="AQ104" s="10">
        <f t="shared" si="25"/>
        <v>0</v>
      </c>
      <c r="AR104" s="10">
        <f t="shared" si="26"/>
        <v>0.96168388520850856</v>
      </c>
    </row>
    <row r="105" spans="1:44" x14ac:dyDescent="0.3">
      <c r="A105" t="s">
        <v>6</v>
      </c>
      <c r="B105" t="s">
        <v>178</v>
      </c>
      <c r="C105" t="s">
        <v>166</v>
      </c>
      <c r="D105" s="7">
        <v>2050</v>
      </c>
      <c r="E105" s="6">
        <v>0.97</v>
      </c>
      <c r="F105" s="6">
        <v>30</v>
      </c>
      <c r="G105" s="15">
        <v>168.2</v>
      </c>
      <c r="H105" s="15">
        <v>245.8</v>
      </c>
      <c r="I105" s="6">
        <v>188887310</v>
      </c>
      <c r="J105" s="6">
        <v>174494100</v>
      </c>
      <c r="K105" s="6">
        <v>5834767.5</v>
      </c>
      <c r="L105" s="6">
        <v>34688.1</v>
      </c>
      <c r="M105" s="6">
        <v>0</v>
      </c>
      <c r="N105" s="6">
        <v>0</v>
      </c>
      <c r="O105" s="6">
        <v>4672296.5</v>
      </c>
      <c r="P105" s="6">
        <v>0</v>
      </c>
      <c r="Q105" s="6">
        <v>0</v>
      </c>
      <c r="R105" s="6">
        <v>4535788.5</v>
      </c>
      <c r="S105" s="6">
        <v>1173770.8999999999</v>
      </c>
      <c r="T105" s="6">
        <v>0</v>
      </c>
      <c r="U105" s="6">
        <v>10771.2</v>
      </c>
      <c r="V105" s="6">
        <v>0</v>
      </c>
      <c r="W105" s="6">
        <v>1802581</v>
      </c>
      <c r="X105" s="6">
        <v>0</v>
      </c>
      <c r="Y105" s="6">
        <v>0</v>
      </c>
      <c r="Z105" s="6">
        <v>864340.6</v>
      </c>
      <c r="AA105" s="6">
        <v>0</v>
      </c>
      <c r="AB105" s="6">
        <v>17134582</v>
      </c>
      <c r="AC105" s="6">
        <v>152823730</v>
      </c>
      <c r="AD105" s="6">
        <v>0</v>
      </c>
      <c r="AE105" s="6">
        <f t="shared" si="14"/>
        <v>188887310</v>
      </c>
      <c r="AF105" s="6">
        <f t="shared" si="15"/>
        <v>0</v>
      </c>
      <c r="AG105" s="6">
        <f t="shared" si="27"/>
        <v>34688.1</v>
      </c>
      <c r="AH105" s="6">
        <f t="shared" si="16"/>
        <v>188852621.90000001</v>
      </c>
      <c r="AI105" s="6">
        <f t="shared" si="17"/>
        <v>4672296.5</v>
      </c>
      <c r="AJ105" s="6">
        <f t="shared" si="18"/>
        <v>1184542.0999999999</v>
      </c>
      <c r="AK105" s="6">
        <f t="shared" si="19"/>
        <v>0</v>
      </c>
      <c r="AL105" s="6">
        <f t="shared" si="20"/>
        <v>0</v>
      </c>
      <c r="AM105" s="6">
        <f t="shared" si="21"/>
        <v>182995789.59999999</v>
      </c>
      <c r="AN105" s="10">
        <f t="shared" si="22"/>
        <v>2.4740437559156808E-2</v>
      </c>
      <c r="AO105" s="10">
        <f t="shared" si="23"/>
        <v>6.2723095294235885E-3</v>
      </c>
      <c r="AP105" s="10">
        <f t="shared" si="24"/>
        <v>0</v>
      </c>
      <c r="AQ105" s="10">
        <f t="shared" si="25"/>
        <v>0</v>
      </c>
      <c r="AR105" s="10">
        <f t="shared" si="26"/>
        <v>0.9689872862707658</v>
      </c>
    </row>
    <row r="106" spans="1:44" x14ac:dyDescent="0.3">
      <c r="A106" t="s">
        <v>6</v>
      </c>
      <c r="B106" t="s">
        <v>178</v>
      </c>
      <c r="C106" t="s">
        <v>167</v>
      </c>
      <c r="D106" s="7">
        <v>2024</v>
      </c>
      <c r="E106" s="6">
        <v>0.63</v>
      </c>
      <c r="F106" s="6">
        <v>393.7</v>
      </c>
      <c r="G106" s="15">
        <v>383.3</v>
      </c>
      <c r="H106" s="15">
        <v>788.4</v>
      </c>
      <c r="I106" s="6">
        <v>82670184</v>
      </c>
      <c r="J106" s="6">
        <v>42444636</v>
      </c>
      <c r="K106" s="6">
        <v>1371.9</v>
      </c>
      <c r="L106" s="6">
        <v>51568.3</v>
      </c>
      <c r="M106" s="6">
        <v>0</v>
      </c>
      <c r="N106" s="6">
        <v>0</v>
      </c>
      <c r="O106" s="6">
        <v>26113422</v>
      </c>
      <c r="P106" s="6">
        <v>0</v>
      </c>
      <c r="Q106" s="6">
        <v>0</v>
      </c>
      <c r="R106" s="6">
        <v>303115.90000000002</v>
      </c>
      <c r="S106" s="6">
        <v>4265764</v>
      </c>
      <c r="T106" s="6">
        <v>0</v>
      </c>
      <c r="U106" s="6">
        <v>26087.599999999999</v>
      </c>
      <c r="V106" s="6">
        <v>0</v>
      </c>
      <c r="W106" s="6">
        <v>577914.5</v>
      </c>
      <c r="X106" s="6">
        <v>9010384</v>
      </c>
      <c r="Y106" s="6">
        <v>348.1</v>
      </c>
      <c r="Z106" s="6">
        <v>178686.6</v>
      </c>
      <c r="AA106" s="6">
        <v>0</v>
      </c>
      <c r="AB106" s="6">
        <v>6098369.5</v>
      </c>
      <c r="AC106" s="6">
        <v>36043148</v>
      </c>
      <c r="AD106" s="6">
        <v>0</v>
      </c>
      <c r="AE106" s="6">
        <f t="shared" si="14"/>
        <v>82670184</v>
      </c>
      <c r="AF106" s="6">
        <f t="shared" si="15"/>
        <v>0</v>
      </c>
      <c r="AG106" s="6">
        <f t="shared" si="27"/>
        <v>51568.3</v>
      </c>
      <c r="AH106" s="6">
        <f t="shared" si="16"/>
        <v>82618615.700000003</v>
      </c>
      <c r="AI106" s="6">
        <f t="shared" si="17"/>
        <v>26113422</v>
      </c>
      <c r="AJ106" s="6">
        <f t="shared" si="18"/>
        <v>4291851.5999999996</v>
      </c>
      <c r="AK106" s="6">
        <f t="shared" si="19"/>
        <v>348.1</v>
      </c>
      <c r="AL106" s="6">
        <f t="shared" si="20"/>
        <v>9010384</v>
      </c>
      <c r="AM106" s="6">
        <f t="shared" si="21"/>
        <v>43202606.399999999</v>
      </c>
      <c r="AN106" s="10">
        <f t="shared" si="22"/>
        <v>0.31607188983680828</v>
      </c>
      <c r="AO106" s="10">
        <f t="shared" si="23"/>
        <v>5.1947754917418681E-2</v>
      </c>
      <c r="AP106" s="10">
        <f t="shared" si="24"/>
        <v>4.2133361476788824E-6</v>
      </c>
      <c r="AQ106" s="10">
        <f t="shared" si="25"/>
        <v>0.10905997302978292</v>
      </c>
      <c r="AR106" s="10">
        <f t="shared" si="26"/>
        <v>0.52291612530612752</v>
      </c>
    </row>
    <row r="107" spans="1:44" x14ac:dyDescent="0.3">
      <c r="A107" t="s">
        <v>6</v>
      </c>
      <c r="B107" t="s">
        <v>178</v>
      </c>
      <c r="C107" t="s">
        <v>167</v>
      </c>
      <c r="D107" s="7">
        <v>2026</v>
      </c>
      <c r="E107" s="6">
        <v>0.8</v>
      </c>
      <c r="F107" s="6">
        <v>211.7</v>
      </c>
      <c r="G107" s="15">
        <v>258.2</v>
      </c>
      <c r="H107" s="15">
        <v>663.8</v>
      </c>
      <c r="I107" s="6">
        <v>109056020</v>
      </c>
      <c r="J107" s="6">
        <v>77665290</v>
      </c>
      <c r="K107" s="6">
        <v>238218.2</v>
      </c>
      <c r="L107" s="6">
        <v>44249.2</v>
      </c>
      <c r="M107" s="6">
        <v>0</v>
      </c>
      <c r="N107" s="6">
        <v>0</v>
      </c>
      <c r="O107" s="6">
        <v>18455750</v>
      </c>
      <c r="P107" s="6">
        <v>0</v>
      </c>
      <c r="Q107" s="6">
        <v>0</v>
      </c>
      <c r="R107" s="6">
        <v>387603</v>
      </c>
      <c r="S107" s="6">
        <v>3258459.2</v>
      </c>
      <c r="T107" s="6">
        <v>0</v>
      </c>
      <c r="U107" s="6">
        <v>7500.4</v>
      </c>
      <c r="V107" s="6">
        <v>0</v>
      </c>
      <c r="W107" s="6">
        <v>511892.6</v>
      </c>
      <c r="X107" s="6">
        <v>8640279</v>
      </c>
      <c r="Y107" s="6">
        <v>0</v>
      </c>
      <c r="Z107" s="6">
        <v>234383</v>
      </c>
      <c r="AA107" s="6">
        <v>0</v>
      </c>
      <c r="AB107" s="6">
        <v>15161134</v>
      </c>
      <c r="AC107" s="6">
        <v>62116550</v>
      </c>
      <c r="AD107" s="6">
        <v>0</v>
      </c>
      <c r="AE107" s="6">
        <f t="shared" si="14"/>
        <v>109056020</v>
      </c>
      <c r="AF107" s="6">
        <f t="shared" si="15"/>
        <v>0</v>
      </c>
      <c r="AG107" s="6">
        <f t="shared" si="27"/>
        <v>44249.2</v>
      </c>
      <c r="AH107" s="6">
        <f t="shared" si="16"/>
        <v>109011770.8</v>
      </c>
      <c r="AI107" s="6">
        <f t="shared" si="17"/>
        <v>18455750</v>
      </c>
      <c r="AJ107" s="6">
        <f t="shared" si="18"/>
        <v>3265959.6</v>
      </c>
      <c r="AK107" s="6">
        <f t="shared" si="19"/>
        <v>0</v>
      </c>
      <c r="AL107" s="6">
        <f t="shared" si="20"/>
        <v>8640279</v>
      </c>
      <c r="AM107" s="6">
        <f t="shared" si="21"/>
        <v>78649780.799999997</v>
      </c>
      <c r="AN107" s="10">
        <f t="shared" si="22"/>
        <v>0.1693005247466359</v>
      </c>
      <c r="AO107" s="10">
        <f t="shared" si="23"/>
        <v>2.995969679266966E-2</v>
      </c>
      <c r="AP107" s="10">
        <f t="shared" si="24"/>
        <v>0</v>
      </c>
      <c r="AQ107" s="10">
        <f t="shared" si="25"/>
        <v>7.9260055465496582E-2</v>
      </c>
      <c r="AR107" s="10">
        <f t="shared" si="26"/>
        <v>0.72147971015254808</v>
      </c>
    </row>
    <row r="108" spans="1:44" x14ac:dyDescent="0.3">
      <c r="A108" t="s">
        <v>6</v>
      </c>
      <c r="B108" t="s">
        <v>178</v>
      </c>
      <c r="C108" t="s">
        <v>167</v>
      </c>
      <c r="D108" s="7">
        <v>2028</v>
      </c>
      <c r="E108" s="6">
        <v>0.91</v>
      </c>
      <c r="F108" s="6">
        <v>90.2</v>
      </c>
      <c r="G108" s="15">
        <v>120</v>
      </c>
      <c r="H108" s="15">
        <v>526.6</v>
      </c>
      <c r="I108" s="6">
        <v>155917020</v>
      </c>
      <c r="J108" s="6">
        <v>132046100</v>
      </c>
      <c r="K108" s="6">
        <v>1327170.5</v>
      </c>
      <c r="L108" s="6">
        <v>38102.5</v>
      </c>
      <c r="M108" s="6">
        <v>0</v>
      </c>
      <c r="N108" s="6">
        <v>0</v>
      </c>
      <c r="O108" s="6">
        <v>11175992</v>
      </c>
      <c r="P108" s="6">
        <v>0</v>
      </c>
      <c r="Q108" s="6">
        <v>0</v>
      </c>
      <c r="R108" s="6">
        <v>553513.19999999995</v>
      </c>
      <c r="S108" s="6">
        <v>2228382.5</v>
      </c>
      <c r="T108" s="6">
        <v>0</v>
      </c>
      <c r="U108" s="6">
        <v>6142.8</v>
      </c>
      <c r="V108" s="6">
        <v>0</v>
      </c>
      <c r="W108" s="6">
        <v>436171.8</v>
      </c>
      <c r="X108" s="6">
        <v>8422103</v>
      </c>
      <c r="Y108" s="6">
        <v>53.6</v>
      </c>
      <c r="Z108" s="6">
        <v>236803.20000000001</v>
      </c>
      <c r="AA108" s="6">
        <v>0</v>
      </c>
      <c r="AB108" s="6">
        <v>27113300</v>
      </c>
      <c r="AC108" s="6">
        <v>104379290</v>
      </c>
      <c r="AD108" s="6">
        <v>0</v>
      </c>
      <c r="AE108" s="6">
        <f t="shared" si="14"/>
        <v>155917020</v>
      </c>
      <c r="AF108" s="6">
        <f t="shared" si="15"/>
        <v>0</v>
      </c>
      <c r="AG108" s="6">
        <f t="shared" si="27"/>
        <v>38102.5</v>
      </c>
      <c r="AH108" s="6">
        <f t="shared" si="16"/>
        <v>155878917.5</v>
      </c>
      <c r="AI108" s="6">
        <f t="shared" si="17"/>
        <v>11175992</v>
      </c>
      <c r="AJ108" s="6">
        <f t="shared" si="18"/>
        <v>2234525.2999999998</v>
      </c>
      <c r="AK108" s="6">
        <f t="shared" si="19"/>
        <v>53.6</v>
      </c>
      <c r="AL108" s="6">
        <f t="shared" si="20"/>
        <v>8422103</v>
      </c>
      <c r="AM108" s="6">
        <f t="shared" si="21"/>
        <v>134046248.7</v>
      </c>
      <c r="AN108" s="10">
        <f t="shared" si="22"/>
        <v>7.1696623117747785E-2</v>
      </c>
      <c r="AO108" s="10">
        <f t="shared" si="23"/>
        <v>1.4335006528384441E-2</v>
      </c>
      <c r="AP108" s="10">
        <f t="shared" si="24"/>
        <v>3.438566347498532E-7</v>
      </c>
      <c r="AQ108" s="10">
        <f t="shared" si="25"/>
        <v>5.4029776027922444E-2</v>
      </c>
      <c r="AR108" s="10">
        <f t="shared" si="26"/>
        <v>0.85993828318701282</v>
      </c>
    </row>
    <row r="109" spans="1:44" x14ac:dyDescent="0.3">
      <c r="A109" t="s">
        <v>6</v>
      </c>
      <c r="B109" t="s">
        <v>178</v>
      </c>
      <c r="C109" t="s">
        <v>167</v>
      </c>
      <c r="D109" s="7">
        <v>2030</v>
      </c>
      <c r="E109" s="6">
        <v>0.93</v>
      </c>
      <c r="F109" s="6">
        <v>70.099999999999994</v>
      </c>
      <c r="G109" s="15">
        <v>128.30000000000001</v>
      </c>
      <c r="H109" s="15">
        <v>472.8</v>
      </c>
      <c r="I109" s="6">
        <v>167495540</v>
      </c>
      <c r="J109" s="6">
        <v>144669060</v>
      </c>
      <c r="K109" s="6">
        <v>2987148</v>
      </c>
      <c r="L109" s="6">
        <v>34580</v>
      </c>
      <c r="M109" s="6">
        <v>0</v>
      </c>
      <c r="N109" s="6">
        <v>0</v>
      </c>
      <c r="O109" s="6">
        <v>9469413</v>
      </c>
      <c r="P109" s="6">
        <v>0</v>
      </c>
      <c r="Q109" s="6">
        <v>0</v>
      </c>
      <c r="R109" s="6">
        <v>814960</v>
      </c>
      <c r="S109" s="6">
        <v>1443218.6</v>
      </c>
      <c r="T109" s="6">
        <v>0</v>
      </c>
      <c r="U109" s="6">
        <v>3137.6</v>
      </c>
      <c r="V109" s="6">
        <v>0</v>
      </c>
      <c r="W109" s="6">
        <v>389254.1</v>
      </c>
      <c r="X109" s="6">
        <v>8269894.5</v>
      </c>
      <c r="Y109" s="6">
        <v>0</v>
      </c>
      <c r="Z109" s="6">
        <v>229836.4</v>
      </c>
      <c r="AA109" s="6">
        <v>0</v>
      </c>
      <c r="AB109" s="6">
        <v>26189482</v>
      </c>
      <c r="AC109" s="6">
        <v>117664616</v>
      </c>
      <c r="AD109" s="6">
        <v>0</v>
      </c>
      <c r="AE109" s="6">
        <f t="shared" si="14"/>
        <v>167495540</v>
      </c>
      <c r="AF109" s="6">
        <f t="shared" si="15"/>
        <v>0</v>
      </c>
      <c r="AG109" s="6">
        <f t="shared" si="27"/>
        <v>34580</v>
      </c>
      <c r="AH109" s="6">
        <f t="shared" si="16"/>
        <v>167460960</v>
      </c>
      <c r="AI109" s="6">
        <f t="shared" si="17"/>
        <v>9469413</v>
      </c>
      <c r="AJ109" s="6">
        <f t="shared" si="18"/>
        <v>1446356.2000000002</v>
      </c>
      <c r="AK109" s="6">
        <f t="shared" si="19"/>
        <v>0</v>
      </c>
      <c r="AL109" s="6">
        <f t="shared" si="20"/>
        <v>8269894.5</v>
      </c>
      <c r="AM109" s="6">
        <f t="shared" si="21"/>
        <v>148275296.5</v>
      </c>
      <c r="AN109" s="10">
        <f t="shared" si="22"/>
        <v>5.6546988623497677E-2</v>
      </c>
      <c r="AO109" s="10">
        <f t="shared" si="23"/>
        <v>8.6369754478894667E-3</v>
      </c>
      <c r="AP109" s="10">
        <f t="shared" si="24"/>
        <v>0</v>
      </c>
      <c r="AQ109" s="10">
        <f t="shared" si="25"/>
        <v>4.9384014638396916E-2</v>
      </c>
      <c r="AR109" s="10">
        <f t="shared" si="26"/>
        <v>0.88543202248452413</v>
      </c>
    </row>
    <row r="110" spans="1:44" x14ac:dyDescent="0.3">
      <c r="A110" t="s">
        <v>6</v>
      </c>
      <c r="B110" t="s">
        <v>178</v>
      </c>
      <c r="C110" t="s">
        <v>167</v>
      </c>
      <c r="D110" s="7">
        <v>2035</v>
      </c>
      <c r="E110" s="6">
        <v>0.94</v>
      </c>
      <c r="F110" s="6">
        <v>61.2</v>
      </c>
      <c r="G110" s="15">
        <v>131.5</v>
      </c>
      <c r="H110" s="15">
        <v>440</v>
      </c>
      <c r="I110" s="6">
        <v>181477330</v>
      </c>
      <c r="J110" s="6">
        <v>157182720</v>
      </c>
      <c r="K110" s="6">
        <v>5215686</v>
      </c>
      <c r="L110" s="6">
        <v>32711.200000000001</v>
      </c>
      <c r="M110" s="6">
        <v>0</v>
      </c>
      <c r="N110" s="6">
        <v>0</v>
      </c>
      <c r="O110" s="6">
        <v>9052523</v>
      </c>
      <c r="P110" s="6">
        <v>0</v>
      </c>
      <c r="Q110" s="6">
        <v>0</v>
      </c>
      <c r="R110" s="6">
        <v>1514365.5</v>
      </c>
      <c r="S110" s="6">
        <v>1204620.6000000001</v>
      </c>
      <c r="T110" s="6">
        <v>0</v>
      </c>
      <c r="U110" s="6">
        <v>881</v>
      </c>
      <c r="V110" s="6">
        <v>0</v>
      </c>
      <c r="W110" s="6">
        <v>362493</v>
      </c>
      <c r="X110" s="6">
        <v>8182669</v>
      </c>
      <c r="Y110" s="6">
        <v>0</v>
      </c>
      <c r="Z110" s="6">
        <v>243025.4</v>
      </c>
      <c r="AA110" s="6">
        <v>0</v>
      </c>
      <c r="AB110" s="6">
        <v>29484852</v>
      </c>
      <c r="AC110" s="6">
        <v>126183500</v>
      </c>
      <c r="AD110" s="6">
        <v>0</v>
      </c>
      <c r="AE110" s="6">
        <f t="shared" si="14"/>
        <v>181477330</v>
      </c>
      <c r="AF110" s="6">
        <f t="shared" si="15"/>
        <v>0</v>
      </c>
      <c r="AG110" s="6">
        <f t="shared" si="27"/>
        <v>32711.200000000001</v>
      </c>
      <c r="AH110" s="6">
        <f t="shared" si="16"/>
        <v>181444618.80000001</v>
      </c>
      <c r="AI110" s="6">
        <f t="shared" si="17"/>
        <v>9052523</v>
      </c>
      <c r="AJ110" s="6">
        <f t="shared" si="18"/>
        <v>1205501.6000000001</v>
      </c>
      <c r="AK110" s="6">
        <f t="shared" si="19"/>
        <v>0</v>
      </c>
      <c r="AL110" s="6">
        <f t="shared" si="20"/>
        <v>8182669</v>
      </c>
      <c r="AM110" s="6">
        <f t="shared" si="21"/>
        <v>163003921.90000001</v>
      </c>
      <c r="AN110" s="10">
        <f t="shared" si="22"/>
        <v>4.9891383166222616E-2</v>
      </c>
      <c r="AO110" s="10">
        <f t="shared" si="23"/>
        <v>6.6439093535685502E-3</v>
      </c>
      <c r="AP110" s="10">
        <f t="shared" si="24"/>
        <v>0</v>
      </c>
      <c r="AQ110" s="10">
        <f t="shared" si="25"/>
        <v>4.5097336333900687E-2</v>
      </c>
      <c r="AR110" s="10">
        <f t="shared" si="26"/>
        <v>0.89836735295894043</v>
      </c>
    </row>
    <row r="111" spans="1:44" x14ac:dyDescent="0.3">
      <c r="A111" t="s">
        <v>6</v>
      </c>
      <c r="B111" t="s">
        <v>178</v>
      </c>
      <c r="C111" t="s">
        <v>167</v>
      </c>
      <c r="D111" s="7">
        <v>2040</v>
      </c>
      <c r="E111" s="6">
        <v>0.96</v>
      </c>
      <c r="F111" s="6">
        <v>46</v>
      </c>
      <c r="G111" s="15">
        <v>160.1</v>
      </c>
      <c r="H111" s="15">
        <v>380.8</v>
      </c>
      <c r="I111" s="6">
        <v>201417230</v>
      </c>
      <c r="J111" s="6">
        <v>174145040</v>
      </c>
      <c r="K111" s="6">
        <v>9964966</v>
      </c>
      <c r="L111" s="6">
        <v>29332.7</v>
      </c>
      <c r="M111" s="6">
        <v>0</v>
      </c>
      <c r="N111" s="6">
        <v>0</v>
      </c>
      <c r="O111" s="6">
        <v>7426933</v>
      </c>
      <c r="P111" s="6">
        <v>0</v>
      </c>
      <c r="Q111" s="6">
        <v>0</v>
      </c>
      <c r="R111" s="6">
        <v>2158205.7999999998</v>
      </c>
      <c r="S111" s="6">
        <v>1231088.3999999999</v>
      </c>
      <c r="T111" s="6">
        <v>0</v>
      </c>
      <c r="U111" s="6">
        <v>1109.7</v>
      </c>
      <c r="V111" s="6">
        <v>0</v>
      </c>
      <c r="W111" s="6">
        <v>326801.2</v>
      </c>
      <c r="X111" s="6">
        <v>8035859</v>
      </c>
      <c r="Y111" s="6">
        <v>0</v>
      </c>
      <c r="Z111" s="6">
        <v>256103.8</v>
      </c>
      <c r="AA111" s="6">
        <v>0</v>
      </c>
      <c r="AB111" s="6">
        <v>40807948</v>
      </c>
      <c r="AC111" s="6">
        <v>131178900</v>
      </c>
      <c r="AD111" s="6">
        <v>0</v>
      </c>
      <c r="AE111" s="6">
        <f t="shared" si="14"/>
        <v>201417230</v>
      </c>
      <c r="AF111" s="6">
        <f t="shared" si="15"/>
        <v>0</v>
      </c>
      <c r="AG111" s="6">
        <f t="shared" si="27"/>
        <v>29332.7</v>
      </c>
      <c r="AH111" s="6">
        <f t="shared" si="16"/>
        <v>201387897.30000001</v>
      </c>
      <c r="AI111" s="6">
        <f t="shared" si="17"/>
        <v>7426933</v>
      </c>
      <c r="AJ111" s="6">
        <f t="shared" si="18"/>
        <v>1232198.0999999999</v>
      </c>
      <c r="AK111" s="6">
        <f t="shared" si="19"/>
        <v>0</v>
      </c>
      <c r="AL111" s="6">
        <f t="shared" si="20"/>
        <v>8035859</v>
      </c>
      <c r="AM111" s="6">
        <f t="shared" si="21"/>
        <v>184692924.80000001</v>
      </c>
      <c r="AN111" s="10">
        <f t="shared" si="22"/>
        <v>3.6878745443855429E-2</v>
      </c>
      <c r="AO111" s="10">
        <f t="shared" si="23"/>
        <v>6.1185310364725663E-3</v>
      </c>
      <c r="AP111" s="10">
        <f t="shared" si="24"/>
        <v>0</v>
      </c>
      <c r="AQ111" s="10">
        <f t="shared" si="25"/>
        <v>3.9902392883268856E-2</v>
      </c>
      <c r="AR111" s="10">
        <f t="shared" si="26"/>
        <v>0.91710041802993691</v>
      </c>
    </row>
    <row r="112" spans="1:44" x14ac:dyDescent="0.3">
      <c r="A112" t="s">
        <v>6</v>
      </c>
      <c r="B112" t="s">
        <v>178</v>
      </c>
      <c r="C112" t="s">
        <v>167</v>
      </c>
      <c r="D112" s="7">
        <v>2045</v>
      </c>
      <c r="E112" s="6">
        <v>0.97</v>
      </c>
      <c r="F112" s="6">
        <v>33.299999999999997</v>
      </c>
      <c r="G112" s="15">
        <v>144</v>
      </c>
      <c r="H112" s="15">
        <v>338.8</v>
      </c>
      <c r="I112" s="6">
        <v>207005310</v>
      </c>
      <c r="J112" s="6">
        <v>187010800</v>
      </c>
      <c r="K112" s="6">
        <v>12595331</v>
      </c>
      <c r="L112" s="6">
        <v>26688.799999999999</v>
      </c>
      <c r="M112" s="6">
        <v>0</v>
      </c>
      <c r="N112" s="6">
        <v>0</v>
      </c>
      <c r="O112" s="6">
        <v>5307762</v>
      </c>
      <c r="P112" s="6">
        <v>0</v>
      </c>
      <c r="Q112" s="6">
        <v>0</v>
      </c>
      <c r="R112" s="6">
        <v>2848114.2</v>
      </c>
      <c r="S112" s="6">
        <v>1494622.6</v>
      </c>
      <c r="T112" s="6">
        <v>0</v>
      </c>
      <c r="U112" s="6">
        <v>4077.3</v>
      </c>
      <c r="V112" s="6">
        <v>0</v>
      </c>
      <c r="W112" s="6">
        <v>295870.7</v>
      </c>
      <c r="X112" s="6">
        <v>0</v>
      </c>
      <c r="Y112" s="6">
        <v>0</v>
      </c>
      <c r="Z112" s="6">
        <v>270155.90000000002</v>
      </c>
      <c r="AA112" s="6">
        <v>0</v>
      </c>
      <c r="AB112" s="6">
        <v>47278892</v>
      </c>
      <c r="AC112" s="6">
        <v>136883790</v>
      </c>
      <c r="AD112" s="6">
        <v>0</v>
      </c>
      <c r="AE112" s="6">
        <f t="shared" si="14"/>
        <v>207005310</v>
      </c>
      <c r="AF112" s="6">
        <f t="shared" si="15"/>
        <v>0</v>
      </c>
      <c r="AG112" s="6">
        <f t="shared" si="27"/>
        <v>26688.799999999999</v>
      </c>
      <c r="AH112" s="6">
        <f t="shared" si="16"/>
        <v>206978621.19999999</v>
      </c>
      <c r="AI112" s="6">
        <f t="shared" si="17"/>
        <v>5307762</v>
      </c>
      <c r="AJ112" s="6">
        <f t="shared" si="18"/>
        <v>1498699.9000000001</v>
      </c>
      <c r="AK112" s="6">
        <f t="shared" si="19"/>
        <v>0</v>
      </c>
      <c r="AL112" s="6">
        <f t="shared" si="20"/>
        <v>0</v>
      </c>
      <c r="AM112" s="6">
        <f t="shared" si="21"/>
        <v>200172153.80000001</v>
      </c>
      <c r="AN112" s="10">
        <f t="shared" si="22"/>
        <v>2.5644010812455834E-2</v>
      </c>
      <c r="AO112" s="10">
        <f t="shared" si="23"/>
        <v>7.2408439640335191E-3</v>
      </c>
      <c r="AP112" s="10">
        <f t="shared" si="24"/>
        <v>0</v>
      </c>
      <c r="AQ112" s="10">
        <f t="shared" si="25"/>
        <v>0</v>
      </c>
      <c r="AR112" s="10">
        <f t="shared" si="26"/>
        <v>0.96711511865071809</v>
      </c>
    </row>
    <row r="113" spans="1:44" x14ac:dyDescent="0.3">
      <c r="A113" t="s">
        <v>6</v>
      </c>
      <c r="B113" t="s">
        <v>178</v>
      </c>
      <c r="C113" t="s">
        <v>167</v>
      </c>
      <c r="D113" s="7">
        <v>2050</v>
      </c>
      <c r="E113" s="6">
        <v>0.97</v>
      </c>
      <c r="F113" s="6">
        <v>26.5</v>
      </c>
      <c r="G113" s="15">
        <v>161.6</v>
      </c>
      <c r="H113" s="15">
        <v>309</v>
      </c>
      <c r="I113" s="6">
        <v>216828370</v>
      </c>
      <c r="J113" s="6">
        <v>196044130</v>
      </c>
      <c r="K113" s="6">
        <v>14205635</v>
      </c>
      <c r="L113" s="6">
        <v>25268.799999999999</v>
      </c>
      <c r="M113" s="6">
        <v>0</v>
      </c>
      <c r="N113" s="6">
        <v>0</v>
      </c>
      <c r="O113" s="6">
        <v>4284811.5</v>
      </c>
      <c r="P113" s="6">
        <v>0</v>
      </c>
      <c r="Q113" s="6">
        <v>0</v>
      </c>
      <c r="R113" s="6">
        <v>3588797.5</v>
      </c>
      <c r="S113" s="6">
        <v>1671357.2</v>
      </c>
      <c r="T113" s="6">
        <v>0</v>
      </c>
      <c r="U113" s="6">
        <v>31668.9</v>
      </c>
      <c r="V113" s="6">
        <v>0</v>
      </c>
      <c r="W113" s="6">
        <v>280822.5</v>
      </c>
      <c r="X113" s="6">
        <v>0</v>
      </c>
      <c r="Y113" s="6">
        <v>0</v>
      </c>
      <c r="Z113" s="6">
        <v>284646.2</v>
      </c>
      <c r="AA113" s="6">
        <v>0</v>
      </c>
      <c r="AB113" s="6">
        <v>53418824</v>
      </c>
      <c r="AC113" s="6">
        <v>139036510</v>
      </c>
      <c r="AD113" s="6">
        <v>0</v>
      </c>
      <c r="AE113" s="6">
        <f t="shared" si="14"/>
        <v>216828370</v>
      </c>
      <c r="AF113" s="6">
        <f t="shared" si="15"/>
        <v>0</v>
      </c>
      <c r="AG113" s="6">
        <f t="shared" si="27"/>
        <v>25268.799999999999</v>
      </c>
      <c r="AH113" s="6">
        <f t="shared" si="16"/>
        <v>216803101.19999999</v>
      </c>
      <c r="AI113" s="6">
        <f t="shared" si="17"/>
        <v>4284811.5</v>
      </c>
      <c r="AJ113" s="6">
        <f t="shared" si="18"/>
        <v>1703026.0999999999</v>
      </c>
      <c r="AK113" s="6">
        <f t="shared" si="19"/>
        <v>0</v>
      </c>
      <c r="AL113" s="6">
        <f t="shared" si="20"/>
        <v>0</v>
      </c>
      <c r="AM113" s="6">
        <f t="shared" si="21"/>
        <v>210815235.19999999</v>
      </c>
      <c r="AN113" s="10">
        <f t="shared" si="22"/>
        <v>1.9763607975548644E-2</v>
      </c>
      <c r="AO113" s="10">
        <f t="shared" si="23"/>
        <v>7.855174075342055E-3</v>
      </c>
      <c r="AP113" s="10">
        <f t="shared" si="24"/>
        <v>0</v>
      </c>
      <c r="AQ113" s="10">
        <f t="shared" si="25"/>
        <v>0</v>
      </c>
      <c r="AR113" s="10">
        <f t="shared" si="26"/>
        <v>0.97238108695467318</v>
      </c>
    </row>
    <row r="114" spans="1:44" x14ac:dyDescent="0.3">
      <c r="A114" t="s">
        <v>6</v>
      </c>
      <c r="B114" t="s">
        <v>178</v>
      </c>
      <c r="C114" t="s">
        <v>168</v>
      </c>
      <c r="D114" s="7">
        <v>2024</v>
      </c>
      <c r="E114" s="6">
        <v>0.83</v>
      </c>
      <c r="F114" s="6">
        <v>115</v>
      </c>
      <c r="G114" s="15">
        <v>404.7</v>
      </c>
      <c r="H114" s="15">
        <v>667.9</v>
      </c>
      <c r="I114" s="6">
        <v>167807650</v>
      </c>
      <c r="J114" s="6">
        <v>136659410</v>
      </c>
      <c r="K114" s="6">
        <v>10072.9</v>
      </c>
      <c r="L114" s="6">
        <v>37051.9</v>
      </c>
      <c r="M114" s="6">
        <v>0</v>
      </c>
      <c r="N114" s="6">
        <v>0</v>
      </c>
      <c r="O114" s="6">
        <v>6232406.5</v>
      </c>
      <c r="P114" s="6">
        <v>0</v>
      </c>
      <c r="Q114" s="6">
        <v>0</v>
      </c>
      <c r="R114" s="6">
        <v>531440.6</v>
      </c>
      <c r="S114" s="6">
        <v>21634824</v>
      </c>
      <c r="T114" s="6">
        <v>0</v>
      </c>
      <c r="U114" s="6">
        <v>263671.5</v>
      </c>
      <c r="V114" s="6">
        <v>0</v>
      </c>
      <c r="W114" s="6">
        <v>2506832.7999999998</v>
      </c>
      <c r="X114" s="6">
        <v>0</v>
      </c>
      <c r="Y114" s="6">
        <v>100901.3</v>
      </c>
      <c r="Z114" s="6">
        <v>362475.9</v>
      </c>
      <c r="AA114" s="6">
        <v>0</v>
      </c>
      <c r="AB114" s="6">
        <v>30040372</v>
      </c>
      <c r="AC114" s="6">
        <v>106087600</v>
      </c>
      <c r="AD114" s="6">
        <v>0</v>
      </c>
      <c r="AE114" s="6">
        <f t="shared" si="14"/>
        <v>167807650</v>
      </c>
      <c r="AF114" s="6">
        <f t="shared" si="15"/>
        <v>0</v>
      </c>
      <c r="AG114" s="6">
        <f t="shared" si="27"/>
        <v>37051.9</v>
      </c>
      <c r="AH114" s="6">
        <f t="shared" si="16"/>
        <v>167770598.09999999</v>
      </c>
      <c r="AI114" s="6">
        <f t="shared" si="17"/>
        <v>6232406.5</v>
      </c>
      <c r="AJ114" s="6">
        <f t="shared" si="18"/>
        <v>21898495.5</v>
      </c>
      <c r="AK114" s="6">
        <f t="shared" si="19"/>
        <v>100901.3</v>
      </c>
      <c r="AL114" s="6">
        <f t="shared" si="20"/>
        <v>0</v>
      </c>
      <c r="AM114" s="6">
        <f t="shared" si="21"/>
        <v>139538794.19999999</v>
      </c>
      <c r="AN114" s="10">
        <f t="shared" si="22"/>
        <v>3.7148383391261211E-2</v>
      </c>
      <c r="AO114" s="10">
        <f t="shared" si="23"/>
        <v>0.13052641969451262</v>
      </c>
      <c r="AP114" s="10">
        <f t="shared" si="24"/>
        <v>6.0142421343612059E-4</v>
      </c>
      <c r="AQ114" s="10">
        <f t="shared" si="25"/>
        <v>0</v>
      </c>
      <c r="AR114" s="10">
        <f t="shared" si="26"/>
        <v>0.83172376912447799</v>
      </c>
    </row>
    <row r="115" spans="1:44" x14ac:dyDescent="0.3">
      <c r="A115" t="s">
        <v>6</v>
      </c>
      <c r="B115" t="s">
        <v>178</v>
      </c>
      <c r="C115" t="s">
        <v>168</v>
      </c>
      <c r="D115" s="7">
        <v>2026</v>
      </c>
      <c r="E115" s="6">
        <v>0.89</v>
      </c>
      <c r="F115" s="6">
        <v>76.900000000000006</v>
      </c>
      <c r="G115" s="15">
        <v>295.89999999999998</v>
      </c>
      <c r="H115" s="15">
        <v>578.20000000000005</v>
      </c>
      <c r="I115" s="6">
        <v>181904830</v>
      </c>
      <c r="J115" s="6">
        <v>157822770</v>
      </c>
      <c r="K115" s="6">
        <v>625172.69999999995</v>
      </c>
      <c r="L115" s="6">
        <v>31860.5</v>
      </c>
      <c r="M115" s="6">
        <v>0</v>
      </c>
      <c r="N115" s="6">
        <v>0</v>
      </c>
      <c r="O115" s="6">
        <v>4373628.5</v>
      </c>
      <c r="P115" s="6">
        <v>0</v>
      </c>
      <c r="Q115" s="6">
        <v>0</v>
      </c>
      <c r="R115" s="6">
        <v>1083453.8999999999</v>
      </c>
      <c r="S115" s="6">
        <v>16118109</v>
      </c>
      <c r="T115" s="6">
        <v>0</v>
      </c>
      <c r="U115" s="6">
        <v>192612.8</v>
      </c>
      <c r="V115" s="6">
        <v>0</v>
      </c>
      <c r="W115" s="6">
        <v>2367942.2000000002</v>
      </c>
      <c r="X115" s="6">
        <v>0</v>
      </c>
      <c r="Y115" s="6">
        <v>31787.5</v>
      </c>
      <c r="Z115" s="6">
        <v>340949.9</v>
      </c>
      <c r="AA115" s="6">
        <v>0</v>
      </c>
      <c r="AB115" s="6">
        <v>33164164</v>
      </c>
      <c r="AC115" s="6">
        <v>123575150</v>
      </c>
      <c r="AD115" s="6">
        <v>0</v>
      </c>
      <c r="AE115" s="6">
        <f t="shared" si="14"/>
        <v>181904830</v>
      </c>
      <c r="AF115" s="6">
        <f t="shared" si="15"/>
        <v>0</v>
      </c>
      <c r="AG115" s="6">
        <f t="shared" si="27"/>
        <v>31860.5</v>
      </c>
      <c r="AH115" s="6">
        <f t="shared" si="16"/>
        <v>181872969.5</v>
      </c>
      <c r="AI115" s="6">
        <f t="shared" si="17"/>
        <v>4373628.5</v>
      </c>
      <c r="AJ115" s="6">
        <f t="shared" si="18"/>
        <v>16310721.800000001</v>
      </c>
      <c r="AK115" s="6">
        <f t="shared" si="19"/>
        <v>31787.5</v>
      </c>
      <c r="AL115" s="6">
        <f t="shared" si="20"/>
        <v>0</v>
      </c>
      <c r="AM115" s="6">
        <f t="shared" si="21"/>
        <v>161156832.69999999</v>
      </c>
      <c r="AN115" s="10">
        <f t="shared" si="22"/>
        <v>2.4047710399318026E-2</v>
      </c>
      <c r="AO115" s="10">
        <f t="shared" si="23"/>
        <v>8.9681945837476421E-2</v>
      </c>
      <c r="AP115" s="10">
        <f t="shared" si="24"/>
        <v>1.7477858357615918E-4</v>
      </c>
      <c r="AQ115" s="10">
        <f t="shared" si="25"/>
        <v>0</v>
      </c>
      <c r="AR115" s="10">
        <f t="shared" si="26"/>
        <v>0.88609557067797251</v>
      </c>
    </row>
    <row r="116" spans="1:44" x14ac:dyDescent="0.3">
      <c r="A116" t="s">
        <v>6</v>
      </c>
      <c r="B116" t="s">
        <v>178</v>
      </c>
      <c r="C116" t="s">
        <v>168</v>
      </c>
      <c r="D116" s="7">
        <v>2028</v>
      </c>
      <c r="E116" s="6">
        <v>0.93</v>
      </c>
      <c r="F116" s="6">
        <v>41.6</v>
      </c>
      <c r="G116" s="15">
        <v>189.9</v>
      </c>
      <c r="H116" s="15">
        <v>484.4</v>
      </c>
      <c r="I116" s="6">
        <v>213140220</v>
      </c>
      <c r="J116" s="6">
        <v>194600110</v>
      </c>
      <c r="K116" s="6">
        <v>1376775.6</v>
      </c>
      <c r="L116" s="6">
        <v>27896</v>
      </c>
      <c r="M116" s="6">
        <v>0</v>
      </c>
      <c r="N116" s="6">
        <v>0</v>
      </c>
      <c r="O116" s="6">
        <v>1864167.8</v>
      </c>
      <c r="P116" s="6">
        <v>0</v>
      </c>
      <c r="Q116" s="6">
        <v>0</v>
      </c>
      <c r="R116" s="6">
        <v>1836738.4</v>
      </c>
      <c r="S116" s="6">
        <v>12431117</v>
      </c>
      <c r="T116" s="6">
        <v>0</v>
      </c>
      <c r="U116" s="6">
        <v>133848</v>
      </c>
      <c r="V116" s="6">
        <v>0</v>
      </c>
      <c r="W116" s="6">
        <v>2360076.5</v>
      </c>
      <c r="X116" s="6">
        <v>0</v>
      </c>
      <c r="Y116" s="6">
        <v>22348.7</v>
      </c>
      <c r="Z116" s="6">
        <v>323888</v>
      </c>
      <c r="AA116" s="6">
        <v>0</v>
      </c>
      <c r="AB116" s="6">
        <v>38608004</v>
      </c>
      <c r="AC116" s="6">
        <v>154155360</v>
      </c>
      <c r="AD116" s="6">
        <v>0</v>
      </c>
      <c r="AE116" s="6">
        <f t="shared" si="14"/>
        <v>213140220</v>
      </c>
      <c r="AF116" s="6">
        <f t="shared" si="15"/>
        <v>0</v>
      </c>
      <c r="AG116" s="6">
        <f t="shared" si="27"/>
        <v>27896</v>
      </c>
      <c r="AH116" s="6">
        <f t="shared" si="16"/>
        <v>213112324</v>
      </c>
      <c r="AI116" s="6">
        <f t="shared" si="17"/>
        <v>1864167.8</v>
      </c>
      <c r="AJ116" s="6">
        <f t="shared" si="18"/>
        <v>12564965</v>
      </c>
      <c r="AK116" s="6">
        <f t="shared" si="19"/>
        <v>22348.7</v>
      </c>
      <c r="AL116" s="6">
        <f t="shared" si="20"/>
        <v>0</v>
      </c>
      <c r="AM116" s="6">
        <f t="shared" si="21"/>
        <v>198660842.5</v>
      </c>
      <c r="AN116" s="10">
        <f t="shared" si="22"/>
        <v>8.7473486516903634E-3</v>
      </c>
      <c r="AO116" s="10">
        <f t="shared" si="23"/>
        <v>5.895935422298712E-2</v>
      </c>
      <c r="AP116" s="10">
        <f t="shared" si="24"/>
        <v>1.0486817271064999E-4</v>
      </c>
      <c r="AQ116" s="10">
        <f t="shared" si="25"/>
        <v>0</v>
      </c>
      <c r="AR116" s="10">
        <f t="shared" si="26"/>
        <v>0.93218842895261189</v>
      </c>
    </row>
    <row r="117" spans="1:44" x14ac:dyDescent="0.3">
      <c r="A117" t="s">
        <v>6</v>
      </c>
      <c r="B117" t="s">
        <v>178</v>
      </c>
      <c r="C117" t="s">
        <v>168</v>
      </c>
      <c r="D117" s="7">
        <v>2030</v>
      </c>
      <c r="E117" s="6">
        <v>0.96</v>
      </c>
      <c r="F117" s="6">
        <v>26.8</v>
      </c>
      <c r="G117" s="15">
        <v>159.30000000000001</v>
      </c>
      <c r="H117" s="15">
        <v>426.9</v>
      </c>
      <c r="I117" s="6">
        <v>226502860</v>
      </c>
      <c r="J117" s="6">
        <v>210843730</v>
      </c>
      <c r="K117" s="6">
        <v>3244786.5</v>
      </c>
      <c r="L117" s="6">
        <v>25621.5</v>
      </c>
      <c r="M117" s="6">
        <v>0</v>
      </c>
      <c r="N117" s="6">
        <v>0</v>
      </c>
      <c r="O117" s="6">
        <v>1518395.6</v>
      </c>
      <c r="P117" s="6">
        <v>0</v>
      </c>
      <c r="Q117" s="6">
        <v>0</v>
      </c>
      <c r="R117" s="6">
        <v>2937241.5</v>
      </c>
      <c r="S117" s="6">
        <v>8183437</v>
      </c>
      <c r="T117" s="6">
        <v>0</v>
      </c>
      <c r="U117" s="6">
        <v>64543.9</v>
      </c>
      <c r="V117" s="6">
        <v>0</v>
      </c>
      <c r="W117" s="6">
        <v>2307042.2000000002</v>
      </c>
      <c r="X117" s="6">
        <v>0</v>
      </c>
      <c r="Y117" s="6">
        <v>11849.2</v>
      </c>
      <c r="Z117" s="6">
        <v>303460.8</v>
      </c>
      <c r="AA117" s="6">
        <v>0</v>
      </c>
      <c r="AB117" s="6">
        <v>44927104</v>
      </c>
      <c r="AC117" s="6">
        <v>162979380</v>
      </c>
      <c r="AD117" s="6">
        <v>0</v>
      </c>
      <c r="AE117" s="6">
        <f t="shared" si="14"/>
        <v>226502860</v>
      </c>
      <c r="AF117" s="6">
        <f t="shared" si="15"/>
        <v>0</v>
      </c>
      <c r="AG117" s="6">
        <f t="shared" si="27"/>
        <v>25621.5</v>
      </c>
      <c r="AH117" s="6">
        <f t="shared" si="16"/>
        <v>226477238.5</v>
      </c>
      <c r="AI117" s="6">
        <f t="shared" si="17"/>
        <v>1518395.6</v>
      </c>
      <c r="AJ117" s="6">
        <f t="shared" si="18"/>
        <v>8247980.9000000004</v>
      </c>
      <c r="AK117" s="6">
        <f t="shared" si="19"/>
        <v>11849.2</v>
      </c>
      <c r="AL117" s="6">
        <f t="shared" si="20"/>
        <v>0</v>
      </c>
      <c r="AM117" s="6">
        <f t="shared" si="21"/>
        <v>216699015</v>
      </c>
      <c r="AN117" s="10">
        <f t="shared" si="22"/>
        <v>6.7044070744442606E-3</v>
      </c>
      <c r="AO117" s="10">
        <f t="shared" si="23"/>
        <v>3.6418586497379959E-2</v>
      </c>
      <c r="AP117" s="10">
        <f t="shared" si="24"/>
        <v>5.2319606502090058E-5</v>
      </c>
      <c r="AQ117" s="10">
        <f t="shared" si="25"/>
        <v>0</v>
      </c>
      <c r="AR117" s="10">
        <f t="shared" si="26"/>
        <v>0.95682469653567415</v>
      </c>
    </row>
    <row r="118" spans="1:44" x14ac:dyDescent="0.3">
      <c r="A118" t="s">
        <v>6</v>
      </c>
      <c r="B118" t="s">
        <v>178</v>
      </c>
      <c r="C118" t="s">
        <v>168</v>
      </c>
      <c r="D118" s="7">
        <v>2035</v>
      </c>
      <c r="E118" s="6">
        <v>0.97</v>
      </c>
      <c r="F118" s="6">
        <v>18.7</v>
      </c>
      <c r="G118" s="15">
        <v>149.30000000000001</v>
      </c>
      <c r="H118" s="15">
        <v>387</v>
      </c>
      <c r="I118" s="6">
        <v>255664690</v>
      </c>
      <c r="J118" s="6">
        <v>238137650</v>
      </c>
      <c r="K118" s="6">
        <v>7271333.5</v>
      </c>
      <c r="L118" s="6">
        <v>24121.3</v>
      </c>
      <c r="M118" s="6">
        <v>0</v>
      </c>
      <c r="N118" s="6">
        <v>0</v>
      </c>
      <c r="O118" s="6">
        <v>1256895.2</v>
      </c>
      <c r="P118" s="6">
        <v>0</v>
      </c>
      <c r="Q118" s="6">
        <v>0</v>
      </c>
      <c r="R118" s="6">
        <v>4867383</v>
      </c>
      <c r="S118" s="6">
        <v>6228595.5</v>
      </c>
      <c r="T118" s="6">
        <v>0</v>
      </c>
      <c r="U118" s="6">
        <v>167641.60000000001</v>
      </c>
      <c r="V118" s="6">
        <v>0</v>
      </c>
      <c r="W118" s="6">
        <v>2257611.2000000002</v>
      </c>
      <c r="X118" s="6">
        <v>0</v>
      </c>
      <c r="Y118" s="6">
        <v>3020.4</v>
      </c>
      <c r="Z118" s="6">
        <v>317823.09999999998</v>
      </c>
      <c r="AA118" s="6">
        <v>0</v>
      </c>
      <c r="AB118" s="6">
        <v>51214748</v>
      </c>
      <c r="AC118" s="6">
        <v>182055540</v>
      </c>
      <c r="AD118" s="6">
        <v>0</v>
      </c>
      <c r="AE118" s="6">
        <f t="shared" si="14"/>
        <v>255664690</v>
      </c>
      <c r="AF118" s="6">
        <f t="shared" si="15"/>
        <v>0</v>
      </c>
      <c r="AG118" s="6">
        <f t="shared" si="27"/>
        <v>24121.3</v>
      </c>
      <c r="AH118" s="6">
        <f t="shared" si="16"/>
        <v>255640568.69999999</v>
      </c>
      <c r="AI118" s="6">
        <f t="shared" si="17"/>
        <v>1256895.2</v>
      </c>
      <c r="AJ118" s="6">
        <f t="shared" si="18"/>
        <v>6396237.0999999996</v>
      </c>
      <c r="AK118" s="6">
        <f t="shared" si="19"/>
        <v>3020.4</v>
      </c>
      <c r="AL118" s="6">
        <f t="shared" si="20"/>
        <v>0</v>
      </c>
      <c r="AM118" s="6">
        <f t="shared" si="21"/>
        <v>247984438.80000001</v>
      </c>
      <c r="AN118" s="10">
        <f t="shared" si="22"/>
        <v>4.9166499917898208E-3</v>
      </c>
      <c r="AO118" s="10">
        <f t="shared" si="23"/>
        <v>2.5020430569868312E-2</v>
      </c>
      <c r="AP118" s="10">
        <f t="shared" si="24"/>
        <v>1.1815026133604435E-5</v>
      </c>
      <c r="AQ118" s="10">
        <f t="shared" si="25"/>
        <v>0</v>
      </c>
      <c r="AR118" s="10">
        <f t="shared" si="26"/>
        <v>0.97005119359993042</v>
      </c>
    </row>
    <row r="119" spans="1:44" x14ac:dyDescent="0.3">
      <c r="A119" t="s">
        <v>6</v>
      </c>
      <c r="B119" t="s">
        <v>178</v>
      </c>
      <c r="C119" t="s">
        <v>168</v>
      </c>
      <c r="D119" s="7">
        <v>2040</v>
      </c>
      <c r="E119" s="6">
        <v>0.98</v>
      </c>
      <c r="F119" s="6">
        <v>14.5</v>
      </c>
      <c r="G119" s="15">
        <v>178.2</v>
      </c>
      <c r="H119" s="15">
        <v>322.5</v>
      </c>
      <c r="I119" s="6">
        <v>289339230</v>
      </c>
      <c r="J119" s="6">
        <v>269901630</v>
      </c>
      <c r="K119" s="6">
        <v>9869557</v>
      </c>
      <c r="L119" s="6">
        <v>21822.6</v>
      </c>
      <c r="M119" s="6">
        <v>0</v>
      </c>
      <c r="N119" s="6">
        <v>0</v>
      </c>
      <c r="O119" s="6">
        <v>880304.6</v>
      </c>
      <c r="P119" s="6">
        <v>0</v>
      </c>
      <c r="Q119" s="6">
        <v>0</v>
      </c>
      <c r="R119" s="6">
        <v>5635121.5</v>
      </c>
      <c r="S119" s="6">
        <v>5990713.5</v>
      </c>
      <c r="T119" s="6">
        <v>0</v>
      </c>
      <c r="U119" s="6">
        <v>164267.6</v>
      </c>
      <c r="V119" s="6">
        <v>0</v>
      </c>
      <c r="W119" s="6">
        <v>2164708</v>
      </c>
      <c r="X119" s="6">
        <v>0</v>
      </c>
      <c r="Y119" s="6">
        <v>3085</v>
      </c>
      <c r="Z119" s="6">
        <v>343151</v>
      </c>
      <c r="AA119" s="6">
        <v>0</v>
      </c>
      <c r="AB119" s="6">
        <v>68768620</v>
      </c>
      <c r="AC119" s="6">
        <v>195497890</v>
      </c>
      <c r="AD119" s="6">
        <v>0</v>
      </c>
      <c r="AE119" s="6">
        <f t="shared" si="14"/>
        <v>289339230</v>
      </c>
      <c r="AF119" s="6">
        <f t="shared" si="15"/>
        <v>0</v>
      </c>
      <c r="AG119" s="6">
        <f t="shared" si="27"/>
        <v>21822.6</v>
      </c>
      <c r="AH119" s="6">
        <f t="shared" si="16"/>
        <v>289317407.39999998</v>
      </c>
      <c r="AI119" s="6">
        <f t="shared" si="17"/>
        <v>880304.6</v>
      </c>
      <c r="AJ119" s="6">
        <f t="shared" si="18"/>
        <v>6154981.0999999996</v>
      </c>
      <c r="AK119" s="6">
        <f t="shared" si="19"/>
        <v>3085</v>
      </c>
      <c r="AL119" s="6">
        <f t="shared" si="20"/>
        <v>0</v>
      </c>
      <c r="AM119" s="6">
        <f t="shared" si="21"/>
        <v>282279047.5</v>
      </c>
      <c r="AN119" s="10">
        <f t="shared" si="22"/>
        <v>3.0426949000787987E-3</v>
      </c>
      <c r="AO119" s="10">
        <f t="shared" si="23"/>
        <v>2.1274147156622143E-2</v>
      </c>
      <c r="AP119" s="10">
        <f t="shared" si="24"/>
        <v>1.0663029327284094E-5</v>
      </c>
      <c r="AQ119" s="10">
        <f t="shared" si="25"/>
        <v>0</v>
      </c>
      <c r="AR119" s="10">
        <f t="shared" si="26"/>
        <v>0.97567253224321548</v>
      </c>
    </row>
    <row r="120" spans="1:44" x14ac:dyDescent="0.3">
      <c r="A120" t="s">
        <v>6</v>
      </c>
      <c r="B120" t="s">
        <v>178</v>
      </c>
      <c r="C120" t="s">
        <v>168</v>
      </c>
      <c r="D120" s="7">
        <v>2045</v>
      </c>
      <c r="E120" s="6">
        <v>0.97</v>
      </c>
      <c r="F120" s="6">
        <v>16.3</v>
      </c>
      <c r="G120" s="15">
        <v>155.69999999999999</v>
      </c>
      <c r="H120" s="15">
        <v>288.7</v>
      </c>
      <c r="I120" s="6">
        <v>301586240</v>
      </c>
      <c r="J120" s="6">
        <v>276943460</v>
      </c>
      <c r="K120" s="6">
        <v>13959918</v>
      </c>
      <c r="L120" s="6">
        <v>21491.5</v>
      </c>
      <c r="M120" s="6">
        <v>0</v>
      </c>
      <c r="N120" s="6">
        <v>0</v>
      </c>
      <c r="O120" s="6">
        <v>989381.4</v>
      </c>
      <c r="P120" s="6">
        <v>0</v>
      </c>
      <c r="Q120" s="6">
        <v>0</v>
      </c>
      <c r="R120" s="6">
        <v>6430158.5</v>
      </c>
      <c r="S120" s="6">
        <v>6900865.5</v>
      </c>
      <c r="T120" s="6">
        <v>0</v>
      </c>
      <c r="U120" s="6">
        <v>316556</v>
      </c>
      <c r="V120" s="6">
        <v>0</v>
      </c>
      <c r="W120" s="6">
        <v>2096868.2</v>
      </c>
      <c r="X120" s="6">
        <v>0</v>
      </c>
      <c r="Y120" s="6">
        <v>2755.4</v>
      </c>
      <c r="Z120" s="6">
        <v>354919.3</v>
      </c>
      <c r="AA120" s="6">
        <v>0</v>
      </c>
      <c r="AB120" s="6">
        <v>72498744</v>
      </c>
      <c r="AC120" s="6">
        <v>198014560</v>
      </c>
      <c r="AD120" s="6">
        <v>0</v>
      </c>
      <c r="AE120" s="6">
        <f t="shared" si="14"/>
        <v>301586240</v>
      </c>
      <c r="AF120" s="6">
        <f t="shared" si="15"/>
        <v>0</v>
      </c>
      <c r="AG120" s="6">
        <f t="shared" si="27"/>
        <v>21491.5</v>
      </c>
      <c r="AH120" s="6">
        <f t="shared" si="16"/>
        <v>301564748.5</v>
      </c>
      <c r="AI120" s="6">
        <f t="shared" si="17"/>
        <v>989381.4</v>
      </c>
      <c r="AJ120" s="6">
        <f t="shared" si="18"/>
        <v>7217421.5</v>
      </c>
      <c r="AK120" s="6">
        <f t="shared" si="19"/>
        <v>2755.4</v>
      </c>
      <c r="AL120" s="6">
        <f t="shared" si="20"/>
        <v>0</v>
      </c>
      <c r="AM120" s="6">
        <f t="shared" si="21"/>
        <v>293355168</v>
      </c>
      <c r="AN120" s="10">
        <f t="shared" si="22"/>
        <v>3.2808257759610123E-3</v>
      </c>
      <c r="AO120" s="10">
        <f t="shared" si="23"/>
        <v>2.3933239995390244E-2</v>
      </c>
      <c r="AP120" s="10">
        <f t="shared" si="24"/>
        <v>9.1370095931487825E-6</v>
      </c>
      <c r="AQ120" s="10">
        <f t="shared" si="25"/>
        <v>0</v>
      </c>
      <c r="AR120" s="10">
        <f t="shared" si="26"/>
        <v>0.97277672360302414</v>
      </c>
    </row>
    <row r="121" spans="1:44" x14ac:dyDescent="0.3">
      <c r="A121" t="s">
        <v>6</v>
      </c>
      <c r="B121" t="s">
        <v>178</v>
      </c>
      <c r="C121" t="s">
        <v>168</v>
      </c>
      <c r="D121" s="7">
        <v>2050</v>
      </c>
      <c r="E121" s="6">
        <v>0.97</v>
      </c>
      <c r="F121" s="6">
        <v>19.5</v>
      </c>
      <c r="G121" s="15">
        <v>166.6</v>
      </c>
      <c r="H121" s="15">
        <v>252.8</v>
      </c>
      <c r="I121" s="6">
        <v>334918500</v>
      </c>
      <c r="J121" s="6">
        <v>301388800</v>
      </c>
      <c r="K121" s="6">
        <v>21474512</v>
      </c>
      <c r="L121" s="6">
        <v>20162.8</v>
      </c>
      <c r="M121" s="6">
        <v>0</v>
      </c>
      <c r="N121" s="6">
        <v>0</v>
      </c>
      <c r="O121" s="6">
        <v>2206805.2000000002</v>
      </c>
      <c r="P121" s="6">
        <v>0</v>
      </c>
      <c r="Q121" s="6">
        <v>0</v>
      </c>
      <c r="R121" s="6">
        <v>7248790.5</v>
      </c>
      <c r="S121" s="6">
        <v>7075395</v>
      </c>
      <c r="T121" s="6">
        <v>0</v>
      </c>
      <c r="U121" s="6">
        <v>346384.1</v>
      </c>
      <c r="V121" s="6">
        <v>0</v>
      </c>
      <c r="W121" s="6">
        <v>2038954</v>
      </c>
      <c r="X121" s="6">
        <v>0</v>
      </c>
      <c r="Y121" s="6">
        <v>0</v>
      </c>
      <c r="Z121" s="6">
        <v>367461.6</v>
      </c>
      <c r="AA121" s="6">
        <v>0</v>
      </c>
      <c r="AB121" s="6">
        <v>78548240</v>
      </c>
      <c r="AC121" s="6">
        <v>215591780</v>
      </c>
      <c r="AD121" s="6">
        <v>0</v>
      </c>
      <c r="AE121" s="6">
        <f t="shared" si="14"/>
        <v>334918500</v>
      </c>
      <c r="AF121" s="6">
        <f t="shared" si="15"/>
        <v>0</v>
      </c>
      <c r="AG121" s="6">
        <f t="shared" si="27"/>
        <v>20162.8</v>
      </c>
      <c r="AH121" s="6">
        <f t="shared" si="16"/>
        <v>334898337.19999999</v>
      </c>
      <c r="AI121" s="6">
        <f t="shared" si="17"/>
        <v>2206805.2000000002</v>
      </c>
      <c r="AJ121" s="6">
        <f t="shared" si="18"/>
        <v>7421779.0999999996</v>
      </c>
      <c r="AK121" s="6">
        <f t="shared" si="19"/>
        <v>0</v>
      </c>
      <c r="AL121" s="6">
        <f t="shared" si="20"/>
        <v>0</v>
      </c>
      <c r="AM121" s="6">
        <f t="shared" si="21"/>
        <v>325269738.10000002</v>
      </c>
      <c r="AN121" s="10">
        <f t="shared" si="22"/>
        <v>6.5894779247055646E-3</v>
      </c>
      <c r="AO121" s="10">
        <f t="shared" si="23"/>
        <v>2.2161289787377303E-2</v>
      </c>
      <c r="AP121" s="10">
        <f t="shared" si="24"/>
        <v>0</v>
      </c>
      <c r="AQ121" s="10">
        <f t="shared" si="25"/>
        <v>0</v>
      </c>
      <c r="AR121" s="10">
        <f t="shared" si="26"/>
        <v>0.97124918809540162</v>
      </c>
    </row>
    <row r="122" spans="1:44" x14ac:dyDescent="0.3">
      <c r="A122" t="s">
        <v>6</v>
      </c>
      <c r="B122" t="s">
        <v>178</v>
      </c>
      <c r="C122" t="s">
        <v>169</v>
      </c>
      <c r="D122" s="7">
        <v>2024</v>
      </c>
      <c r="E122" s="6">
        <v>0.28999999999999998</v>
      </c>
      <c r="F122" s="6">
        <v>445.1</v>
      </c>
      <c r="G122" s="15">
        <v>518.79999999999995</v>
      </c>
      <c r="H122" s="15">
        <v>901.5</v>
      </c>
      <c r="I122" s="6">
        <v>178889820</v>
      </c>
      <c r="J122" s="6">
        <v>5015528</v>
      </c>
      <c r="K122" s="6">
        <v>0</v>
      </c>
      <c r="L122" s="6">
        <v>1257300.8999999999</v>
      </c>
      <c r="M122" s="6">
        <v>0</v>
      </c>
      <c r="N122" s="6">
        <v>0</v>
      </c>
      <c r="O122" s="6">
        <v>17528374</v>
      </c>
      <c r="P122" s="6">
        <v>0</v>
      </c>
      <c r="Q122" s="6">
        <v>0</v>
      </c>
      <c r="R122" s="6">
        <v>1963266.8</v>
      </c>
      <c r="S122" s="6">
        <v>100205784</v>
      </c>
      <c r="T122" s="6">
        <v>0</v>
      </c>
      <c r="U122" s="6">
        <v>1281594.2</v>
      </c>
      <c r="V122" s="6">
        <v>0</v>
      </c>
      <c r="W122" s="6">
        <v>3562629.2</v>
      </c>
      <c r="X122" s="6">
        <v>42740030</v>
      </c>
      <c r="Y122" s="6">
        <v>7283627</v>
      </c>
      <c r="Z122" s="6">
        <v>14950.9</v>
      </c>
      <c r="AA122" s="6">
        <v>0</v>
      </c>
      <c r="AB122" s="6">
        <v>3052261</v>
      </c>
      <c r="AC122" s="6">
        <v>0</v>
      </c>
      <c r="AD122" s="6">
        <v>0</v>
      </c>
      <c r="AE122" s="6">
        <f t="shared" si="14"/>
        <v>178889820</v>
      </c>
      <c r="AF122" s="6">
        <f t="shared" si="15"/>
        <v>0</v>
      </c>
      <c r="AG122" s="6">
        <f t="shared" si="27"/>
        <v>1257300.8999999999</v>
      </c>
      <c r="AH122" s="6">
        <f t="shared" si="16"/>
        <v>177632519.09999999</v>
      </c>
      <c r="AI122" s="6">
        <f t="shared" si="17"/>
        <v>17528374</v>
      </c>
      <c r="AJ122" s="6">
        <f t="shared" si="18"/>
        <v>101487378.2</v>
      </c>
      <c r="AK122" s="6">
        <f t="shared" si="19"/>
        <v>7283627</v>
      </c>
      <c r="AL122" s="6">
        <f t="shared" si="20"/>
        <v>42740030</v>
      </c>
      <c r="AM122" s="6">
        <f t="shared" si="21"/>
        <v>8593107.9000000004</v>
      </c>
      <c r="AN122" s="10">
        <f t="shared" si="22"/>
        <v>9.8677731356904455E-2</v>
      </c>
      <c r="AO122" s="10">
        <f t="shared" si="23"/>
        <v>0.57133332744589782</v>
      </c>
      <c r="AP122" s="10">
        <f t="shared" si="24"/>
        <v>4.1003905348544936E-2</v>
      </c>
      <c r="AQ122" s="10">
        <f t="shared" si="25"/>
        <v>0.2406092657839248</v>
      </c>
      <c r="AR122" s="10">
        <f t="shared" si="26"/>
        <v>4.8375758805528309E-2</v>
      </c>
    </row>
    <row r="123" spans="1:44" x14ac:dyDescent="0.3">
      <c r="A123" t="s">
        <v>6</v>
      </c>
      <c r="B123" t="s">
        <v>178</v>
      </c>
      <c r="C123" t="s">
        <v>169</v>
      </c>
      <c r="D123" s="7">
        <v>2026</v>
      </c>
      <c r="E123" s="6">
        <v>0.31</v>
      </c>
      <c r="F123" s="6">
        <v>408.2</v>
      </c>
      <c r="G123" s="15">
        <v>490.1</v>
      </c>
      <c r="H123" s="15">
        <v>848.2</v>
      </c>
      <c r="I123" s="6">
        <v>177490270</v>
      </c>
      <c r="J123" s="6">
        <v>7132198.5</v>
      </c>
      <c r="K123" s="6">
        <v>3183.1</v>
      </c>
      <c r="L123" s="6">
        <v>1257250.8</v>
      </c>
      <c r="M123" s="6">
        <v>0</v>
      </c>
      <c r="N123" s="6">
        <v>0</v>
      </c>
      <c r="O123" s="6">
        <v>14321178</v>
      </c>
      <c r="P123" s="6">
        <v>0</v>
      </c>
      <c r="Q123" s="6">
        <v>0</v>
      </c>
      <c r="R123" s="6">
        <v>3219074.5</v>
      </c>
      <c r="S123" s="6">
        <v>103739960</v>
      </c>
      <c r="T123" s="6">
        <v>0</v>
      </c>
      <c r="U123" s="6">
        <v>897424</v>
      </c>
      <c r="V123" s="6">
        <v>0</v>
      </c>
      <c r="W123" s="6">
        <v>3564753.5</v>
      </c>
      <c r="X123" s="6">
        <v>42701030</v>
      </c>
      <c r="Y123" s="6">
        <v>3855924.8</v>
      </c>
      <c r="Z123" s="6">
        <v>17357.099999999999</v>
      </c>
      <c r="AA123" s="6">
        <v>0</v>
      </c>
      <c r="AB123" s="6">
        <v>3913123.5</v>
      </c>
      <c r="AC123" s="6">
        <v>0</v>
      </c>
      <c r="AD123" s="6">
        <v>0</v>
      </c>
      <c r="AE123" s="6">
        <f t="shared" si="14"/>
        <v>177490270</v>
      </c>
      <c r="AF123" s="6">
        <f t="shared" si="15"/>
        <v>0</v>
      </c>
      <c r="AG123" s="6">
        <f t="shared" si="27"/>
        <v>1257250.8</v>
      </c>
      <c r="AH123" s="6">
        <f t="shared" si="16"/>
        <v>176233019.19999999</v>
      </c>
      <c r="AI123" s="6">
        <f t="shared" si="17"/>
        <v>14321178</v>
      </c>
      <c r="AJ123" s="6">
        <f t="shared" si="18"/>
        <v>104637384</v>
      </c>
      <c r="AK123" s="6">
        <f t="shared" si="19"/>
        <v>3855924.8</v>
      </c>
      <c r="AL123" s="6">
        <f t="shared" si="20"/>
        <v>42701030</v>
      </c>
      <c r="AM123" s="6">
        <f t="shared" si="21"/>
        <v>10717491.699999999</v>
      </c>
      <c r="AN123" s="10">
        <f t="shared" si="22"/>
        <v>8.1262739894091315E-2</v>
      </c>
      <c r="AO123" s="10">
        <f t="shared" si="23"/>
        <v>0.59374448939815927</v>
      </c>
      <c r="AP123" s="10">
        <f t="shared" si="24"/>
        <v>2.1879695516219131E-2</v>
      </c>
      <c r="AQ123" s="10">
        <f t="shared" si="25"/>
        <v>0.24229869177659757</v>
      </c>
      <c r="AR123" s="10">
        <f t="shared" si="26"/>
        <v>6.0814322699863275E-2</v>
      </c>
    </row>
    <row r="124" spans="1:44" x14ac:dyDescent="0.3">
      <c r="A124" t="s">
        <v>6</v>
      </c>
      <c r="B124" t="s">
        <v>178</v>
      </c>
      <c r="C124" t="s">
        <v>169</v>
      </c>
      <c r="D124" s="7">
        <v>2028</v>
      </c>
      <c r="E124" s="6">
        <v>0.37</v>
      </c>
      <c r="F124" s="6">
        <v>343.4</v>
      </c>
      <c r="G124" s="15">
        <v>409.9</v>
      </c>
      <c r="H124" s="15">
        <v>722.6</v>
      </c>
      <c r="I124" s="6">
        <v>160206930</v>
      </c>
      <c r="J124" s="6">
        <v>12633375</v>
      </c>
      <c r="K124" s="6">
        <v>234415.4</v>
      </c>
      <c r="L124" s="6">
        <v>1245230.8999999999</v>
      </c>
      <c r="M124" s="6">
        <v>0</v>
      </c>
      <c r="N124" s="6">
        <v>0</v>
      </c>
      <c r="O124" s="6">
        <v>6793961.5</v>
      </c>
      <c r="P124" s="6">
        <v>0</v>
      </c>
      <c r="Q124" s="6">
        <v>0</v>
      </c>
      <c r="R124" s="6">
        <v>4743119</v>
      </c>
      <c r="S124" s="6">
        <v>91226230</v>
      </c>
      <c r="T124" s="6">
        <v>0</v>
      </c>
      <c r="U124" s="6">
        <v>461377</v>
      </c>
      <c r="V124" s="6">
        <v>0</v>
      </c>
      <c r="W124" s="6">
        <v>3502943.5</v>
      </c>
      <c r="X124" s="6">
        <v>41864016</v>
      </c>
      <c r="Y124" s="6">
        <v>2197798.5</v>
      </c>
      <c r="Z124" s="6">
        <v>47576.6</v>
      </c>
      <c r="AA124" s="6">
        <v>0</v>
      </c>
      <c r="AB124" s="6">
        <v>7890256</v>
      </c>
      <c r="AC124" s="6">
        <v>0</v>
      </c>
      <c r="AD124" s="6">
        <v>0</v>
      </c>
      <c r="AE124" s="6">
        <f t="shared" si="14"/>
        <v>160206930</v>
      </c>
      <c r="AF124" s="6">
        <f t="shared" si="15"/>
        <v>0</v>
      </c>
      <c r="AG124" s="6">
        <f t="shared" si="27"/>
        <v>1245230.8999999999</v>
      </c>
      <c r="AH124" s="6">
        <f t="shared" si="16"/>
        <v>158961699.09999999</v>
      </c>
      <c r="AI124" s="6">
        <f t="shared" si="17"/>
        <v>6793961.5</v>
      </c>
      <c r="AJ124" s="6">
        <f t="shared" si="18"/>
        <v>91687607</v>
      </c>
      <c r="AK124" s="6">
        <f t="shared" si="19"/>
        <v>2197798.5</v>
      </c>
      <c r="AL124" s="6">
        <f t="shared" si="20"/>
        <v>41864016</v>
      </c>
      <c r="AM124" s="6">
        <f t="shared" si="21"/>
        <v>16418310.5</v>
      </c>
      <c r="AN124" s="10">
        <f t="shared" si="22"/>
        <v>4.2739612991466822E-2</v>
      </c>
      <c r="AO124" s="10">
        <f t="shared" si="23"/>
        <v>0.57679055721668493</v>
      </c>
      <c r="AP124" s="10">
        <f t="shared" si="24"/>
        <v>1.3825962558549426E-2</v>
      </c>
      <c r="AQ124" s="10">
        <f t="shared" si="25"/>
        <v>0.26335913768551311</v>
      </c>
      <c r="AR124" s="10">
        <f t="shared" si="26"/>
        <v>0.10328469431917389</v>
      </c>
    </row>
    <row r="125" spans="1:44" x14ac:dyDescent="0.3">
      <c r="A125" t="s">
        <v>6</v>
      </c>
      <c r="B125" t="s">
        <v>178</v>
      </c>
      <c r="C125" t="s">
        <v>169</v>
      </c>
      <c r="D125" s="7">
        <v>2030</v>
      </c>
      <c r="E125" s="6">
        <v>0.47</v>
      </c>
      <c r="F125" s="6">
        <v>286</v>
      </c>
      <c r="G125" s="15">
        <v>406.8</v>
      </c>
      <c r="H125" s="15">
        <v>641.6</v>
      </c>
      <c r="I125" s="6">
        <v>147920900</v>
      </c>
      <c r="J125" s="6">
        <v>23066370</v>
      </c>
      <c r="K125" s="6">
        <v>1197212.8999999999</v>
      </c>
      <c r="L125" s="6">
        <v>1092910.8999999999</v>
      </c>
      <c r="M125" s="6">
        <v>0</v>
      </c>
      <c r="N125" s="6">
        <v>0</v>
      </c>
      <c r="O125" s="6">
        <v>5629069</v>
      </c>
      <c r="P125" s="6">
        <v>0</v>
      </c>
      <c r="Q125" s="6">
        <v>0</v>
      </c>
      <c r="R125" s="6">
        <v>7006886.5</v>
      </c>
      <c r="S125" s="6">
        <v>71921870</v>
      </c>
      <c r="T125" s="6">
        <v>0</v>
      </c>
      <c r="U125" s="6">
        <v>223064.6</v>
      </c>
      <c r="V125" s="6">
        <v>0</v>
      </c>
      <c r="W125" s="6">
        <v>3278718.2</v>
      </c>
      <c r="X125" s="6">
        <v>40624884</v>
      </c>
      <c r="Y125" s="6">
        <v>835712</v>
      </c>
      <c r="Z125" s="6">
        <v>51079.7</v>
      </c>
      <c r="AA125" s="6">
        <v>0</v>
      </c>
      <c r="AB125" s="6">
        <v>16059485</v>
      </c>
      <c r="AC125" s="6">
        <v>0</v>
      </c>
      <c r="AD125" s="6">
        <v>0</v>
      </c>
      <c r="AE125" s="6">
        <f t="shared" si="14"/>
        <v>147920900</v>
      </c>
      <c r="AF125" s="6">
        <f t="shared" si="15"/>
        <v>0</v>
      </c>
      <c r="AG125" s="6">
        <f t="shared" si="27"/>
        <v>1092910.8999999999</v>
      </c>
      <c r="AH125" s="6">
        <f t="shared" si="16"/>
        <v>146827989.09999999</v>
      </c>
      <c r="AI125" s="6">
        <f t="shared" si="17"/>
        <v>5629069</v>
      </c>
      <c r="AJ125" s="6">
        <f t="shared" si="18"/>
        <v>72144934.599999994</v>
      </c>
      <c r="AK125" s="6">
        <f t="shared" si="19"/>
        <v>835712</v>
      </c>
      <c r="AL125" s="6">
        <f t="shared" si="20"/>
        <v>40624884</v>
      </c>
      <c r="AM125" s="6">
        <f t="shared" si="21"/>
        <v>27593382.300000001</v>
      </c>
      <c r="AN125" s="10">
        <f t="shared" si="22"/>
        <v>3.8337847126450907E-2</v>
      </c>
      <c r="AO125" s="10">
        <f t="shared" si="23"/>
        <v>0.49135682537247249</v>
      </c>
      <c r="AP125" s="10">
        <f t="shared" si="24"/>
        <v>5.6917758332222504E-3</v>
      </c>
      <c r="AQ125" s="10">
        <f t="shared" si="25"/>
        <v>0.27668351415159442</v>
      </c>
      <c r="AR125" s="10">
        <f t="shared" si="26"/>
        <v>0.18792998847928785</v>
      </c>
    </row>
    <row r="126" spans="1:44" x14ac:dyDescent="0.3">
      <c r="A126" t="s">
        <v>6</v>
      </c>
      <c r="B126" t="s">
        <v>178</v>
      </c>
      <c r="C126" t="s">
        <v>169</v>
      </c>
      <c r="D126" s="7">
        <v>2035</v>
      </c>
      <c r="E126" s="6">
        <v>0.64</v>
      </c>
      <c r="F126" s="6">
        <v>196.9</v>
      </c>
      <c r="G126" s="15">
        <v>345.5</v>
      </c>
      <c r="H126" s="15">
        <v>579</v>
      </c>
      <c r="I126" s="6">
        <v>173532420</v>
      </c>
      <c r="J126" s="6">
        <v>54061670</v>
      </c>
      <c r="K126" s="6">
        <v>12665022</v>
      </c>
      <c r="L126" s="6">
        <v>990128</v>
      </c>
      <c r="M126" s="6">
        <v>0</v>
      </c>
      <c r="N126" s="6">
        <v>0</v>
      </c>
      <c r="O126" s="6">
        <v>5799760.5</v>
      </c>
      <c r="P126" s="6">
        <v>0</v>
      </c>
      <c r="Q126" s="6">
        <v>0</v>
      </c>
      <c r="R126" s="6">
        <v>9389525</v>
      </c>
      <c r="S126" s="6">
        <v>55952950</v>
      </c>
      <c r="T126" s="6">
        <v>0</v>
      </c>
      <c r="U126" s="6">
        <v>768278.8</v>
      </c>
      <c r="V126" s="6">
        <v>0</v>
      </c>
      <c r="W126" s="6">
        <v>3140601.5</v>
      </c>
      <c r="X126" s="6">
        <v>39924956</v>
      </c>
      <c r="Y126" s="6">
        <v>172278.9</v>
      </c>
      <c r="Z126" s="6">
        <v>56769.1</v>
      </c>
      <c r="AA126" s="6">
        <v>0</v>
      </c>
      <c r="AB126" s="6">
        <v>44672144</v>
      </c>
      <c r="AC126" s="6">
        <v>0</v>
      </c>
      <c r="AD126" s="6">
        <v>0</v>
      </c>
      <c r="AE126" s="6">
        <f t="shared" si="14"/>
        <v>173532420</v>
      </c>
      <c r="AF126" s="6">
        <f t="shared" si="15"/>
        <v>0</v>
      </c>
      <c r="AG126" s="6">
        <f t="shared" si="27"/>
        <v>990128</v>
      </c>
      <c r="AH126" s="6">
        <f t="shared" si="16"/>
        <v>172542292</v>
      </c>
      <c r="AI126" s="6">
        <f t="shared" si="17"/>
        <v>5799760.5</v>
      </c>
      <c r="AJ126" s="6">
        <f t="shared" si="18"/>
        <v>56721228.799999997</v>
      </c>
      <c r="AK126" s="6">
        <f t="shared" si="19"/>
        <v>172278.9</v>
      </c>
      <c r="AL126" s="6">
        <f t="shared" si="20"/>
        <v>39924956</v>
      </c>
      <c r="AM126" s="6">
        <f t="shared" si="21"/>
        <v>69924061.599999994</v>
      </c>
      <c r="AN126" s="10">
        <f t="shared" si="22"/>
        <v>3.3613558929656506E-2</v>
      </c>
      <c r="AO126" s="10">
        <f t="shared" si="23"/>
        <v>0.32873812062262392</v>
      </c>
      <c r="AP126" s="10">
        <f t="shared" si="24"/>
        <v>9.9847346411742347E-4</v>
      </c>
      <c r="AQ126" s="10">
        <f t="shared" si="25"/>
        <v>0.23139228960746622</v>
      </c>
      <c r="AR126" s="10">
        <f t="shared" si="26"/>
        <v>0.40525752144291671</v>
      </c>
    </row>
    <row r="127" spans="1:44" x14ac:dyDescent="0.3">
      <c r="A127" t="s">
        <v>6</v>
      </c>
      <c r="B127" t="s">
        <v>178</v>
      </c>
      <c r="C127" t="s">
        <v>169</v>
      </c>
      <c r="D127" s="7">
        <v>2040</v>
      </c>
      <c r="E127" s="6">
        <v>0.7</v>
      </c>
      <c r="F127" s="6">
        <v>163.19999999999999</v>
      </c>
      <c r="G127" s="15">
        <v>327.7</v>
      </c>
      <c r="H127" s="15">
        <v>509.7</v>
      </c>
      <c r="I127" s="6">
        <v>192388600</v>
      </c>
      <c r="J127" s="6">
        <v>70484600</v>
      </c>
      <c r="K127" s="6">
        <v>20159294</v>
      </c>
      <c r="L127" s="6">
        <v>925344.6</v>
      </c>
      <c r="M127" s="6">
        <v>0</v>
      </c>
      <c r="N127" s="6">
        <v>0</v>
      </c>
      <c r="O127" s="6">
        <v>4306628</v>
      </c>
      <c r="P127" s="6">
        <v>0</v>
      </c>
      <c r="Q127" s="6">
        <v>0</v>
      </c>
      <c r="R127" s="6">
        <v>9925722</v>
      </c>
      <c r="S127" s="6">
        <v>53173664</v>
      </c>
      <c r="T127" s="6">
        <v>0</v>
      </c>
      <c r="U127" s="6">
        <v>1001353.2</v>
      </c>
      <c r="V127" s="6">
        <v>0</v>
      </c>
      <c r="W127" s="6">
        <v>2973965.2</v>
      </c>
      <c r="X127" s="6">
        <v>39162256</v>
      </c>
      <c r="Y127" s="6">
        <v>141331.4</v>
      </c>
      <c r="Z127" s="6">
        <v>60178.3</v>
      </c>
      <c r="AA127" s="6">
        <v>0</v>
      </c>
      <c r="AB127" s="6">
        <v>60558870</v>
      </c>
      <c r="AC127" s="6">
        <v>0</v>
      </c>
      <c r="AD127" s="6">
        <v>0</v>
      </c>
      <c r="AE127" s="6">
        <f t="shared" si="14"/>
        <v>192388600</v>
      </c>
      <c r="AF127" s="6">
        <f t="shared" si="15"/>
        <v>0</v>
      </c>
      <c r="AG127" s="6">
        <f t="shared" si="27"/>
        <v>925344.6</v>
      </c>
      <c r="AH127" s="6">
        <f t="shared" si="16"/>
        <v>191463255.40000001</v>
      </c>
      <c r="AI127" s="6">
        <f t="shared" si="17"/>
        <v>4306628</v>
      </c>
      <c r="AJ127" s="6">
        <f t="shared" si="18"/>
        <v>54175017.200000003</v>
      </c>
      <c r="AK127" s="6">
        <f t="shared" si="19"/>
        <v>141331.4</v>
      </c>
      <c r="AL127" s="6">
        <f t="shared" si="20"/>
        <v>39162256</v>
      </c>
      <c r="AM127" s="6">
        <f t="shared" si="21"/>
        <v>93678029.5</v>
      </c>
      <c r="AN127" s="10">
        <f t="shared" si="22"/>
        <v>2.2493235012654024E-2</v>
      </c>
      <c r="AO127" s="10">
        <f t="shared" si="23"/>
        <v>0.28295255445656653</v>
      </c>
      <c r="AP127" s="10">
        <f t="shared" si="24"/>
        <v>7.3816461390847107E-4</v>
      </c>
      <c r="AQ127" s="10">
        <f t="shared" si="25"/>
        <v>0.20454188934677436</v>
      </c>
      <c r="AR127" s="10">
        <f t="shared" si="26"/>
        <v>0.48927419156375629</v>
      </c>
    </row>
    <row r="128" spans="1:44" x14ac:dyDescent="0.3">
      <c r="A128" t="s">
        <v>6</v>
      </c>
      <c r="B128" t="s">
        <v>178</v>
      </c>
      <c r="C128" t="s">
        <v>169</v>
      </c>
      <c r="D128" s="7">
        <v>2045</v>
      </c>
      <c r="E128" s="6">
        <v>0.78</v>
      </c>
      <c r="F128" s="6">
        <v>117.8</v>
      </c>
      <c r="G128" s="15">
        <v>243.1</v>
      </c>
      <c r="H128" s="15">
        <v>449.8</v>
      </c>
      <c r="I128" s="6">
        <v>259462220</v>
      </c>
      <c r="J128" s="6">
        <v>117521064</v>
      </c>
      <c r="K128" s="6">
        <v>41416844</v>
      </c>
      <c r="L128" s="6">
        <v>809066.2</v>
      </c>
      <c r="M128" s="6">
        <v>0</v>
      </c>
      <c r="N128" s="6">
        <v>0</v>
      </c>
      <c r="O128" s="6">
        <v>3406848.8</v>
      </c>
      <c r="P128" s="6">
        <v>0</v>
      </c>
      <c r="Q128" s="6">
        <v>0</v>
      </c>
      <c r="R128" s="6">
        <v>10251037</v>
      </c>
      <c r="S128" s="6">
        <v>53640796</v>
      </c>
      <c r="T128" s="6">
        <v>0</v>
      </c>
      <c r="U128" s="6">
        <v>1021920</v>
      </c>
      <c r="V128" s="6">
        <v>0</v>
      </c>
      <c r="W128" s="6">
        <v>2868219.8</v>
      </c>
      <c r="X128" s="6">
        <v>38617500</v>
      </c>
      <c r="Y128" s="6">
        <v>92822.7</v>
      </c>
      <c r="Z128" s="6">
        <v>67143.8</v>
      </c>
      <c r="AA128" s="6">
        <v>0</v>
      </c>
      <c r="AB128" s="6">
        <v>107270030</v>
      </c>
      <c r="AC128" s="6">
        <v>0</v>
      </c>
      <c r="AD128" s="6">
        <v>0</v>
      </c>
      <c r="AE128" s="6">
        <f t="shared" si="14"/>
        <v>259462220</v>
      </c>
      <c r="AF128" s="6">
        <f t="shared" si="15"/>
        <v>0</v>
      </c>
      <c r="AG128" s="6">
        <f t="shared" si="27"/>
        <v>809066.2</v>
      </c>
      <c r="AH128" s="6">
        <f t="shared" si="16"/>
        <v>258653153.80000001</v>
      </c>
      <c r="AI128" s="6">
        <f t="shared" si="17"/>
        <v>3406848.8</v>
      </c>
      <c r="AJ128" s="6">
        <f t="shared" si="18"/>
        <v>54662716</v>
      </c>
      <c r="AK128" s="6">
        <f t="shared" si="19"/>
        <v>92822.7</v>
      </c>
      <c r="AL128" s="6">
        <f t="shared" si="20"/>
        <v>38617500</v>
      </c>
      <c r="AM128" s="6">
        <f t="shared" si="21"/>
        <v>161873274.59999999</v>
      </c>
      <c r="AN128" s="10">
        <f t="shared" si="22"/>
        <v>1.3171495301519884E-2</v>
      </c>
      <c r="AO128" s="10">
        <f t="shared" si="23"/>
        <v>0.21133597327897727</v>
      </c>
      <c r="AP128" s="10">
        <f t="shared" si="24"/>
        <v>3.5886939183341207E-4</v>
      </c>
      <c r="AQ128" s="10">
        <f t="shared" si="25"/>
        <v>0.14930225838212841</v>
      </c>
      <c r="AR128" s="10">
        <f t="shared" si="26"/>
        <v>0.62583143573484623</v>
      </c>
    </row>
    <row r="129" spans="1:44" x14ac:dyDescent="0.3">
      <c r="A129" t="s">
        <v>6</v>
      </c>
      <c r="B129" t="s">
        <v>178</v>
      </c>
      <c r="C129" t="s">
        <v>169</v>
      </c>
      <c r="D129" s="7">
        <v>2050</v>
      </c>
      <c r="E129" s="6">
        <v>0.81</v>
      </c>
      <c r="F129" s="6">
        <v>103.2</v>
      </c>
      <c r="G129" s="15">
        <v>234.5</v>
      </c>
      <c r="H129" s="15">
        <v>424.2</v>
      </c>
      <c r="I129" s="6">
        <v>317176130</v>
      </c>
      <c r="J129" s="6">
        <v>176810530</v>
      </c>
      <c r="K129" s="6">
        <v>59163930</v>
      </c>
      <c r="L129" s="6">
        <v>760590.7</v>
      </c>
      <c r="M129" s="6">
        <v>0</v>
      </c>
      <c r="N129" s="6">
        <v>0</v>
      </c>
      <c r="O129" s="6">
        <v>4780085.5</v>
      </c>
      <c r="P129" s="6">
        <v>0</v>
      </c>
      <c r="Q129" s="6">
        <v>0</v>
      </c>
      <c r="R129" s="6">
        <v>10376816</v>
      </c>
      <c r="S129" s="6">
        <v>55508172</v>
      </c>
      <c r="T129" s="6">
        <v>0</v>
      </c>
      <c r="U129" s="6">
        <v>1051081.8999999999</v>
      </c>
      <c r="V129" s="6">
        <v>0</v>
      </c>
      <c r="W129" s="6">
        <v>2780283.5</v>
      </c>
      <c r="X129" s="6">
        <v>16235117</v>
      </c>
      <c r="Y129" s="6">
        <v>23354.400000000001</v>
      </c>
      <c r="Z129" s="6">
        <v>62976.7</v>
      </c>
      <c r="AA129" s="6">
        <v>0</v>
      </c>
      <c r="AB129" s="6">
        <v>166187090</v>
      </c>
      <c r="AC129" s="6">
        <v>246627.20000000001</v>
      </c>
      <c r="AD129" s="6">
        <v>0</v>
      </c>
      <c r="AE129" s="6">
        <f t="shared" si="14"/>
        <v>317176130</v>
      </c>
      <c r="AF129" s="6">
        <f t="shared" si="15"/>
        <v>0</v>
      </c>
      <c r="AG129" s="6">
        <f t="shared" si="27"/>
        <v>760590.7</v>
      </c>
      <c r="AH129" s="6">
        <f t="shared" si="16"/>
        <v>316415539.30000001</v>
      </c>
      <c r="AI129" s="6">
        <f t="shared" si="17"/>
        <v>4780085.5</v>
      </c>
      <c r="AJ129" s="6">
        <f t="shared" si="18"/>
        <v>56559253.899999999</v>
      </c>
      <c r="AK129" s="6">
        <f t="shared" si="19"/>
        <v>23354.400000000001</v>
      </c>
      <c r="AL129" s="6">
        <f t="shared" si="20"/>
        <v>16235117</v>
      </c>
      <c r="AM129" s="6">
        <f t="shared" si="21"/>
        <v>238817723.39999998</v>
      </c>
      <c r="AN129" s="10">
        <f t="shared" si="22"/>
        <v>1.5106987193406781E-2</v>
      </c>
      <c r="AO129" s="10">
        <f t="shared" si="23"/>
        <v>0.1787499249408703</v>
      </c>
      <c r="AP129" s="10">
        <f t="shared" si="24"/>
        <v>7.3809270087260849E-5</v>
      </c>
      <c r="AQ129" s="10">
        <f t="shared" si="25"/>
        <v>5.1309480678213962E-2</v>
      </c>
      <c r="AR129" s="10">
        <f t="shared" si="26"/>
        <v>0.75475978179937631</v>
      </c>
    </row>
    <row r="130" spans="1:44" x14ac:dyDescent="0.3">
      <c r="A130" t="s">
        <v>6</v>
      </c>
      <c r="B130" t="s">
        <v>178</v>
      </c>
      <c r="C130" t="s">
        <v>170</v>
      </c>
      <c r="D130" s="7">
        <v>2024</v>
      </c>
      <c r="E130" s="6">
        <v>0.43</v>
      </c>
      <c r="F130" s="6">
        <v>622.1</v>
      </c>
      <c r="G130" s="15">
        <v>443.2</v>
      </c>
      <c r="H130" s="15">
        <v>945.4</v>
      </c>
      <c r="I130" s="6">
        <v>134897580</v>
      </c>
      <c r="J130" s="6">
        <v>23845072</v>
      </c>
      <c r="K130" s="6">
        <v>0</v>
      </c>
      <c r="L130" s="6">
        <v>86645.1</v>
      </c>
      <c r="M130" s="6">
        <v>0</v>
      </c>
      <c r="N130" s="6">
        <v>0</v>
      </c>
      <c r="O130" s="6">
        <v>69774920</v>
      </c>
      <c r="P130" s="6">
        <v>0</v>
      </c>
      <c r="Q130" s="6">
        <v>0</v>
      </c>
      <c r="R130" s="6">
        <v>253480</v>
      </c>
      <c r="S130" s="6">
        <v>6451250.5</v>
      </c>
      <c r="T130" s="6">
        <v>0</v>
      </c>
      <c r="U130" s="6">
        <v>481749</v>
      </c>
      <c r="V130" s="6">
        <v>0</v>
      </c>
      <c r="W130" s="6">
        <v>834767.5</v>
      </c>
      <c r="X130" s="6">
        <v>32969702</v>
      </c>
      <c r="Y130" s="6">
        <v>16204.4</v>
      </c>
      <c r="Z130" s="6">
        <v>437276</v>
      </c>
      <c r="AA130" s="6">
        <v>0</v>
      </c>
      <c r="AB130" s="6">
        <v>3817264.5</v>
      </c>
      <c r="AC130" s="6">
        <v>19774328</v>
      </c>
      <c r="AD130" s="6">
        <v>0</v>
      </c>
      <c r="AE130" s="6">
        <f t="shared" si="14"/>
        <v>134897580</v>
      </c>
      <c r="AF130" s="6">
        <f t="shared" si="15"/>
        <v>0</v>
      </c>
      <c r="AG130" s="6">
        <f t="shared" si="27"/>
        <v>86645.1</v>
      </c>
      <c r="AH130" s="6">
        <f t="shared" si="16"/>
        <v>134810934.90000001</v>
      </c>
      <c r="AI130" s="6">
        <f t="shared" si="17"/>
        <v>69774920</v>
      </c>
      <c r="AJ130" s="6">
        <f t="shared" si="18"/>
        <v>6932999.5</v>
      </c>
      <c r="AK130" s="6">
        <f t="shared" si="19"/>
        <v>16204.4</v>
      </c>
      <c r="AL130" s="6">
        <f t="shared" si="20"/>
        <v>32969702</v>
      </c>
      <c r="AM130" s="6">
        <f t="shared" si="21"/>
        <v>25117116</v>
      </c>
      <c r="AN130" s="10">
        <f t="shared" si="22"/>
        <v>0.51757611540753434</v>
      </c>
      <c r="AO130" s="10">
        <f t="shared" si="23"/>
        <v>5.1427575256730897E-2</v>
      </c>
      <c r="AP130" s="10">
        <f t="shared" si="24"/>
        <v>1.2020093186075812E-4</v>
      </c>
      <c r="AQ130" s="10">
        <f t="shared" si="25"/>
        <v>0.24456252027668415</v>
      </c>
      <c r="AR130" s="10">
        <f t="shared" si="26"/>
        <v>0.1863136400517611</v>
      </c>
    </row>
    <row r="131" spans="1:44" x14ac:dyDescent="0.3">
      <c r="A131" t="s">
        <v>6</v>
      </c>
      <c r="B131" t="s">
        <v>178</v>
      </c>
      <c r="C131" t="s">
        <v>170</v>
      </c>
      <c r="D131" s="7">
        <v>2026</v>
      </c>
      <c r="E131" s="6">
        <v>0.47</v>
      </c>
      <c r="F131" s="6">
        <v>581.1</v>
      </c>
      <c r="G131" s="15">
        <v>343.5</v>
      </c>
      <c r="H131" s="15">
        <v>906</v>
      </c>
      <c r="I131" s="6">
        <v>123622530</v>
      </c>
      <c r="J131" s="6">
        <v>23882026</v>
      </c>
      <c r="K131" s="6">
        <v>2043.1</v>
      </c>
      <c r="L131" s="6">
        <v>85961.5</v>
      </c>
      <c r="M131" s="6">
        <v>0</v>
      </c>
      <c r="N131" s="6">
        <v>0</v>
      </c>
      <c r="O131" s="6">
        <v>60251316</v>
      </c>
      <c r="P131" s="6">
        <v>0</v>
      </c>
      <c r="Q131" s="6">
        <v>0</v>
      </c>
      <c r="R131" s="6">
        <v>400653.3</v>
      </c>
      <c r="S131" s="6">
        <v>5030907.5</v>
      </c>
      <c r="T131" s="6">
        <v>0</v>
      </c>
      <c r="U131" s="6">
        <v>224275.6</v>
      </c>
      <c r="V131" s="6">
        <v>0</v>
      </c>
      <c r="W131" s="6">
        <v>892796.3</v>
      </c>
      <c r="X131" s="6">
        <v>32942124</v>
      </c>
      <c r="Y131" s="6">
        <v>8265.9</v>
      </c>
      <c r="Z131" s="6">
        <v>302811.09999999998</v>
      </c>
      <c r="AA131" s="6">
        <v>0</v>
      </c>
      <c r="AB131" s="6">
        <v>3774928</v>
      </c>
      <c r="AC131" s="6">
        <v>19706444</v>
      </c>
      <c r="AD131" s="6">
        <v>0</v>
      </c>
      <c r="AE131" s="6">
        <f t="shared" ref="AE131:AE161" si="28">I131</f>
        <v>123622530</v>
      </c>
      <c r="AF131" s="6">
        <f t="shared" ref="AF131:AF161" si="29">N131</f>
        <v>0</v>
      </c>
      <c r="AG131" s="6">
        <f t="shared" si="27"/>
        <v>85961.5</v>
      </c>
      <c r="AH131" s="6">
        <f t="shared" ref="AH131:AH161" si="30">AE131-AF131-AG131</f>
        <v>123536568.5</v>
      </c>
      <c r="AI131" s="6">
        <f t="shared" ref="AI131:AI161" si="31">SUM(O131,P131)</f>
        <v>60251316</v>
      </c>
      <c r="AJ131" s="6">
        <f t="shared" ref="AJ131:AJ161" si="32">SUM(S131,T131,U131)</f>
        <v>5255183.0999999996</v>
      </c>
      <c r="AK131" s="6">
        <f t="shared" ref="AK131:AK161" si="33">Y131</f>
        <v>8265.9</v>
      </c>
      <c r="AL131" s="6">
        <f t="shared" ref="AL131:AL161" si="34">X131</f>
        <v>32942124</v>
      </c>
      <c r="AM131" s="6">
        <f t="shared" ref="AM131:AM161" si="35">SUM(K131,Q131,R131,V131,W131,Z131,AA131,AB131,AC131,AD131)</f>
        <v>25079675.800000001</v>
      </c>
      <c r="AN131" s="10">
        <f t="shared" ref="AN131:AN161" si="36">AI131/AH131</f>
        <v>0.48772049225246206</v>
      </c>
      <c r="AO131" s="10">
        <f t="shared" ref="AO131:AO161" si="37">AJ131/AH131</f>
        <v>4.253949388273643E-2</v>
      </c>
      <c r="AP131" s="10">
        <f t="shared" ref="AP131:AP161" si="38">AK131/AH131</f>
        <v>6.6910552076731832E-5</v>
      </c>
      <c r="AQ131" s="10">
        <f t="shared" ref="AQ131:AQ161" si="39">AL131/AH131</f>
        <v>0.26665888813319272</v>
      </c>
      <c r="AR131" s="10">
        <f t="shared" ref="AR131:AR161" si="40">AM131/AH131</f>
        <v>0.20301418522888631</v>
      </c>
    </row>
    <row r="132" spans="1:44" x14ac:dyDescent="0.3">
      <c r="A132" t="s">
        <v>6</v>
      </c>
      <c r="B132" t="s">
        <v>178</v>
      </c>
      <c r="C132" t="s">
        <v>170</v>
      </c>
      <c r="D132" s="7">
        <v>2028</v>
      </c>
      <c r="E132" s="6">
        <v>0.8</v>
      </c>
      <c r="F132" s="6">
        <v>213.5</v>
      </c>
      <c r="G132" s="15">
        <v>254</v>
      </c>
      <c r="H132" s="15">
        <v>673.7</v>
      </c>
      <c r="I132" s="6">
        <v>168447540</v>
      </c>
      <c r="J132" s="6">
        <v>101261460</v>
      </c>
      <c r="K132" s="6">
        <v>1940689.8</v>
      </c>
      <c r="L132" s="6">
        <v>68758</v>
      </c>
      <c r="M132" s="6">
        <v>0</v>
      </c>
      <c r="N132" s="6">
        <v>0</v>
      </c>
      <c r="O132" s="6">
        <v>30446100</v>
      </c>
      <c r="P132" s="6">
        <v>0</v>
      </c>
      <c r="Q132" s="6">
        <v>0</v>
      </c>
      <c r="R132" s="6">
        <v>689300</v>
      </c>
      <c r="S132" s="6">
        <v>2388547.2000000002</v>
      </c>
      <c r="T132" s="6">
        <v>0</v>
      </c>
      <c r="U132" s="6">
        <v>109226.4</v>
      </c>
      <c r="V132" s="6">
        <v>0</v>
      </c>
      <c r="W132" s="6">
        <v>864338.9</v>
      </c>
      <c r="X132" s="6">
        <v>30741350</v>
      </c>
      <c r="Y132" s="6">
        <v>3026.3</v>
      </c>
      <c r="Z132" s="6">
        <v>624042</v>
      </c>
      <c r="AA132" s="6">
        <v>0</v>
      </c>
      <c r="AB132" s="6">
        <v>22119188</v>
      </c>
      <c r="AC132" s="6">
        <v>78452970</v>
      </c>
      <c r="AD132" s="6">
        <v>0</v>
      </c>
      <c r="AE132" s="6">
        <f t="shared" si="28"/>
        <v>168447540</v>
      </c>
      <c r="AF132" s="6">
        <f t="shared" si="29"/>
        <v>0</v>
      </c>
      <c r="AG132" s="6">
        <f t="shared" ref="AG132:AG161" si="41">SUM(L132,M132)</f>
        <v>68758</v>
      </c>
      <c r="AH132" s="6">
        <f t="shared" si="30"/>
        <v>168378782</v>
      </c>
      <c r="AI132" s="6">
        <f t="shared" si="31"/>
        <v>30446100</v>
      </c>
      <c r="AJ132" s="6">
        <f t="shared" si="32"/>
        <v>2497773.6</v>
      </c>
      <c r="AK132" s="6">
        <f t="shared" si="33"/>
        <v>3026.3</v>
      </c>
      <c r="AL132" s="6">
        <f t="shared" si="34"/>
        <v>30741350</v>
      </c>
      <c r="AM132" s="6">
        <f t="shared" si="35"/>
        <v>104690528.7</v>
      </c>
      <c r="AN132" s="10">
        <f t="shared" si="36"/>
        <v>0.18081910106702162</v>
      </c>
      <c r="AO132" s="10">
        <f t="shared" si="37"/>
        <v>1.4834253878852741E-2</v>
      </c>
      <c r="AP132" s="10">
        <f t="shared" si="38"/>
        <v>1.7973167189200834E-5</v>
      </c>
      <c r="AQ132" s="10">
        <f t="shared" si="39"/>
        <v>0.18257258803546875</v>
      </c>
      <c r="AR132" s="10">
        <f t="shared" si="40"/>
        <v>0.62175606365889979</v>
      </c>
    </row>
    <row r="133" spans="1:44" x14ac:dyDescent="0.3">
      <c r="A133" t="s">
        <v>6</v>
      </c>
      <c r="B133" t="s">
        <v>178</v>
      </c>
      <c r="C133" t="s">
        <v>170</v>
      </c>
      <c r="D133" s="7">
        <v>2030</v>
      </c>
      <c r="E133" s="6">
        <v>0.87</v>
      </c>
      <c r="F133" s="6">
        <v>144.30000000000001</v>
      </c>
      <c r="G133" s="15">
        <v>230.2</v>
      </c>
      <c r="H133" s="15">
        <v>600.9</v>
      </c>
      <c r="I133" s="6">
        <v>209529500</v>
      </c>
      <c r="J133" s="6">
        <v>148369630</v>
      </c>
      <c r="K133" s="6">
        <v>2635608</v>
      </c>
      <c r="L133" s="6">
        <v>61614.5</v>
      </c>
      <c r="M133" s="6">
        <v>0</v>
      </c>
      <c r="N133" s="6">
        <v>0</v>
      </c>
      <c r="O133" s="6">
        <v>25987496</v>
      </c>
      <c r="P133" s="6">
        <v>0</v>
      </c>
      <c r="Q133" s="6">
        <v>0</v>
      </c>
      <c r="R133" s="6">
        <v>1190741.8</v>
      </c>
      <c r="S133" s="6">
        <v>1151604.6000000001</v>
      </c>
      <c r="T133" s="6">
        <v>0</v>
      </c>
      <c r="U133" s="6">
        <v>71483.199999999997</v>
      </c>
      <c r="V133" s="6">
        <v>0</v>
      </c>
      <c r="W133" s="6">
        <v>846102.6</v>
      </c>
      <c r="X133" s="6">
        <v>29770394</v>
      </c>
      <c r="Y133" s="6">
        <v>1202.5999999999999</v>
      </c>
      <c r="Z133" s="6">
        <v>634363</v>
      </c>
      <c r="AA133" s="6">
        <v>0</v>
      </c>
      <c r="AB133" s="6">
        <v>44115028</v>
      </c>
      <c r="AC133" s="6">
        <v>103063860</v>
      </c>
      <c r="AD133" s="6">
        <v>0</v>
      </c>
      <c r="AE133" s="6">
        <f t="shared" si="28"/>
        <v>209529500</v>
      </c>
      <c r="AF133" s="6">
        <f t="shared" si="29"/>
        <v>0</v>
      </c>
      <c r="AG133" s="6">
        <f t="shared" si="41"/>
        <v>61614.5</v>
      </c>
      <c r="AH133" s="6">
        <f t="shared" si="30"/>
        <v>209467885.5</v>
      </c>
      <c r="AI133" s="6">
        <f t="shared" si="31"/>
        <v>25987496</v>
      </c>
      <c r="AJ133" s="6">
        <f t="shared" si="32"/>
        <v>1223087.8</v>
      </c>
      <c r="AK133" s="6">
        <f t="shared" si="33"/>
        <v>1202.5999999999999</v>
      </c>
      <c r="AL133" s="6">
        <f t="shared" si="34"/>
        <v>29770394</v>
      </c>
      <c r="AM133" s="6">
        <f t="shared" si="35"/>
        <v>152485703.40000001</v>
      </c>
      <c r="AN133" s="10">
        <f t="shared" si="36"/>
        <v>0.12406434493749639</v>
      </c>
      <c r="AO133" s="10">
        <f t="shared" si="37"/>
        <v>5.8390229942909318E-3</v>
      </c>
      <c r="AP133" s="10">
        <f t="shared" si="38"/>
        <v>5.7412142063180366E-6</v>
      </c>
      <c r="AQ133" s="10">
        <f t="shared" si="39"/>
        <v>0.14212390567144959</v>
      </c>
      <c r="AR133" s="10">
        <f t="shared" si="40"/>
        <v>0.72796697706675428</v>
      </c>
    </row>
    <row r="134" spans="1:44" x14ac:dyDescent="0.3">
      <c r="A134" t="s">
        <v>6</v>
      </c>
      <c r="B134" t="s">
        <v>178</v>
      </c>
      <c r="C134" t="s">
        <v>170</v>
      </c>
      <c r="D134" s="7">
        <v>2035</v>
      </c>
      <c r="E134" s="6">
        <v>0.89</v>
      </c>
      <c r="F134" s="6">
        <v>125</v>
      </c>
      <c r="G134" s="15">
        <v>216.9</v>
      </c>
      <c r="H134" s="15">
        <v>553.9</v>
      </c>
      <c r="I134" s="6">
        <v>225501140</v>
      </c>
      <c r="J134" s="6">
        <v>165470660</v>
      </c>
      <c r="K134" s="6">
        <v>3765831.2</v>
      </c>
      <c r="L134" s="6">
        <v>57546.3</v>
      </c>
      <c r="M134" s="6">
        <v>0</v>
      </c>
      <c r="N134" s="6">
        <v>0</v>
      </c>
      <c r="O134" s="6">
        <v>24178272</v>
      </c>
      <c r="P134" s="6">
        <v>0</v>
      </c>
      <c r="Q134" s="6">
        <v>0</v>
      </c>
      <c r="R134" s="6">
        <v>1838093</v>
      </c>
      <c r="S134" s="6">
        <v>898365.6</v>
      </c>
      <c r="T134" s="6">
        <v>0</v>
      </c>
      <c r="U134" s="6">
        <v>242212.1</v>
      </c>
      <c r="V134" s="6">
        <v>0</v>
      </c>
      <c r="W134" s="6">
        <v>834144.2</v>
      </c>
      <c r="X134" s="6">
        <v>29378692</v>
      </c>
      <c r="Y134" s="6">
        <v>355.6</v>
      </c>
      <c r="Z134" s="6">
        <v>675058.7</v>
      </c>
      <c r="AA134" s="6">
        <v>0</v>
      </c>
      <c r="AB134" s="6">
        <v>42960108</v>
      </c>
      <c r="AC134" s="6">
        <v>120672460</v>
      </c>
      <c r="AD134" s="6">
        <v>0</v>
      </c>
      <c r="AE134" s="6">
        <f t="shared" si="28"/>
        <v>225501140</v>
      </c>
      <c r="AF134" s="6">
        <f t="shared" si="29"/>
        <v>0</v>
      </c>
      <c r="AG134" s="6">
        <f t="shared" si="41"/>
        <v>57546.3</v>
      </c>
      <c r="AH134" s="6">
        <f t="shared" si="30"/>
        <v>225443593.69999999</v>
      </c>
      <c r="AI134" s="6">
        <f t="shared" si="31"/>
        <v>24178272</v>
      </c>
      <c r="AJ134" s="6">
        <f t="shared" si="32"/>
        <v>1140577.7</v>
      </c>
      <c r="AK134" s="6">
        <f t="shared" si="33"/>
        <v>355.6</v>
      </c>
      <c r="AL134" s="6">
        <f t="shared" si="34"/>
        <v>29378692</v>
      </c>
      <c r="AM134" s="6">
        <f t="shared" si="35"/>
        <v>170745695.09999999</v>
      </c>
      <c r="AN134" s="10">
        <f t="shared" si="36"/>
        <v>0.10724754517608633</v>
      </c>
      <c r="AO134" s="10">
        <f t="shared" si="37"/>
        <v>5.0592597522100269E-3</v>
      </c>
      <c r="AP134" s="10">
        <f t="shared" si="38"/>
        <v>1.5773346856473573E-6</v>
      </c>
      <c r="AQ134" s="10">
        <f t="shared" si="39"/>
        <v>0.13031504474283051</v>
      </c>
      <c r="AR134" s="10">
        <f t="shared" si="40"/>
        <v>0.75737656722777835</v>
      </c>
    </row>
    <row r="135" spans="1:44" x14ac:dyDescent="0.3">
      <c r="A135" t="s">
        <v>6</v>
      </c>
      <c r="B135" t="s">
        <v>178</v>
      </c>
      <c r="C135" t="s">
        <v>170</v>
      </c>
      <c r="D135" s="7">
        <v>2040</v>
      </c>
      <c r="E135" s="6">
        <v>0.93</v>
      </c>
      <c r="F135" s="6">
        <v>79.5</v>
      </c>
      <c r="G135" s="15">
        <v>190.7</v>
      </c>
      <c r="H135" s="15">
        <v>475.2</v>
      </c>
      <c r="I135" s="6">
        <v>245270990</v>
      </c>
      <c r="J135" s="6">
        <v>190868110</v>
      </c>
      <c r="K135" s="6">
        <v>6158958.5</v>
      </c>
      <c r="L135" s="6">
        <v>51129.599999999999</v>
      </c>
      <c r="M135" s="6">
        <v>0</v>
      </c>
      <c r="N135" s="6">
        <v>0</v>
      </c>
      <c r="O135" s="6">
        <v>16010968</v>
      </c>
      <c r="P135" s="6">
        <v>0</v>
      </c>
      <c r="Q135" s="6">
        <v>0</v>
      </c>
      <c r="R135" s="6">
        <v>2235123.7999999998</v>
      </c>
      <c r="S135" s="6">
        <v>1272938.2</v>
      </c>
      <c r="T135" s="6">
        <v>0</v>
      </c>
      <c r="U135" s="6">
        <v>680751.4</v>
      </c>
      <c r="V135" s="6">
        <v>0</v>
      </c>
      <c r="W135" s="6">
        <v>816728.8</v>
      </c>
      <c r="X135" s="6">
        <v>28683260</v>
      </c>
      <c r="Y135" s="6">
        <v>266.2</v>
      </c>
      <c r="Z135" s="6">
        <v>727878.2</v>
      </c>
      <c r="AA135" s="6">
        <v>0</v>
      </c>
      <c r="AB135" s="6">
        <v>42273996</v>
      </c>
      <c r="AC135" s="6">
        <v>146358990</v>
      </c>
      <c r="AD135" s="6">
        <v>0</v>
      </c>
      <c r="AE135" s="6">
        <f t="shared" si="28"/>
        <v>245270990</v>
      </c>
      <c r="AF135" s="6">
        <f t="shared" si="29"/>
        <v>0</v>
      </c>
      <c r="AG135" s="6">
        <f t="shared" si="41"/>
        <v>51129.599999999999</v>
      </c>
      <c r="AH135" s="6">
        <f t="shared" si="30"/>
        <v>245219860.40000001</v>
      </c>
      <c r="AI135" s="6">
        <f t="shared" si="31"/>
        <v>16010968</v>
      </c>
      <c r="AJ135" s="6">
        <f t="shared" si="32"/>
        <v>1953689.6000000001</v>
      </c>
      <c r="AK135" s="6">
        <f t="shared" si="33"/>
        <v>266.2</v>
      </c>
      <c r="AL135" s="6">
        <f t="shared" si="34"/>
        <v>28683260</v>
      </c>
      <c r="AM135" s="6">
        <f t="shared" si="35"/>
        <v>198571675.30000001</v>
      </c>
      <c r="AN135" s="10">
        <f t="shared" si="36"/>
        <v>6.529229718132569E-2</v>
      </c>
      <c r="AO135" s="10">
        <f t="shared" si="37"/>
        <v>7.9670936799864523E-3</v>
      </c>
      <c r="AP135" s="10">
        <f t="shared" si="38"/>
        <v>1.0855564454109769E-6</v>
      </c>
      <c r="AQ135" s="10">
        <f t="shared" si="39"/>
        <v>0.11696956336738865</v>
      </c>
      <c r="AR135" s="10">
        <f t="shared" si="40"/>
        <v>0.8097699549134888</v>
      </c>
    </row>
    <row r="136" spans="1:44" x14ac:dyDescent="0.3">
      <c r="A136" t="s">
        <v>6</v>
      </c>
      <c r="B136" t="s">
        <v>178</v>
      </c>
      <c r="C136" t="s">
        <v>170</v>
      </c>
      <c r="D136" s="7">
        <v>2045</v>
      </c>
      <c r="E136" s="6">
        <v>0.95</v>
      </c>
      <c r="F136" s="6">
        <v>47.4</v>
      </c>
      <c r="G136" s="15">
        <v>118.4</v>
      </c>
      <c r="H136" s="15">
        <v>437.6</v>
      </c>
      <c r="I136" s="6">
        <v>289321020</v>
      </c>
      <c r="J136" s="6">
        <v>249755600</v>
      </c>
      <c r="K136" s="6">
        <v>12007489</v>
      </c>
      <c r="L136" s="6">
        <v>47373.1</v>
      </c>
      <c r="M136" s="6">
        <v>0</v>
      </c>
      <c r="N136" s="6">
        <v>0</v>
      </c>
      <c r="O136" s="6">
        <v>9626480</v>
      </c>
      <c r="P136" s="6">
        <v>0</v>
      </c>
      <c r="Q136" s="6">
        <v>0</v>
      </c>
      <c r="R136" s="6">
        <v>2701126.5</v>
      </c>
      <c r="S136" s="6">
        <v>1998549.2</v>
      </c>
      <c r="T136" s="6">
        <v>0</v>
      </c>
      <c r="U136" s="6">
        <v>2067612.4</v>
      </c>
      <c r="V136" s="6">
        <v>0</v>
      </c>
      <c r="W136" s="6">
        <v>795264.8</v>
      </c>
      <c r="X136" s="6">
        <v>12331250</v>
      </c>
      <c r="Y136" s="6">
        <v>0</v>
      </c>
      <c r="Z136" s="6">
        <v>691409.3</v>
      </c>
      <c r="AA136" s="6">
        <v>0</v>
      </c>
      <c r="AB136" s="6">
        <v>52652760</v>
      </c>
      <c r="AC136" s="6">
        <v>194401710</v>
      </c>
      <c r="AD136" s="6">
        <v>0</v>
      </c>
      <c r="AE136" s="6">
        <f t="shared" si="28"/>
        <v>289321020</v>
      </c>
      <c r="AF136" s="6">
        <f t="shared" si="29"/>
        <v>0</v>
      </c>
      <c r="AG136" s="6">
        <f t="shared" si="41"/>
        <v>47373.1</v>
      </c>
      <c r="AH136" s="6">
        <f t="shared" si="30"/>
        <v>289273646.89999998</v>
      </c>
      <c r="AI136" s="6">
        <f t="shared" si="31"/>
        <v>9626480</v>
      </c>
      <c r="AJ136" s="6">
        <f t="shared" si="32"/>
        <v>4066161.5999999996</v>
      </c>
      <c r="AK136" s="6">
        <f t="shared" si="33"/>
        <v>0</v>
      </c>
      <c r="AL136" s="6">
        <f t="shared" si="34"/>
        <v>12331250</v>
      </c>
      <c r="AM136" s="6">
        <f t="shared" si="35"/>
        <v>263249759.59999999</v>
      </c>
      <c r="AN136" s="10">
        <f t="shared" si="36"/>
        <v>3.3278109164668605E-2</v>
      </c>
      <c r="AO136" s="10">
        <f t="shared" si="37"/>
        <v>1.4056453616065639E-2</v>
      </c>
      <c r="AP136" s="10">
        <f t="shared" si="38"/>
        <v>0</v>
      </c>
      <c r="AQ136" s="10">
        <f t="shared" si="39"/>
        <v>4.2628321425569861E-2</v>
      </c>
      <c r="AR136" s="10">
        <f t="shared" si="40"/>
        <v>0.91003713065851355</v>
      </c>
    </row>
    <row r="137" spans="1:44" x14ac:dyDescent="0.3">
      <c r="A137" t="s">
        <v>6</v>
      </c>
      <c r="B137" t="s">
        <v>178</v>
      </c>
      <c r="C137" t="s">
        <v>170</v>
      </c>
      <c r="D137" s="7">
        <v>2050</v>
      </c>
      <c r="E137" s="6">
        <v>0.97</v>
      </c>
      <c r="F137" s="6">
        <v>27</v>
      </c>
      <c r="G137" s="15">
        <v>104.4</v>
      </c>
      <c r="H137" s="15">
        <v>408.9</v>
      </c>
      <c r="I137" s="6">
        <v>289380580</v>
      </c>
      <c r="J137" s="6">
        <v>261246940</v>
      </c>
      <c r="K137" s="6">
        <v>17132466</v>
      </c>
      <c r="L137" s="6">
        <v>45656.1</v>
      </c>
      <c r="M137" s="6">
        <v>0</v>
      </c>
      <c r="N137" s="6">
        <v>0</v>
      </c>
      <c r="O137" s="6">
        <v>3218853.2</v>
      </c>
      <c r="P137" s="6">
        <v>0</v>
      </c>
      <c r="Q137" s="6">
        <v>0</v>
      </c>
      <c r="R137" s="6">
        <v>3345906.8</v>
      </c>
      <c r="S137" s="6">
        <v>2431231.7999999998</v>
      </c>
      <c r="T137" s="6">
        <v>0</v>
      </c>
      <c r="U137" s="6">
        <v>3801138.8</v>
      </c>
      <c r="V137" s="6">
        <v>0</v>
      </c>
      <c r="W137" s="6">
        <v>784390.2</v>
      </c>
      <c r="X137" s="6">
        <v>0</v>
      </c>
      <c r="Y137" s="6">
        <v>0</v>
      </c>
      <c r="Z137" s="6">
        <v>719899</v>
      </c>
      <c r="AA137" s="6">
        <v>0</v>
      </c>
      <c r="AB137" s="6">
        <v>52578172</v>
      </c>
      <c r="AC137" s="6">
        <v>205322860</v>
      </c>
      <c r="AD137" s="6">
        <v>0</v>
      </c>
      <c r="AE137" s="6">
        <f t="shared" si="28"/>
        <v>289380580</v>
      </c>
      <c r="AF137" s="6">
        <f t="shared" si="29"/>
        <v>0</v>
      </c>
      <c r="AG137" s="6">
        <f t="shared" si="41"/>
        <v>45656.1</v>
      </c>
      <c r="AH137" s="6">
        <f t="shared" si="30"/>
        <v>289334923.89999998</v>
      </c>
      <c r="AI137" s="6">
        <f t="shared" si="31"/>
        <v>3218853.2</v>
      </c>
      <c r="AJ137" s="6">
        <f t="shared" si="32"/>
        <v>6232370.5999999996</v>
      </c>
      <c r="AK137" s="6">
        <f t="shared" si="33"/>
        <v>0</v>
      </c>
      <c r="AL137" s="6">
        <f t="shared" si="34"/>
        <v>0</v>
      </c>
      <c r="AM137" s="6">
        <f t="shared" si="35"/>
        <v>279883694</v>
      </c>
      <c r="AN137" s="10">
        <f t="shared" si="36"/>
        <v>1.1125007505531897E-2</v>
      </c>
      <c r="AO137" s="10">
        <f t="shared" si="37"/>
        <v>2.1540332967734076E-2</v>
      </c>
      <c r="AP137" s="10">
        <f t="shared" si="38"/>
        <v>0</v>
      </c>
      <c r="AQ137" s="10">
        <f t="shared" si="39"/>
        <v>0</v>
      </c>
      <c r="AR137" s="10">
        <f t="shared" si="40"/>
        <v>0.96733463844390066</v>
      </c>
    </row>
    <row r="138" spans="1:44" x14ac:dyDescent="0.3">
      <c r="A138" t="s">
        <v>6</v>
      </c>
      <c r="B138" t="s">
        <v>178</v>
      </c>
      <c r="C138" t="s">
        <v>171</v>
      </c>
      <c r="D138" s="7">
        <v>2024</v>
      </c>
      <c r="E138" s="6">
        <v>0.45</v>
      </c>
      <c r="F138" s="6">
        <v>389.4</v>
      </c>
      <c r="G138" s="15">
        <v>379.9</v>
      </c>
      <c r="H138" s="15">
        <v>876.5</v>
      </c>
      <c r="I138" s="6">
        <v>274291500</v>
      </c>
      <c r="J138" s="6">
        <v>10810469</v>
      </c>
      <c r="K138" s="6">
        <v>264692.59999999998</v>
      </c>
      <c r="L138" s="6">
        <v>2102373.7999999998</v>
      </c>
      <c r="M138" s="6">
        <v>0</v>
      </c>
      <c r="N138" s="6">
        <v>0</v>
      </c>
      <c r="O138" s="6">
        <v>46132404</v>
      </c>
      <c r="P138" s="6">
        <v>0</v>
      </c>
      <c r="Q138" s="6">
        <v>0</v>
      </c>
      <c r="R138" s="6">
        <v>509204.1</v>
      </c>
      <c r="S138" s="6">
        <v>105337350</v>
      </c>
      <c r="T138" s="6">
        <v>0</v>
      </c>
      <c r="U138" s="6">
        <v>651515.6</v>
      </c>
      <c r="V138" s="6">
        <v>0</v>
      </c>
      <c r="W138" s="6">
        <v>13191630</v>
      </c>
      <c r="X138" s="6">
        <v>94504056</v>
      </c>
      <c r="Y138" s="6">
        <v>92624.4</v>
      </c>
      <c r="Z138" s="6">
        <v>1204377.2</v>
      </c>
      <c r="AA138" s="6">
        <v>0</v>
      </c>
      <c r="AB138" s="6">
        <v>10301265</v>
      </c>
      <c r="AC138" s="6">
        <v>0</v>
      </c>
      <c r="AD138" s="6">
        <v>0</v>
      </c>
      <c r="AE138" s="6">
        <f t="shared" si="28"/>
        <v>274291500</v>
      </c>
      <c r="AF138" s="6">
        <f t="shared" si="29"/>
        <v>0</v>
      </c>
      <c r="AG138" s="6">
        <f t="shared" si="41"/>
        <v>2102373.7999999998</v>
      </c>
      <c r="AH138" s="6">
        <f t="shared" si="30"/>
        <v>272189126.19999999</v>
      </c>
      <c r="AI138" s="6">
        <f t="shared" si="31"/>
        <v>46132404</v>
      </c>
      <c r="AJ138" s="6">
        <f t="shared" si="32"/>
        <v>105988865.59999999</v>
      </c>
      <c r="AK138" s="6">
        <f t="shared" si="33"/>
        <v>92624.4</v>
      </c>
      <c r="AL138" s="6">
        <f t="shared" si="34"/>
        <v>94504056</v>
      </c>
      <c r="AM138" s="6">
        <f t="shared" si="35"/>
        <v>25471168.899999999</v>
      </c>
      <c r="AN138" s="10">
        <f t="shared" si="36"/>
        <v>0.1694865795854853</v>
      </c>
      <c r="AO138" s="10">
        <f t="shared" si="37"/>
        <v>0.38939419468991265</v>
      </c>
      <c r="AP138" s="10">
        <f t="shared" si="38"/>
        <v>3.4029426999203908E-4</v>
      </c>
      <c r="AQ138" s="10">
        <f t="shared" si="39"/>
        <v>0.347199968343188</v>
      </c>
      <c r="AR138" s="10">
        <f t="shared" si="40"/>
        <v>9.3578936291834863E-2</v>
      </c>
    </row>
    <row r="139" spans="1:44" x14ac:dyDescent="0.3">
      <c r="A139" t="s">
        <v>6</v>
      </c>
      <c r="B139" t="s">
        <v>178</v>
      </c>
      <c r="C139" t="s">
        <v>171</v>
      </c>
      <c r="D139" s="7">
        <v>2026</v>
      </c>
      <c r="E139" s="6">
        <v>0.51</v>
      </c>
      <c r="F139" s="6">
        <v>350.3</v>
      </c>
      <c r="G139" s="15">
        <v>338.2</v>
      </c>
      <c r="H139" s="15">
        <v>836.5</v>
      </c>
      <c r="I139" s="6">
        <v>279705760</v>
      </c>
      <c r="J139" s="6">
        <v>30549638</v>
      </c>
      <c r="K139" s="6">
        <v>707340</v>
      </c>
      <c r="L139" s="6">
        <v>2101197.5</v>
      </c>
      <c r="M139" s="6">
        <v>0</v>
      </c>
      <c r="N139" s="6">
        <v>0</v>
      </c>
      <c r="O139" s="6">
        <v>44906640</v>
      </c>
      <c r="P139" s="6">
        <v>0</v>
      </c>
      <c r="Q139" s="6">
        <v>0</v>
      </c>
      <c r="R139" s="6">
        <v>873239.7</v>
      </c>
      <c r="S139" s="6">
        <v>91272000</v>
      </c>
      <c r="T139" s="6">
        <v>0</v>
      </c>
      <c r="U139" s="6">
        <v>500657.2</v>
      </c>
      <c r="V139" s="6">
        <v>0</v>
      </c>
      <c r="W139" s="6">
        <v>13560867</v>
      </c>
      <c r="X139" s="6">
        <v>94376100</v>
      </c>
      <c r="Y139" s="6">
        <v>46782.1</v>
      </c>
      <c r="Z139" s="6">
        <v>1684559.2</v>
      </c>
      <c r="AA139" s="6">
        <v>0</v>
      </c>
      <c r="AB139" s="6">
        <v>29676396</v>
      </c>
      <c r="AC139" s="6">
        <v>0</v>
      </c>
      <c r="AD139" s="6">
        <v>0</v>
      </c>
      <c r="AE139" s="6">
        <f t="shared" si="28"/>
        <v>279705760</v>
      </c>
      <c r="AF139" s="6">
        <f t="shared" si="29"/>
        <v>0</v>
      </c>
      <c r="AG139" s="6">
        <f t="shared" si="41"/>
        <v>2101197.5</v>
      </c>
      <c r="AH139" s="6">
        <f t="shared" si="30"/>
        <v>277604562.5</v>
      </c>
      <c r="AI139" s="6">
        <f t="shared" si="31"/>
        <v>44906640</v>
      </c>
      <c r="AJ139" s="6">
        <f t="shared" si="32"/>
        <v>91772657.200000003</v>
      </c>
      <c r="AK139" s="6">
        <f t="shared" si="33"/>
        <v>46782.1</v>
      </c>
      <c r="AL139" s="6">
        <f t="shared" si="34"/>
        <v>94376100</v>
      </c>
      <c r="AM139" s="6">
        <f t="shared" si="35"/>
        <v>46502401.899999999</v>
      </c>
      <c r="AN139" s="10">
        <f t="shared" si="36"/>
        <v>0.16176477647048759</v>
      </c>
      <c r="AO139" s="10">
        <f t="shared" si="37"/>
        <v>0.33058771215260557</v>
      </c>
      <c r="AP139" s="10">
        <f t="shared" si="38"/>
        <v>1.6852064526136885E-4</v>
      </c>
      <c r="AQ139" s="10">
        <f t="shared" si="39"/>
        <v>0.33996595426993387</v>
      </c>
      <c r="AR139" s="10">
        <f t="shared" si="40"/>
        <v>0.16751310382371687</v>
      </c>
    </row>
    <row r="140" spans="1:44" x14ac:dyDescent="0.3">
      <c r="A140" t="s">
        <v>6</v>
      </c>
      <c r="B140" t="s">
        <v>178</v>
      </c>
      <c r="C140" t="s">
        <v>171</v>
      </c>
      <c r="D140" s="7">
        <v>2028</v>
      </c>
      <c r="E140" s="6">
        <v>0.6</v>
      </c>
      <c r="F140" s="6">
        <v>273.5</v>
      </c>
      <c r="G140" s="15">
        <v>249.4</v>
      </c>
      <c r="H140" s="15">
        <v>720.3</v>
      </c>
      <c r="I140" s="6">
        <v>286863500</v>
      </c>
      <c r="J140" s="6">
        <v>59644730</v>
      </c>
      <c r="K140" s="6">
        <v>1337531.6000000001</v>
      </c>
      <c r="L140" s="6">
        <v>2068471.2</v>
      </c>
      <c r="M140" s="6">
        <v>0</v>
      </c>
      <c r="N140" s="6">
        <v>0</v>
      </c>
      <c r="O140" s="6">
        <v>32254874</v>
      </c>
      <c r="P140" s="6">
        <v>0</v>
      </c>
      <c r="Q140" s="6">
        <v>0</v>
      </c>
      <c r="R140" s="6">
        <v>1425400.4</v>
      </c>
      <c r="S140" s="6">
        <v>81419620</v>
      </c>
      <c r="T140" s="6">
        <v>0</v>
      </c>
      <c r="U140" s="6">
        <v>460412.6</v>
      </c>
      <c r="V140" s="6">
        <v>0</v>
      </c>
      <c r="W140" s="6">
        <v>13691082</v>
      </c>
      <c r="X140" s="6">
        <v>93223140</v>
      </c>
      <c r="Y140" s="6">
        <v>47975.5</v>
      </c>
      <c r="Z140" s="6">
        <v>2715648.8</v>
      </c>
      <c r="AA140" s="6">
        <v>0</v>
      </c>
      <c r="AB140" s="6">
        <v>58219336</v>
      </c>
      <c r="AC140" s="6">
        <v>0</v>
      </c>
      <c r="AD140" s="6">
        <v>0</v>
      </c>
      <c r="AE140" s="6">
        <f t="shared" si="28"/>
        <v>286863500</v>
      </c>
      <c r="AF140" s="6">
        <f t="shared" si="29"/>
        <v>0</v>
      </c>
      <c r="AG140" s="6">
        <f t="shared" si="41"/>
        <v>2068471.2</v>
      </c>
      <c r="AH140" s="6">
        <f t="shared" si="30"/>
        <v>284795028.80000001</v>
      </c>
      <c r="AI140" s="6">
        <f t="shared" si="31"/>
        <v>32254874</v>
      </c>
      <c r="AJ140" s="6">
        <f t="shared" si="32"/>
        <v>81880032.599999994</v>
      </c>
      <c r="AK140" s="6">
        <f t="shared" si="33"/>
        <v>47975.5</v>
      </c>
      <c r="AL140" s="6">
        <f t="shared" si="34"/>
        <v>93223140</v>
      </c>
      <c r="AM140" s="6">
        <f t="shared" si="35"/>
        <v>77388998.799999997</v>
      </c>
      <c r="AN140" s="10">
        <f t="shared" si="36"/>
        <v>0.11325645021230792</v>
      </c>
      <c r="AO140" s="10">
        <f t="shared" si="37"/>
        <v>0.28750513288453855</v>
      </c>
      <c r="AP140" s="10">
        <f t="shared" si="38"/>
        <v>1.684562409749478E-4</v>
      </c>
      <c r="AQ140" s="10">
        <f t="shared" si="39"/>
        <v>0.32733415464729487</v>
      </c>
      <c r="AR140" s="10">
        <f t="shared" si="40"/>
        <v>0.27173577827563539</v>
      </c>
    </row>
    <row r="141" spans="1:44" x14ac:dyDescent="0.3">
      <c r="A141" t="s">
        <v>6</v>
      </c>
      <c r="B141" t="s">
        <v>178</v>
      </c>
      <c r="C141" t="s">
        <v>171</v>
      </c>
      <c r="D141" s="7">
        <v>2030</v>
      </c>
      <c r="E141" s="6">
        <v>0.64</v>
      </c>
      <c r="F141" s="6">
        <v>248.8</v>
      </c>
      <c r="G141" s="15">
        <v>342</v>
      </c>
      <c r="H141" s="15">
        <v>643.6</v>
      </c>
      <c r="I141" s="6">
        <v>275096770</v>
      </c>
      <c r="J141" s="6">
        <v>63651136</v>
      </c>
      <c r="K141" s="6">
        <v>2727684.2</v>
      </c>
      <c r="L141" s="6">
        <v>1941980.4</v>
      </c>
      <c r="M141" s="6">
        <v>0</v>
      </c>
      <c r="N141" s="6">
        <v>0</v>
      </c>
      <c r="O141" s="6">
        <v>28469308</v>
      </c>
      <c r="P141" s="6">
        <v>0</v>
      </c>
      <c r="Q141" s="6">
        <v>0</v>
      </c>
      <c r="R141" s="6">
        <v>2421235</v>
      </c>
      <c r="S141" s="6">
        <v>70382310</v>
      </c>
      <c r="T141" s="6">
        <v>0</v>
      </c>
      <c r="U141" s="6">
        <v>538551.80000000005</v>
      </c>
      <c r="V141" s="6">
        <v>0</v>
      </c>
      <c r="W141" s="6">
        <v>13344246</v>
      </c>
      <c r="X141" s="6">
        <v>90937850</v>
      </c>
      <c r="Y141" s="6">
        <v>49276.7</v>
      </c>
      <c r="Z141" s="6">
        <v>3054416.2</v>
      </c>
      <c r="AA141" s="6">
        <v>0</v>
      </c>
      <c r="AB141" s="6">
        <v>61229900</v>
      </c>
      <c r="AC141" s="6">
        <v>0</v>
      </c>
      <c r="AD141" s="6">
        <v>0</v>
      </c>
      <c r="AE141" s="6">
        <f t="shared" si="28"/>
        <v>275096770</v>
      </c>
      <c r="AF141" s="6">
        <f t="shared" si="29"/>
        <v>0</v>
      </c>
      <c r="AG141" s="6">
        <f t="shared" si="41"/>
        <v>1941980.4</v>
      </c>
      <c r="AH141" s="6">
        <f t="shared" si="30"/>
        <v>273154789.60000002</v>
      </c>
      <c r="AI141" s="6">
        <f t="shared" si="31"/>
        <v>28469308</v>
      </c>
      <c r="AJ141" s="6">
        <f t="shared" si="32"/>
        <v>70920861.799999997</v>
      </c>
      <c r="AK141" s="6">
        <f t="shared" si="33"/>
        <v>49276.7</v>
      </c>
      <c r="AL141" s="6">
        <f t="shared" si="34"/>
        <v>90937850</v>
      </c>
      <c r="AM141" s="6">
        <f t="shared" si="35"/>
        <v>82777481.400000006</v>
      </c>
      <c r="AN141" s="10">
        <f t="shared" si="36"/>
        <v>0.10422408496548653</v>
      </c>
      <c r="AO141" s="10">
        <f t="shared" si="37"/>
        <v>0.25963616418315216</v>
      </c>
      <c r="AP141" s="10">
        <f t="shared" si="38"/>
        <v>1.8039844760606017E-4</v>
      </c>
      <c r="AQ141" s="10">
        <f t="shared" si="39"/>
        <v>0.3329169154718713</v>
      </c>
      <c r="AR141" s="10">
        <f t="shared" si="40"/>
        <v>0.303042394099027</v>
      </c>
    </row>
    <row r="142" spans="1:44" x14ac:dyDescent="0.3">
      <c r="A142" t="s">
        <v>6</v>
      </c>
      <c r="B142" t="s">
        <v>178</v>
      </c>
      <c r="C142" t="s">
        <v>171</v>
      </c>
      <c r="D142" s="7">
        <v>2035</v>
      </c>
      <c r="E142" s="6">
        <v>0.73</v>
      </c>
      <c r="F142" s="6">
        <v>190</v>
      </c>
      <c r="G142" s="15">
        <v>405.5</v>
      </c>
      <c r="H142" s="15">
        <v>585.1</v>
      </c>
      <c r="I142" s="6">
        <v>309649150</v>
      </c>
      <c r="J142" s="6">
        <v>103227910</v>
      </c>
      <c r="K142" s="6">
        <v>16279430</v>
      </c>
      <c r="L142" s="6">
        <v>1812368.8</v>
      </c>
      <c r="M142" s="6">
        <v>0</v>
      </c>
      <c r="N142" s="6">
        <v>0</v>
      </c>
      <c r="O142" s="6">
        <v>26762894</v>
      </c>
      <c r="P142" s="6">
        <v>0</v>
      </c>
      <c r="Q142" s="6">
        <v>0</v>
      </c>
      <c r="R142" s="6">
        <v>3867365.5</v>
      </c>
      <c r="S142" s="6">
        <v>55705760</v>
      </c>
      <c r="T142" s="6">
        <v>0</v>
      </c>
      <c r="U142" s="6">
        <v>405532.7</v>
      </c>
      <c r="V142" s="6">
        <v>0</v>
      </c>
      <c r="W142" s="6">
        <v>12978094</v>
      </c>
      <c r="X142" s="6">
        <v>89427300</v>
      </c>
      <c r="Y142" s="6">
        <v>1518.9</v>
      </c>
      <c r="Z142" s="6">
        <v>3048334.2</v>
      </c>
      <c r="AA142" s="6">
        <v>0</v>
      </c>
      <c r="AB142" s="6">
        <v>99360550</v>
      </c>
      <c r="AC142" s="6">
        <v>0</v>
      </c>
      <c r="AD142" s="6">
        <v>0</v>
      </c>
      <c r="AE142" s="6">
        <f t="shared" si="28"/>
        <v>309649150</v>
      </c>
      <c r="AF142" s="6">
        <f t="shared" si="29"/>
        <v>0</v>
      </c>
      <c r="AG142" s="6">
        <f t="shared" si="41"/>
        <v>1812368.8</v>
      </c>
      <c r="AH142" s="6">
        <f t="shared" si="30"/>
        <v>307836781.19999999</v>
      </c>
      <c r="AI142" s="6">
        <f t="shared" si="31"/>
        <v>26762894</v>
      </c>
      <c r="AJ142" s="6">
        <f t="shared" si="32"/>
        <v>56111292.700000003</v>
      </c>
      <c r="AK142" s="6">
        <f t="shared" si="33"/>
        <v>1518.9</v>
      </c>
      <c r="AL142" s="6">
        <f t="shared" si="34"/>
        <v>89427300</v>
      </c>
      <c r="AM142" s="6">
        <f t="shared" si="35"/>
        <v>135533773.69999999</v>
      </c>
      <c r="AN142" s="10">
        <f t="shared" si="36"/>
        <v>8.6938584452688525E-2</v>
      </c>
      <c r="AO142" s="10">
        <f t="shared" si="37"/>
        <v>0.18227611554820924</v>
      </c>
      <c r="AP142" s="10">
        <f t="shared" si="38"/>
        <v>4.934108244242518E-6</v>
      </c>
      <c r="AQ142" s="10">
        <f t="shared" si="39"/>
        <v>0.29050232285887739</v>
      </c>
      <c r="AR142" s="10">
        <f t="shared" si="40"/>
        <v>0.44027803685987865</v>
      </c>
    </row>
    <row r="143" spans="1:44" x14ac:dyDescent="0.3">
      <c r="A143" t="s">
        <v>6</v>
      </c>
      <c r="B143" t="s">
        <v>178</v>
      </c>
      <c r="C143" t="s">
        <v>171</v>
      </c>
      <c r="D143" s="7">
        <v>2040</v>
      </c>
      <c r="E143" s="6">
        <v>0.78</v>
      </c>
      <c r="F143" s="6">
        <v>147.69999999999999</v>
      </c>
      <c r="G143" s="15">
        <v>511</v>
      </c>
      <c r="H143" s="15">
        <v>526.79999999999995</v>
      </c>
      <c r="I143" s="6">
        <v>367670500</v>
      </c>
      <c r="J143" s="6">
        <v>149024690</v>
      </c>
      <c r="K143" s="6">
        <v>32000820</v>
      </c>
      <c r="L143" s="6">
        <v>1710221</v>
      </c>
      <c r="M143" s="6">
        <v>0</v>
      </c>
      <c r="N143" s="6">
        <v>0</v>
      </c>
      <c r="O143" s="6">
        <v>21109968</v>
      </c>
      <c r="P143" s="6">
        <v>0</v>
      </c>
      <c r="Q143" s="6">
        <v>0</v>
      </c>
      <c r="R143" s="6">
        <v>4666882</v>
      </c>
      <c r="S143" s="6">
        <v>59179276</v>
      </c>
      <c r="T143" s="6">
        <v>0</v>
      </c>
      <c r="U143" s="6">
        <v>472848.2</v>
      </c>
      <c r="V143" s="6">
        <v>0</v>
      </c>
      <c r="W143" s="6">
        <v>12615661</v>
      </c>
      <c r="X143" s="6">
        <v>88116910</v>
      </c>
      <c r="Y143" s="6">
        <v>1649.3</v>
      </c>
      <c r="Z143" s="6">
        <v>3438444.8</v>
      </c>
      <c r="AA143" s="6">
        <v>0</v>
      </c>
      <c r="AB143" s="6">
        <v>144357810</v>
      </c>
      <c r="AC143" s="6">
        <v>0</v>
      </c>
      <c r="AD143" s="6">
        <v>0</v>
      </c>
      <c r="AE143" s="6">
        <f t="shared" si="28"/>
        <v>367670500</v>
      </c>
      <c r="AF143" s="6">
        <f t="shared" si="29"/>
        <v>0</v>
      </c>
      <c r="AG143" s="6">
        <f t="shared" si="41"/>
        <v>1710221</v>
      </c>
      <c r="AH143" s="6">
        <f t="shared" si="30"/>
        <v>365960279</v>
      </c>
      <c r="AI143" s="6">
        <f t="shared" si="31"/>
        <v>21109968</v>
      </c>
      <c r="AJ143" s="6">
        <f t="shared" si="32"/>
        <v>59652124.200000003</v>
      </c>
      <c r="AK143" s="6">
        <f t="shared" si="33"/>
        <v>1649.3</v>
      </c>
      <c r="AL143" s="6">
        <f t="shared" si="34"/>
        <v>88116910</v>
      </c>
      <c r="AM143" s="6">
        <f t="shared" si="35"/>
        <v>197079617.80000001</v>
      </c>
      <c r="AN143" s="10">
        <f t="shared" si="36"/>
        <v>5.7683768461658652E-2</v>
      </c>
      <c r="AO143" s="10">
        <f t="shared" si="37"/>
        <v>0.16300163603274551</v>
      </c>
      <c r="AP143" s="10">
        <f t="shared" si="38"/>
        <v>4.5067732610401689E-6</v>
      </c>
      <c r="AQ143" s="10">
        <f t="shared" si="39"/>
        <v>0.2407827162029243</v>
      </c>
      <c r="AR143" s="10">
        <f t="shared" si="40"/>
        <v>0.5385273460238017</v>
      </c>
    </row>
    <row r="144" spans="1:44" x14ac:dyDescent="0.3">
      <c r="A144" t="s">
        <v>6</v>
      </c>
      <c r="B144" t="s">
        <v>178</v>
      </c>
      <c r="C144" t="s">
        <v>171</v>
      </c>
      <c r="D144" s="7">
        <v>2045</v>
      </c>
      <c r="E144" s="6">
        <v>0.81</v>
      </c>
      <c r="F144" s="6">
        <v>122.2</v>
      </c>
      <c r="G144" s="15">
        <v>445.8</v>
      </c>
      <c r="H144" s="15">
        <v>490.2</v>
      </c>
      <c r="I144" s="6">
        <v>434275740</v>
      </c>
      <c r="J144" s="6">
        <v>196739280</v>
      </c>
      <c r="K144" s="6">
        <v>50646388</v>
      </c>
      <c r="L144" s="6">
        <v>1603534.9</v>
      </c>
      <c r="M144" s="6">
        <v>0</v>
      </c>
      <c r="N144" s="6">
        <v>0</v>
      </c>
      <c r="O144" s="6">
        <v>17953820</v>
      </c>
      <c r="P144" s="6">
        <v>0</v>
      </c>
      <c r="Q144" s="6">
        <v>0</v>
      </c>
      <c r="R144" s="6">
        <v>5610155</v>
      </c>
      <c r="S144" s="6">
        <v>64162250</v>
      </c>
      <c r="T144" s="6">
        <v>0</v>
      </c>
      <c r="U144" s="6">
        <v>303388</v>
      </c>
      <c r="V144" s="6">
        <v>0</v>
      </c>
      <c r="W144" s="6">
        <v>12323397</v>
      </c>
      <c r="X144" s="6">
        <v>86909530</v>
      </c>
      <c r="Y144" s="6">
        <v>336.3</v>
      </c>
      <c r="Z144" s="6">
        <v>3633827.2</v>
      </c>
      <c r="AA144" s="6">
        <v>0</v>
      </c>
      <c r="AB144" s="6">
        <v>191129140</v>
      </c>
      <c r="AC144" s="6">
        <v>0</v>
      </c>
      <c r="AD144" s="6">
        <v>0</v>
      </c>
      <c r="AE144" s="6">
        <f t="shared" si="28"/>
        <v>434275740</v>
      </c>
      <c r="AF144" s="6">
        <f t="shared" si="29"/>
        <v>0</v>
      </c>
      <c r="AG144" s="6">
        <f t="shared" si="41"/>
        <v>1603534.9</v>
      </c>
      <c r="AH144" s="6">
        <f t="shared" si="30"/>
        <v>432672205.10000002</v>
      </c>
      <c r="AI144" s="6">
        <f t="shared" si="31"/>
        <v>17953820</v>
      </c>
      <c r="AJ144" s="6">
        <f t="shared" si="32"/>
        <v>64465638</v>
      </c>
      <c r="AK144" s="6">
        <f t="shared" si="33"/>
        <v>336.3</v>
      </c>
      <c r="AL144" s="6">
        <f t="shared" si="34"/>
        <v>86909530</v>
      </c>
      <c r="AM144" s="6">
        <f t="shared" si="35"/>
        <v>263342907.19999999</v>
      </c>
      <c r="AN144" s="10">
        <f t="shared" si="36"/>
        <v>4.1495200727882389E-2</v>
      </c>
      <c r="AO144" s="10">
        <f t="shared" si="37"/>
        <v>0.14899417443535709</v>
      </c>
      <c r="AP144" s="10">
        <f t="shared" si="38"/>
        <v>7.7726277777023769E-7</v>
      </c>
      <c r="AQ144" s="10">
        <f t="shared" si="39"/>
        <v>0.2008669125855064</v>
      </c>
      <c r="AR144" s="10">
        <f t="shared" si="40"/>
        <v>0.60864299600464433</v>
      </c>
    </row>
    <row r="145" spans="1:44" x14ac:dyDescent="0.3">
      <c r="A145" t="s">
        <v>6</v>
      </c>
      <c r="B145" t="s">
        <v>178</v>
      </c>
      <c r="C145" t="s">
        <v>171</v>
      </c>
      <c r="D145" s="7">
        <v>2050</v>
      </c>
      <c r="E145" s="6">
        <v>0.85</v>
      </c>
      <c r="F145" s="6">
        <v>91.4</v>
      </c>
      <c r="G145" s="15">
        <v>409.6</v>
      </c>
      <c r="H145" s="15">
        <v>463.9</v>
      </c>
      <c r="I145" s="6">
        <v>512854530</v>
      </c>
      <c r="J145" s="6">
        <v>256444130</v>
      </c>
      <c r="K145" s="6">
        <v>74187100</v>
      </c>
      <c r="L145" s="6">
        <v>1553277.2</v>
      </c>
      <c r="M145" s="6">
        <v>0</v>
      </c>
      <c r="N145" s="6">
        <v>0</v>
      </c>
      <c r="O145" s="6">
        <v>10872080</v>
      </c>
      <c r="P145" s="6">
        <v>0</v>
      </c>
      <c r="Q145" s="6">
        <v>0</v>
      </c>
      <c r="R145" s="6">
        <v>6748315</v>
      </c>
      <c r="S145" s="6">
        <v>67313496</v>
      </c>
      <c r="T145" s="6">
        <v>0</v>
      </c>
      <c r="U145" s="6">
        <v>389020.1</v>
      </c>
      <c r="V145" s="6">
        <v>0</v>
      </c>
      <c r="W145" s="6">
        <v>12184309</v>
      </c>
      <c r="X145" s="6">
        <v>86150610</v>
      </c>
      <c r="Y145" s="6">
        <v>0</v>
      </c>
      <c r="Z145" s="6">
        <v>3760499.2</v>
      </c>
      <c r="AA145" s="6">
        <v>0</v>
      </c>
      <c r="AB145" s="6">
        <v>247985380</v>
      </c>
      <c r="AC145" s="6">
        <v>1710426.4</v>
      </c>
      <c r="AD145" s="6">
        <v>0</v>
      </c>
      <c r="AE145" s="6">
        <f t="shared" si="28"/>
        <v>512854530</v>
      </c>
      <c r="AF145" s="6">
        <f t="shared" si="29"/>
        <v>0</v>
      </c>
      <c r="AG145" s="6">
        <f t="shared" si="41"/>
        <v>1553277.2</v>
      </c>
      <c r="AH145" s="6">
        <f t="shared" si="30"/>
        <v>511301252.80000001</v>
      </c>
      <c r="AI145" s="6">
        <f t="shared" si="31"/>
        <v>10872080</v>
      </c>
      <c r="AJ145" s="6">
        <f t="shared" si="32"/>
        <v>67702516.099999994</v>
      </c>
      <c r="AK145" s="6">
        <f t="shared" si="33"/>
        <v>0</v>
      </c>
      <c r="AL145" s="6">
        <f t="shared" si="34"/>
        <v>86150610</v>
      </c>
      <c r="AM145" s="6">
        <f t="shared" si="35"/>
        <v>346576029.59999996</v>
      </c>
      <c r="AN145" s="10">
        <f t="shared" si="36"/>
        <v>2.1263550481173395E-2</v>
      </c>
      <c r="AO145" s="10">
        <f t="shared" si="37"/>
        <v>0.13241218504598976</v>
      </c>
      <c r="AP145" s="10">
        <f t="shared" si="38"/>
        <v>0</v>
      </c>
      <c r="AQ145" s="10">
        <f t="shared" si="39"/>
        <v>0.16849285920623114</v>
      </c>
      <c r="AR145" s="10">
        <f t="shared" si="40"/>
        <v>0.67783137182252562</v>
      </c>
    </row>
    <row r="146" spans="1:44" x14ac:dyDescent="0.3">
      <c r="A146" t="s">
        <v>6</v>
      </c>
      <c r="B146" t="s">
        <v>178</v>
      </c>
      <c r="C146" t="s">
        <v>172</v>
      </c>
      <c r="D146" s="7">
        <v>2024</v>
      </c>
      <c r="E146" s="6">
        <v>0.33</v>
      </c>
      <c r="F146" s="6">
        <v>600.9</v>
      </c>
      <c r="G146" s="15">
        <v>368.2</v>
      </c>
      <c r="H146" s="15">
        <v>917.8</v>
      </c>
      <c r="I146" s="6">
        <v>171984670</v>
      </c>
      <c r="J146" s="6">
        <v>6045091</v>
      </c>
      <c r="K146" s="6">
        <v>21003.200000000001</v>
      </c>
      <c r="L146" s="6">
        <v>178949.3</v>
      </c>
      <c r="M146" s="6">
        <v>0</v>
      </c>
      <c r="N146" s="6">
        <v>0</v>
      </c>
      <c r="O146" s="6">
        <v>69509656</v>
      </c>
      <c r="P146" s="6">
        <v>0</v>
      </c>
      <c r="Q146" s="6">
        <v>0</v>
      </c>
      <c r="R146" s="6">
        <v>298037.3</v>
      </c>
      <c r="S146" s="6">
        <v>44463210</v>
      </c>
      <c r="T146" s="6">
        <v>0</v>
      </c>
      <c r="U146" s="6">
        <v>604378.5</v>
      </c>
      <c r="V146" s="6">
        <v>0</v>
      </c>
      <c r="W146" s="6">
        <v>13428027</v>
      </c>
      <c r="X146" s="6">
        <v>36119536</v>
      </c>
      <c r="Y146" s="6">
        <v>1817.3</v>
      </c>
      <c r="Z146" s="6">
        <v>1613007.2</v>
      </c>
      <c r="AA146" s="6">
        <v>0</v>
      </c>
      <c r="AB146" s="6">
        <v>5693015</v>
      </c>
      <c r="AC146" s="6">
        <v>54038.8</v>
      </c>
      <c r="AD146" s="6">
        <v>0</v>
      </c>
      <c r="AE146" s="6">
        <f t="shared" si="28"/>
        <v>171984670</v>
      </c>
      <c r="AF146" s="6">
        <f t="shared" si="29"/>
        <v>0</v>
      </c>
      <c r="AG146" s="6">
        <f t="shared" si="41"/>
        <v>178949.3</v>
      </c>
      <c r="AH146" s="6">
        <f t="shared" si="30"/>
        <v>171805720.69999999</v>
      </c>
      <c r="AI146" s="6">
        <f t="shared" si="31"/>
        <v>69509656</v>
      </c>
      <c r="AJ146" s="6">
        <f t="shared" si="32"/>
        <v>45067588.5</v>
      </c>
      <c r="AK146" s="6">
        <f t="shared" si="33"/>
        <v>1817.3</v>
      </c>
      <c r="AL146" s="6">
        <f t="shared" si="34"/>
        <v>36119536</v>
      </c>
      <c r="AM146" s="6">
        <f t="shared" si="35"/>
        <v>21107128.5</v>
      </c>
      <c r="AN146" s="10">
        <f t="shared" si="36"/>
        <v>0.4045828958243764</v>
      </c>
      <c r="AO146" s="10">
        <f t="shared" si="37"/>
        <v>0.26231715868585742</v>
      </c>
      <c r="AP146" s="10">
        <f t="shared" si="38"/>
        <v>1.0577645450894466E-5</v>
      </c>
      <c r="AQ146" s="10">
        <f t="shared" si="39"/>
        <v>0.21023476897530341</v>
      </c>
      <c r="AR146" s="10">
        <f t="shared" si="40"/>
        <v>0.12285463146396848</v>
      </c>
    </row>
    <row r="147" spans="1:44" x14ac:dyDescent="0.3">
      <c r="A147" t="s">
        <v>6</v>
      </c>
      <c r="B147" t="s">
        <v>178</v>
      </c>
      <c r="C147" t="s">
        <v>172</v>
      </c>
      <c r="D147" s="7">
        <v>2026</v>
      </c>
      <c r="E147" s="6">
        <v>0.4</v>
      </c>
      <c r="F147" s="6">
        <v>517.29999999999995</v>
      </c>
      <c r="G147" s="15">
        <v>385.1</v>
      </c>
      <c r="H147" s="15">
        <v>868.6</v>
      </c>
      <c r="I147" s="6">
        <v>172698420</v>
      </c>
      <c r="J147" s="6">
        <v>16048706</v>
      </c>
      <c r="K147" s="6">
        <v>2171877.2000000002</v>
      </c>
      <c r="L147" s="6">
        <v>177968.2</v>
      </c>
      <c r="M147" s="6">
        <v>0</v>
      </c>
      <c r="N147" s="6">
        <v>0</v>
      </c>
      <c r="O147" s="6">
        <v>57556064</v>
      </c>
      <c r="P147" s="6">
        <v>0</v>
      </c>
      <c r="Q147" s="6">
        <v>0</v>
      </c>
      <c r="R147" s="6">
        <v>460677.2</v>
      </c>
      <c r="S147" s="6">
        <v>44945276</v>
      </c>
      <c r="T147" s="6">
        <v>0</v>
      </c>
      <c r="U147" s="6">
        <v>329211.40000000002</v>
      </c>
      <c r="V147" s="6">
        <v>0</v>
      </c>
      <c r="W147" s="6">
        <v>13900590</v>
      </c>
      <c r="X147" s="6">
        <v>36083292</v>
      </c>
      <c r="Y147" s="6">
        <v>870.9</v>
      </c>
      <c r="Z147" s="6">
        <v>1484563.2</v>
      </c>
      <c r="AA147" s="6">
        <v>0</v>
      </c>
      <c r="AB147" s="6">
        <v>15534280</v>
      </c>
      <c r="AC147" s="6">
        <v>53747.4</v>
      </c>
      <c r="AD147" s="6">
        <v>0</v>
      </c>
      <c r="AE147" s="6">
        <f t="shared" si="28"/>
        <v>172698420</v>
      </c>
      <c r="AF147" s="6">
        <f t="shared" si="29"/>
        <v>0</v>
      </c>
      <c r="AG147" s="6">
        <f t="shared" si="41"/>
        <v>177968.2</v>
      </c>
      <c r="AH147" s="6">
        <f t="shared" si="30"/>
        <v>172520451.80000001</v>
      </c>
      <c r="AI147" s="6">
        <f t="shared" si="31"/>
        <v>57556064</v>
      </c>
      <c r="AJ147" s="6">
        <f t="shared" si="32"/>
        <v>45274487.399999999</v>
      </c>
      <c r="AK147" s="6">
        <f t="shared" si="33"/>
        <v>870.9</v>
      </c>
      <c r="AL147" s="6">
        <f t="shared" si="34"/>
        <v>36083292</v>
      </c>
      <c r="AM147" s="6">
        <f t="shared" si="35"/>
        <v>33605735</v>
      </c>
      <c r="AN147" s="10">
        <f t="shared" si="36"/>
        <v>0.33361878779869969</v>
      </c>
      <c r="AO147" s="10">
        <f t="shared" si="37"/>
        <v>0.26242968255430915</v>
      </c>
      <c r="AP147" s="10">
        <f t="shared" si="38"/>
        <v>5.0480971439236627E-6</v>
      </c>
      <c r="AQ147" s="10">
        <f t="shared" si="39"/>
        <v>0.20915370684184587</v>
      </c>
      <c r="AR147" s="10">
        <f t="shared" si="40"/>
        <v>0.19479276021696576</v>
      </c>
    </row>
    <row r="148" spans="1:44" x14ac:dyDescent="0.3">
      <c r="A148" t="s">
        <v>6</v>
      </c>
      <c r="B148" t="s">
        <v>178</v>
      </c>
      <c r="C148" t="s">
        <v>172</v>
      </c>
      <c r="D148" s="7">
        <v>2028</v>
      </c>
      <c r="E148" s="6">
        <v>0.44</v>
      </c>
      <c r="F148" s="6">
        <v>411.8</v>
      </c>
      <c r="G148" s="15">
        <v>361.5</v>
      </c>
      <c r="H148" s="15">
        <v>768</v>
      </c>
      <c r="I148" s="6">
        <v>170812030</v>
      </c>
      <c r="J148" s="6">
        <v>20114170</v>
      </c>
      <c r="K148" s="6">
        <v>3640516.8</v>
      </c>
      <c r="L148" s="6">
        <v>173031.6</v>
      </c>
      <c r="M148" s="6">
        <v>0</v>
      </c>
      <c r="N148" s="6">
        <v>0</v>
      </c>
      <c r="O148" s="6">
        <v>36102480</v>
      </c>
      <c r="P148" s="6">
        <v>0</v>
      </c>
      <c r="Q148" s="6">
        <v>0</v>
      </c>
      <c r="R148" s="6">
        <v>740190.8</v>
      </c>
      <c r="S148" s="6">
        <v>59115000</v>
      </c>
      <c r="T148" s="6">
        <v>0</v>
      </c>
      <c r="U148" s="6">
        <v>197174.3</v>
      </c>
      <c r="V148" s="6">
        <v>0</v>
      </c>
      <c r="W148" s="6">
        <v>14054643</v>
      </c>
      <c r="X148" s="6">
        <v>35724930</v>
      </c>
      <c r="Y148" s="6">
        <v>378.7</v>
      </c>
      <c r="Z148" s="6">
        <v>1689704.4</v>
      </c>
      <c r="AA148" s="6">
        <v>0</v>
      </c>
      <c r="AB148" s="6">
        <v>19320520</v>
      </c>
      <c r="AC148" s="6">
        <v>53457.599999999999</v>
      </c>
      <c r="AD148" s="6">
        <v>0</v>
      </c>
      <c r="AE148" s="6">
        <f t="shared" si="28"/>
        <v>170812030</v>
      </c>
      <c r="AF148" s="6">
        <f t="shared" si="29"/>
        <v>0</v>
      </c>
      <c r="AG148" s="6">
        <f t="shared" si="41"/>
        <v>173031.6</v>
      </c>
      <c r="AH148" s="6">
        <f t="shared" si="30"/>
        <v>170638998.40000001</v>
      </c>
      <c r="AI148" s="6">
        <f t="shared" si="31"/>
        <v>36102480</v>
      </c>
      <c r="AJ148" s="6">
        <f t="shared" si="32"/>
        <v>59312174.299999997</v>
      </c>
      <c r="AK148" s="6">
        <f t="shared" si="33"/>
        <v>378.7</v>
      </c>
      <c r="AL148" s="6">
        <f t="shared" si="34"/>
        <v>35724930</v>
      </c>
      <c r="AM148" s="6">
        <f t="shared" si="35"/>
        <v>39499032.600000001</v>
      </c>
      <c r="AN148" s="10">
        <f t="shared" si="36"/>
        <v>0.21157226858171713</v>
      </c>
      <c r="AO148" s="10">
        <f t="shared" si="37"/>
        <v>0.34758862192196266</v>
      </c>
      <c r="AP148" s="10">
        <f t="shared" si="38"/>
        <v>2.2193051034692428E-6</v>
      </c>
      <c r="AQ148" s="10">
        <f t="shared" si="39"/>
        <v>0.20935970285207675</v>
      </c>
      <c r="AR148" s="10">
        <f t="shared" si="40"/>
        <v>0.23147717093022974</v>
      </c>
    </row>
    <row r="149" spans="1:44" x14ac:dyDescent="0.3">
      <c r="A149" t="s">
        <v>6</v>
      </c>
      <c r="B149" t="s">
        <v>178</v>
      </c>
      <c r="C149" t="s">
        <v>172</v>
      </c>
      <c r="D149" s="7">
        <v>2030</v>
      </c>
      <c r="E149" s="6">
        <v>0.49</v>
      </c>
      <c r="F149" s="6">
        <v>374</v>
      </c>
      <c r="G149" s="15">
        <v>438.1</v>
      </c>
      <c r="H149" s="15">
        <v>710.3</v>
      </c>
      <c r="I149" s="6">
        <v>171278400</v>
      </c>
      <c r="J149" s="6">
        <v>26804994</v>
      </c>
      <c r="K149" s="6">
        <v>5973683</v>
      </c>
      <c r="L149" s="6">
        <v>165514.4</v>
      </c>
      <c r="M149" s="6">
        <v>0</v>
      </c>
      <c r="N149" s="6">
        <v>0</v>
      </c>
      <c r="O149" s="6">
        <v>32755424</v>
      </c>
      <c r="P149" s="6">
        <v>0</v>
      </c>
      <c r="Q149" s="6">
        <v>0</v>
      </c>
      <c r="R149" s="6">
        <v>1216062.5</v>
      </c>
      <c r="S149" s="6">
        <v>54331160</v>
      </c>
      <c r="T149" s="6">
        <v>0</v>
      </c>
      <c r="U149" s="6">
        <v>211368</v>
      </c>
      <c r="V149" s="6">
        <v>0</v>
      </c>
      <c r="W149" s="6">
        <v>13824842</v>
      </c>
      <c r="X149" s="6">
        <v>34894492</v>
      </c>
      <c r="Y149" s="6">
        <v>231.2</v>
      </c>
      <c r="Z149" s="6">
        <v>2316684.2000000002</v>
      </c>
      <c r="AA149" s="6">
        <v>0</v>
      </c>
      <c r="AB149" s="6">
        <v>25535762</v>
      </c>
      <c r="AC149" s="6">
        <v>53169.2</v>
      </c>
      <c r="AD149" s="6">
        <v>0</v>
      </c>
      <c r="AE149" s="6">
        <f t="shared" si="28"/>
        <v>171278400</v>
      </c>
      <c r="AF149" s="6">
        <f t="shared" si="29"/>
        <v>0</v>
      </c>
      <c r="AG149" s="6">
        <f t="shared" si="41"/>
        <v>165514.4</v>
      </c>
      <c r="AH149" s="6">
        <f t="shared" si="30"/>
        <v>171112885.59999999</v>
      </c>
      <c r="AI149" s="6">
        <f t="shared" si="31"/>
        <v>32755424</v>
      </c>
      <c r="AJ149" s="6">
        <f t="shared" si="32"/>
        <v>54542528</v>
      </c>
      <c r="AK149" s="6">
        <f t="shared" si="33"/>
        <v>231.2</v>
      </c>
      <c r="AL149" s="6">
        <f t="shared" si="34"/>
        <v>34894492</v>
      </c>
      <c r="AM149" s="6">
        <f t="shared" si="35"/>
        <v>48920202.900000006</v>
      </c>
      <c r="AN149" s="10">
        <f t="shared" si="36"/>
        <v>0.1914258174370943</v>
      </c>
      <c r="AO149" s="10">
        <f t="shared" si="37"/>
        <v>0.31875172818662351</v>
      </c>
      <c r="AP149" s="10">
        <f t="shared" si="38"/>
        <v>1.3511548191669324E-6</v>
      </c>
      <c r="AQ149" s="10">
        <f t="shared" si="39"/>
        <v>0.20392673455096008</v>
      </c>
      <c r="AR149" s="10">
        <f t="shared" si="40"/>
        <v>0.28589432483978872</v>
      </c>
    </row>
    <row r="150" spans="1:44" x14ac:dyDescent="0.3">
      <c r="A150" t="s">
        <v>6</v>
      </c>
      <c r="B150" t="s">
        <v>178</v>
      </c>
      <c r="C150" t="s">
        <v>172</v>
      </c>
      <c r="D150" s="7">
        <v>2035</v>
      </c>
      <c r="E150" s="6">
        <v>0.64</v>
      </c>
      <c r="F150" s="6">
        <v>266.5</v>
      </c>
      <c r="G150" s="15">
        <v>399.1</v>
      </c>
      <c r="H150" s="15">
        <v>650.20000000000005</v>
      </c>
      <c r="I150" s="6">
        <v>201296020</v>
      </c>
      <c r="J150" s="6">
        <v>62891276</v>
      </c>
      <c r="K150" s="6">
        <v>15715181</v>
      </c>
      <c r="L150" s="6">
        <v>155357.9</v>
      </c>
      <c r="M150" s="6">
        <v>0</v>
      </c>
      <c r="N150" s="6">
        <v>0</v>
      </c>
      <c r="O150" s="6">
        <v>27367104</v>
      </c>
      <c r="P150" s="6">
        <v>0</v>
      </c>
      <c r="Q150" s="6">
        <v>0</v>
      </c>
      <c r="R150" s="6">
        <v>2623223.7999999998</v>
      </c>
      <c r="S150" s="6">
        <v>43657976</v>
      </c>
      <c r="T150" s="6">
        <v>0</v>
      </c>
      <c r="U150" s="6">
        <v>1457388.8</v>
      </c>
      <c r="V150" s="6">
        <v>0</v>
      </c>
      <c r="W150" s="6">
        <v>13483304</v>
      </c>
      <c r="X150" s="6">
        <v>34241428</v>
      </c>
      <c r="Y150" s="6">
        <v>0</v>
      </c>
      <c r="Z150" s="6">
        <v>2326997.5</v>
      </c>
      <c r="AA150" s="6">
        <v>0</v>
      </c>
      <c r="AB150" s="6">
        <v>60268056</v>
      </c>
      <c r="AC150" s="6">
        <v>0</v>
      </c>
      <c r="AD150" s="6">
        <v>0</v>
      </c>
      <c r="AE150" s="6">
        <f t="shared" si="28"/>
        <v>201296020</v>
      </c>
      <c r="AF150" s="6">
        <f t="shared" si="29"/>
        <v>0</v>
      </c>
      <c r="AG150" s="6">
        <f t="shared" si="41"/>
        <v>155357.9</v>
      </c>
      <c r="AH150" s="6">
        <f t="shared" si="30"/>
        <v>201140662.09999999</v>
      </c>
      <c r="AI150" s="6">
        <f t="shared" si="31"/>
        <v>27367104</v>
      </c>
      <c r="AJ150" s="6">
        <f t="shared" si="32"/>
        <v>45115364.799999997</v>
      </c>
      <c r="AK150" s="6">
        <f t="shared" si="33"/>
        <v>0</v>
      </c>
      <c r="AL150" s="6">
        <f t="shared" si="34"/>
        <v>34241428</v>
      </c>
      <c r="AM150" s="6">
        <f t="shared" si="35"/>
        <v>94416762.299999997</v>
      </c>
      <c r="AN150" s="10">
        <f t="shared" si="36"/>
        <v>0.13605953025248593</v>
      </c>
      <c r="AO150" s="10">
        <f t="shared" si="37"/>
        <v>0.2242975852270499</v>
      </c>
      <c r="AP150" s="10">
        <f t="shared" si="38"/>
        <v>0</v>
      </c>
      <c r="AQ150" s="10">
        <f t="shared" si="39"/>
        <v>0.17023622992240314</v>
      </c>
      <c r="AR150" s="10">
        <f t="shared" si="40"/>
        <v>0.46940663968312552</v>
      </c>
    </row>
    <row r="151" spans="1:44" x14ac:dyDescent="0.3">
      <c r="A151" t="s">
        <v>6</v>
      </c>
      <c r="B151" t="s">
        <v>178</v>
      </c>
      <c r="C151" t="s">
        <v>172</v>
      </c>
      <c r="D151" s="7">
        <v>2040</v>
      </c>
      <c r="E151" s="6">
        <v>0.76</v>
      </c>
      <c r="F151" s="6">
        <v>173.2</v>
      </c>
      <c r="G151" s="15">
        <v>406.6</v>
      </c>
      <c r="H151" s="15">
        <v>599.29999999999995</v>
      </c>
      <c r="I151" s="6">
        <v>277341540</v>
      </c>
      <c r="J151" s="6">
        <v>130375384</v>
      </c>
      <c r="K151" s="6">
        <v>30012924</v>
      </c>
      <c r="L151" s="6">
        <v>145599.79999999999</v>
      </c>
      <c r="M151" s="6">
        <v>0</v>
      </c>
      <c r="N151" s="6">
        <v>0</v>
      </c>
      <c r="O151" s="6">
        <v>23077534</v>
      </c>
      <c r="P151" s="6">
        <v>0</v>
      </c>
      <c r="Q151" s="6">
        <v>0</v>
      </c>
      <c r="R151" s="6">
        <v>3924048.5</v>
      </c>
      <c r="S151" s="6">
        <v>42768616</v>
      </c>
      <c r="T151" s="6">
        <v>0</v>
      </c>
      <c r="U151" s="6">
        <v>1308293.6000000001</v>
      </c>
      <c r="V151" s="6">
        <v>0</v>
      </c>
      <c r="W151" s="6">
        <v>13150383</v>
      </c>
      <c r="X151" s="6">
        <v>33647360</v>
      </c>
      <c r="Y151" s="6">
        <v>0</v>
      </c>
      <c r="Z151" s="6">
        <v>2855454.2</v>
      </c>
      <c r="AA151" s="6">
        <v>0</v>
      </c>
      <c r="AB151" s="6">
        <v>126451340</v>
      </c>
      <c r="AC151" s="6">
        <v>0</v>
      </c>
      <c r="AD151" s="6">
        <v>0</v>
      </c>
      <c r="AE151" s="6">
        <f t="shared" si="28"/>
        <v>277341540</v>
      </c>
      <c r="AF151" s="6">
        <f t="shared" si="29"/>
        <v>0</v>
      </c>
      <c r="AG151" s="6">
        <f t="shared" si="41"/>
        <v>145599.79999999999</v>
      </c>
      <c r="AH151" s="6">
        <f t="shared" si="30"/>
        <v>277195940.19999999</v>
      </c>
      <c r="AI151" s="6">
        <f t="shared" si="31"/>
        <v>23077534</v>
      </c>
      <c r="AJ151" s="6">
        <f t="shared" si="32"/>
        <v>44076909.600000001</v>
      </c>
      <c r="AK151" s="6">
        <f t="shared" si="33"/>
        <v>0</v>
      </c>
      <c r="AL151" s="6">
        <f t="shared" si="34"/>
        <v>33647360</v>
      </c>
      <c r="AM151" s="6">
        <f t="shared" si="35"/>
        <v>176394149.69999999</v>
      </c>
      <c r="AN151" s="10">
        <f t="shared" si="36"/>
        <v>8.3253506466758859E-2</v>
      </c>
      <c r="AO151" s="10">
        <f t="shared" si="37"/>
        <v>0.15900993920833767</v>
      </c>
      <c r="AP151" s="10">
        <f t="shared" si="38"/>
        <v>0</v>
      </c>
      <c r="AQ151" s="10">
        <f t="shared" si="39"/>
        <v>0.12138475035284807</v>
      </c>
      <c r="AR151" s="10">
        <f t="shared" si="40"/>
        <v>0.63635185123104476</v>
      </c>
    </row>
    <row r="152" spans="1:44" x14ac:dyDescent="0.3">
      <c r="A152" t="s">
        <v>6</v>
      </c>
      <c r="B152" t="s">
        <v>178</v>
      </c>
      <c r="C152" t="s">
        <v>172</v>
      </c>
      <c r="D152" s="7">
        <v>2045</v>
      </c>
      <c r="E152" s="6">
        <v>0.78</v>
      </c>
      <c r="F152" s="6">
        <v>155.9</v>
      </c>
      <c r="G152" s="15">
        <v>335.6</v>
      </c>
      <c r="H152" s="15">
        <v>571.70000000000005</v>
      </c>
      <c r="I152" s="6">
        <v>311590100</v>
      </c>
      <c r="J152" s="6">
        <v>159975630</v>
      </c>
      <c r="K152" s="6">
        <v>33476304</v>
      </c>
      <c r="L152" s="6">
        <v>139117.5</v>
      </c>
      <c r="M152" s="6">
        <v>0</v>
      </c>
      <c r="N152" s="6">
        <v>0</v>
      </c>
      <c r="O152" s="6">
        <v>22737612</v>
      </c>
      <c r="P152" s="6">
        <v>0</v>
      </c>
      <c r="Q152" s="6">
        <v>0</v>
      </c>
      <c r="R152" s="6">
        <v>5386084.5</v>
      </c>
      <c r="S152" s="6">
        <v>44755972</v>
      </c>
      <c r="T152" s="6">
        <v>0</v>
      </c>
      <c r="U152" s="6">
        <v>1333616.1000000001</v>
      </c>
      <c r="V152" s="6">
        <v>0</v>
      </c>
      <c r="W152" s="6">
        <v>12894165</v>
      </c>
      <c r="X152" s="6">
        <v>33086252</v>
      </c>
      <c r="Y152" s="6">
        <v>0</v>
      </c>
      <c r="Z152" s="6">
        <v>3191451.5</v>
      </c>
      <c r="AA152" s="6">
        <v>0</v>
      </c>
      <c r="AB152" s="6">
        <v>154589540</v>
      </c>
      <c r="AC152" s="6">
        <v>0</v>
      </c>
      <c r="AD152" s="6">
        <v>0</v>
      </c>
      <c r="AE152" s="6">
        <f t="shared" si="28"/>
        <v>311590100</v>
      </c>
      <c r="AF152" s="6">
        <f t="shared" si="29"/>
        <v>0</v>
      </c>
      <c r="AG152" s="6">
        <f t="shared" si="41"/>
        <v>139117.5</v>
      </c>
      <c r="AH152" s="6">
        <f t="shared" si="30"/>
        <v>311450982.5</v>
      </c>
      <c r="AI152" s="6">
        <f t="shared" si="31"/>
        <v>22737612</v>
      </c>
      <c r="AJ152" s="6">
        <f t="shared" si="32"/>
        <v>46089588.100000001</v>
      </c>
      <c r="AK152" s="6">
        <f t="shared" si="33"/>
        <v>0</v>
      </c>
      <c r="AL152" s="6">
        <f t="shared" si="34"/>
        <v>33086252</v>
      </c>
      <c r="AM152" s="6">
        <f t="shared" si="35"/>
        <v>209537545</v>
      </c>
      <c r="AN152" s="10">
        <f t="shared" si="36"/>
        <v>7.300542710601339E-2</v>
      </c>
      <c r="AO152" s="10">
        <f t="shared" si="37"/>
        <v>0.14798344102189501</v>
      </c>
      <c r="AP152" s="10">
        <f t="shared" si="38"/>
        <v>0</v>
      </c>
      <c r="AQ152" s="10">
        <f t="shared" si="39"/>
        <v>0.10623261398766017</v>
      </c>
      <c r="AR152" s="10">
        <f t="shared" si="40"/>
        <v>0.67277856476179199</v>
      </c>
    </row>
    <row r="153" spans="1:44" x14ac:dyDescent="0.3">
      <c r="A153" t="s">
        <v>6</v>
      </c>
      <c r="B153" t="s">
        <v>178</v>
      </c>
      <c r="C153" t="s">
        <v>172</v>
      </c>
      <c r="D153" s="7">
        <v>2050</v>
      </c>
      <c r="E153" s="6">
        <v>0.81</v>
      </c>
      <c r="F153" s="6">
        <v>124.1</v>
      </c>
      <c r="G153" s="15">
        <v>339.1</v>
      </c>
      <c r="H153" s="15">
        <v>530.5</v>
      </c>
      <c r="I153" s="6">
        <v>345040260</v>
      </c>
      <c r="J153" s="6">
        <v>191143490</v>
      </c>
      <c r="K153" s="6">
        <v>40396536</v>
      </c>
      <c r="L153" s="6">
        <v>119894.3</v>
      </c>
      <c r="M153" s="6">
        <v>0</v>
      </c>
      <c r="N153" s="6">
        <v>0</v>
      </c>
      <c r="O153" s="6">
        <v>17447074</v>
      </c>
      <c r="P153" s="6">
        <v>0</v>
      </c>
      <c r="Q153" s="6">
        <v>0</v>
      </c>
      <c r="R153" s="6">
        <v>7023781.5</v>
      </c>
      <c r="S153" s="6">
        <v>45808692</v>
      </c>
      <c r="T153" s="6">
        <v>0</v>
      </c>
      <c r="U153" s="6">
        <v>1140494.5</v>
      </c>
      <c r="V153" s="6">
        <v>0</v>
      </c>
      <c r="W153" s="6">
        <v>12705836</v>
      </c>
      <c r="X153" s="6">
        <v>32819356</v>
      </c>
      <c r="Y153" s="6">
        <v>0</v>
      </c>
      <c r="Z153" s="6">
        <v>3458880.5</v>
      </c>
      <c r="AA153" s="6">
        <v>0</v>
      </c>
      <c r="AB153" s="6">
        <v>183526140</v>
      </c>
      <c r="AC153" s="6">
        <v>593575.1</v>
      </c>
      <c r="AD153" s="6">
        <v>0</v>
      </c>
      <c r="AE153" s="6">
        <f t="shared" si="28"/>
        <v>345040260</v>
      </c>
      <c r="AF153" s="6">
        <f t="shared" si="29"/>
        <v>0</v>
      </c>
      <c r="AG153" s="6">
        <f t="shared" si="41"/>
        <v>119894.3</v>
      </c>
      <c r="AH153" s="6">
        <f t="shared" si="30"/>
        <v>344920365.69999999</v>
      </c>
      <c r="AI153" s="6">
        <f t="shared" si="31"/>
        <v>17447074</v>
      </c>
      <c r="AJ153" s="6">
        <f t="shared" si="32"/>
        <v>46949186.5</v>
      </c>
      <c r="AK153" s="6">
        <f t="shared" si="33"/>
        <v>0</v>
      </c>
      <c r="AL153" s="6">
        <f t="shared" si="34"/>
        <v>32819356</v>
      </c>
      <c r="AM153" s="6">
        <f t="shared" si="35"/>
        <v>247704749.09999999</v>
      </c>
      <c r="AN153" s="10">
        <f t="shared" si="36"/>
        <v>5.0582904736842564E-2</v>
      </c>
      <c r="AO153" s="10">
        <f t="shared" si="37"/>
        <v>0.13611601740221627</v>
      </c>
      <c r="AP153" s="10">
        <f t="shared" si="38"/>
        <v>0</v>
      </c>
      <c r="AQ153" s="10">
        <f t="shared" si="39"/>
        <v>9.5150531147659631E-2</v>
      </c>
      <c r="AR153" s="10">
        <f t="shared" si="40"/>
        <v>0.71815054642335951</v>
      </c>
    </row>
    <row r="154" spans="1:44" x14ac:dyDescent="0.3">
      <c r="A154" t="s">
        <v>6</v>
      </c>
      <c r="B154" t="s">
        <v>178</v>
      </c>
      <c r="C154" t="s">
        <v>173</v>
      </c>
      <c r="D154" s="7">
        <v>2024</v>
      </c>
      <c r="E154" s="6">
        <v>0.56000000000000005</v>
      </c>
      <c r="F154" s="6">
        <v>296.2</v>
      </c>
      <c r="G154" s="15">
        <v>378.8</v>
      </c>
      <c r="H154" s="15">
        <v>871</v>
      </c>
      <c r="I154" s="6">
        <v>324327140</v>
      </c>
      <c r="J154" s="6">
        <v>39231230</v>
      </c>
      <c r="K154" s="6">
        <v>154567.9</v>
      </c>
      <c r="L154" s="6">
        <v>4233525</v>
      </c>
      <c r="M154" s="6">
        <v>0</v>
      </c>
      <c r="N154" s="6">
        <v>0</v>
      </c>
      <c r="O154" s="6">
        <v>42095916</v>
      </c>
      <c r="P154" s="6">
        <v>0</v>
      </c>
      <c r="Q154" s="6">
        <v>0</v>
      </c>
      <c r="R154" s="6">
        <v>3201306.5</v>
      </c>
      <c r="S154" s="6">
        <v>100935730</v>
      </c>
      <c r="T154" s="6">
        <v>0</v>
      </c>
      <c r="U154" s="6">
        <v>649359</v>
      </c>
      <c r="V154" s="6">
        <v>0</v>
      </c>
      <c r="W154" s="6">
        <v>9000154</v>
      </c>
      <c r="X154" s="6">
        <v>122475520</v>
      </c>
      <c r="Y154" s="6">
        <v>11009.8</v>
      </c>
      <c r="Z154" s="6">
        <v>5540136</v>
      </c>
      <c r="AA154" s="6">
        <v>0</v>
      </c>
      <c r="AB154" s="6">
        <v>33480410</v>
      </c>
      <c r="AC154" s="6">
        <v>727700.7</v>
      </c>
      <c r="AD154" s="6">
        <v>1821817.6</v>
      </c>
      <c r="AE154" s="6">
        <f t="shared" si="28"/>
        <v>324327140</v>
      </c>
      <c r="AF154" s="6">
        <f t="shared" si="29"/>
        <v>0</v>
      </c>
      <c r="AG154" s="6">
        <f t="shared" si="41"/>
        <v>4233525</v>
      </c>
      <c r="AH154" s="6">
        <f t="shared" si="30"/>
        <v>320093615</v>
      </c>
      <c r="AI154" s="6">
        <f t="shared" si="31"/>
        <v>42095916</v>
      </c>
      <c r="AJ154" s="6">
        <f t="shared" si="32"/>
        <v>101585089</v>
      </c>
      <c r="AK154" s="6">
        <f t="shared" si="33"/>
        <v>11009.8</v>
      </c>
      <c r="AL154" s="6">
        <f t="shared" si="34"/>
        <v>122475520</v>
      </c>
      <c r="AM154" s="6">
        <f t="shared" si="35"/>
        <v>53926092.700000003</v>
      </c>
      <c r="AN154" s="10">
        <f t="shared" si="36"/>
        <v>0.13151126429060447</v>
      </c>
      <c r="AO154" s="10">
        <f t="shared" si="37"/>
        <v>0.31736056028484044</v>
      </c>
      <c r="AP154" s="10">
        <f t="shared" si="38"/>
        <v>3.4395562685622453E-5</v>
      </c>
      <c r="AQ154" s="10">
        <f t="shared" si="39"/>
        <v>0.38262406452562325</v>
      </c>
      <c r="AR154" s="10">
        <f t="shared" si="40"/>
        <v>0.16846975438732198</v>
      </c>
    </row>
    <row r="155" spans="1:44" x14ac:dyDescent="0.3">
      <c r="A155" t="s">
        <v>6</v>
      </c>
      <c r="B155" t="s">
        <v>178</v>
      </c>
      <c r="C155" t="s">
        <v>173</v>
      </c>
      <c r="D155" s="7">
        <v>2026</v>
      </c>
      <c r="E155" s="6">
        <v>0.61</v>
      </c>
      <c r="F155" s="6">
        <v>262.39999999999998</v>
      </c>
      <c r="G155" s="15">
        <v>303</v>
      </c>
      <c r="H155" s="15">
        <v>832.8</v>
      </c>
      <c r="I155" s="6">
        <v>342398270</v>
      </c>
      <c r="J155" s="6">
        <v>65476504</v>
      </c>
      <c r="K155" s="6">
        <v>1512078.6</v>
      </c>
      <c r="L155" s="6">
        <v>4196634.5</v>
      </c>
      <c r="M155" s="6">
        <v>0</v>
      </c>
      <c r="N155" s="6">
        <v>0</v>
      </c>
      <c r="O155" s="6">
        <v>39708556</v>
      </c>
      <c r="P155" s="6">
        <v>0</v>
      </c>
      <c r="Q155" s="6">
        <v>0</v>
      </c>
      <c r="R155" s="6">
        <v>4677357.5</v>
      </c>
      <c r="S155" s="6">
        <v>93661000</v>
      </c>
      <c r="T155" s="6">
        <v>0</v>
      </c>
      <c r="U155" s="6">
        <v>515757.5</v>
      </c>
      <c r="V155" s="6">
        <v>0</v>
      </c>
      <c r="W155" s="6">
        <v>9009794</v>
      </c>
      <c r="X155" s="6">
        <v>122318850</v>
      </c>
      <c r="Y155" s="6">
        <v>10199.6</v>
      </c>
      <c r="Z155" s="6">
        <v>5988895</v>
      </c>
      <c r="AA155" s="6">
        <v>0</v>
      </c>
      <c r="AB155" s="6">
        <v>55377536</v>
      </c>
      <c r="AC155" s="6">
        <v>723776.6</v>
      </c>
      <c r="AD155" s="6">
        <v>4697835.5</v>
      </c>
      <c r="AE155" s="6">
        <f t="shared" si="28"/>
        <v>342398270</v>
      </c>
      <c r="AF155" s="6">
        <f t="shared" si="29"/>
        <v>0</v>
      </c>
      <c r="AG155" s="6">
        <f t="shared" si="41"/>
        <v>4196634.5</v>
      </c>
      <c r="AH155" s="6">
        <f t="shared" si="30"/>
        <v>338201635.5</v>
      </c>
      <c r="AI155" s="6">
        <f t="shared" si="31"/>
        <v>39708556</v>
      </c>
      <c r="AJ155" s="6">
        <f t="shared" si="32"/>
        <v>94176757.5</v>
      </c>
      <c r="AK155" s="6">
        <f t="shared" si="33"/>
        <v>10199.6</v>
      </c>
      <c r="AL155" s="6">
        <f t="shared" si="34"/>
        <v>122318850</v>
      </c>
      <c r="AM155" s="6">
        <f t="shared" si="35"/>
        <v>81987273.199999988</v>
      </c>
      <c r="AN155" s="10">
        <f t="shared" si="36"/>
        <v>0.11741089288729947</v>
      </c>
      <c r="AO155" s="10">
        <f t="shared" si="37"/>
        <v>0.27846334143466911</v>
      </c>
      <c r="AP155" s="10">
        <f t="shared" si="38"/>
        <v>3.0158340260303089E-5</v>
      </c>
      <c r="AQ155" s="10">
        <f t="shared" si="39"/>
        <v>0.36167433022363371</v>
      </c>
      <c r="AR155" s="10">
        <f t="shared" si="40"/>
        <v>0.24242127947959019</v>
      </c>
    </row>
    <row r="156" spans="1:44" x14ac:dyDescent="0.3">
      <c r="A156" t="s">
        <v>6</v>
      </c>
      <c r="B156" t="s">
        <v>178</v>
      </c>
      <c r="C156" t="s">
        <v>173</v>
      </c>
      <c r="D156" s="7">
        <v>2028</v>
      </c>
      <c r="E156" s="6">
        <v>0.7</v>
      </c>
      <c r="F156" s="6">
        <v>187.2</v>
      </c>
      <c r="G156" s="15">
        <v>224.8</v>
      </c>
      <c r="H156" s="15">
        <v>743.1</v>
      </c>
      <c r="I156" s="6">
        <v>368269000</v>
      </c>
      <c r="J156" s="6">
        <v>105832430</v>
      </c>
      <c r="K156" s="6">
        <v>9569443</v>
      </c>
      <c r="L156" s="6">
        <v>2679693.7999999998</v>
      </c>
      <c r="M156" s="6">
        <v>0</v>
      </c>
      <c r="N156" s="6">
        <v>0</v>
      </c>
      <c r="O156" s="6">
        <v>23601622</v>
      </c>
      <c r="P156" s="6">
        <v>0</v>
      </c>
      <c r="Q156" s="6">
        <v>0</v>
      </c>
      <c r="R156" s="6">
        <v>6904737</v>
      </c>
      <c r="S156" s="6">
        <v>87667240</v>
      </c>
      <c r="T156" s="6">
        <v>0</v>
      </c>
      <c r="U156" s="6">
        <v>533796.4</v>
      </c>
      <c r="V156" s="6">
        <v>0</v>
      </c>
      <c r="W156" s="6">
        <v>9110653</v>
      </c>
      <c r="X156" s="6">
        <v>121329510</v>
      </c>
      <c r="Y156" s="6">
        <v>12530.8</v>
      </c>
      <c r="Z156" s="6">
        <v>7932078.5</v>
      </c>
      <c r="AA156" s="6">
        <v>0</v>
      </c>
      <c r="AB156" s="6">
        <v>90825790</v>
      </c>
      <c r="AC156" s="6">
        <v>719873.2</v>
      </c>
      <c r="AD156" s="6">
        <v>7382027</v>
      </c>
      <c r="AE156" s="6">
        <f t="shared" si="28"/>
        <v>368269000</v>
      </c>
      <c r="AF156" s="6">
        <f t="shared" si="29"/>
        <v>0</v>
      </c>
      <c r="AG156" s="6">
        <f t="shared" si="41"/>
        <v>2679693.7999999998</v>
      </c>
      <c r="AH156" s="6">
        <f t="shared" si="30"/>
        <v>365589306.19999999</v>
      </c>
      <c r="AI156" s="6">
        <f t="shared" si="31"/>
        <v>23601622</v>
      </c>
      <c r="AJ156" s="6">
        <f t="shared" si="32"/>
        <v>88201036.400000006</v>
      </c>
      <c r="AK156" s="6">
        <f t="shared" si="33"/>
        <v>12530.8</v>
      </c>
      <c r="AL156" s="6">
        <f t="shared" si="34"/>
        <v>121329510</v>
      </c>
      <c r="AM156" s="6">
        <f t="shared" si="35"/>
        <v>132444601.7</v>
      </c>
      <c r="AN156" s="10">
        <f t="shared" si="36"/>
        <v>6.4557747176249333E-2</v>
      </c>
      <c r="AO156" s="10">
        <f t="shared" si="37"/>
        <v>0.24125715633418604</v>
      </c>
      <c r="AP156" s="10">
        <f t="shared" si="38"/>
        <v>3.4275619629707867E-5</v>
      </c>
      <c r="AQ156" s="10">
        <f t="shared" si="39"/>
        <v>0.33187379374172737</v>
      </c>
      <c r="AR156" s="10">
        <f t="shared" si="40"/>
        <v>0.36227701263106588</v>
      </c>
    </row>
    <row r="157" spans="1:44" x14ac:dyDescent="0.3">
      <c r="A157" t="s">
        <v>6</v>
      </c>
      <c r="B157" t="s">
        <v>178</v>
      </c>
      <c r="C157" t="s">
        <v>173</v>
      </c>
      <c r="D157" s="7">
        <v>2030</v>
      </c>
      <c r="E157" s="6">
        <v>0.77</v>
      </c>
      <c r="F157" s="6">
        <v>137</v>
      </c>
      <c r="G157" s="15">
        <v>241.8</v>
      </c>
      <c r="H157" s="15">
        <v>661.1</v>
      </c>
      <c r="I157" s="6">
        <v>416189630</v>
      </c>
      <c r="J157" s="6">
        <v>161283680</v>
      </c>
      <c r="K157" s="6">
        <v>20541296</v>
      </c>
      <c r="L157" s="6">
        <v>2591213.7999999998</v>
      </c>
      <c r="M157" s="6">
        <v>0</v>
      </c>
      <c r="N157" s="6">
        <v>0</v>
      </c>
      <c r="O157" s="6">
        <v>17561808</v>
      </c>
      <c r="P157" s="6">
        <v>0</v>
      </c>
      <c r="Q157" s="6">
        <v>0</v>
      </c>
      <c r="R157" s="6">
        <v>10056798</v>
      </c>
      <c r="S157" s="6">
        <v>77353890</v>
      </c>
      <c r="T157" s="6">
        <v>0</v>
      </c>
      <c r="U157" s="6">
        <v>398799.4</v>
      </c>
      <c r="V157" s="6">
        <v>0</v>
      </c>
      <c r="W157" s="6">
        <v>8926127</v>
      </c>
      <c r="X157" s="6">
        <v>118401980</v>
      </c>
      <c r="Y157" s="6">
        <v>4194</v>
      </c>
      <c r="Z157" s="6">
        <v>9126633</v>
      </c>
      <c r="AA157" s="6">
        <v>0</v>
      </c>
      <c r="AB157" s="6">
        <v>135249630</v>
      </c>
      <c r="AC157" s="6">
        <v>924783.2</v>
      </c>
      <c r="AD157" s="6">
        <v>15052470</v>
      </c>
      <c r="AE157" s="6">
        <f t="shared" si="28"/>
        <v>416189630</v>
      </c>
      <c r="AF157" s="6">
        <f t="shared" si="29"/>
        <v>0</v>
      </c>
      <c r="AG157" s="6">
        <f t="shared" si="41"/>
        <v>2591213.7999999998</v>
      </c>
      <c r="AH157" s="6">
        <f t="shared" si="30"/>
        <v>413598416.19999999</v>
      </c>
      <c r="AI157" s="6">
        <f t="shared" si="31"/>
        <v>17561808</v>
      </c>
      <c r="AJ157" s="6">
        <f t="shared" si="32"/>
        <v>77752689.400000006</v>
      </c>
      <c r="AK157" s="6">
        <f t="shared" si="33"/>
        <v>4194</v>
      </c>
      <c r="AL157" s="6">
        <f t="shared" si="34"/>
        <v>118401980</v>
      </c>
      <c r="AM157" s="6">
        <f t="shared" si="35"/>
        <v>199877737.19999999</v>
      </c>
      <c r="AN157" s="10">
        <f t="shared" si="36"/>
        <v>4.2461013659945444E-2</v>
      </c>
      <c r="AO157" s="10">
        <f t="shared" si="37"/>
        <v>0.18799078128578195</v>
      </c>
      <c r="AP157" s="10">
        <f t="shared" si="38"/>
        <v>1.0140270938493986E-5</v>
      </c>
      <c r="AQ157" s="10">
        <f t="shared" si="39"/>
        <v>0.28627280802435529</v>
      </c>
      <c r="AR157" s="10">
        <f t="shared" si="40"/>
        <v>0.4832652383836667</v>
      </c>
    </row>
    <row r="158" spans="1:44" x14ac:dyDescent="0.3">
      <c r="A158" t="s">
        <v>6</v>
      </c>
      <c r="B158" t="s">
        <v>178</v>
      </c>
      <c r="C158" t="s">
        <v>173</v>
      </c>
      <c r="D158" s="7">
        <v>2035</v>
      </c>
      <c r="E158" s="6">
        <v>0.83</v>
      </c>
      <c r="F158" s="6">
        <v>97.1</v>
      </c>
      <c r="G158" s="15">
        <v>216</v>
      </c>
      <c r="H158" s="15">
        <v>599.1</v>
      </c>
      <c r="I158" s="6">
        <v>476440830</v>
      </c>
      <c r="J158" s="6">
        <v>219004130</v>
      </c>
      <c r="K158" s="6">
        <v>40885360</v>
      </c>
      <c r="L158" s="6">
        <v>2134806.7999999998</v>
      </c>
      <c r="M158" s="6">
        <v>0</v>
      </c>
      <c r="N158" s="6">
        <v>0</v>
      </c>
      <c r="O158" s="6">
        <v>11998951</v>
      </c>
      <c r="P158" s="6">
        <v>0</v>
      </c>
      <c r="Q158" s="6">
        <v>0</v>
      </c>
      <c r="R158" s="6">
        <v>15162710</v>
      </c>
      <c r="S158" s="6">
        <v>67674790</v>
      </c>
      <c r="T158" s="6">
        <v>0</v>
      </c>
      <c r="U158" s="6">
        <v>304297.5</v>
      </c>
      <c r="V158" s="6">
        <v>0</v>
      </c>
      <c r="W158" s="6">
        <v>8713725</v>
      </c>
      <c r="X158" s="6">
        <v>116216910</v>
      </c>
      <c r="Y158" s="6">
        <v>3468.3</v>
      </c>
      <c r="Z158" s="6">
        <v>9504358</v>
      </c>
      <c r="AA158" s="6">
        <v>0</v>
      </c>
      <c r="AB158" s="6">
        <v>184505950</v>
      </c>
      <c r="AC158" s="6">
        <v>4499458.5</v>
      </c>
      <c r="AD158" s="6">
        <v>14836030</v>
      </c>
      <c r="AE158" s="6">
        <f t="shared" si="28"/>
        <v>476440830</v>
      </c>
      <c r="AF158" s="6">
        <f t="shared" si="29"/>
        <v>0</v>
      </c>
      <c r="AG158" s="6">
        <f t="shared" si="41"/>
        <v>2134806.7999999998</v>
      </c>
      <c r="AH158" s="6">
        <f t="shared" si="30"/>
        <v>474306023.19999999</v>
      </c>
      <c r="AI158" s="6">
        <f t="shared" si="31"/>
        <v>11998951</v>
      </c>
      <c r="AJ158" s="6">
        <f t="shared" si="32"/>
        <v>67979087.5</v>
      </c>
      <c r="AK158" s="6">
        <f t="shared" si="33"/>
        <v>3468.3</v>
      </c>
      <c r="AL158" s="6">
        <f t="shared" si="34"/>
        <v>116216910</v>
      </c>
      <c r="AM158" s="6">
        <f t="shared" si="35"/>
        <v>278107591.5</v>
      </c>
      <c r="AN158" s="10">
        <f t="shared" si="36"/>
        <v>2.5297909815790845E-2</v>
      </c>
      <c r="AO158" s="10">
        <f t="shared" si="37"/>
        <v>0.14332326425324637</v>
      </c>
      <c r="AP158" s="10">
        <f t="shared" si="38"/>
        <v>7.3123676073106218E-6</v>
      </c>
      <c r="AQ158" s="10">
        <f t="shared" si="39"/>
        <v>0.24502516163703653</v>
      </c>
      <c r="AR158" s="10">
        <f t="shared" si="40"/>
        <v>0.58634632051200153</v>
      </c>
    </row>
    <row r="159" spans="1:44" x14ac:dyDescent="0.3">
      <c r="A159" t="s">
        <v>6</v>
      </c>
      <c r="B159" t="s">
        <v>178</v>
      </c>
      <c r="C159" t="s">
        <v>173</v>
      </c>
      <c r="D159" s="7">
        <v>2040</v>
      </c>
      <c r="E159" s="6">
        <v>0.85</v>
      </c>
      <c r="F159" s="6">
        <v>86.9</v>
      </c>
      <c r="G159" s="15">
        <v>199.5</v>
      </c>
      <c r="H159" s="15">
        <v>565.29999999999995</v>
      </c>
      <c r="I159" s="6">
        <v>531635360</v>
      </c>
      <c r="J159" s="6">
        <v>254900000</v>
      </c>
      <c r="K159" s="6">
        <v>58874104</v>
      </c>
      <c r="L159" s="6">
        <v>2095669.8</v>
      </c>
      <c r="M159" s="6">
        <v>0</v>
      </c>
      <c r="N159" s="6">
        <v>0</v>
      </c>
      <c r="O159" s="6">
        <v>10660508</v>
      </c>
      <c r="P159" s="6">
        <v>0</v>
      </c>
      <c r="Q159" s="6">
        <v>0</v>
      </c>
      <c r="R159" s="6">
        <v>16781340</v>
      </c>
      <c r="S159" s="6">
        <v>70391530</v>
      </c>
      <c r="T159" s="6">
        <v>0</v>
      </c>
      <c r="U159" s="6">
        <v>537997.9</v>
      </c>
      <c r="V159" s="6">
        <v>0</v>
      </c>
      <c r="W159" s="6">
        <v>8625432</v>
      </c>
      <c r="X159" s="6">
        <v>115635150</v>
      </c>
      <c r="Y159" s="6">
        <v>1837.5</v>
      </c>
      <c r="Z159" s="6">
        <v>9913162</v>
      </c>
      <c r="AA159" s="6">
        <v>0</v>
      </c>
      <c r="AB159" s="6">
        <v>216784820</v>
      </c>
      <c r="AC159" s="6">
        <v>6693526.5</v>
      </c>
      <c r="AD159" s="6">
        <v>14640310</v>
      </c>
      <c r="AE159" s="6">
        <f t="shared" si="28"/>
        <v>531635360</v>
      </c>
      <c r="AF159" s="6">
        <f t="shared" si="29"/>
        <v>0</v>
      </c>
      <c r="AG159" s="6">
        <f t="shared" si="41"/>
        <v>2095669.8</v>
      </c>
      <c r="AH159" s="6">
        <f t="shared" si="30"/>
        <v>529539690.19999999</v>
      </c>
      <c r="AI159" s="6">
        <f t="shared" si="31"/>
        <v>10660508</v>
      </c>
      <c r="AJ159" s="6">
        <f t="shared" si="32"/>
        <v>70929527.900000006</v>
      </c>
      <c r="AK159" s="6">
        <f t="shared" si="33"/>
        <v>1837.5</v>
      </c>
      <c r="AL159" s="6">
        <f t="shared" si="34"/>
        <v>115635150</v>
      </c>
      <c r="AM159" s="6">
        <f t="shared" si="35"/>
        <v>332312694.5</v>
      </c>
      <c r="AN159" s="10">
        <f t="shared" si="36"/>
        <v>2.0131650558570351E-2</v>
      </c>
      <c r="AO159" s="10">
        <f t="shared" si="37"/>
        <v>0.13394563091807316</v>
      </c>
      <c r="AP159" s="10">
        <f t="shared" si="38"/>
        <v>3.4699948540325676E-6</v>
      </c>
      <c r="AQ159" s="10">
        <f t="shared" si="39"/>
        <v>0.21836918391580085</v>
      </c>
      <c r="AR159" s="10">
        <f t="shared" si="40"/>
        <v>0.62755011692228391</v>
      </c>
    </row>
    <row r="160" spans="1:44" x14ac:dyDescent="0.3">
      <c r="A160" t="s">
        <v>6</v>
      </c>
      <c r="B160" t="s">
        <v>178</v>
      </c>
      <c r="C160" t="s">
        <v>173</v>
      </c>
      <c r="D160" s="7">
        <v>2045</v>
      </c>
      <c r="E160" s="6">
        <v>0.92</v>
      </c>
      <c r="F160" s="6">
        <v>47.5</v>
      </c>
      <c r="G160" s="15">
        <v>129.30000000000001</v>
      </c>
      <c r="H160" s="15">
        <v>566.9</v>
      </c>
      <c r="I160" s="6">
        <v>574817150</v>
      </c>
      <c r="J160" s="6">
        <v>314307680</v>
      </c>
      <c r="K160" s="6">
        <v>82217490</v>
      </c>
      <c r="L160" s="6">
        <v>1444487.6</v>
      </c>
      <c r="M160" s="6">
        <v>0</v>
      </c>
      <c r="N160" s="6">
        <v>0</v>
      </c>
      <c r="O160" s="6">
        <v>8786483</v>
      </c>
      <c r="P160" s="6">
        <v>0</v>
      </c>
      <c r="Q160" s="6">
        <v>0</v>
      </c>
      <c r="R160" s="6">
        <v>17691476</v>
      </c>
      <c r="S160" s="6">
        <v>33878790</v>
      </c>
      <c r="T160" s="6">
        <v>0</v>
      </c>
      <c r="U160" s="6">
        <v>1004021.3</v>
      </c>
      <c r="V160" s="6">
        <v>0</v>
      </c>
      <c r="W160" s="6">
        <v>8545519</v>
      </c>
      <c r="X160" s="6">
        <v>114741144</v>
      </c>
      <c r="Y160" s="6">
        <v>61.9</v>
      </c>
      <c r="Z160" s="6">
        <v>9891479</v>
      </c>
      <c r="AA160" s="6">
        <v>0</v>
      </c>
      <c r="AB160" s="6">
        <v>274066020</v>
      </c>
      <c r="AC160" s="6">
        <v>8152169</v>
      </c>
      <c r="AD160" s="6">
        <v>14398013</v>
      </c>
      <c r="AE160" s="6">
        <f t="shared" si="28"/>
        <v>574817150</v>
      </c>
      <c r="AF160" s="6">
        <f t="shared" si="29"/>
        <v>0</v>
      </c>
      <c r="AG160" s="6">
        <f t="shared" si="41"/>
        <v>1444487.6</v>
      </c>
      <c r="AH160" s="6">
        <f t="shared" si="30"/>
        <v>573372662.39999998</v>
      </c>
      <c r="AI160" s="6">
        <f t="shared" si="31"/>
        <v>8786483</v>
      </c>
      <c r="AJ160" s="6">
        <f t="shared" si="32"/>
        <v>34882811.299999997</v>
      </c>
      <c r="AK160" s="6">
        <f t="shared" si="33"/>
        <v>61.9</v>
      </c>
      <c r="AL160" s="6">
        <f t="shared" si="34"/>
        <v>114741144</v>
      </c>
      <c r="AM160" s="6">
        <f t="shared" si="35"/>
        <v>414962166</v>
      </c>
      <c r="AN160" s="10">
        <f t="shared" si="36"/>
        <v>1.5324209848481259E-2</v>
      </c>
      <c r="AO160" s="10">
        <f t="shared" si="37"/>
        <v>6.0837939419694245E-2</v>
      </c>
      <c r="AP160" s="10">
        <f t="shared" si="38"/>
        <v>1.0795771068139436E-7</v>
      </c>
      <c r="AQ160" s="10">
        <f t="shared" si="39"/>
        <v>0.20011617491444603</v>
      </c>
      <c r="AR160" s="10">
        <f t="shared" si="40"/>
        <v>0.72372157448712016</v>
      </c>
    </row>
    <row r="161" spans="1:44" x14ac:dyDescent="0.3">
      <c r="A161" t="s">
        <v>6</v>
      </c>
      <c r="B161" t="s">
        <v>178</v>
      </c>
      <c r="C161" t="s">
        <v>173</v>
      </c>
      <c r="D161" s="7">
        <v>2050</v>
      </c>
      <c r="E161" s="6">
        <v>0.93</v>
      </c>
      <c r="F161" s="6">
        <v>38.4</v>
      </c>
      <c r="G161" s="15">
        <v>99.6</v>
      </c>
      <c r="H161" s="15">
        <v>544.79999999999995</v>
      </c>
      <c r="I161" s="6">
        <v>627999800</v>
      </c>
      <c r="J161" s="6">
        <v>355038200</v>
      </c>
      <c r="K161" s="6">
        <v>96710210</v>
      </c>
      <c r="L161" s="6">
        <v>1461045.1</v>
      </c>
      <c r="M161" s="6">
        <v>0</v>
      </c>
      <c r="N161" s="6">
        <v>0</v>
      </c>
      <c r="O161" s="6">
        <v>4004932</v>
      </c>
      <c r="P161" s="6">
        <v>0</v>
      </c>
      <c r="Q161" s="6">
        <v>0</v>
      </c>
      <c r="R161" s="6">
        <v>19145082</v>
      </c>
      <c r="S161" s="6">
        <v>35787996</v>
      </c>
      <c r="T161" s="6">
        <v>0</v>
      </c>
      <c r="U161" s="6">
        <v>2018774.8</v>
      </c>
      <c r="V161" s="6">
        <v>0</v>
      </c>
      <c r="W161" s="6">
        <v>8513682</v>
      </c>
      <c r="X161" s="6">
        <v>114267560</v>
      </c>
      <c r="Y161" s="6">
        <v>0</v>
      </c>
      <c r="Z161" s="6">
        <v>10197425</v>
      </c>
      <c r="AA161" s="6">
        <v>0</v>
      </c>
      <c r="AB161" s="6">
        <v>307399680</v>
      </c>
      <c r="AC161" s="6">
        <v>14373931</v>
      </c>
      <c r="AD161" s="6">
        <v>14119501</v>
      </c>
      <c r="AE161" s="6">
        <f t="shared" si="28"/>
        <v>627999800</v>
      </c>
      <c r="AF161" s="6">
        <f t="shared" si="29"/>
        <v>0</v>
      </c>
      <c r="AG161" s="6">
        <f t="shared" si="41"/>
        <v>1461045.1</v>
      </c>
      <c r="AH161" s="6">
        <f t="shared" si="30"/>
        <v>626538754.89999998</v>
      </c>
      <c r="AI161" s="6">
        <f t="shared" si="31"/>
        <v>4004932</v>
      </c>
      <c r="AJ161" s="6">
        <f t="shared" si="32"/>
        <v>37806770.799999997</v>
      </c>
      <c r="AK161" s="6">
        <f t="shared" si="33"/>
        <v>0</v>
      </c>
      <c r="AL161" s="6">
        <f t="shared" si="34"/>
        <v>114267560</v>
      </c>
      <c r="AM161" s="6">
        <f t="shared" si="35"/>
        <v>470459511</v>
      </c>
      <c r="AN161" s="10">
        <f t="shared" si="36"/>
        <v>6.3921536675559925E-3</v>
      </c>
      <c r="AO161" s="10">
        <f t="shared" si="37"/>
        <v>6.0342270137837245E-2</v>
      </c>
      <c r="AP161" s="10">
        <f t="shared" si="38"/>
        <v>0</v>
      </c>
      <c r="AQ161" s="10">
        <f t="shared" si="39"/>
        <v>0.18237907728188005</v>
      </c>
      <c r="AR161" s="10">
        <f t="shared" si="40"/>
        <v>0.75088652907845843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33A2-6399-4F2B-9057-CFD8C49FA080}">
  <dimension ref="A1:DM166"/>
  <sheetViews>
    <sheetView zoomScale="70" zoomScaleNormal="70" workbookViewId="0">
      <selection activeCell="L28" sqref="L28"/>
    </sheetView>
  </sheetViews>
  <sheetFormatPr defaultRowHeight="14.4" x14ac:dyDescent="0.3"/>
  <sheetData>
    <row r="1" spans="1:1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7" x14ac:dyDescent="0.3">
      <c r="A2" t="s">
        <v>6</v>
      </c>
      <c r="B2" t="s">
        <v>7</v>
      </c>
      <c r="C2" t="s">
        <v>8</v>
      </c>
      <c r="D2">
        <v>2012</v>
      </c>
      <c r="E2" t="s">
        <v>9</v>
      </c>
      <c r="F2" t="s">
        <v>10</v>
      </c>
    </row>
    <row r="3" spans="1:117" x14ac:dyDescent="0.3">
      <c r="A3" t="s">
        <v>11</v>
      </c>
    </row>
    <row r="4" spans="1:117" x14ac:dyDescent="0.3">
      <c r="A4" t="s">
        <v>12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17</v>
      </c>
      <c r="R4" t="s">
        <v>17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  <c r="AT4" t="s">
        <v>18</v>
      </c>
      <c r="AU4" t="s">
        <v>18</v>
      </c>
      <c r="AV4" t="s">
        <v>18</v>
      </c>
      <c r="AW4" t="s">
        <v>18</v>
      </c>
      <c r="AX4" t="s">
        <v>18</v>
      </c>
      <c r="AY4" t="s">
        <v>18</v>
      </c>
      <c r="AZ4" t="s">
        <v>18</v>
      </c>
      <c r="BA4" t="s">
        <v>18</v>
      </c>
      <c r="BB4" t="s">
        <v>18</v>
      </c>
      <c r="BC4" t="s">
        <v>18</v>
      </c>
      <c r="BD4" t="s">
        <v>18</v>
      </c>
      <c r="BE4" t="s">
        <v>18</v>
      </c>
      <c r="BF4" t="s">
        <v>18</v>
      </c>
      <c r="BG4" t="s">
        <v>18</v>
      </c>
      <c r="BH4" t="s">
        <v>18</v>
      </c>
      <c r="BI4" t="s">
        <v>18</v>
      </c>
      <c r="BJ4" t="s">
        <v>18</v>
      </c>
      <c r="BK4" t="s">
        <v>18</v>
      </c>
      <c r="BL4" t="s">
        <v>18</v>
      </c>
      <c r="BM4" t="s">
        <v>19</v>
      </c>
      <c r="BN4" t="s">
        <v>19</v>
      </c>
      <c r="BO4" t="s">
        <v>19</v>
      </c>
      <c r="BP4" t="s">
        <v>19</v>
      </c>
      <c r="BQ4" t="s">
        <v>20</v>
      </c>
      <c r="BR4" t="s">
        <v>20</v>
      </c>
      <c r="BS4" t="s">
        <v>20</v>
      </c>
      <c r="BT4" t="s">
        <v>20</v>
      </c>
      <c r="BU4" t="s">
        <v>21</v>
      </c>
      <c r="BV4" t="s">
        <v>21</v>
      </c>
      <c r="BW4" t="s">
        <v>21</v>
      </c>
      <c r="BX4" t="s">
        <v>21</v>
      </c>
      <c r="BY4" t="s">
        <v>21</v>
      </c>
      <c r="BZ4" t="s">
        <v>21</v>
      </c>
      <c r="CA4" t="s">
        <v>21</v>
      </c>
      <c r="CB4" t="s">
        <v>21</v>
      </c>
      <c r="CC4" t="s">
        <v>21</v>
      </c>
      <c r="CD4" t="s">
        <v>21</v>
      </c>
      <c r="CE4" t="s">
        <v>21</v>
      </c>
      <c r="CF4" t="s">
        <v>21</v>
      </c>
      <c r="CG4" t="s">
        <v>21</v>
      </c>
      <c r="CH4" t="s">
        <v>21</v>
      </c>
      <c r="CI4" t="s">
        <v>21</v>
      </c>
      <c r="CJ4" t="s">
        <v>21</v>
      </c>
      <c r="CK4" t="s">
        <v>21</v>
      </c>
      <c r="CL4" t="s">
        <v>21</v>
      </c>
      <c r="CM4" t="s">
        <v>21</v>
      </c>
      <c r="CN4" t="s">
        <v>21</v>
      </c>
      <c r="CO4" t="s">
        <v>21</v>
      </c>
      <c r="CP4" t="s">
        <v>21</v>
      </c>
      <c r="CQ4" t="s">
        <v>22</v>
      </c>
      <c r="CR4" t="s">
        <v>22</v>
      </c>
      <c r="CS4" t="s">
        <v>22</v>
      </c>
      <c r="CT4" t="s">
        <v>22</v>
      </c>
      <c r="CU4" t="s">
        <v>22</v>
      </c>
      <c r="CV4" t="s">
        <v>22</v>
      </c>
      <c r="CW4" t="s">
        <v>22</v>
      </c>
      <c r="CX4" t="s">
        <v>22</v>
      </c>
      <c r="CY4" t="s">
        <v>22</v>
      </c>
      <c r="CZ4" t="s">
        <v>22</v>
      </c>
      <c r="DA4" t="s">
        <v>22</v>
      </c>
      <c r="DB4" t="s">
        <v>22</v>
      </c>
      <c r="DC4" t="s">
        <v>22</v>
      </c>
      <c r="DD4" t="s">
        <v>22</v>
      </c>
      <c r="DE4" t="s">
        <v>22</v>
      </c>
      <c r="DF4" t="s">
        <v>22</v>
      </c>
      <c r="DG4" t="s">
        <v>22</v>
      </c>
      <c r="DH4" t="s">
        <v>22</v>
      </c>
      <c r="DI4" t="s">
        <v>22</v>
      </c>
      <c r="DJ4" t="s">
        <v>23</v>
      </c>
      <c r="DK4" t="s">
        <v>23</v>
      </c>
      <c r="DL4" t="s">
        <v>23</v>
      </c>
      <c r="DM4" t="s">
        <v>24</v>
      </c>
    </row>
    <row r="5" spans="1:117" x14ac:dyDescent="0.3">
      <c r="A5" t="s">
        <v>25</v>
      </c>
      <c r="B5" t="s">
        <v>25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27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31</v>
      </c>
      <c r="S5" t="s">
        <v>32</v>
      </c>
      <c r="T5" t="s">
        <v>33</v>
      </c>
      <c r="U5" t="s">
        <v>33</v>
      </c>
      <c r="V5" t="s">
        <v>32</v>
      </c>
      <c r="W5" t="s">
        <v>33</v>
      </c>
      <c r="X5" t="s">
        <v>33</v>
      </c>
      <c r="Y5" t="s">
        <v>32</v>
      </c>
      <c r="Z5" t="s">
        <v>32</v>
      </c>
      <c r="AA5" t="s">
        <v>32</v>
      </c>
      <c r="AB5" t="s">
        <v>32</v>
      </c>
      <c r="AC5" t="s">
        <v>33</v>
      </c>
      <c r="AD5" t="s">
        <v>33</v>
      </c>
      <c r="AE5" t="s">
        <v>32</v>
      </c>
      <c r="AF5" t="s">
        <v>33</v>
      </c>
      <c r="AG5" t="s">
        <v>33</v>
      </c>
      <c r="AH5" t="s">
        <v>32</v>
      </c>
      <c r="AI5" t="s">
        <v>32</v>
      </c>
      <c r="AJ5" t="s">
        <v>32</v>
      </c>
      <c r="AK5" t="s">
        <v>32</v>
      </c>
      <c r="AL5" t="s">
        <v>33</v>
      </c>
      <c r="AM5" t="s">
        <v>33</v>
      </c>
      <c r="AN5" t="s">
        <v>32</v>
      </c>
      <c r="AO5" t="s">
        <v>33</v>
      </c>
      <c r="AP5" t="s">
        <v>33</v>
      </c>
      <c r="AQ5" t="s">
        <v>32</v>
      </c>
      <c r="AR5" t="s">
        <v>32</v>
      </c>
      <c r="AS5" t="s">
        <v>32</v>
      </c>
      <c r="AT5" t="s">
        <v>32</v>
      </c>
      <c r="AU5" t="s">
        <v>33</v>
      </c>
      <c r="AV5" t="s">
        <v>33</v>
      </c>
      <c r="AW5" t="s">
        <v>32</v>
      </c>
      <c r="AX5" t="s">
        <v>33</v>
      </c>
      <c r="AY5" t="s">
        <v>33</v>
      </c>
      <c r="AZ5" t="s">
        <v>32</v>
      </c>
      <c r="BA5" t="s">
        <v>32</v>
      </c>
      <c r="BB5" t="s">
        <v>32</v>
      </c>
      <c r="BC5" t="s">
        <v>34</v>
      </c>
      <c r="BD5" t="s">
        <v>34</v>
      </c>
      <c r="BE5" t="s">
        <v>34</v>
      </c>
      <c r="BF5" t="s">
        <v>34</v>
      </c>
      <c r="BG5" t="s">
        <v>34</v>
      </c>
      <c r="BH5" t="s">
        <v>34</v>
      </c>
      <c r="BI5" t="s">
        <v>34</v>
      </c>
      <c r="BJ5" t="s">
        <v>34</v>
      </c>
      <c r="BK5" t="s">
        <v>34</v>
      </c>
      <c r="BL5" t="s">
        <v>34</v>
      </c>
      <c r="BM5" t="s">
        <v>35</v>
      </c>
      <c r="BN5" t="s">
        <v>35</v>
      </c>
      <c r="BO5" t="s">
        <v>35</v>
      </c>
      <c r="BP5" t="s">
        <v>35</v>
      </c>
      <c r="BQ5" t="s">
        <v>35</v>
      </c>
      <c r="BR5" t="s">
        <v>35</v>
      </c>
      <c r="BS5" t="s">
        <v>35</v>
      </c>
      <c r="BT5" t="s">
        <v>35</v>
      </c>
      <c r="BU5" t="s">
        <v>26</v>
      </c>
      <c r="BV5" t="s">
        <v>26</v>
      </c>
      <c r="BW5" t="s">
        <v>26</v>
      </c>
      <c r="BX5" t="s">
        <v>26</v>
      </c>
      <c r="BY5" t="s">
        <v>26</v>
      </c>
      <c r="BZ5" t="s">
        <v>26</v>
      </c>
      <c r="CA5" t="s">
        <v>26</v>
      </c>
      <c r="CB5" t="s">
        <v>26</v>
      </c>
      <c r="CC5" t="s">
        <v>26</v>
      </c>
      <c r="CD5" t="s">
        <v>26</v>
      </c>
      <c r="CE5" t="s">
        <v>26</v>
      </c>
      <c r="CF5" t="s">
        <v>26</v>
      </c>
      <c r="CG5" t="s">
        <v>26</v>
      </c>
      <c r="CH5" t="s">
        <v>26</v>
      </c>
      <c r="CI5" t="s">
        <v>26</v>
      </c>
      <c r="CJ5" t="s">
        <v>26</v>
      </c>
      <c r="CK5" t="s">
        <v>26</v>
      </c>
      <c r="CL5" t="s">
        <v>26</v>
      </c>
      <c r="CM5" t="s">
        <v>26</v>
      </c>
      <c r="CN5" t="s">
        <v>26</v>
      </c>
      <c r="CO5" t="s">
        <v>26</v>
      </c>
      <c r="CP5" t="s">
        <v>26</v>
      </c>
      <c r="CQ5" t="s">
        <v>30</v>
      </c>
      <c r="CR5" t="s">
        <v>30</v>
      </c>
      <c r="CS5" t="s">
        <v>30</v>
      </c>
      <c r="CT5" t="s">
        <v>30</v>
      </c>
      <c r="CU5" t="s">
        <v>30</v>
      </c>
      <c r="CV5" t="s">
        <v>30</v>
      </c>
      <c r="CW5" t="s">
        <v>30</v>
      </c>
      <c r="CX5" t="s">
        <v>30</v>
      </c>
      <c r="CY5" t="s">
        <v>30</v>
      </c>
      <c r="CZ5" t="s">
        <v>30</v>
      </c>
      <c r="DA5" t="s">
        <v>30</v>
      </c>
      <c r="DB5" t="s">
        <v>30</v>
      </c>
      <c r="DC5" t="s">
        <v>30</v>
      </c>
      <c r="DD5" t="s">
        <v>30</v>
      </c>
      <c r="DE5" t="s">
        <v>30</v>
      </c>
      <c r="DF5" t="s">
        <v>30</v>
      </c>
      <c r="DG5" t="s">
        <v>30</v>
      </c>
      <c r="DH5" t="s">
        <v>30</v>
      </c>
      <c r="DI5" t="s">
        <v>30</v>
      </c>
      <c r="DJ5" t="s">
        <v>26</v>
      </c>
      <c r="DK5" t="s">
        <v>26</v>
      </c>
      <c r="DL5" t="s">
        <v>26</v>
      </c>
      <c r="DM5" t="s">
        <v>36</v>
      </c>
    </row>
    <row r="6" spans="1:117" s="4" customFormat="1" ht="43.2" x14ac:dyDescent="0.3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4" t="s">
        <v>51</v>
      </c>
      <c r="P6" s="4" t="s">
        <v>52</v>
      </c>
      <c r="Q6" s="4" t="s">
        <v>53</v>
      </c>
      <c r="R6" s="4" t="s">
        <v>54</v>
      </c>
      <c r="S6" s="4" t="s">
        <v>55</v>
      </c>
      <c r="T6" s="4" t="s">
        <v>56</v>
      </c>
      <c r="U6" s="4" t="s">
        <v>57</v>
      </c>
      <c r="V6" s="4" t="s">
        <v>58</v>
      </c>
      <c r="W6" s="4" t="s">
        <v>59</v>
      </c>
      <c r="X6" s="4" t="s">
        <v>60</v>
      </c>
      <c r="Y6" s="4" t="s">
        <v>61</v>
      </c>
      <c r="Z6" s="4" t="s">
        <v>62</v>
      </c>
      <c r="AA6" s="4" t="s">
        <v>63</v>
      </c>
      <c r="AB6" s="4" t="s">
        <v>64</v>
      </c>
      <c r="AC6" s="4" t="s">
        <v>65</v>
      </c>
      <c r="AD6" s="4" t="s">
        <v>66</v>
      </c>
      <c r="AE6" s="4" t="s">
        <v>67</v>
      </c>
      <c r="AF6" s="4" t="s">
        <v>68</v>
      </c>
      <c r="AG6" s="4" t="s">
        <v>69</v>
      </c>
      <c r="AH6" s="4" t="s">
        <v>70</v>
      </c>
      <c r="AI6" s="4" t="s">
        <v>71</v>
      </c>
      <c r="AJ6" s="4" t="s">
        <v>72</v>
      </c>
      <c r="AK6" s="4" t="s">
        <v>73</v>
      </c>
      <c r="AL6" s="4" t="s">
        <v>74</v>
      </c>
      <c r="AM6" s="4" t="s">
        <v>75</v>
      </c>
      <c r="AN6" s="4" t="s">
        <v>76</v>
      </c>
      <c r="AO6" s="4" t="s">
        <v>77</v>
      </c>
      <c r="AP6" s="4" t="s">
        <v>78</v>
      </c>
      <c r="AQ6" s="4" t="s">
        <v>79</v>
      </c>
      <c r="AR6" s="4" t="s">
        <v>80</v>
      </c>
      <c r="AS6" s="4" t="s">
        <v>81</v>
      </c>
      <c r="AT6" s="4" t="s">
        <v>82</v>
      </c>
      <c r="AU6" s="4" t="s">
        <v>83</v>
      </c>
      <c r="AV6" s="4" t="s">
        <v>84</v>
      </c>
      <c r="AW6" s="4" t="s">
        <v>85</v>
      </c>
      <c r="AX6" s="4" t="s">
        <v>86</v>
      </c>
      <c r="AY6" s="4" t="s">
        <v>87</v>
      </c>
      <c r="AZ6" s="4" t="s">
        <v>88</v>
      </c>
      <c r="BA6" s="4" t="s">
        <v>89</v>
      </c>
      <c r="BB6" s="4" t="s">
        <v>90</v>
      </c>
      <c r="BC6" s="4" t="s">
        <v>91</v>
      </c>
      <c r="BD6" s="4" t="s">
        <v>92</v>
      </c>
      <c r="BE6" s="4" t="s">
        <v>93</v>
      </c>
      <c r="BF6" s="4" t="s">
        <v>94</v>
      </c>
      <c r="BG6" s="4" t="s">
        <v>95</v>
      </c>
      <c r="BH6" s="4" t="s">
        <v>96</v>
      </c>
      <c r="BI6" s="4" t="s">
        <v>97</v>
      </c>
      <c r="BJ6" s="4" t="s">
        <v>98</v>
      </c>
      <c r="BK6" s="4" t="s">
        <v>99</v>
      </c>
      <c r="BL6" s="4" t="s">
        <v>100</v>
      </c>
      <c r="BM6" s="4" t="s">
        <v>101</v>
      </c>
      <c r="BN6" s="4" t="s">
        <v>102</v>
      </c>
      <c r="BO6" s="4" t="s">
        <v>103</v>
      </c>
      <c r="BP6" s="4" t="s">
        <v>104</v>
      </c>
      <c r="BQ6" s="4" t="s">
        <v>105</v>
      </c>
      <c r="BR6" s="4" t="s">
        <v>106</v>
      </c>
      <c r="BS6" s="4" t="s">
        <v>107</v>
      </c>
      <c r="BT6" s="4" t="s">
        <v>108</v>
      </c>
      <c r="BU6" s="4" t="s">
        <v>109</v>
      </c>
      <c r="BV6" s="4" t="s">
        <v>110</v>
      </c>
      <c r="BW6" s="4" t="s">
        <v>111</v>
      </c>
      <c r="BX6" s="4" t="s">
        <v>112</v>
      </c>
      <c r="BY6" s="4" t="s">
        <v>113</v>
      </c>
      <c r="BZ6" s="4" t="s">
        <v>114</v>
      </c>
      <c r="CA6" s="4" t="s">
        <v>115</v>
      </c>
      <c r="CB6" s="4" t="s">
        <v>116</v>
      </c>
      <c r="CC6" s="4" t="s">
        <v>117</v>
      </c>
      <c r="CD6" s="4" t="s">
        <v>118</v>
      </c>
      <c r="CE6" s="4" t="s">
        <v>119</v>
      </c>
      <c r="CF6" s="4" t="s">
        <v>120</v>
      </c>
      <c r="CG6" s="4" t="s">
        <v>121</v>
      </c>
      <c r="CH6" s="4" t="s">
        <v>122</v>
      </c>
      <c r="CI6" s="4" t="s">
        <v>123</v>
      </c>
      <c r="CJ6" s="4" t="s">
        <v>124</v>
      </c>
      <c r="CK6" s="4" t="s">
        <v>125</v>
      </c>
      <c r="CL6" s="4" t="s">
        <v>126</v>
      </c>
      <c r="CM6" s="4" t="s">
        <v>127</v>
      </c>
      <c r="CN6" s="4" t="s">
        <v>128</v>
      </c>
      <c r="CO6" s="4" t="s">
        <v>129</v>
      </c>
      <c r="CP6" s="4" t="s">
        <v>130</v>
      </c>
      <c r="CQ6" s="4" t="s">
        <v>131</v>
      </c>
      <c r="CR6" s="4" t="s">
        <v>132</v>
      </c>
      <c r="CS6" s="4" t="s">
        <v>133</v>
      </c>
      <c r="CT6" s="4" t="s">
        <v>134</v>
      </c>
      <c r="CU6" s="4" t="s">
        <v>135</v>
      </c>
      <c r="CV6" s="4" t="s">
        <v>136</v>
      </c>
      <c r="CW6" s="4" t="s">
        <v>137</v>
      </c>
      <c r="CX6" s="4" t="s">
        <v>138</v>
      </c>
      <c r="CY6" s="4" t="s">
        <v>139</v>
      </c>
      <c r="CZ6" s="4" t="s">
        <v>140</v>
      </c>
      <c r="DA6" s="4" t="s">
        <v>141</v>
      </c>
      <c r="DB6" s="4" t="s">
        <v>142</v>
      </c>
      <c r="DC6" s="4" t="s">
        <v>143</v>
      </c>
      <c r="DD6" s="4" t="s">
        <v>144</v>
      </c>
      <c r="DE6" s="4" t="s">
        <v>145</v>
      </c>
      <c r="DF6" s="4" t="s">
        <v>146</v>
      </c>
      <c r="DG6" s="4" t="s">
        <v>147</v>
      </c>
      <c r="DH6" s="4" t="s">
        <v>148</v>
      </c>
      <c r="DI6" s="4" t="s">
        <v>149</v>
      </c>
      <c r="DJ6" s="4" t="s">
        <v>150</v>
      </c>
      <c r="DK6" s="4" t="s">
        <v>151</v>
      </c>
      <c r="DL6" s="4" t="s">
        <v>152</v>
      </c>
      <c r="DM6" s="4" t="s">
        <v>153</v>
      </c>
    </row>
    <row r="7" spans="1:117" x14ac:dyDescent="0.3">
      <c r="A7" t="s">
        <v>154</v>
      </c>
      <c r="B7">
        <v>2024</v>
      </c>
      <c r="C7">
        <v>143948670</v>
      </c>
      <c r="D7">
        <v>1253863</v>
      </c>
      <c r="E7">
        <v>365621.2</v>
      </c>
      <c r="F7">
        <v>2816673</v>
      </c>
      <c r="G7">
        <v>148384821.59999999</v>
      </c>
      <c r="H7">
        <v>138775472.30000001</v>
      </c>
      <c r="I7">
        <v>73778920.599999994</v>
      </c>
      <c r="J7">
        <v>79080440</v>
      </c>
      <c r="K7">
        <v>116053670</v>
      </c>
      <c r="L7">
        <v>3.5900000000000001E-2</v>
      </c>
      <c r="M7">
        <v>5.3900000000000003E-2</v>
      </c>
      <c r="N7">
        <v>0.12089999999999999</v>
      </c>
      <c r="O7">
        <v>49905.55</v>
      </c>
      <c r="P7">
        <v>34302.5</v>
      </c>
      <c r="Q7">
        <v>0.63</v>
      </c>
      <c r="R7">
        <v>0.62</v>
      </c>
      <c r="S7">
        <v>236</v>
      </c>
      <c r="T7">
        <v>17.5</v>
      </c>
      <c r="U7">
        <v>2.4500000000000002</v>
      </c>
      <c r="V7">
        <v>17.600000000000001</v>
      </c>
      <c r="W7">
        <v>825.6</v>
      </c>
      <c r="X7">
        <v>0.15</v>
      </c>
      <c r="Y7">
        <v>237.2</v>
      </c>
      <c r="Z7">
        <v>42.3</v>
      </c>
      <c r="AA7">
        <v>279.39999999999998</v>
      </c>
      <c r="AB7">
        <v>249.6</v>
      </c>
      <c r="AC7">
        <v>18.7</v>
      </c>
      <c r="AD7">
        <v>2.63</v>
      </c>
      <c r="AE7">
        <v>18.3</v>
      </c>
      <c r="AF7">
        <v>865.8</v>
      </c>
      <c r="AG7">
        <v>0.15</v>
      </c>
      <c r="AH7">
        <v>250.9</v>
      </c>
      <c r="AI7">
        <v>44.1</v>
      </c>
      <c r="AJ7">
        <v>295</v>
      </c>
      <c r="AK7">
        <v>257.7</v>
      </c>
      <c r="AL7">
        <v>5.8</v>
      </c>
      <c r="AM7">
        <v>0.63</v>
      </c>
      <c r="AN7">
        <v>29.6</v>
      </c>
      <c r="AO7">
        <v>1315.4</v>
      </c>
      <c r="AP7">
        <v>0.11</v>
      </c>
      <c r="AQ7">
        <v>258</v>
      </c>
      <c r="AR7">
        <v>68.900000000000006</v>
      </c>
      <c r="AS7">
        <v>326.89999999999998</v>
      </c>
      <c r="AT7">
        <v>661</v>
      </c>
      <c r="AU7">
        <v>49.4</v>
      </c>
      <c r="AV7">
        <v>6.98</v>
      </c>
      <c r="AW7">
        <v>45.4</v>
      </c>
      <c r="AX7">
        <v>2254.6</v>
      </c>
      <c r="AY7">
        <v>0.34</v>
      </c>
      <c r="AZ7">
        <v>664.4</v>
      </c>
      <c r="BA7">
        <v>112.6</v>
      </c>
      <c r="BB7">
        <v>777.1</v>
      </c>
      <c r="BC7">
        <v>43497331.700000003</v>
      </c>
      <c r="BD7">
        <v>3216.7</v>
      </c>
      <c r="BE7">
        <v>452</v>
      </c>
      <c r="BF7">
        <v>3247198.6</v>
      </c>
      <c r="BG7">
        <v>152168.4</v>
      </c>
      <c r="BH7">
        <v>26.8</v>
      </c>
      <c r="BI7">
        <v>43716597.5</v>
      </c>
      <c r="BJ7">
        <v>7789125.7999999998</v>
      </c>
      <c r="BK7">
        <v>51505723.399999999</v>
      </c>
      <c r="BL7">
        <v>0</v>
      </c>
      <c r="BM7">
        <v>27.96</v>
      </c>
      <c r="BN7">
        <v>10.09</v>
      </c>
      <c r="BO7">
        <v>0</v>
      </c>
      <c r="BP7">
        <v>38.049999999999997</v>
      </c>
      <c r="BQ7">
        <v>29.71</v>
      </c>
      <c r="BR7">
        <v>11.13</v>
      </c>
      <c r="BS7">
        <v>0</v>
      </c>
      <c r="BT7">
        <v>40.840000000000003</v>
      </c>
      <c r="BU7">
        <v>185725700</v>
      </c>
      <c r="BV7">
        <v>74605900</v>
      </c>
      <c r="BW7">
        <v>1058299.8999999999</v>
      </c>
      <c r="BX7">
        <v>268082.59999999998</v>
      </c>
      <c r="BY7">
        <v>0</v>
      </c>
      <c r="BZ7">
        <v>0</v>
      </c>
      <c r="CA7">
        <v>22849070</v>
      </c>
      <c r="CB7">
        <v>0</v>
      </c>
      <c r="CC7">
        <v>610865.5</v>
      </c>
      <c r="CD7">
        <v>4276916</v>
      </c>
      <c r="CE7">
        <v>45641604</v>
      </c>
      <c r="CF7">
        <v>0</v>
      </c>
      <c r="CG7">
        <v>547197.1</v>
      </c>
      <c r="CH7">
        <v>64042.6</v>
      </c>
      <c r="CI7">
        <v>9500686</v>
      </c>
      <c r="CJ7">
        <v>30865014</v>
      </c>
      <c r="CK7">
        <v>35759</v>
      </c>
      <c r="CL7">
        <v>290045.5</v>
      </c>
      <c r="CM7">
        <v>0</v>
      </c>
      <c r="CN7">
        <v>60049544</v>
      </c>
      <c r="CO7">
        <v>9668579</v>
      </c>
      <c r="CP7">
        <v>0</v>
      </c>
      <c r="CQ7">
        <v>916</v>
      </c>
      <c r="CR7">
        <v>42.7</v>
      </c>
      <c r="CS7">
        <v>0</v>
      </c>
      <c r="CT7">
        <v>4483</v>
      </c>
      <c r="CU7">
        <v>0</v>
      </c>
      <c r="CV7">
        <v>295.60000000000002</v>
      </c>
      <c r="CW7">
        <v>2421</v>
      </c>
      <c r="CX7">
        <v>16489.7</v>
      </c>
      <c r="CY7">
        <v>0</v>
      </c>
      <c r="CZ7">
        <v>5487.7</v>
      </c>
      <c r="DA7">
        <v>8.6</v>
      </c>
      <c r="DB7">
        <v>3963</v>
      </c>
      <c r="DC7">
        <v>3937</v>
      </c>
      <c r="DD7">
        <v>1118</v>
      </c>
      <c r="DE7">
        <v>216.3</v>
      </c>
      <c r="DF7">
        <v>0</v>
      </c>
      <c r="DG7">
        <v>21937.3</v>
      </c>
      <c r="DH7">
        <v>0</v>
      </c>
      <c r="DI7">
        <v>2861.3</v>
      </c>
      <c r="DJ7">
        <v>2968.3</v>
      </c>
      <c r="DK7">
        <v>2163</v>
      </c>
      <c r="DL7">
        <v>0</v>
      </c>
      <c r="DM7">
        <v>0</v>
      </c>
    </row>
    <row r="8" spans="1:117" x14ac:dyDescent="0.3">
      <c r="A8" t="s">
        <v>154</v>
      </c>
      <c r="B8">
        <v>2026</v>
      </c>
      <c r="C8">
        <v>147637300</v>
      </c>
      <c r="D8">
        <v>4089530.5</v>
      </c>
      <c r="E8">
        <v>457150.2</v>
      </c>
      <c r="F8">
        <v>3614469.9</v>
      </c>
      <c r="G8">
        <v>155798439.80000001</v>
      </c>
      <c r="H8">
        <v>142331528.5</v>
      </c>
      <c r="I8">
        <v>68281243.400000006</v>
      </c>
      <c r="J8">
        <v>106739290</v>
      </c>
      <c r="K8">
        <v>143392320</v>
      </c>
      <c r="L8">
        <v>3.5900000000000001E-2</v>
      </c>
      <c r="M8">
        <v>5.3900000000000003E-2</v>
      </c>
      <c r="N8">
        <v>0.1208</v>
      </c>
      <c r="O8">
        <v>66439.3</v>
      </c>
      <c r="P8">
        <v>35166</v>
      </c>
      <c r="Q8">
        <v>0.69</v>
      </c>
      <c r="R8">
        <v>0.69</v>
      </c>
      <c r="S8">
        <v>201.1</v>
      </c>
      <c r="T8">
        <v>15.3</v>
      </c>
      <c r="U8">
        <v>2.16</v>
      </c>
      <c r="V8">
        <v>14.8</v>
      </c>
      <c r="W8">
        <v>690.2</v>
      </c>
      <c r="X8">
        <v>0.13</v>
      </c>
      <c r="Y8">
        <v>202.1</v>
      </c>
      <c r="Z8">
        <v>35.4</v>
      </c>
      <c r="AA8">
        <v>237.5</v>
      </c>
      <c r="AB8">
        <v>207</v>
      </c>
      <c r="AC8">
        <v>15.7</v>
      </c>
      <c r="AD8">
        <v>2.21</v>
      </c>
      <c r="AE8">
        <v>15.1</v>
      </c>
      <c r="AF8">
        <v>712.5</v>
      </c>
      <c r="AG8">
        <v>0.13</v>
      </c>
      <c r="AH8">
        <v>208.1</v>
      </c>
      <c r="AI8">
        <v>36.4</v>
      </c>
      <c r="AJ8">
        <v>244.4</v>
      </c>
      <c r="AK8">
        <v>154.1</v>
      </c>
      <c r="AL8">
        <v>4.4000000000000004</v>
      </c>
      <c r="AM8">
        <v>0.52</v>
      </c>
      <c r="AN8">
        <v>16.899999999999999</v>
      </c>
      <c r="AO8">
        <v>757.6</v>
      </c>
      <c r="AP8">
        <v>7.0000000000000007E-2</v>
      </c>
      <c r="AQ8">
        <v>154.4</v>
      </c>
      <c r="AR8">
        <v>39.5</v>
      </c>
      <c r="AS8">
        <v>193.9</v>
      </c>
      <c r="AT8">
        <v>600.70000000000005</v>
      </c>
      <c r="AU8">
        <v>43</v>
      </c>
      <c r="AV8">
        <v>6.04</v>
      </c>
      <c r="AW8">
        <v>42.9</v>
      </c>
      <c r="AX8">
        <v>2116.1</v>
      </c>
      <c r="AY8">
        <v>0.31</v>
      </c>
      <c r="AZ8">
        <v>603.6</v>
      </c>
      <c r="BA8">
        <v>106.1</v>
      </c>
      <c r="BB8">
        <v>709.7</v>
      </c>
      <c r="BC8">
        <v>38459555.700000003</v>
      </c>
      <c r="BD8">
        <v>2926.9</v>
      </c>
      <c r="BE8">
        <v>412.4</v>
      </c>
      <c r="BF8">
        <v>2824180.6</v>
      </c>
      <c r="BG8">
        <v>132008.79999999999</v>
      </c>
      <c r="BH8">
        <v>24.3</v>
      </c>
      <c r="BI8">
        <v>38659375.100000001</v>
      </c>
      <c r="BJ8">
        <v>6764687.9000000004</v>
      </c>
      <c r="BK8">
        <v>45424063</v>
      </c>
      <c r="BL8">
        <v>0</v>
      </c>
      <c r="BM8">
        <v>25.94</v>
      </c>
      <c r="BN8">
        <v>13.22</v>
      </c>
      <c r="BO8">
        <v>0</v>
      </c>
      <c r="BP8">
        <v>39.15</v>
      </c>
      <c r="BQ8">
        <v>27.81</v>
      </c>
      <c r="BR8">
        <v>14.83</v>
      </c>
      <c r="BS8">
        <v>0</v>
      </c>
      <c r="BT8">
        <v>42.64</v>
      </c>
      <c r="BU8">
        <v>192790580</v>
      </c>
      <c r="BV8">
        <v>87517200</v>
      </c>
      <c r="BW8">
        <v>3477472.5</v>
      </c>
      <c r="BX8">
        <v>264561</v>
      </c>
      <c r="BY8">
        <v>0</v>
      </c>
      <c r="BZ8">
        <v>0</v>
      </c>
      <c r="CA8">
        <v>21009922</v>
      </c>
      <c r="CB8">
        <v>0</v>
      </c>
      <c r="CC8">
        <v>608656.19999999995</v>
      </c>
      <c r="CD8">
        <v>5319292.5</v>
      </c>
      <c r="CE8">
        <v>38507870</v>
      </c>
      <c r="CF8">
        <v>0</v>
      </c>
      <c r="CG8">
        <v>421014.4</v>
      </c>
      <c r="CH8">
        <v>63990.2</v>
      </c>
      <c r="CI8">
        <v>10746645</v>
      </c>
      <c r="CJ8">
        <v>30392044</v>
      </c>
      <c r="CK8">
        <v>26155.8</v>
      </c>
      <c r="CL8">
        <v>363703.8</v>
      </c>
      <c r="CM8">
        <v>0</v>
      </c>
      <c r="CN8">
        <v>70623930</v>
      </c>
      <c r="CO8">
        <v>10965319</v>
      </c>
      <c r="CP8">
        <v>0</v>
      </c>
      <c r="CQ8">
        <v>2573.8000000000002</v>
      </c>
      <c r="CR8">
        <v>42.7</v>
      </c>
      <c r="CS8">
        <v>0</v>
      </c>
      <c r="CT8">
        <v>4483</v>
      </c>
      <c r="CU8">
        <v>0</v>
      </c>
      <c r="CV8">
        <v>295.60000000000002</v>
      </c>
      <c r="CW8">
        <v>3000.3</v>
      </c>
      <c r="CX8">
        <v>16489.7</v>
      </c>
      <c r="CY8">
        <v>0</v>
      </c>
      <c r="CZ8">
        <v>5392.7</v>
      </c>
      <c r="DA8">
        <v>8.6</v>
      </c>
      <c r="DB8">
        <v>4357</v>
      </c>
      <c r="DC8">
        <v>3937</v>
      </c>
      <c r="DD8">
        <v>1118</v>
      </c>
      <c r="DE8">
        <v>216.3</v>
      </c>
      <c r="DF8">
        <v>0</v>
      </c>
      <c r="DG8">
        <v>25529.1</v>
      </c>
      <c r="DH8">
        <v>0</v>
      </c>
      <c r="DI8">
        <v>3194.5</v>
      </c>
      <c r="DJ8">
        <v>9599.2999999999993</v>
      </c>
      <c r="DK8">
        <v>2163</v>
      </c>
      <c r="DL8">
        <v>0</v>
      </c>
      <c r="DM8">
        <v>0</v>
      </c>
    </row>
    <row r="9" spans="1:117" x14ac:dyDescent="0.3">
      <c r="A9" t="s">
        <v>154</v>
      </c>
      <c r="B9">
        <v>2028</v>
      </c>
      <c r="C9">
        <v>152042960</v>
      </c>
      <c r="D9">
        <v>6293663</v>
      </c>
      <c r="E9">
        <v>522529.2</v>
      </c>
      <c r="F9">
        <v>4362136.5999999996</v>
      </c>
      <c r="G9">
        <v>163221292.30000001</v>
      </c>
      <c r="H9">
        <v>146578870.90000001</v>
      </c>
      <c r="I9">
        <v>55047755.399999999</v>
      </c>
      <c r="J9">
        <v>137105490</v>
      </c>
      <c r="K9">
        <v>167474430</v>
      </c>
      <c r="L9">
        <v>3.5900000000000001E-2</v>
      </c>
      <c r="M9">
        <v>5.3900000000000003E-2</v>
      </c>
      <c r="N9">
        <v>0.121</v>
      </c>
      <c r="O9">
        <v>60595.9</v>
      </c>
      <c r="P9">
        <v>36322.300000000003</v>
      </c>
      <c r="Q9">
        <v>0.8</v>
      </c>
      <c r="R9">
        <v>0.8</v>
      </c>
      <c r="S9">
        <v>133.69999999999999</v>
      </c>
      <c r="T9">
        <v>10.4</v>
      </c>
      <c r="U9">
        <v>1.47</v>
      </c>
      <c r="V9">
        <v>10</v>
      </c>
      <c r="W9">
        <v>452.8</v>
      </c>
      <c r="X9">
        <v>0.09</v>
      </c>
      <c r="Y9">
        <v>134.4</v>
      </c>
      <c r="Z9">
        <v>23.6</v>
      </c>
      <c r="AA9">
        <v>157.9</v>
      </c>
      <c r="AB9">
        <v>135.9</v>
      </c>
      <c r="AC9">
        <v>10.5</v>
      </c>
      <c r="AD9">
        <v>1.48</v>
      </c>
      <c r="AE9">
        <v>10.1</v>
      </c>
      <c r="AF9">
        <v>463.6</v>
      </c>
      <c r="AG9">
        <v>0.09</v>
      </c>
      <c r="AH9">
        <v>136.69999999999999</v>
      </c>
      <c r="AI9">
        <v>23.9</v>
      </c>
      <c r="AJ9">
        <v>160.6</v>
      </c>
      <c r="AK9">
        <v>104.2</v>
      </c>
      <c r="AL9">
        <v>3.3</v>
      </c>
      <c r="AM9">
        <v>0.41</v>
      </c>
      <c r="AN9">
        <v>11.1</v>
      </c>
      <c r="AO9">
        <v>501.1</v>
      </c>
      <c r="AP9">
        <v>0.05</v>
      </c>
      <c r="AQ9">
        <v>104.4</v>
      </c>
      <c r="AR9">
        <v>26.1</v>
      </c>
      <c r="AS9">
        <v>130.5</v>
      </c>
      <c r="AT9">
        <v>484.8</v>
      </c>
      <c r="AU9">
        <v>32.700000000000003</v>
      </c>
      <c r="AV9">
        <v>4.58</v>
      </c>
      <c r="AW9">
        <v>36.700000000000003</v>
      </c>
      <c r="AX9">
        <v>1765.1</v>
      </c>
      <c r="AY9">
        <v>0.25</v>
      </c>
      <c r="AZ9">
        <v>487</v>
      </c>
      <c r="BA9">
        <v>89.4</v>
      </c>
      <c r="BB9">
        <v>576.4</v>
      </c>
      <c r="BC9">
        <v>25673869.100000001</v>
      </c>
      <c r="BD9">
        <v>1996.6</v>
      </c>
      <c r="BE9">
        <v>281.89999999999998</v>
      </c>
      <c r="BF9">
        <v>1929129.2</v>
      </c>
      <c r="BG9">
        <v>86965.5</v>
      </c>
      <c r="BH9">
        <v>18.100000000000001</v>
      </c>
      <c r="BI9">
        <v>25810338.100000001</v>
      </c>
      <c r="BJ9">
        <v>4525646.0999999996</v>
      </c>
      <c r="BK9">
        <v>30335984.199999999</v>
      </c>
      <c r="BL9">
        <v>0</v>
      </c>
      <c r="BM9">
        <v>20.93</v>
      </c>
      <c r="BN9">
        <v>11.87</v>
      </c>
      <c r="BO9">
        <v>0</v>
      </c>
      <c r="BP9">
        <v>32.799999999999997</v>
      </c>
      <c r="BQ9">
        <v>22.73</v>
      </c>
      <c r="BR9">
        <v>13.5</v>
      </c>
      <c r="BS9">
        <v>0</v>
      </c>
      <c r="BT9">
        <v>36.229999999999997</v>
      </c>
      <c r="BU9">
        <v>193906060</v>
      </c>
      <c r="BV9">
        <v>108173544</v>
      </c>
      <c r="BW9">
        <v>5395934.5</v>
      </c>
      <c r="BX9">
        <v>255561.7</v>
      </c>
      <c r="BY9">
        <v>0</v>
      </c>
      <c r="BZ9">
        <v>0</v>
      </c>
      <c r="CA9">
        <v>14483350</v>
      </c>
      <c r="CB9">
        <v>0</v>
      </c>
      <c r="CC9">
        <v>556958.6</v>
      </c>
      <c r="CD9">
        <v>6520668.5</v>
      </c>
      <c r="CE9">
        <v>24957266</v>
      </c>
      <c r="CF9">
        <v>0</v>
      </c>
      <c r="CG9">
        <v>199220.8</v>
      </c>
      <c r="CH9">
        <v>62781.2</v>
      </c>
      <c r="CI9">
        <v>10590049</v>
      </c>
      <c r="CJ9">
        <v>29352388</v>
      </c>
      <c r="CK9">
        <v>19751.400000000001</v>
      </c>
      <c r="CL9">
        <v>416224.2</v>
      </c>
      <c r="CM9">
        <v>0</v>
      </c>
      <c r="CN9">
        <v>81877870</v>
      </c>
      <c r="CO9">
        <v>19218034</v>
      </c>
      <c r="CP9">
        <v>0</v>
      </c>
      <c r="CQ9">
        <v>3748.4</v>
      </c>
      <c r="CR9">
        <v>42.7</v>
      </c>
      <c r="CS9">
        <v>0</v>
      </c>
      <c r="CT9">
        <v>4483</v>
      </c>
      <c r="CU9">
        <v>0</v>
      </c>
      <c r="CV9">
        <v>295.60000000000002</v>
      </c>
      <c r="CW9">
        <v>3736.8</v>
      </c>
      <c r="CX9">
        <v>16039.7</v>
      </c>
      <c r="CY9">
        <v>0</v>
      </c>
      <c r="CZ9">
        <v>4738.2</v>
      </c>
      <c r="DA9">
        <v>8.6</v>
      </c>
      <c r="DB9">
        <v>4360</v>
      </c>
      <c r="DC9">
        <v>3937</v>
      </c>
      <c r="DD9">
        <v>1098</v>
      </c>
      <c r="DE9">
        <v>216.3</v>
      </c>
      <c r="DF9">
        <v>0</v>
      </c>
      <c r="DG9">
        <v>29931.8</v>
      </c>
      <c r="DH9">
        <v>0</v>
      </c>
      <c r="DI9">
        <v>5373.5</v>
      </c>
      <c r="DJ9">
        <v>14656.9</v>
      </c>
      <c r="DK9">
        <v>2163</v>
      </c>
      <c r="DL9">
        <v>0</v>
      </c>
      <c r="DM9">
        <v>0</v>
      </c>
    </row>
    <row r="10" spans="1:117" x14ac:dyDescent="0.3">
      <c r="A10" t="s">
        <v>154</v>
      </c>
      <c r="B10">
        <v>2030</v>
      </c>
      <c r="C10">
        <v>157141620</v>
      </c>
      <c r="D10">
        <v>10031052</v>
      </c>
      <c r="E10">
        <v>580361.6</v>
      </c>
      <c r="F10">
        <v>4115219</v>
      </c>
      <c r="G10">
        <v>171868242.30000001</v>
      </c>
      <c r="H10">
        <v>151494285.59999999</v>
      </c>
      <c r="I10">
        <v>58500288.100000001</v>
      </c>
      <c r="J10">
        <v>132044780</v>
      </c>
      <c r="K10">
        <v>153416140</v>
      </c>
      <c r="L10">
        <v>3.5900000000000001E-2</v>
      </c>
      <c r="M10">
        <v>5.3900000000000003E-2</v>
      </c>
      <c r="N10">
        <v>0.12089999999999999</v>
      </c>
      <c r="O10">
        <v>61567.37</v>
      </c>
      <c r="P10">
        <v>37735</v>
      </c>
      <c r="Q10">
        <v>0.84</v>
      </c>
      <c r="R10">
        <v>0.84</v>
      </c>
      <c r="S10">
        <v>113.6</v>
      </c>
      <c r="T10">
        <v>9.4</v>
      </c>
      <c r="U10">
        <v>1.34</v>
      </c>
      <c r="V10">
        <v>8.1999999999999993</v>
      </c>
      <c r="W10">
        <v>366.2</v>
      </c>
      <c r="X10">
        <v>0.08</v>
      </c>
      <c r="Y10">
        <v>114.2</v>
      </c>
      <c r="Z10">
        <v>19.100000000000001</v>
      </c>
      <c r="AA10">
        <v>133.30000000000001</v>
      </c>
      <c r="AB10">
        <v>110.8</v>
      </c>
      <c r="AC10">
        <v>9</v>
      </c>
      <c r="AD10">
        <v>1.28</v>
      </c>
      <c r="AE10">
        <v>8</v>
      </c>
      <c r="AF10">
        <v>362.6</v>
      </c>
      <c r="AG10">
        <v>0.08</v>
      </c>
      <c r="AH10">
        <v>111.4</v>
      </c>
      <c r="AI10">
        <v>18.8</v>
      </c>
      <c r="AJ10">
        <v>130.30000000000001</v>
      </c>
      <c r="AK10">
        <v>83</v>
      </c>
      <c r="AL10">
        <v>2.8</v>
      </c>
      <c r="AM10">
        <v>0.35</v>
      </c>
      <c r="AN10">
        <v>8.6999999999999993</v>
      </c>
      <c r="AO10">
        <v>394.3</v>
      </c>
      <c r="AP10">
        <v>0.04</v>
      </c>
      <c r="AQ10">
        <v>83.2</v>
      </c>
      <c r="AR10">
        <v>20.5</v>
      </c>
      <c r="AS10">
        <v>103.7</v>
      </c>
      <c r="AT10">
        <v>410.1</v>
      </c>
      <c r="AU10">
        <v>28.4</v>
      </c>
      <c r="AV10">
        <v>3.99</v>
      </c>
      <c r="AW10">
        <v>30.8</v>
      </c>
      <c r="AX10">
        <v>1470.2</v>
      </c>
      <c r="AY10">
        <v>0.22</v>
      </c>
      <c r="AZ10">
        <v>412</v>
      </c>
      <c r="BA10">
        <v>74.7</v>
      </c>
      <c r="BB10">
        <v>486.7</v>
      </c>
      <c r="BC10">
        <v>21747422.5</v>
      </c>
      <c r="BD10">
        <v>1807.7</v>
      </c>
      <c r="BE10">
        <v>256.8</v>
      </c>
      <c r="BF10">
        <v>1561855.6</v>
      </c>
      <c r="BG10">
        <v>70099.399999999994</v>
      </c>
      <c r="BH10">
        <v>16.100000000000001</v>
      </c>
      <c r="BI10">
        <v>21871384.5</v>
      </c>
      <c r="BJ10">
        <v>3655224.2</v>
      </c>
      <c r="BK10">
        <v>25526608.699999999</v>
      </c>
      <c r="BL10">
        <v>0</v>
      </c>
      <c r="BM10">
        <v>18.82</v>
      </c>
      <c r="BN10">
        <v>11.82</v>
      </c>
      <c r="BO10">
        <v>0</v>
      </c>
      <c r="BP10">
        <v>30.64</v>
      </c>
      <c r="BQ10">
        <v>20.74</v>
      </c>
      <c r="BR10">
        <v>13.7</v>
      </c>
      <c r="BS10">
        <v>0</v>
      </c>
      <c r="BT10">
        <v>34.44</v>
      </c>
      <c r="BU10">
        <v>193562020</v>
      </c>
      <c r="BV10">
        <v>113367950</v>
      </c>
      <c r="BW10">
        <v>8528383</v>
      </c>
      <c r="BX10">
        <v>248627.6</v>
      </c>
      <c r="BY10">
        <v>0</v>
      </c>
      <c r="BZ10">
        <v>0</v>
      </c>
      <c r="CA10">
        <v>13433882</v>
      </c>
      <c r="CB10">
        <v>0</v>
      </c>
      <c r="CC10">
        <v>441317.3</v>
      </c>
      <c r="CD10">
        <v>7608230.5</v>
      </c>
      <c r="CE10">
        <v>18266398</v>
      </c>
      <c r="CF10">
        <v>0</v>
      </c>
      <c r="CG10">
        <v>137996.4</v>
      </c>
      <c r="CH10">
        <v>61267.8</v>
      </c>
      <c r="CI10">
        <v>10472780</v>
      </c>
      <c r="CJ10">
        <v>28571094</v>
      </c>
      <c r="CK10">
        <v>2684.8</v>
      </c>
      <c r="CL10">
        <v>470947.8</v>
      </c>
      <c r="CM10">
        <v>0</v>
      </c>
      <c r="CN10">
        <v>82395040</v>
      </c>
      <c r="CO10">
        <v>22923364</v>
      </c>
      <c r="CP10">
        <v>0</v>
      </c>
      <c r="CQ10">
        <v>5624.5</v>
      </c>
      <c r="CR10">
        <v>42.7</v>
      </c>
      <c r="CS10">
        <v>0</v>
      </c>
      <c r="CT10">
        <v>4483</v>
      </c>
      <c r="CU10">
        <v>0</v>
      </c>
      <c r="CV10">
        <v>295.60000000000002</v>
      </c>
      <c r="CW10">
        <v>4536.1000000000004</v>
      </c>
      <c r="CX10">
        <v>15671.7</v>
      </c>
      <c r="CY10">
        <v>0</v>
      </c>
      <c r="CZ10">
        <v>4386.1000000000004</v>
      </c>
      <c r="DA10">
        <v>8.6</v>
      </c>
      <c r="DB10">
        <v>4360</v>
      </c>
      <c r="DC10">
        <v>3937</v>
      </c>
      <c r="DD10">
        <v>585</v>
      </c>
      <c r="DE10">
        <v>216.3</v>
      </c>
      <c r="DF10">
        <v>0</v>
      </c>
      <c r="DG10">
        <v>32412.6</v>
      </c>
      <c r="DH10">
        <v>0</v>
      </c>
      <c r="DI10">
        <v>6440.3</v>
      </c>
      <c r="DJ10">
        <v>22902.5</v>
      </c>
      <c r="DK10">
        <v>2163</v>
      </c>
      <c r="DL10">
        <v>0</v>
      </c>
      <c r="DM10">
        <v>0</v>
      </c>
    </row>
    <row r="11" spans="1:117" x14ac:dyDescent="0.3">
      <c r="A11" t="s">
        <v>154</v>
      </c>
      <c r="B11">
        <v>2035</v>
      </c>
      <c r="C11">
        <v>171381460</v>
      </c>
      <c r="D11">
        <v>24192988</v>
      </c>
      <c r="E11">
        <v>565303.80000000005</v>
      </c>
      <c r="F11">
        <v>3780549.1</v>
      </c>
      <c r="G11">
        <v>199920291.69999999</v>
      </c>
      <c r="H11">
        <v>165222386.69999999</v>
      </c>
      <c r="I11">
        <v>70967768.900000006</v>
      </c>
      <c r="J11">
        <v>125248910</v>
      </c>
      <c r="K11">
        <v>135705820</v>
      </c>
      <c r="L11">
        <v>3.5900000000000001E-2</v>
      </c>
      <c r="M11">
        <v>5.3900000000000003E-2</v>
      </c>
      <c r="N11">
        <v>0.12139999999999999</v>
      </c>
      <c r="O11">
        <v>84675.46</v>
      </c>
      <c r="P11">
        <v>41573.800000000003</v>
      </c>
      <c r="Q11">
        <v>0.89</v>
      </c>
      <c r="R11">
        <v>0.89</v>
      </c>
      <c r="S11">
        <v>68.900000000000006</v>
      </c>
      <c r="T11">
        <v>5.4</v>
      </c>
      <c r="U11">
        <v>0.76</v>
      </c>
      <c r="V11">
        <v>5.6</v>
      </c>
      <c r="W11">
        <v>234.4</v>
      </c>
      <c r="X11">
        <v>0.06</v>
      </c>
      <c r="Y11">
        <v>69.2</v>
      </c>
      <c r="Z11">
        <v>12.6</v>
      </c>
      <c r="AA11">
        <v>81.900000000000006</v>
      </c>
      <c r="AB11">
        <v>70.599999999999994</v>
      </c>
      <c r="AC11">
        <v>5.4</v>
      </c>
      <c r="AD11">
        <v>0.77</v>
      </c>
      <c r="AE11">
        <v>5.7</v>
      </c>
      <c r="AF11">
        <v>242.4</v>
      </c>
      <c r="AG11">
        <v>0.06</v>
      </c>
      <c r="AH11">
        <v>71</v>
      </c>
      <c r="AI11">
        <v>13</v>
      </c>
      <c r="AJ11">
        <v>84</v>
      </c>
      <c r="AK11">
        <v>119.1</v>
      </c>
      <c r="AL11">
        <v>3.6</v>
      </c>
      <c r="AM11">
        <v>0.44</v>
      </c>
      <c r="AN11">
        <v>12.9</v>
      </c>
      <c r="AO11">
        <v>578.4</v>
      </c>
      <c r="AP11">
        <v>0.05</v>
      </c>
      <c r="AQ11">
        <v>119.3</v>
      </c>
      <c r="AR11">
        <v>30.1</v>
      </c>
      <c r="AS11">
        <v>149.4</v>
      </c>
      <c r="AT11">
        <v>335</v>
      </c>
      <c r="AU11">
        <v>23.2</v>
      </c>
      <c r="AV11">
        <v>3.26</v>
      </c>
      <c r="AW11">
        <v>25.8</v>
      </c>
      <c r="AX11">
        <v>1206.2</v>
      </c>
      <c r="AY11">
        <v>0.19</v>
      </c>
      <c r="AZ11">
        <v>336.6</v>
      </c>
      <c r="BA11">
        <v>61.8</v>
      </c>
      <c r="BB11">
        <v>398.4</v>
      </c>
      <c r="BC11">
        <v>14336157.4</v>
      </c>
      <c r="BD11">
        <v>1118.0999999999999</v>
      </c>
      <c r="BE11">
        <v>157.9</v>
      </c>
      <c r="BF11">
        <v>1175007.7</v>
      </c>
      <c r="BG11">
        <v>48724.7</v>
      </c>
      <c r="BH11">
        <v>12.4</v>
      </c>
      <c r="BI11">
        <v>14412586.199999999</v>
      </c>
      <c r="BJ11">
        <v>2630377.7999999998</v>
      </c>
      <c r="BK11">
        <v>17042964</v>
      </c>
      <c r="BL11">
        <v>0</v>
      </c>
      <c r="BM11">
        <v>15.57</v>
      </c>
      <c r="BN11">
        <v>15.3</v>
      </c>
      <c r="BO11">
        <v>0</v>
      </c>
      <c r="BP11">
        <v>30.86</v>
      </c>
      <c r="BQ11">
        <v>17.75</v>
      </c>
      <c r="BR11">
        <v>18.98</v>
      </c>
      <c r="BS11">
        <v>0</v>
      </c>
      <c r="BT11">
        <v>36.729999999999997</v>
      </c>
      <c r="BU11">
        <v>210627860</v>
      </c>
      <c r="BV11">
        <v>128952530</v>
      </c>
      <c r="BW11">
        <v>20532598</v>
      </c>
      <c r="BX11">
        <v>225081.4</v>
      </c>
      <c r="BY11">
        <v>0</v>
      </c>
      <c r="BZ11">
        <v>0</v>
      </c>
      <c r="CA11">
        <v>8231337.5</v>
      </c>
      <c r="CB11">
        <v>0</v>
      </c>
      <c r="CC11">
        <v>378828.1</v>
      </c>
      <c r="CD11">
        <v>8916487</v>
      </c>
      <c r="CE11">
        <v>14103992</v>
      </c>
      <c r="CF11">
        <v>0</v>
      </c>
      <c r="CG11">
        <v>113331.4</v>
      </c>
      <c r="CH11">
        <v>60463.1</v>
      </c>
      <c r="CI11">
        <v>10419592</v>
      </c>
      <c r="CJ11">
        <v>27536908</v>
      </c>
      <c r="CK11">
        <v>4222.1000000000004</v>
      </c>
      <c r="CL11">
        <v>447807</v>
      </c>
      <c r="CM11">
        <v>0</v>
      </c>
      <c r="CN11">
        <v>96125930</v>
      </c>
      <c r="CO11">
        <v>23531278</v>
      </c>
      <c r="CP11">
        <v>0</v>
      </c>
      <c r="CQ11">
        <v>11059</v>
      </c>
      <c r="CR11">
        <v>40.5</v>
      </c>
      <c r="CS11">
        <v>0</v>
      </c>
      <c r="CT11">
        <v>2181</v>
      </c>
      <c r="CU11">
        <v>0</v>
      </c>
      <c r="CV11">
        <v>295.60000000000002</v>
      </c>
      <c r="CW11">
        <v>5682.9</v>
      </c>
      <c r="CX11">
        <v>15247.3</v>
      </c>
      <c r="CY11">
        <v>0</v>
      </c>
      <c r="CZ11">
        <v>4386.1000000000004</v>
      </c>
      <c r="DA11">
        <v>8.6</v>
      </c>
      <c r="DB11">
        <v>4360</v>
      </c>
      <c r="DC11">
        <v>3937</v>
      </c>
      <c r="DD11">
        <v>359</v>
      </c>
      <c r="DE11">
        <v>216.3</v>
      </c>
      <c r="DF11">
        <v>0</v>
      </c>
      <c r="DG11">
        <v>39402.300000000003</v>
      </c>
      <c r="DH11">
        <v>0</v>
      </c>
      <c r="DI11">
        <v>6654.3</v>
      </c>
      <c r="DJ11">
        <v>56485.7</v>
      </c>
      <c r="DK11">
        <v>2163</v>
      </c>
      <c r="DL11">
        <v>0</v>
      </c>
      <c r="DM11">
        <v>0</v>
      </c>
    </row>
    <row r="12" spans="1:117" x14ac:dyDescent="0.3">
      <c r="A12" t="s">
        <v>154</v>
      </c>
      <c r="B12">
        <v>2040</v>
      </c>
      <c r="C12">
        <v>188492380</v>
      </c>
      <c r="D12">
        <v>39597396</v>
      </c>
      <c r="E12">
        <v>541825.80000000005</v>
      </c>
      <c r="F12">
        <v>4127271.4</v>
      </c>
      <c r="G12">
        <v>232758878.90000001</v>
      </c>
      <c r="H12">
        <v>181718371.80000001</v>
      </c>
      <c r="I12">
        <v>78028485</v>
      </c>
      <c r="J12">
        <v>139015660</v>
      </c>
      <c r="K12">
        <v>147911470</v>
      </c>
      <c r="L12">
        <v>3.5900000000000001E-2</v>
      </c>
      <c r="M12">
        <v>5.3900000000000003E-2</v>
      </c>
      <c r="N12">
        <v>0.12180000000000001</v>
      </c>
      <c r="O12">
        <v>82732.69</v>
      </c>
      <c r="P12">
        <v>46020.1</v>
      </c>
      <c r="Q12">
        <v>0.94</v>
      </c>
      <c r="R12">
        <v>0.93</v>
      </c>
      <c r="S12">
        <v>42.7</v>
      </c>
      <c r="T12">
        <v>3.4</v>
      </c>
      <c r="U12">
        <v>0.48</v>
      </c>
      <c r="V12">
        <v>3.7</v>
      </c>
      <c r="W12">
        <v>143.30000000000001</v>
      </c>
      <c r="X12">
        <v>0.04</v>
      </c>
      <c r="Y12">
        <v>42.9</v>
      </c>
      <c r="Z12">
        <v>8</v>
      </c>
      <c r="AA12">
        <v>50.9</v>
      </c>
      <c r="AB12">
        <v>44.7</v>
      </c>
      <c r="AC12">
        <v>3.6</v>
      </c>
      <c r="AD12">
        <v>0.5</v>
      </c>
      <c r="AE12">
        <v>3.8</v>
      </c>
      <c r="AF12">
        <v>150.1</v>
      </c>
      <c r="AG12">
        <v>0.04</v>
      </c>
      <c r="AH12">
        <v>44.9</v>
      </c>
      <c r="AI12">
        <v>8.3000000000000007</v>
      </c>
      <c r="AJ12">
        <v>53.2</v>
      </c>
      <c r="AK12">
        <v>152.69999999999999</v>
      </c>
      <c r="AL12">
        <v>5.3</v>
      </c>
      <c r="AM12">
        <v>0.66</v>
      </c>
      <c r="AN12">
        <v>15.9</v>
      </c>
      <c r="AO12">
        <v>721.5</v>
      </c>
      <c r="AP12">
        <v>7.0000000000000007E-2</v>
      </c>
      <c r="AQ12">
        <v>153</v>
      </c>
      <c r="AR12">
        <v>37.5</v>
      </c>
      <c r="AS12">
        <v>190.5</v>
      </c>
      <c r="AT12">
        <v>300.89999999999998</v>
      </c>
      <c r="AU12">
        <v>21.2</v>
      </c>
      <c r="AV12">
        <v>2.96</v>
      </c>
      <c r="AW12">
        <v>22.6</v>
      </c>
      <c r="AX12">
        <v>1078.5999999999999</v>
      </c>
      <c r="AY12">
        <v>0.17</v>
      </c>
      <c r="AZ12">
        <v>302.39999999999998</v>
      </c>
      <c r="BA12">
        <v>54.8</v>
      </c>
      <c r="BB12">
        <v>357.2</v>
      </c>
      <c r="BC12">
        <v>10169335.199999999</v>
      </c>
      <c r="BD12">
        <v>814</v>
      </c>
      <c r="BE12">
        <v>115.2</v>
      </c>
      <c r="BF12">
        <v>881793.4</v>
      </c>
      <c r="BG12">
        <v>34074.1</v>
      </c>
      <c r="BH12">
        <v>10.3</v>
      </c>
      <c r="BI12">
        <v>10225049.6</v>
      </c>
      <c r="BJ12">
        <v>1900008.5</v>
      </c>
      <c r="BK12">
        <v>12125058.1</v>
      </c>
      <c r="BL12">
        <v>0</v>
      </c>
      <c r="BM12">
        <v>12.63</v>
      </c>
      <c r="BN12">
        <v>14.18</v>
      </c>
      <c r="BO12">
        <v>0</v>
      </c>
      <c r="BP12">
        <v>26.81</v>
      </c>
      <c r="BQ12">
        <v>14.73</v>
      </c>
      <c r="BR12">
        <v>18.64</v>
      </c>
      <c r="BS12">
        <v>0</v>
      </c>
      <c r="BT12">
        <v>33.369999999999997</v>
      </c>
      <c r="BU12">
        <v>241941730</v>
      </c>
      <c r="BV12">
        <v>154730400</v>
      </c>
      <c r="BW12">
        <v>33760680</v>
      </c>
      <c r="BX12">
        <v>218856.6</v>
      </c>
      <c r="BY12">
        <v>0</v>
      </c>
      <c r="BZ12">
        <v>0</v>
      </c>
      <c r="CA12">
        <v>6037824</v>
      </c>
      <c r="CB12">
        <v>0</v>
      </c>
      <c r="CC12">
        <v>368334.2</v>
      </c>
      <c r="CD12">
        <v>8922198</v>
      </c>
      <c r="CE12">
        <v>9530107</v>
      </c>
      <c r="CF12">
        <v>0</v>
      </c>
      <c r="CG12">
        <v>63337.8</v>
      </c>
      <c r="CH12">
        <v>60463.5</v>
      </c>
      <c r="CI12">
        <v>10166571</v>
      </c>
      <c r="CJ12">
        <v>26945542</v>
      </c>
      <c r="CK12">
        <v>535.6</v>
      </c>
      <c r="CL12">
        <v>427417.8</v>
      </c>
      <c r="CM12">
        <v>0</v>
      </c>
      <c r="CN12">
        <v>114344270</v>
      </c>
      <c r="CO12">
        <v>31095594</v>
      </c>
      <c r="CP12">
        <v>0</v>
      </c>
      <c r="CQ12">
        <v>17427.2</v>
      </c>
      <c r="CR12">
        <v>40.5</v>
      </c>
      <c r="CS12">
        <v>0</v>
      </c>
      <c r="CT12">
        <v>2065</v>
      </c>
      <c r="CU12">
        <v>0</v>
      </c>
      <c r="CV12">
        <v>295.60000000000002</v>
      </c>
      <c r="CW12">
        <v>5908.7</v>
      </c>
      <c r="CX12">
        <v>15174.3</v>
      </c>
      <c r="CY12">
        <v>0</v>
      </c>
      <c r="CZ12">
        <v>4386.1000000000004</v>
      </c>
      <c r="DA12">
        <v>8.6</v>
      </c>
      <c r="DB12">
        <v>4360</v>
      </c>
      <c r="DC12">
        <v>3937</v>
      </c>
      <c r="DD12">
        <v>175</v>
      </c>
      <c r="DE12">
        <v>216.3</v>
      </c>
      <c r="DF12">
        <v>0</v>
      </c>
      <c r="DG12">
        <v>46970.3</v>
      </c>
      <c r="DH12">
        <v>0</v>
      </c>
      <c r="DI12">
        <v>8526.7999999999993</v>
      </c>
      <c r="DJ12">
        <v>94780.9</v>
      </c>
      <c r="DK12">
        <v>2163</v>
      </c>
      <c r="DL12">
        <v>0</v>
      </c>
      <c r="DM12">
        <v>0</v>
      </c>
    </row>
    <row r="13" spans="1:117" x14ac:dyDescent="0.3">
      <c r="A13" t="s">
        <v>154</v>
      </c>
      <c r="B13">
        <v>2045</v>
      </c>
      <c r="C13">
        <v>205065140</v>
      </c>
      <c r="D13">
        <v>52861468</v>
      </c>
      <c r="E13">
        <v>574055.19999999995</v>
      </c>
      <c r="F13">
        <v>3767009.1</v>
      </c>
      <c r="G13">
        <v>262267674</v>
      </c>
      <c r="H13">
        <v>197695456.90000001</v>
      </c>
      <c r="I13">
        <v>91214323.5</v>
      </c>
      <c r="J13">
        <v>129935660</v>
      </c>
      <c r="K13">
        <v>132147670</v>
      </c>
      <c r="L13">
        <v>3.5900000000000001E-2</v>
      </c>
      <c r="M13">
        <v>5.3900000000000003E-2</v>
      </c>
      <c r="N13">
        <v>0.12189999999999999</v>
      </c>
      <c r="O13">
        <v>84348.68</v>
      </c>
      <c r="P13">
        <v>50189.1</v>
      </c>
      <c r="Q13">
        <v>0.95</v>
      </c>
      <c r="R13">
        <v>0.95</v>
      </c>
      <c r="S13">
        <v>31.8</v>
      </c>
      <c r="T13">
        <v>2.6</v>
      </c>
      <c r="U13">
        <v>0.37</v>
      </c>
      <c r="V13">
        <v>2.8</v>
      </c>
      <c r="W13">
        <v>104.8</v>
      </c>
      <c r="X13">
        <v>0.04</v>
      </c>
      <c r="Y13">
        <v>32</v>
      </c>
      <c r="Z13">
        <v>6</v>
      </c>
      <c r="AA13">
        <v>38</v>
      </c>
      <c r="AB13">
        <v>33.5</v>
      </c>
      <c r="AC13">
        <v>2.8</v>
      </c>
      <c r="AD13">
        <v>0.39</v>
      </c>
      <c r="AE13">
        <v>3</v>
      </c>
      <c r="AF13">
        <v>109.8</v>
      </c>
      <c r="AG13">
        <v>0.04</v>
      </c>
      <c r="AH13">
        <v>33.700000000000003</v>
      </c>
      <c r="AI13">
        <v>6.2</v>
      </c>
      <c r="AJ13">
        <v>39.9</v>
      </c>
      <c r="AK13">
        <v>152.6</v>
      </c>
      <c r="AL13">
        <v>5.8</v>
      </c>
      <c r="AM13">
        <v>0.74</v>
      </c>
      <c r="AN13">
        <v>15.5</v>
      </c>
      <c r="AO13">
        <v>705</v>
      </c>
      <c r="AP13">
        <v>7.0000000000000007E-2</v>
      </c>
      <c r="AQ13">
        <v>153</v>
      </c>
      <c r="AR13">
        <v>36.5</v>
      </c>
      <c r="AS13">
        <v>189.5</v>
      </c>
      <c r="AT13">
        <v>219</v>
      </c>
      <c r="AU13">
        <v>14.9</v>
      </c>
      <c r="AV13">
        <v>2.08</v>
      </c>
      <c r="AW13">
        <v>17.5</v>
      </c>
      <c r="AX13">
        <v>802.3</v>
      </c>
      <c r="AY13">
        <v>0.13</v>
      </c>
      <c r="AZ13">
        <v>220.1</v>
      </c>
      <c r="BA13">
        <v>41.4</v>
      </c>
      <c r="BB13">
        <v>261.5</v>
      </c>
      <c r="BC13">
        <v>8270260.7000000002</v>
      </c>
      <c r="BD13">
        <v>683</v>
      </c>
      <c r="BE13">
        <v>96.9</v>
      </c>
      <c r="BF13">
        <v>736016.8</v>
      </c>
      <c r="BG13">
        <v>27140.9</v>
      </c>
      <c r="BH13">
        <v>9.1999999999999993</v>
      </c>
      <c r="BI13">
        <v>8317079.0999999996</v>
      </c>
      <c r="BJ13">
        <v>1547332.7</v>
      </c>
      <c r="BK13">
        <v>9864411.8000000007</v>
      </c>
      <c r="BL13">
        <v>0</v>
      </c>
      <c r="BM13">
        <v>9.7200000000000006</v>
      </c>
      <c r="BN13">
        <v>13.93</v>
      </c>
      <c r="BO13">
        <v>0</v>
      </c>
      <c r="BP13">
        <v>23.66</v>
      </c>
      <c r="BQ13">
        <v>11.97</v>
      </c>
      <c r="BR13">
        <v>18.96</v>
      </c>
      <c r="BS13">
        <v>0</v>
      </c>
      <c r="BT13">
        <v>30.93</v>
      </c>
      <c r="BU13">
        <v>264769330</v>
      </c>
      <c r="BV13">
        <v>171053340</v>
      </c>
      <c r="BW13">
        <v>44897732</v>
      </c>
      <c r="BX13">
        <v>211938</v>
      </c>
      <c r="BY13">
        <v>0</v>
      </c>
      <c r="BZ13">
        <v>0</v>
      </c>
      <c r="CA13">
        <v>5122842.5</v>
      </c>
      <c r="CB13">
        <v>0</v>
      </c>
      <c r="CC13">
        <v>0</v>
      </c>
      <c r="CD13">
        <v>8252094.5</v>
      </c>
      <c r="CE13">
        <v>7293065.5</v>
      </c>
      <c r="CF13">
        <v>0</v>
      </c>
      <c r="CG13">
        <v>38752.400000000001</v>
      </c>
      <c r="CH13">
        <v>48722</v>
      </c>
      <c r="CI13">
        <v>9580631</v>
      </c>
      <c r="CJ13">
        <v>26072742</v>
      </c>
      <c r="CK13">
        <v>107.1</v>
      </c>
      <c r="CL13">
        <v>449454</v>
      </c>
      <c r="CM13">
        <v>0</v>
      </c>
      <c r="CN13">
        <v>132639150</v>
      </c>
      <c r="CO13">
        <v>30162106</v>
      </c>
      <c r="CP13">
        <v>0</v>
      </c>
      <c r="CQ13">
        <v>22312.799999999999</v>
      </c>
      <c r="CR13">
        <v>40.5</v>
      </c>
      <c r="CS13">
        <v>0</v>
      </c>
      <c r="CT13">
        <v>2065</v>
      </c>
      <c r="CU13">
        <v>0</v>
      </c>
      <c r="CV13">
        <v>0</v>
      </c>
      <c r="CW13">
        <v>6218.4</v>
      </c>
      <c r="CX13">
        <v>15174.3</v>
      </c>
      <c r="CY13">
        <v>0</v>
      </c>
      <c r="CZ13">
        <v>4345.6000000000004</v>
      </c>
      <c r="DA13">
        <v>7</v>
      </c>
      <c r="DB13">
        <v>4360</v>
      </c>
      <c r="DC13">
        <v>3937</v>
      </c>
      <c r="DD13">
        <v>175</v>
      </c>
      <c r="DE13">
        <v>216.3</v>
      </c>
      <c r="DF13">
        <v>0</v>
      </c>
      <c r="DG13">
        <v>56899</v>
      </c>
      <c r="DH13">
        <v>0</v>
      </c>
      <c r="DI13">
        <v>8367.2000000000007</v>
      </c>
      <c r="DJ13">
        <v>124723.6</v>
      </c>
      <c r="DK13">
        <v>2163</v>
      </c>
      <c r="DL13">
        <v>0</v>
      </c>
      <c r="DM13">
        <v>0</v>
      </c>
    </row>
    <row r="14" spans="1:117" x14ac:dyDescent="0.3">
      <c r="A14" t="s">
        <v>154</v>
      </c>
      <c r="B14">
        <v>2050</v>
      </c>
      <c r="C14">
        <v>221323820</v>
      </c>
      <c r="D14">
        <v>51305068</v>
      </c>
      <c r="E14">
        <v>604198.19999999995</v>
      </c>
      <c r="F14">
        <v>3739195.6</v>
      </c>
      <c r="G14">
        <v>276972281.80000001</v>
      </c>
      <c r="H14">
        <v>213369676.5</v>
      </c>
      <c r="I14">
        <v>101163668.8</v>
      </c>
      <c r="J14">
        <v>133208104</v>
      </c>
      <c r="K14">
        <v>126987790</v>
      </c>
      <c r="L14">
        <v>3.5900000000000001E-2</v>
      </c>
      <c r="M14">
        <v>5.3900000000000003E-2</v>
      </c>
      <c r="N14">
        <v>0.12180000000000001</v>
      </c>
      <c r="O14">
        <v>86747.66</v>
      </c>
      <c r="P14">
        <v>53884.6</v>
      </c>
      <c r="Q14">
        <v>0.94</v>
      </c>
      <c r="R14">
        <v>0.95</v>
      </c>
      <c r="S14">
        <v>35.9</v>
      </c>
      <c r="T14">
        <v>2.8</v>
      </c>
      <c r="U14">
        <v>0.4</v>
      </c>
      <c r="V14">
        <v>3.2</v>
      </c>
      <c r="W14">
        <v>122.4</v>
      </c>
      <c r="X14">
        <v>0.04</v>
      </c>
      <c r="Y14">
        <v>36.1</v>
      </c>
      <c r="Z14">
        <v>6.8</v>
      </c>
      <c r="AA14">
        <v>43</v>
      </c>
      <c r="AB14">
        <v>35.6</v>
      </c>
      <c r="AC14">
        <v>2.8</v>
      </c>
      <c r="AD14">
        <v>0.39</v>
      </c>
      <c r="AE14">
        <v>3.2</v>
      </c>
      <c r="AF14">
        <v>122.5</v>
      </c>
      <c r="AG14">
        <v>0.04</v>
      </c>
      <c r="AH14">
        <v>35.799999999999997</v>
      </c>
      <c r="AI14">
        <v>6.9</v>
      </c>
      <c r="AJ14">
        <v>42.7</v>
      </c>
      <c r="AK14">
        <v>155.1</v>
      </c>
      <c r="AL14">
        <v>6.3</v>
      </c>
      <c r="AM14">
        <v>0.81</v>
      </c>
      <c r="AN14">
        <v>15.4</v>
      </c>
      <c r="AO14">
        <v>704.3</v>
      </c>
      <c r="AP14">
        <v>7.0000000000000007E-2</v>
      </c>
      <c r="AQ14">
        <v>155.5</v>
      </c>
      <c r="AR14">
        <v>36.4</v>
      </c>
      <c r="AS14">
        <v>191.9</v>
      </c>
      <c r="AT14">
        <v>203.9</v>
      </c>
      <c r="AU14">
        <v>11.3</v>
      </c>
      <c r="AV14">
        <v>1.54</v>
      </c>
      <c r="AW14">
        <v>18.399999999999999</v>
      </c>
      <c r="AX14">
        <v>828.7</v>
      </c>
      <c r="AY14">
        <v>0.12</v>
      </c>
      <c r="AZ14">
        <v>204.6</v>
      </c>
      <c r="BA14">
        <v>43.1</v>
      </c>
      <c r="BB14">
        <v>247.7</v>
      </c>
      <c r="BC14">
        <v>9572509.9000000004</v>
      </c>
      <c r="BD14">
        <v>752.5</v>
      </c>
      <c r="BE14">
        <v>106.3</v>
      </c>
      <c r="BF14">
        <v>847877.8</v>
      </c>
      <c r="BG14">
        <v>32524.9</v>
      </c>
      <c r="BH14">
        <v>9.8000000000000007</v>
      </c>
      <c r="BI14">
        <v>9623965</v>
      </c>
      <c r="BJ14">
        <v>1819795.8</v>
      </c>
      <c r="BK14">
        <v>11443760.800000001</v>
      </c>
      <c r="BL14">
        <v>0</v>
      </c>
      <c r="BM14">
        <v>10.37</v>
      </c>
      <c r="BN14">
        <v>14.52</v>
      </c>
      <c r="BO14">
        <v>0</v>
      </c>
      <c r="BP14">
        <v>24.89</v>
      </c>
      <c r="BQ14">
        <v>12.72</v>
      </c>
      <c r="BR14">
        <v>19.350000000000001</v>
      </c>
      <c r="BS14">
        <v>0</v>
      </c>
      <c r="BT14">
        <v>32.07</v>
      </c>
      <c r="BU14">
        <v>271038600</v>
      </c>
      <c r="BV14">
        <v>175808600</v>
      </c>
      <c r="BW14">
        <v>43643510</v>
      </c>
      <c r="BX14">
        <v>193587.6</v>
      </c>
      <c r="BY14">
        <v>0</v>
      </c>
      <c r="BZ14">
        <v>0</v>
      </c>
      <c r="CA14">
        <v>5555184</v>
      </c>
      <c r="CB14">
        <v>0</v>
      </c>
      <c r="CC14">
        <v>0</v>
      </c>
      <c r="CD14">
        <v>8400748</v>
      </c>
      <c r="CE14">
        <v>9447664</v>
      </c>
      <c r="CF14">
        <v>0</v>
      </c>
      <c r="CG14">
        <v>60913.5</v>
      </c>
      <c r="CH14">
        <v>0</v>
      </c>
      <c r="CI14">
        <v>9805172</v>
      </c>
      <c r="CJ14">
        <v>26040922</v>
      </c>
      <c r="CK14">
        <v>142.80000000000001</v>
      </c>
      <c r="CL14">
        <v>482890.2</v>
      </c>
      <c r="CM14">
        <v>0</v>
      </c>
      <c r="CN14">
        <v>137592000</v>
      </c>
      <c r="CO14">
        <v>29815860</v>
      </c>
      <c r="CP14">
        <v>0</v>
      </c>
      <c r="CQ14">
        <v>22829</v>
      </c>
      <c r="CR14">
        <v>38</v>
      </c>
      <c r="CS14">
        <v>0</v>
      </c>
      <c r="CT14">
        <v>2065</v>
      </c>
      <c r="CU14">
        <v>0</v>
      </c>
      <c r="CV14">
        <v>0</v>
      </c>
      <c r="CW14">
        <v>6703.6</v>
      </c>
      <c r="CX14">
        <v>14922.9</v>
      </c>
      <c r="CY14">
        <v>0</v>
      </c>
      <c r="CZ14">
        <v>4443.6000000000004</v>
      </c>
      <c r="DA14">
        <v>0</v>
      </c>
      <c r="DB14">
        <v>4360</v>
      </c>
      <c r="DC14">
        <v>3937</v>
      </c>
      <c r="DD14">
        <v>175</v>
      </c>
      <c r="DE14">
        <v>216.3</v>
      </c>
      <c r="DF14">
        <v>0</v>
      </c>
      <c r="DG14">
        <v>61111</v>
      </c>
      <c r="DH14">
        <v>0</v>
      </c>
      <c r="DI14">
        <v>8243.9</v>
      </c>
      <c r="DJ14">
        <v>118475.6</v>
      </c>
      <c r="DK14">
        <v>2163</v>
      </c>
      <c r="DL14">
        <v>0</v>
      </c>
      <c r="DM14">
        <v>0</v>
      </c>
    </row>
    <row r="15" spans="1:117" x14ac:dyDescent="0.3">
      <c r="A15" t="s">
        <v>155</v>
      </c>
      <c r="B15">
        <v>2024</v>
      </c>
      <c r="C15">
        <v>296178560</v>
      </c>
      <c r="D15">
        <v>4992809.5</v>
      </c>
      <c r="E15">
        <v>6609243.5</v>
      </c>
      <c r="F15">
        <v>2978038.4</v>
      </c>
      <c r="G15">
        <v>310758657.69999999</v>
      </c>
      <c r="H15">
        <v>285533130.39999998</v>
      </c>
      <c r="I15">
        <v>219079250.09999999</v>
      </c>
      <c r="J15">
        <v>108607250</v>
      </c>
      <c r="K15">
        <v>44851956</v>
      </c>
      <c r="L15">
        <v>3.5900000000000001E-2</v>
      </c>
      <c r="M15">
        <v>5.3900000000000003E-2</v>
      </c>
      <c r="N15">
        <v>0.182</v>
      </c>
      <c r="O15">
        <v>60445.27</v>
      </c>
      <c r="P15">
        <v>70356.2</v>
      </c>
      <c r="Q15">
        <v>0.71</v>
      </c>
      <c r="R15">
        <v>0.69</v>
      </c>
      <c r="S15">
        <v>112.4</v>
      </c>
      <c r="T15">
        <v>2.1</v>
      </c>
      <c r="U15">
        <v>0.21</v>
      </c>
      <c r="V15">
        <v>14.8</v>
      </c>
      <c r="W15">
        <v>590.1</v>
      </c>
      <c r="X15">
        <v>7.0000000000000007E-2</v>
      </c>
      <c r="Y15">
        <v>112.5</v>
      </c>
      <c r="Z15">
        <v>32.4</v>
      </c>
      <c r="AA15">
        <v>144.9</v>
      </c>
      <c r="AB15">
        <v>146.4</v>
      </c>
      <c r="AC15">
        <v>5.8</v>
      </c>
      <c r="AD15">
        <v>0.75</v>
      </c>
      <c r="AE15">
        <v>16.100000000000001</v>
      </c>
      <c r="AF15">
        <v>672</v>
      </c>
      <c r="AG15">
        <v>0.09</v>
      </c>
      <c r="AH15">
        <v>146.80000000000001</v>
      </c>
      <c r="AI15">
        <v>36.1</v>
      </c>
      <c r="AJ15">
        <v>182.9</v>
      </c>
      <c r="AK15">
        <v>163.9</v>
      </c>
      <c r="AL15">
        <v>4</v>
      </c>
      <c r="AM15">
        <v>0.45</v>
      </c>
      <c r="AN15">
        <v>18.600000000000001</v>
      </c>
      <c r="AO15">
        <v>828</v>
      </c>
      <c r="AP15">
        <v>7.0000000000000007E-2</v>
      </c>
      <c r="AQ15">
        <v>164.2</v>
      </c>
      <c r="AR15">
        <v>43.3</v>
      </c>
      <c r="AS15">
        <v>207.5</v>
      </c>
      <c r="AT15">
        <v>637.1</v>
      </c>
      <c r="AU15">
        <v>44.6</v>
      </c>
      <c r="AV15">
        <v>6.26</v>
      </c>
      <c r="AW15">
        <v>46.4</v>
      </c>
      <c r="AX15">
        <v>2270.6</v>
      </c>
      <c r="AY15">
        <v>0.33</v>
      </c>
      <c r="AZ15">
        <v>640.20000000000005</v>
      </c>
      <c r="BA15">
        <v>114.1</v>
      </c>
      <c r="BB15">
        <v>754.3</v>
      </c>
      <c r="BC15">
        <v>27604096.199999999</v>
      </c>
      <c r="BD15">
        <v>520.5</v>
      </c>
      <c r="BE15">
        <v>52.1</v>
      </c>
      <c r="BF15">
        <v>3623557.1</v>
      </c>
      <c r="BG15">
        <v>144940.20000000001</v>
      </c>
      <c r="BH15">
        <v>16.5</v>
      </c>
      <c r="BI15">
        <v>27633829</v>
      </c>
      <c r="BJ15">
        <v>7947277.7999999998</v>
      </c>
      <c r="BK15">
        <v>35581106.799999997</v>
      </c>
      <c r="BL15">
        <v>0</v>
      </c>
      <c r="BM15">
        <v>29.29</v>
      </c>
      <c r="BN15">
        <v>12.23</v>
      </c>
      <c r="BO15">
        <v>0.57999999999999996</v>
      </c>
      <c r="BP15">
        <v>42.1</v>
      </c>
      <c r="BQ15">
        <v>31.41</v>
      </c>
      <c r="BR15">
        <v>13.72</v>
      </c>
      <c r="BS15">
        <v>0.62</v>
      </c>
      <c r="BT15">
        <v>45.75</v>
      </c>
      <c r="BU15">
        <v>246363440</v>
      </c>
      <c r="BV15">
        <v>91679410</v>
      </c>
      <c r="BW15">
        <v>4226390.5</v>
      </c>
      <c r="BX15">
        <v>5366078</v>
      </c>
      <c r="BY15">
        <v>0</v>
      </c>
      <c r="BZ15">
        <v>0</v>
      </c>
      <c r="CA15">
        <v>0</v>
      </c>
      <c r="CB15">
        <v>0</v>
      </c>
      <c r="CC15">
        <v>1918365</v>
      </c>
      <c r="CD15">
        <v>21138596</v>
      </c>
      <c r="CE15">
        <v>70561864</v>
      </c>
      <c r="CF15">
        <v>0</v>
      </c>
      <c r="CG15">
        <v>417473</v>
      </c>
      <c r="CH15">
        <v>23130482</v>
      </c>
      <c r="CI15">
        <v>27932236</v>
      </c>
      <c r="CJ15">
        <v>17623994</v>
      </c>
      <c r="CK15">
        <v>9997.6</v>
      </c>
      <c r="CL15">
        <v>5415509</v>
      </c>
      <c r="CM15">
        <v>0</v>
      </c>
      <c r="CN15">
        <v>53870304</v>
      </c>
      <c r="CO15">
        <v>14752144</v>
      </c>
      <c r="CP15">
        <v>0</v>
      </c>
      <c r="CQ15">
        <v>3246.1</v>
      </c>
      <c r="CR15">
        <v>835.4</v>
      </c>
      <c r="CS15">
        <v>0</v>
      </c>
      <c r="CT15">
        <v>0</v>
      </c>
      <c r="CU15">
        <v>0</v>
      </c>
      <c r="CV15">
        <v>917.8</v>
      </c>
      <c r="CW15">
        <v>12957.4</v>
      </c>
      <c r="CX15">
        <v>19788.5</v>
      </c>
      <c r="CY15">
        <v>0</v>
      </c>
      <c r="CZ15">
        <v>10753.4</v>
      </c>
      <c r="DA15">
        <v>3106.1</v>
      </c>
      <c r="DB15">
        <v>10097.9</v>
      </c>
      <c r="DC15">
        <v>2240</v>
      </c>
      <c r="DD15">
        <v>994.6</v>
      </c>
      <c r="DE15">
        <v>3911.9</v>
      </c>
      <c r="DF15">
        <v>0</v>
      </c>
      <c r="DG15">
        <v>19840.900000000001</v>
      </c>
      <c r="DH15">
        <v>0</v>
      </c>
      <c r="DI15">
        <v>6476</v>
      </c>
      <c r="DJ15">
        <v>12382.4</v>
      </c>
      <c r="DK15">
        <v>39119</v>
      </c>
      <c r="DL15">
        <v>0</v>
      </c>
      <c r="DM15">
        <v>0</v>
      </c>
    </row>
    <row r="16" spans="1:117" x14ac:dyDescent="0.3">
      <c r="A16" t="s">
        <v>155</v>
      </c>
      <c r="B16">
        <v>2026</v>
      </c>
      <c r="C16">
        <v>299093820</v>
      </c>
      <c r="D16">
        <v>5527816</v>
      </c>
      <c r="E16">
        <v>7335229</v>
      </c>
      <c r="F16">
        <v>3357738.2</v>
      </c>
      <c r="G16">
        <v>315314600</v>
      </c>
      <c r="H16">
        <v>288343599.30000001</v>
      </c>
      <c r="I16">
        <v>220207618.69999999</v>
      </c>
      <c r="J16">
        <v>123005590</v>
      </c>
      <c r="K16">
        <v>50792096</v>
      </c>
      <c r="L16">
        <v>3.5900000000000001E-2</v>
      </c>
      <c r="M16">
        <v>5.3900000000000003E-2</v>
      </c>
      <c r="N16">
        <v>0.182</v>
      </c>
      <c r="O16">
        <v>70551.399999999994</v>
      </c>
      <c r="P16">
        <v>71394</v>
      </c>
      <c r="Q16">
        <v>0.74</v>
      </c>
      <c r="R16">
        <v>0.73</v>
      </c>
      <c r="S16">
        <v>100.1</v>
      </c>
      <c r="T16">
        <v>1.9</v>
      </c>
      <c r="U16">
        <v>0.19</v>
      </c>
      <c r="V16">
        <v>13.3</v>
      </c>
      <c r="W16">
        <v>526.1</v>
      </c>
      <c r="X16">
        <v>0.06</v>
      </c>
      <c r="Y16">
        <v>100.2</v>
      </c>
      <c r="Z16">
        <v>29</v>
      </c>
      <c r="AA16">
        <v>129.19999999999999</v>
      </c>
      <c r="AB16">
        <v>132.80000000000001</v>
      </c>
      <c r="AC16">
        <v>5.7</v>
      </c>
      <c r="AD16">
        <v>0.74</v>
      </c>
      <c r="AE16">
        <v>14.3</v>
      </c>
      <c r="AF16">
        <v>596.70000000000005</v>
      </c>
      <c r="AG16">
        <v>0.08</v>
      </c>
      <c r="AH16">
        <v>133.19999999999999</v>
      </c>
      <c r="AI16">
        <v>32.200000000000003</v>
      </c>
      <c r="AJ16">
        <v>165.3</v>
      </c>
      <c r="AK16">
        <v>94.4</v>
      </c>
      <c r="AL16">
        <v>2.7</v>
      </c>
      <c r="AM16">
        <v>0.32</v>
      </c>
      <c r="AN16">
        <v>10.4</v>
      </c>
      <c r="AO16">
        <v>465.5</v>
      </c>
      <c r="AP16">
        <v>0.04</v>
      </c>
      <c r="AQ16">
        <v>94.6</v>
      </c>
      <c r="AR16">
        <v>24.2</v>
      </c>
      <c r="AS16">
        <v>118.9</v>
      </c>
      <c r="AT16">
        <v>585.20000000000005</v>
      </c>
      <c r="AU16">
        <v>39.799999999999997</v>
      </c>
      <c r="AV16">
        <v>5.57</v>
      </c>
      <c r="AW16">
        <v>43.6</v>
      </c>
      <c r="AX16">
        <v>2127.8000000000002</v>
      </c>
      <c r="AY16">
        <v>0.28999999999999998</v>
      </c>
      <c r="AZ16">
        <v>587.9</v>
      </c>
      <c r="BA16">
        <v>107</v>
      </c>
      <c r="BB16">
        <v>694.9</v>
      </c>
      <c r="BC16">
        <v>24197277.800000001</v>
      </c>
      <c r="BD16">
        <v>456.2</v>
      </c>
      <c r="BE16">
        <v>45.7</v>
      </c>
      <c r="BF16">
        <v>3216696.8</v>
      </c>
      <c r="BG16">
        <v>127126</v>
      </c>
      <c r="BH16">
        <v>14.9</v>
      </c>
      <c r="BI16">
        <v>24223338.5</v>
      </c>
      <c r="BJ16">
        <v>7009132.7999999998</v>
      </c>
      <c r="BK16">
        <v>31232471.300000001</v>
      </c>
      <c r="BL16">
        <v>0</v>
      </c>
      <c r="BM16">
        <v>27.45</v>
      </c>
      <c r="BN16">
        <v>14.25</v>
      </c>
      <c r="BO16">
        <v>0</v>
      </c>
      <c r="BP16">
        <v>41.71</v>
      </c>
      <c r="BQ16">
        <v>29.61</v>
      </c>
      <c r="BR16">
        <v>16.079999999999998</v>
      </c>
      <c r="BS16">
        <v>0</v>
      </c>
      <c r="BT16">
        <v>45.68</v>
      </c>
      <c r="BU16">
        <v>242446260</v>
      </c>
      <c r="BV16">
        <v>95106984</v>
      </c>
      <c r="BW16">
        <v>4705290.5</v>
      </c>
      <c r="BX16">
        <v>5289804.5</v>
      </c>
      <c r="BY16">
        <v>0</v>
      </c>
      <c r="BZ16">
        <v>0</v>
      </c>
      <c r="CA16">
        <v>0</v>
      </c>
      <c r="CB16">
        <v>0</v>
      </c>
      <c r="CC16">
        <v>1916708.4</v>
      </c>
      <c r="CD16">
        <v>24547802</v>
      </c>
      <c r="CE16">
        <v>62213364</v>
      </c>
      <c r="CF16">
        <v>0</v>
      </c>
      <c r="CG16">
        <v>395947.9</v>
      </c>
      <c r="CH16">
        <v>23130482</v>
      </c>
      <c r="CI16">
        <v>28328100</v>
      </c>
      <c r="CJ16">
        <v>17396206</v>
      </c>
      <c r="CK16">
        <v>7732.7</v>
      </c>
      <c r="CL16">
        <v>5872349</v>
      </c>
      <c r="CM16">
        <v>0</v>
      </c>
      <c r="CN16">
        <v>53953190</v>
      </c>
      <c r="CO16">
        <v>14689280</v>
      </c>
      <c r="CP16">
        <v>0</v>
      </c>
      <c r="CQ16">
        <v>3770.5</v>
      </c>
      <c r="CR16">
        <v>835.4</v>
      </c>
      <c r="CS16">
        <v>0</v>
      </c>
      <c r="CT16">
        <v>0</v>
      </c>
      <c r="CU16">
        <v>0</v>
      </c>
      <c r="CV16">
        <v>917.8</v>
      </c>
      <c r="CW16">
        <v>15132.9</v>
      </c>
      <c r="CX16">
        <v>19788.5</v>
      </c>
      <c r="CY16">
        <v>0</v>
      </c>
      <c r="CZ16">
        <v>10753.4</v>
      </c>
      <c r="DA16">
        <v>3106.1</v>
      </c>
      <c r="DB16">
        <v>10501.5</v>
      </c>
      <c r="DC16">
        <v>2240</v>
      </c>
      <c r="DD16">
        <v>993</v>
      </c>
      <c r="DE16">
        <v>3919.5</v>
      </c>
      <c r="DF16">
        <v>0</v>
      </c>
      <c r="DG16">
        <v>20124.2</v>
      </c>
      <c r="DH16">
        <v>0</v>
      </c>
      <c r="DI16">
        <v>6436.5</v>
      </c>
      <c r="DJ16">
        <v>13478.4</v>
      </c>
      <c r="DK16">
        <v>39195</v>
      </c>
      <c r="DL16">
        <v>0</v>
      </c>
      <c r="DM16">
        <v>0</v>
      </c>
    </row>
    <row r="17" spans="1:117" x14ac:dyDescent="0.3">
      <c r="A17" t="s">
        <v>155</v>
      </c>
      <c r="B17">
        <v>2028</v>
      </c>
      <c r="C17">
        <v>304785100</v>
      </c>
      <c r="D17">
        <v>10294334</v>
      </c>
      <c r="E17">
        <v>8734192</v>
      </c>
      <c r="F17">
        <v>3794879.7</v>
      </c>
      <c r="G17">
        <v>327608504.60000002</v>
      </c>
      <c r="H17">
        <v>293830335.89999998</v>
      </c>
      <c r="I17">
        <v>214054336.80000001</v>
      </c>
      <c r="J17">
        <v>137832290</v>
      </c>
      <c r="K17">
        <v>58584810</v>
      </c>
      <c r="L17">
        <v>3.5900000000000001E-2</v>
      </c>
      <c r="M17">
        <v>5.3900000000000003E-2</v>
      </c>
      <c r="N17">
        <v>0.182</v>
      </c>
      <c r="O17">
        <v>65225.29</v>
      </c>
      <c r="P17">
        <v>73359.199999999997</v>
      </c>
      <c r="Q17">
        <v>0.82</v>
      </c>
      <c r="R17">
        <v>0.81</v>
      </c>
      <c r="S17">
        <v>68.3</v>
      </c>
      <c r="T17">
        <v>1.3</v>
      </c>
      <c r="U17">
        <v>0.13</v>
      </c>
      <c r="V17">
        <v>9.5</v>
      </c>
      <c r="W17">
        <v>359.5</v>
      </c>
      <c r="X17">
        <v>0.05</v>
      </c>
      <c r="Y17">
        <v>68.400000000000006</v>
      </c>
      <c r="Z17">
        <v>20.2</v>
      </c>
      <c r="AA17">
        <v>88.6</v>
      </c>
      <c r="AB17">
        <v>95.1</v>
      </c>
      <c r="AC17">
        <v>4.4000000000000004</v>
      </c>
      <c r="AD17">
        <v>0.57999999999999996</v>
      </c>
      <c r="AE17">
        <v>10.4</v>
      </c>
      <c r="AF17">
        <v>417.4</v>
      </c>
      <c r="AG17">
        <v>0.06</v>
      </c>
      <c r="AH17">
        <v>95.4</v>
      </c>
      <c r="AI17">
        <v>22.8</v>
      </c>
      <c r="AJ17">
        <v>118.2</v>
      </c>
      <c r="AK17">
        <v>50.3</v>
      </c>
      <c r="AL17">
        <v>1.7</v>
      </c>
      <c r="AM17">
        <v>0.21</v>
      </c>
      <c r="AN17">
        <v>5.3</v>
      </c>
      <c r="AO17">
        <v>238.4</v>
      </c>
      <c r="AP17">
        <v>0.02</v>
      </c>
      <c r="AQ17">
        <v>50.4</v>
      </c>
      <c r="AR17">
        <v>12.4</v>
      </c>
      <c r="AS17">
        <v>62.8</v>
      </c>
      <c r="AT17">
        <v>493.7</v>
      </c>
      <c r="AU17">
        <v>31.4</v>
      </c>
      <c r="AV17">
        <v>4.3600000000000003</v>
      </c>
      <c r="AW17">
        <v>39.1</v>
      </c>
      <c r="AX17">
        <v>1861</v>
      </c>
      <c r="AY17">
        <v>0.26</v>
      </c>
      <c r="AZ17">
        <v>495.8</v>
      </c>
      <c r="BA17">
        <v>94.6</v>
      </c>
      <c r="BB17">
        <v>590.4</v>
      </c>
      <c r="BC17">
        <v>16864900.600000001</v>
      </c>
      <c r="BD17">
        <v>318</v>
      </c>
      <c r="BE17">
        <v>31.8</v>
      </c>
      <c r="BF17">
        <v>2341882.5</v>
      </c>
      <c r="BG17">
        <v>88775.7</v>
      </c>
      <c r="BH17">
        <v>11.6</v>
      </c>
      <c r="BI17">
        <v>16883065.699999999</v>
      </c>
      <c r="BJ17">
        <v>4990578.0999999996</v>
      </c>
      <c r="BK17">
        <v>21873643.800000001</v>
      </c>
      <c r="BL17">
        <v>0</v>
      </c>
      <c r="BM17">
        <v>23.23</v>
      </c>
      <c r="BN17">
        <v>12.98</v>
      </c>
      <c r="BO17">
        <v>0</v>
      </c>
      <c r="BP17">
        <v>36.22</v>
      </c>
      <c r="BQ17">
        <v>25.46</v>
      </c>
      <c r="BR17">
        <v>14.93</v>
      </c>
      <c r="BS17">
        <v>0</v>
      </c>
      <c r="BT17">
        <v>40.4</v>
      </c>
      <c r="BU17">
        <v>247660240</v>
      </c>
      <c r="BV17">
        <v>113554160</v>
      </c>
      <c r="BW17">
        <v>8787496</v>
      </c>
      <c r="BX17">
        <v>5138186.5</v>
      </c>
      <c r="BY17">
        <v>0</v>
      </c>
      <c r="BZ17">
        <v>0</v>
      </c>
      <c r="CA17">
        <v>0</v>
      </c>
      <c r="CB17">
        <v>0</v>
      </c>
      <c r="CC17">
        <v>1926788.4</v>
      </c>
      <c r="CD17">
        <v>28361828</v>
      </c>
      <c r="CE17">
        <v>43784080</v>
      </c>
      <c r="CF17">
        <v>0</v>
      </c>
      <c r="CG17">
        <v>423427</v>
      </c>
      <c r="CH17">
        <v>24373016</v>
      </c>
      <c r="CI17">
        <v>27678868</v>
      </c>
      <c r="CJ17">
        <v>16964816</v>
      </c>
      <c r="CK17">
        <v>5966.6</v>
      </c>
      <c r="CL17">
        <v>6950205</v>
      </c>
      <c r="CM17">
        <v>0</v>
      </c>
      <c r="CN17">
        <v>66869516</v>
      </c>
      <c r="CO17">
        <v>14606058</v>
      </c>
      <c r="CP17">
        <v>1789975.4</v>
      </c>
      <c r="CQ17">
        <v>6571.7</v>
      </c>
      <c r="CR17">
        <v>835.4</v>
      </c>
      <c r="CS17">
        <v>0</v>
      </c>
      <c r="CT17">
        <v>0</v>
      </c>
      <c r="CU17">
        <v>0</v>
      </c>
      <c r="CV17">
        <v>917.8</v>
      </c>
      <c r="CW17">
        <v>17576.5</v>
      </c>
      <c r="CX17">
        <v>19788.5</v>
      </c>
      <c r="CY17">
        <v>0</v>
      </c>
      <c r="CZ17">
        <v>10662.1</v>
      </c>
      <c r="DA17">
        <v>3272.9</v>
      </c>
      <c r="DB17">
        <v>10790.6</v>
      </c>
      <c r="DC17">
        <v>2240</v>
      </c>
      <c r="DD17">
        <v>883</v>
      </c>
      <c r="DE17">
        <v>4063.4</v>
      </c>
      <c r="DF17">
        <v>0</v>
      </c>
      <c r="DG17">
        <v>24675.9</v>
      </c>
      <c r="DH17">
        <v>600</v>
      </c>
      <c r="DI17">
        <v>6422.9</v>
      </c>
      <c r="DJ17">
        <v>24681.1</v>
      </c>
      <c r="DK17">
        <v>40634.400000000001</v>
      </c>
      <c r="DL17">
        <v>0</v>
      </c>
      <c r="DM17">
        <v>0</v>
      </c>
    </row>
    <row r="18" spans="1:117" x14ac:dyDescent="0.3">
      <c r="A18" t="s">
        <v>155</v>
      </c>
      <c r="B18">
        <v>2030</v>
      </c>
      <c r="C18">
        <v>312895420</v>
      </c>
      <c r="D18">
        <v>22017998</v>
      </c>
      <c r="E18">
        <v>15127707</v>
      </c>
      <c r="F18">
        <v>3810589.2</v>
      </c>
      <c r="G18">
        <v>353851731</v>
      </c>
      <c r="H18">
        <v>301649194.30000001</v>
      </c>
      <c r="I18">
        <v>187079616.80000001</v>
      </c>
      <c r="J18">
        <v>131603176</v>
      </c>
      <c r="K18">
        <v>64556600</v>
      </c>
      <c r="L18">
        <v>3.5900000000000001E-2</v>
      </c>
      <c r="M18">
        <v>5.3900000000000003E-2</v>
      </c>
      <c r="N18">
        <v>0.182</v>
      </c>
      <c r="O18">
        <v>66268.990000000005</v>
      </c>
      <c r="P18">
        <v>76130.8</v>
      </c>
      <c r="Q18">
        <v>0.89</v>
      </c>
      <c r="R18">
        <v>0.86</v>
      </c>
      <c r="S18">
        <v>43.3</v>
      </c>
      <c r="T18">
        <v>0.8</v>
      </c>
      <c r="U18">
        <v>0.08</v>
      </c>
      <c r="V18">
        <v>5.8</v>
      </c>
      <c r="W18">
        <v>227.2</v>
      </c>
      <c r="X18">
        <v>0.02</v>
      </c>
      <c r="Y18">
        <v>43.4</v>
      </c>
      <c r="Z18">
        <v>12.6</v>
      </c>
      <c r="AA18">
        <v>55.9</v>
      </c>
      <c r="AB18">
        <v>73.099999999999994</v>
      </c>
      <c r="AC18">
        <v>3.7</v>
      </c>
      <c r="AD18">
        <v>0.5</v>
      </c>
      <c r="AE18">
        <v>7.4</v>
      </c>
      <c r="AF18">
        <v>309.3</v>
      </c>
      <c r="AG18">
        <v>0.04</v>
      </c>
      <c r="AH18">
        <v>73.3</v>
      </c>
      <c r="AI18">
        <v>16.600000000000001</v>
      </c>
      <c r="AJ18">
        <v>90</v>
      </c>
      <c r="AK18">
        <v>31.5</v>
      </c>
      <c r="AL18">
        <v>0.7</v>
      </c>
      <c r="AM18">
        <v>0.08</v>
      </c>
      <c r="AN18">
        <v>3.6</v>
      </c>
      <c r="AO18">
        <v>159.5</v>
      </c>
      <c r="AP18">
        <v>0.01</v>
      </c>
      <c r="AQ18">
        <v>31.5</v>
      </c>
      <c r="AR18">
        <v>8.4</v>
      </c>
      <c r="AS18">
        <v>39.9</v>
      </c>
      <c r="AT18">
        <v>413.7</v>
      </c>
      <c r="AU18">
        <v>26.8</v>
      </c>
      <c r="AV18">
        <v>3.73</v>
      </c>
      <c r="AW18">
        <v>32.700000000000003</v>
      </c>
      <c r="AX18">
        <v>1548.9</v>
      </c>
      <c r="AY18">
        <v>0.22</v>
      </c>
      <c r="AZ18">
        <v>415.5</v>
      </c>
      <c r="BA18">
        <v>78.900000000000006</v>
      </c>
      <c r="BB18">
        <v>494.5</v>
      </c>
      <c r="BC18">
        <v>12347478.699999999</v>
      </c>
      <c r="BD18">
        <v>232.8</v>
      </c>
      <c r="BE18">
        <v>23.3</v>
      </c>
      <c r="BF18">
        <v>1649461.3</v>
      </c>
      <c r="BG18">
        <v>64777.7</v>
      </c>
      <c r="BH18">
        <v>6.3</v>
      </c>
      <c r="BI18">
        <v>12360778.699999999</v>
      </c>
      <c r="BJ18">
        <v>3581544.7</v>
      </c>
      <c r="BK18">
        <v>15942323.4</v>
      </c>
      <c r="BL18">
        <v>0</v>
      </c>
      <c r="BM18">
        <v>20.96</v>
      </c>
      <c r="BN18">
        <v>12.54</v>
      </c>
      <c r="BO18">
        <v>0.59</v>
      </c>
      <c r="BP18">
        <v>34.090000000000003</v>
      </c>
      <c r="BQ18">
        <v>23.82</v>
      </c>
      <c r="BR18">
        <v>15.19</v>
      </c>
      <c r="BS18">
        <v>0.66</v>
      </c>
      <c r="BT18">
        <v>39.659999999999997</v>
      </c>
      <c r="BU18">
        <v>286100320</v>
      </c>
      <c r="BV18">
        <v>166772110</v>
      </c>
      <c r="BW18">
        <v>18685536</v>
      </c>
      <c r="BX18">
        <v>4815912.5</v>
      </c>
      <c r="BY18">
        <v>0</v>
      </c>
      <c r="BZ18">
        <v>0</v>
      </c>
      <c r="CA18">
        <v>0</v>
      </c>
      <c r="CB18">
        <v>0</v>
      </c>
      <c r="CC18">
        <v>1859431.8</v>
      </c>
      <c r="CD18">
        <v>32213684</v>
      </c>
      <c r="CE18">
        <v>32232058</v>
      </c>
      <c r="CF18">
        <v>0</v>
      </c>
      <c r="CG18">
        <v>350385</v>
      </c>
      <c r="CH18">
        <v>24345480</v>
      </c>
      <c r="CI18">
        <v>26768320</v>
      </c>
      <c r="CJ18">
        <v>0</v>
      </c>
      <c r="CK18">
        <v>4614.1000000000004</v>
      </c>
      <c r="CL18">
        <v>12125892</v>
      </c>
      <c r="CM18">
        <v>0</v>
      </c>
      <c r="CN18">
        <v>110645890</v>
      </c>
      <c r="CO18">
        <v>14813338</v>
      </c>
      <c r="CP18">
        <v>7239773</v>
      </c>
      <c r="CQ18">
        <v>11563.9</v>
      </c>
      <c r="CR18">
        <v>812.4</v>
      </c>
      <c r="CS18">
        <v>0</v>
      </c>
      <c r="CT18">
        <v>0</v>
      </c>
      <c r="CU18">
        <v>0</v>
      </c>
      <c r="CV18">
        <v>917.8</v>
      </c>
      <c r="CW18">
        <v>20119.2</v>
      </c>
      <c r="CX18">
        <v>19755.900000000001</v>
      </c>
      <c r="CY18">
        <v>0</v>
      </c>
      <c r="CZ18">
        <v>10641.8</v>
      </c>
      <c r="DA18">
        <v>3272.9</v>
      </c>
      <c r="DB18">
        <v>10907.3</v>
      </c>
      <c r="DC18">
        <v>0</v>
      </c>
      <c r="DD18">
        <v>592.9</v>
      </c>
      <c r="DE18">
        <v>6358.1</v>
      </c>
      <c r="DF18">
        <v>0</v>
      </c>
      <c r="DG18">
        <v>39362.5</v>
      </c>
      <c r="DH18">
        <v>2000</v>
      </c>
      <c r="DI18">
        <v>6451.7</v>
      </c>
      <c r="DJ18">
        <v>52243.5</v>
      </c>
      <c r="DK18">
        <v>63581.3</v>
      </c>
      <c r="DL18">
        <v>0</v>
      </c>
      <c r="DM18">
        <v>0</v>
      </c>
    </row>
    <row r="19" spans="1:117" x14ac:dyDescent="0.3">
      <c r="A19" t="s">
        <v>155</v>
      </c>
      <c r="B19">
        <v>2035</v>
      </c>
      <c r="C19">
        <v>337455680</v>
      </c>
      <c r="D19">
        <v>33535980</v>
      </c>
      <c r="E19">
        <v>25815206</v>
      </c>
      <c r="F19">
        <v>3637495.4</v>
      </c>
      <c r="G19">
        <v>400444356.69999999</v>
      </c>
      <c r="H19">
        <v>325326753.10000002</v>
      </c>
      <c r="I19">
        <v>174629790.30000001</v>
      </c>
      <c r="J19">
        <v>118230210</v>
      </c>
      <c r="K19">
        <v>70074376</v>
      </c>
      <c r="L19">
        <v>3.5900000000000001E-2</v>
      </c>
      <c r="M19">
        <v>5.3900000000000003E-2</v>
      </c>
      <c r="N19">
        <v>0.182</v>
      </c>
      <c r="O19">
        <v>89757.4</v>
      </c>
      <c r="P19">
        <v>84600.9</v>
      </c>
      <c r="Q19">
        <v>0.93</v>
      </c>
      <c r="R19">
        <v>0.92</v>
      </c>
      <c r="S19">
        <v>26.1</v>
      </c>
      <c r="T19">
        <v>0.5</v>
      </c>
      <c r="U19">
        <v>0.05</v>
      </c>
      <c r="V19">
        <v>3.3</v>
      </c>
      <c r="W19">
        <v>136.80000000000001</v>
      </c>
      <c r="X19">
        <v>0.01</v>
      </c>
      <c r="Y19">
        <v>26.2</v>
      </c>
      <c r="Z19">
        <v>7.4</v>
      </c>
      <c r="AA19">
        <v>33.5</v>
      </c>
      <c r="AB19">
        <v>40.5</v>
      </c>
      <c r="AC19">
        <v>2.1</v>
      </c>
      <c r="AD19">
        <v>0.28000000000000003</v>
      </c>
      <c r="AE19">
        <v>3.9</v>
      </c>
      <c r="AF19">
        <v>171.4</v>
      </c>
      <c r="AG19">
        <v>0.02</v>
      </c>
      <c r="AH19">
        <v>40.6</v>
      </c>
      <c r="AI19">
        <v>9.1</v>
      </c>
      <c r="AJ19">
        <v>49.7</v>
      </c>
      <c r="AK19">
        <v>33.5</v>
      </c>
      <c r="AL19">
        <v>0.8</v>
      </c>
      <c r="AM19">
        <v>0.08</v>
      </c>
      <c r="AN19">
        <v>3.9</v>
      </c>
      <c r="AO19">
        <v>171</v>
      </c>
      <c r="AP19">
        <v>0.01</v>
      </c>
      <c r="AQ19">
        <v>33.6</v>
      </c>
      <c r="AR19">
        <v>9</v>
      </c>
      <c r="AS19">
        <v>42.5</v>
      </c>
      <c r="AT19">
        <v>340.4</v>
      </c>
      <c r="AU19">
        <v>21.1</v>
      </c>
      <c r="AV19">
        <v>2.93</v>
      </c>
      <c r="AW19">
        <v>28.3</v>
      </c>
      <c r="AX19">
        <v>1306.4000000000001</v>
      </c>
      <c r="AY19">
        <v>0.19</v>
      </c>
      <c r="AZ19">
        <v>341.9</v>
      </c>
      <c r="BA19">
        <v>67.3</v>
      </c>
      <c r="BB19">
        <v>409.2</v>
      </c>
      <c r="BC19">
        <v>9131809.6999999993</v>
      </c>
      <c r="BD19">
        <v>172.3</v>
      </c>
      <c r="BE19">
        <v>17.3</v>
      </c>
      <c r="BF19">
        <v>1144512.6000000001</v>
      </c>
      <c r="BG19">
        <v>47802.3</v>
      </c>
      <c r="BH19">
        <v>4.3</v>
      </c>
      <c r="BI19">
        <v>9141656.6999999993</v>
      </c>
      <c r="BJ19">
        <v>2570192.6</v>
      </c>
      <c r="BK19">
        <v>11711849.300000001</v>
      </c>
      <c r="BL19">
        <v>0</v>
      </c>
      <c r="BM19">
        <v>17.66</v>
      </c>
      <c r="BN19">
        <v>16.36</v>
      </c>
      <c r="BO19">
        <v>0</v>
      </c>
      <c r="BP19">
        <v>34.03</v>
      </c>
      <c r="BQ19">
        <v>20.58</v>
      </c>
      <c r="BR19">
        <v>20.83</v>
      </c>
      <c r="BS19">
        <v>0</v>
      </c>
      <c r="BT19">
        <v>41.4</v>
      </c>
      <c r="BU19">
        <v>351632860</v>
      </c>
      <c r="BV19">
        <v>225814560</v>
      </c>
      <c r="BW19">
        <v>28511484</v>
      </c>
      <c r="BX19">
        <v>1867576</v>
      </c>
      <c r="BY19">
        <v>0</v>
      </c>
      <c r="BZ19">
        <v>0</v>
      </c>
      <c r="CA19">
        <v>0</v>
      </c>
      <c r="CB19">
        <v>0</v>
      </c>
      <c r="CC19">
        <v>1660649.2</v>
      </c>
      <c r="CD19">
        <v>37491212</v>
      </c>
      <c r="CE19">
        <v>24006908</v>
      </c>
      <c r="CF19">
        <v>0</v>
      </c>
      <c r="CG19">
        <v>271419</v>
      </c>
      <c r="CH19">
        <v>24158948</v>
      </c>
      <c r="CI19">
        <v>26454136</v>
      </c>
      <c r="CJ19">
        <v>0</v>
      </c>
      <c r="CK19">
        <v>7656.3</v>
      </c>
      <c r="CL19">
        <v>20540162</v>
      </c>
      <c r="CM19">
        <v>0</v>
      </c>
      <c r="CN19">
        <v>146437650</v>
      </c>
      <c r="CO19">
        <v>14493099</v>
      </c>
      <c r="CP19">
        <v>25731962</v>
      </c>
      <c r="CQ19">
        <v>16783.8</v>
      </c>
      <c r="CR19">
        <v>435.9</v>
      </c>
      <c r="CS19">
        <v>0</v>
      </c>
      <c r="CT19">
        <v>0</v>
      </c>
      <c r="CU19">
        <v>0</v>
      </c>
      <c r="CV19">
        <v>917.8</v>
      </c>
      <c r="CW19">
        <v>24108.7</v>
      </c>
      <c r="CX19">
        <v>19646</v>
      </c>
      <c r="CY19">
        <v>0</v>
      </c>
      <c r="CZ19">
        <v>10230.799999999999</v>
      </c>
      <c r="DA19">
        <v>3272.9</v>
      </c>
      <c r="DB19">
        <v>11012.2</v>
      </c>
      <c r="DC19">
        <v>0</v>
      </c>
      <c r="DD19">
        <v>592.9</v>
      </c>
      <c r="DE19">
        <v>11429.5</v>
      </c>
      <c r="DF19">
        <v>0</v>
      </c>
      <c r="DG19">
        <v>52433.4</v>
      </c>
      <c r="DH19">
        <v>6000</v>
      </c>
      <c r="DI19">
        <v>5747.5</v>
      </c>
      <c r="DJ19">
        <v>79303.3</v>
      </c>
      <c r="DK19">
        <v>114294.8</v>
      </c>
      <c r="DL19">
        <v>0</v>
      </c>
      <c r="DM19">
        <v>0</v>
      </c>
    </row>
    <row r="20" spans="1:117" x14ac:dyDescent="0.3">
      <c r="A20" t="s">
        <v>155</v>
      </c>
      <c r="B20">
        <v>2040</v>
      </c>
      <c r="C20">
        <v>368567840</v>
      </c>
      <c r="D20">
        <v>46488736</v>
      </c>
      <c r="E20">
        <v>23324384</v>
      </c>
      <c r="F20">
        <v>3672828.7</v>
      </c>
      <c r="G20">
        <v>442053776.39999998</v>
      </c>
      <c r="H20">
        <v>355320709.60000002</v>
      </c>
      <c r="I20">
        <v>158199083.09999999</v>
      </c>
      <c r="J20">
        <v>115016680</v>
      </c>
      <c r="K20">
        <v>80081510</v>
      </c>
      <c r="L20">
        <v>3.5900000000000001E-2</v>
      </c>
      <c r="M20">
        <v>5.3900000000000003E-2</v>
      </c>
      <c r="N20">
        <v>0.182</v>
      </c>
      <c r="O20">
        <v>86977</v>
      </c>
      <c r="P20">
        <v>94812.9</v>
      </c>
      <c r="Q20">
        <v>0.96</v>
      </c>
      <c r="R20">
        <v>0.95</v>
      </c>
      <c r="S20">
        <v>14.4</v>
      </c>
      <c r="T20">
        <v>0.3</v>
      </c>
      <c r="U20">
        <v>0.03</v>
      </c>
      <c r="V20">
        <v>1.8</v>
      </c>
      <c r="W20">
        <v>75.599999999999994</v>
      </c>
      <c r="X20">
        <v>0.01</v>
      </c>
      <c r="Y20">
        <v>14.4</v>
      </c>
      <c r="Z20">
        <v>4.0999999999999996</v>
      </c>
      <c r="AA20">
        <v>18.5</v>
      </c>
      <c r="AB20">
        <v>23.9</v>
      </c>
      <c r="AC20">
        <v>1.3</v>
      </c>
      <c r="AD20">
        <v>0.17</v>
      </c>
      <c r="AE20">
        <v>2.2999999999999998</v>
      </c>
      <c r="AF20">
        <v>99.5</v>
      </c>
      <c r="AG20">
        <v>0.01</v>
      </c>
      <c r="AH20">
        <v>23.9</v>
      </c>
      <c r="AI20">
        <v>5.3</v>
      </c>
      <c r="AJ20">
        <v>29.2</v>
      </c>
      <c r="AK20">
        <v>16.399999999999999</v>
      </c>
      <c r="AL20">
        <v>0.4</v>
      </c>
      <c r="AM20">
        <v>0.04</v>
      </c>
      <c r="AN20">
        <v>1.9</v>
      </c>
      <c r="AO20">
        <v>83.9</v>
      </c>
      <c r="AP20">
        <v>0.01</v>
      </c>
      <c r="AQ20">
        <v>16.5</v>
      </c>
      <c r="AR20">
        <v>4.4000000000000004</v>
      </c>
      <c r="AS20">
        <v>20.9</v>
      </c>
      <c r="AT20">
        <v>312.3</v>
      </c>
      <c r="AU20">
        <v>18.8</v>
      </c>
      <c r="AV20">
        <v>2.58</v>
      </c>
      <c r="AW20">
        <v>26.1</v>
      </c>
      <c r="AX20">
        <v>1221.2</v>
      </c>
      <c r="AY20">
        <v>0.17</v>
      </c>
      <c r="AZ20">
        <v>313.5</v>
      </c>
      <c r="BA20">
        <v>62.6</v>
      </c>
      <c r="BB20">
        <v>376.1</v>
      </c>
      <c r="BC20">
        <v>5801532.4000000004</v>
      </c>
      <c r="BD20">
        <v>109.4</v>
      </c>
      <c r="BE20">
        <v>10.9</v>
      </c>
      <c r="BF20">
        <v>726545.2</v>
      </c>
      <c r="BG20">
        <v>30382</v>
      </c>
      <c r="BH20">
        <v>2.7</v>
      </c>
      <c r="BI20">
        <v>5807778.7000000002</v>
      </c>
      <c r="BJ20">
        <v>1632671.2</v>
      </c>
      <c r="BK20">
        <v>7440449.9000000004</v>
      </c>
      <c r="BL20">
        <v>0</v>
      </c>
      <c r="BM20">
        <v>15.2</v>
      </c>
      <c r="BN20">
        <v>15.49</v>
      </c>
      <c r="BO20">
        <v>0</v>
      </c>
      <c r="BP20">
        <v>30.69</v>
      </c>
      <c r="BQ20">
        <v>17.66</v>
      </c>
      <c r="BR20">
        <v>19.91</v>
      </c>
      <c r="BS20">
        <v>0</v>
      </c>
      <c r="BT20">
        <v>37.57</v>
      </c>
      <c r="BU20">
        <v>406478620</v>
      </c>
      <c r="BV20">
        <v>283854700</v>
      </c>
      <c r="BW20">
        <v>39506936</v>
      </c>
      <c r="BX20">
        <v>1220886.3999999999</v>
      </c>
      <c r="BY20">
        <v>0</v>
      </c>
      <c r="BZ20">
        <v>0</v>
      </c>
      <c r="CA20">
        <v>0</v>
      </c>
      <c r="CB20">
        <v>0</v>
      </c>
      <c r="CC20">
        <v>1437662.2</v>
      </c>
      <c r="CD20">
        <v>38648770</v>
      </c>
      <c r="CE20">
        <v>15447642</v>
      </c>
      <c r="CF20">
        <v>0</v>
      </c>
      <c r="CG20">
        <v>146986.5</v>
      </c>
      <c r="CH20">
        <v>23853950</v>
      </c>
      <c r="CI20">
        <v>23748570</v>
      </c>
      <c r="CJ20">
        <v>0</v>
      </c>
      <c r="CK20">
        <v>1152</v>
      </c>
      <c r="CL20">
        <v>18697804</v>
      </c>
      <c r="CM20">
        <v>0</v>
      </c>
      <c r="CN20">
        <v>155949010</v>
      </c>
      <c r="CO20">
        <v>15677990</v>
      </c>
      <c r="CP20">
        <v>72141270</v>
      </c>
      <c r="CQ20">
        <v>23036.9</v>
      </c>
      <c r="CR20">
        <v>366.9</v>
      </c>
      <c r="CS20">
        <v>0</v>
      </c>
      <c r="CT20">
        <v>0</v>
      </c>
      <c r="CU20">
        <v>0</v>
      </c>
      <c r="CV20">
        <v>917.8</v>
      </c>
      <c r="CW20">
        <v>25831.200000000001</v>
      </c>
      <c r="CX20">
        <v>19646</v>
      </c>
      <c r="CY20">
        <v>0</v>
      </c>
      <c r="CZ20">
        <v>9882.2999999999993</v>
      </c>
      <c r="DA20">
        <v>3272.9</v>
      </c>
      <c r="DB20">
        <v>11117.8</v>
      </c>
      <c r="DC20">
        <v>0</v>
      </c>
      <c r="DD20">
        <v>147.5</v>
      </c>
      <c r="DE20">
        <v>11429.5</v>
      </c>
      <c r="DF20">
        <v>0</v>
      </c>
      <c r="DG20">
        <v>57664.6</v>
      </c>
      <c r="DH20">
        <v>16000</v>
      </c>
      <c r="DI20">
        <v>5708.9</v>
      </c>
      <c r="DJ20">
        <v>112401.8</v>
      </c>
      <c r="DK20">
        <v>114294.8</v>
      </c>
      <c r="DL20">
        <v>0</v>
      </c>
      <c r="DM20">
        <v>0</v>
      </c>
    </row>
    <row r="21" spans="1:117" x14ac:dyDescent="0.3">
      <c r="A21" t="s">
        <v>155</v>
      </c>
      <c r="B21">
        <v>2045</v>
      </c>
      <c r="C21">
        <v>401217700</v>
      </c>
      <c r="D21">
        <v>53401040</v>
      </c>
      <c r="E21">
        <v>24325034</v>
      </c>
      <c r="F21">
        <v>4017281.2</v>
      </c>
      <c r="G21">
        <v>482961035.69999999</v>
      </c>
      <c r="H21">
        <v>386797014.89999998</v>
      </c>
      <c r="I21">
        <v>131240870.3</v>
      </c>
      <c r="J21">
        <v>112195096</v>
      </c>
      <c r="K21">
        <v>103693930</v>
      </c>
      <c r="L21">
        <v>3.5900000000000001E-2</v>
      </c>
      <c r="M21">
        <v>5.3900000000000003E-2</v>
      </c>
      <c r="N21">
        <v>0.182</v>
      </c>
      <c r="O21">
        <v>98010.46</v>
      </c>
      <c r="P21">
        <v>104451.4</v>
      </c>
      <c r="Q21">
        <v>0.97</v>
      </c>
      <c r="R21">
        <v>1</v>
      </c>
      <c r="S21">
        <v>10.4</v>
      </c>
      <c r="T21">
        <v>0.2</v>
      </c>
      <c r="U21">
        <v>0.02</v>
      </c>
      <c r="V21">
        <v>1.3</v>
      </c>
      <c r="W21">
        <v>54.6</v>
      </c>
      <c r="X21">
        <v>0</v>
      </c>
      <c r="Y21">
        <v>10.4</v>
      </c>
      <c r="Z21">
        <v>2.9</v>
      </c>
      <c r="AA21">
        <v>13.4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6.7</v>
      </c>
      <c r="AL21">
        <v>0.2</v>
      </c>
      <c r="AM21">
        <v>0.02</v>
      </c>
      <c r="AN21">
        <v>0.8</v>
      </c>
      <c r="AO21">
        <v>34.1</v>
      </c>
      <c r="AP21">
        <v>0</v>
      </c>
      <c r="AQ21">
        <v>6.7</v>
      </c>
      <c r="AR21">
        <v>1.8</v>
      </c>
      <c r="AS21">
        <v>8.5</v>
      </c>
      <c r="AT21">
        <v>231.6</v>
      </c>
      <c r="AU21">
        <v>13.7</v>
      </c>
      <c r="AV21">
        <v>1.89</v>
      </c>
      <c r="AW21">
        <v>20</v>
      </c>
      <c r="AX21">
        <v>910.9</v>
      </c>
      <c r="AY21">
        <v>0.13</v>
      </c>
      <c r="AZ21">
        <v>232.5</v>
      </c>
      <c r="BA21">
        <v>47.2</v>
      </c>
      <c r="BB21">
        <v>279.7</v>
      </c>
      <c r="BC21">
        <v>4866767.0999999996</v>
      </c>
      <c r="BD21">
        <v>91.7</v>
      </c>
      <c r="BE21">
        <v>9.1999999999999993</v>
      </c>
      <c r="BF21">
        <v>611150.9</v>
      </c>
      <c r="BG21">
        <v>25488.5</v>
      </c>
      <c r="BH21">
        <v>2.2999999999999998</v>
      </c>
      <c r="BI21">
        <v>4872007.2</v>
      </c>
      <c r="BJ21">
        <v>1371331.1</v>
      </c>
      <c r="BK21">
        <v>6243338.2999999998</v>
      </c>
      <c r="BL21">
        <v>0</v>
      </c>
      <c r="BM21">
        <v>12.28</v>
      </c>
      <c r="BN21">
        <v>17.29</v>
      </c>
      <c r="BO21">
        <v>0</v>
      </c>
      <c r="BP21">
        <v>29.57</v>
      </c>
      <c r="BQ21">
        <v>14.56</v>
      </c>
      <c r="BR21">
        <v>22.28</v>
      </c>
      <c r="BS21">
        <v>0</v>
      </c>
      <c r="BT21">
        <v>36.85</v>
      </c>
      <c r="BU21">
        <v>473901470</v>
      </c>
      <c r="BV21">
        <v>351720160</v>
      </c>
      <c r="BW21">
        <v>45333640</v>
      </c>
      <c r="BX21">
        <v>1064288.8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36740704</v>
      </c>
      <c r="CE21">
        <v>12914269</v>
      </c>
      <c r="CF21">
        <v>0</v>
      </c>
      <c r="CG21">
        <v>119490.9</v>
      </c>
      <c r="CH21">
        <v>22988662</v>
      </c>
      <c r="CI21">
        <v>20249258</v>
      </c>
      <c r="CJ21">
        <v>0</v>
      </c>
      <c r="CK21">
        <v>1064.3</v>
      </c>
      <c r="CL21">
        <v>19510634</v>
      </c>
      <c r="CM21">
        <v>0</v>
      </c>
      <c r="CN21">
        <v>179422080</v>
      </c>
      <c r="CO21">
        <v>23148018</v>
      </c>
      <c r="CP21">
        <v>112409370</v>
      </c>
      <c r="CQ21">
        <v>25339.200000000001</v>
      </c>
      <c r="CR21">
        <v>366.9</v>
      </c>
      <c r="CS21">
        <v>0</v>
      </c>
      <c r="CT21">
        <v>0</v>
      </c>
      <c r="CU21">
        <v>0</v>
      </c>
      <c r="CV21">
        <v>0</v>
      </c>
      <c r="CW21">
        <v>27311.9</v>
      </c>
      <c r="CX21">
        <v>18961.599999999999</v>
      </c>
      <c r="CY21">
        <v>0</v>
      </c>
      <c r="CZ21">
        <v>8697</v>
      </c>
      <c r="DA21">
        <v>3223</v>
      </c>
      <c r="DB21">
        <v>11223.4</v>
      </c>
      <c r="DC21">
        <v>0</v>
      </c>
      <c r="DD21">
        <v>144.69999999999999</v>
      </c>
      <c r="DE21">
        <v>11429.5</v>
      </c>
      <c r="DF21">
        <v>0</v>
      </c>
      <c r="DG21">
        <v>68713.100000000006</v>
      </c>
      <c r="DH21">
        <v>25000</v>
      </c>
      <c r="DI21">
        <v>7227.2</v>
      </c>
      <c r="DJ21">
        <v>125599.4</v>
      </c>
      <c r="DK21">
        <v>114294.8</v>
      </c>
      <c r="DL21">
        <v>0</v>
      </c>
      <c r="DM21">
        <v>0</v>
      </c>
    </row>
    <row r="22" spans="1:117" x14ac:dyDescent="0.3">
      <c r="A22" t="s">
        <v>155</v>
      </c>
      <c r="B22">
        <v>2050</v>
      </c>
      <c r="C22">
        <v>435302460</v>
      </c>
      <c r="D22">
        <v>65650590</v>
      </c>
      <c r="E22">
        <v>23934216</v>
      </c>
      <c r="F22">
        <v>4128784.5</v>
      </c>
      <c r="G22">
        <v>529016039.60000002</v>
      </c>
      <c r="H22">
        <v>419656612.89999998</v>
      </c>
      <c r="I22">
        <v>144647345.90000001</v>
      </c>
      <c r="J22">
        <v>117195700</v>
      </c>
      <c r="K22">
        <v>105101896</v>
      </c>
      <c r="L22">
        <v>3.5900000000000001E-2</v>
      </c>
      <c r="M22">
        <v>5.3900000000000003E-2</v>
      </c>
      <c r="N22">
        <v>0.182</v>
      </c>
      <c r="O22">
        <v>109083.08</v>
      </c>
      <c r="P22">
        <v>113882.4</v>
      </c>
      <c r="Q22">
        <v>0.96</v>
      </c>
      <c r="R22">
        <v>1</v>
      </c>
      <c r="S22">
        <v>13.7</v>
      </c>
      <c r="T22">
        <v>0.3</v>
      </c>
      <c r="U22">
        <v>0.03</v>
      </c>
      <c r="V22">
        <v>1.7</v>
      </c>
      <c r="W22">
        <v>71.8</v>
      </c>
      <c r="X22">
        <v>0.01</v>
      </c>
      <c r="Y22">
        <v>13.7</v>
      </c>
      <c r="Z22">
        <v>3.8</v>
      </c>
      <c r="AA22">
        <v>17.600000000000001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234.6</v>
      </c>
      <c r="AU22">
        <v>11.6</v>
      </c>
      <c r="AV22">
        <v>1.55</v>
      </c>
      <c r="AW22">
        <v>22.1</v>
      </c>
      <c r="AX22">
        <v>998.9</v>
      </c>
      <c r="AY22">
        <v>0.13</v>
      </c>
      <c r="AZ22">
        <v>235.3</v>
      </c>
      <c r="BA22">
        <v>51.9</v>
      </c>
      <c r="BB22">
        <v>287.3</v>
      </c>
      <c r="BC22">
        <v>6969925.7000000002</v>
      </c>
      <c r="BD22">
        <v>131.4</v>
      </c>
      <c r="BE22">
        <v>13.1</v>
      </c>
      <c r="BF22">
        <v>860065.7</v>
      </c>
      <c r="BG22">
        <v>36486.400000000001</v>
      </c>
      <c r="BH22">
        <v>3.2</v>
      </c>
      <c r="BI22">
        <v>6977429.2999999998</v>
      </c>
      <c r="BJ22">
        <v>1948233.7</v>
      </c>
      <c r="BK22">
        <v>8925663</v>
      </c>
      <c r="BL22">
        <v>0</v>
      </c>
      <c r="BM22">
        <v>13.03</v>
      </c>
      <c r="BN22">
        <v>19.16</v>
      </c>
      <c r="BO22">
        <v>0</v>
      </c>
      <c r="BP22">
        <v>32.19</v>
      </c>
      <c r="BQ22">
        <v>15.64</v>
      </c>
      <c r="BR22">
        <v>24.95</v>
      </c>
      <c r="BS22">
        <v>0</v>
      </c>
      <c r="BT22">
        <v>40.590000000000003</v>
      </c>
      <c r="BU22">
        <v>516398660</v>
      </c>
      <c r="BV22">
        <v>384368700</v>
      </c>
      <c r="BW22">
        <v>55887390</v>
      </c>
      <c r="BX22">
        <v>1076869.8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36734956</v>
      </c>
      <c r="CE22">
        <v>18417282</v>
      </c>
      <c r="CF22">
        <v>0</v>
      </c>
      <c r="CG22">
        <v>148634.6</v>
      </c>
      <c r="CH22">
        <v>15824574</v>
      </c>
      <c r="CI22">
        <v>21590900</v>
      </c>
      <c r="CJ22">
        <v>0</v>
      </c>
      <c r="CK22">
        <v>1057.8</v>
      </c>
      <c r="CL22">
        <v>19083210</v>
      </c>
      <c r="CM22">
        <v>0</v>
      </c>
      <c r="CN22">
        <v>206559500</v>
      </c>
      <c r="CO22">
        <v>29841734</v>
      </c>
      <c r="CP22">
        <v>111232500</v>
      </c>
      <c r="CQ22">
        <v>30269.8</v>
      </c>
      <c r="CR22">
        <v>366.9</v>
      </c>
      <c r="CS22">
        <v>0</v>
      </c>
      <c r="CT22">
        <v>0</v>
      </c>
      <c r="CU22">
        <v>0</v>
      </c>
      <c r="CV22">
        <v>0</v>
      </c>
      <c r="CW22">
        <v>28359.7</v>
      </c>
      <c r="CX22">
        <v>18391.2</v>
      </c>
      <c r="CY22">
        <v>0</v>
      </c>
      <c r="CZ22">
        <v>8982.9</v>
      </c>
      <c r="DA22">
        <v>2207.9</v>
      </c>
      <c r="DB22">
        <v>11316.7</v>
      </c>
      <c r="DC22">
        <v>0</v>
      </c>
      <c r="DD22">
        <v>144.69999999999999</v>
      </c>
      <c r="DE22">
        <v>11429.5</v>
      </c>
      <c r="DF22">
        <v>0</v>
      </c>
      <c r="DG22">
        <v>79262.600000000006</v>
      </c>
      <c r="DH22">
        <v>25000</v>
      </c>
      <c r="DI22">
        <v>9421.9</v>
      </c>
      <c r="DJ22">
        <v>152810.5</v>
      </c>
      <c r="DK22">
        <v>114294.8</v>
      </c>
      <c r="DL22">
        <v>0</v>
      </c>
      <c r="DM22">
        <v>0</v>
      </c>
    </row>
    <row r="23" spans="1:117" x14ac:dyDescent="0.3">
      <c r="A23" t="s">
        <v>156</v>
      </c>
      <c r="B23">
        <v>2024</v>
      </c>
      <c r="C23">
        <v>386808600</v>
      </c>
      <c r="D23">
        <v>1915119.4</v>
      </c>
      <c r="E23">
        <v>10814.8</v>
      </c>
      <c r="F23">
        <v>5847374.2999999998</v>
      </c>
      <c r="G23">
        <v>394581909.10000002</v>
      </c>
      <c r="H23">
        <v>372903920.69999999</v>
      </c>
      <c r="I23">
        <v>193588010.40000001</v>
      </c>
      <c r="J23">
        <v>257188320</v>
      </c>
      <c r="K23">
        <v>264877570</v>
      </c>
      <c r="L23">
        <v>3.5900000000000001E-2</v>
      </c>
      <c r="M23">
        <v>5.3900000000000003E-2</v>
      </c>
      <c r="N23">
        <v>0.13750000000000001</v>
      </c>
      <c r="O23">
        <v>37832.910000000003</v>
      </c>
      <c r="P23">
        <v>90496</v>
      </c>
      <c r="Q23">
        <v>0.6</v>
      </c>
      <c r="R23">
        <v>0.59</v>
      </c>
      <c r="S23">
        <v>226.3</v>
      </c>
      <c r="T23">
        <v>13.9</v>
      </c>
      <c r="U23">
        <v>1.92</v>
      </c>
      <c r="V23">
        <v>19.100000000000001</v>
      </c>
      <c r="W23">
        <v>866.4</v>
      </c>
      <c r="X23">
        <v>0.13</v>
      </c>
      <c r="Y23">
        <v>227.2</v>
      </c>
      <c r="Z23">
        <v>45</v>
      </c>
      <c r="AA23">
        <v>272.2</v>
      </c>
      <c r="AB23">
        <v>240.1</v>
      </c>
      <c r="AC23">
        <v>14.7</v>
      </c>
      <c r="AD23">
        <v>2.04</v>
      </c>
      <c r="AE23">
        <v>20.3</v>
      </c>
      <c r="AF23">
        <v>918.3</v>
      </c>
      <c r="AG23">
        <v>0.14000000000000001</v>
      </c>
      <c r="AH23">
        <v>241.1</v>
      </c>
      <c r="AI23">
        <v>47.7</v>
      </c>
      <c r="AJ23">
        <v>288.7</v>
      </c>
      <c r="AK23">
        <v>237.9</v>
      </c>
      <c r="AL23">
        <v>9.5</v>
      </c>
      <c r="AM23">
        <v>1.26</v>
      </c>
      <c r="AN23">
        <v>24</v>
      </c>
      <c r="AO23">
        <v>1056.0999999999999</v>
      </c>
      <c r="AP23">
        <v>0.13</v>
      </c>
      <c r="AQ23">
        <v>238.5</v>
      </c>
      <c r="AR23">
        <v>55.5</v>
      </c>
      <c r="AS23">
        <v>294</v>
      </c>
      <c r="AT23">
        <v>552</v>
      </c>
      <c r="AU23">
        <v>37.200000000000003</v>
      </c>
      <c r="AV23">
        <v>5.3</v>
      </c>
      <c r="AW23">
        <v>43</v>
      </c>
      <c r="AX23">
        <v>1928.9</v>
      </c>
      <c r="AY23">
        <v>0.35</v>
      </c>
      <c r="AZ23">
        <v>554.6</v>
      </c>
      <c r="BA23">
        <v>100.6</v>
      </c>
      <c r="BB23">
        <v>655.20000000000005</v>
      </c>
      <c r="BC23">
        <v>90341974.200000003</v>
      </c>
      <c r="BD23">
        <v>5524</v>
      </c>
      <c r="BE23">
        <v>767.1</v>
      </c>
      <c r="BF23">
        <v>7638761.4000000004</v>
      </c>
      <c r="BG23">
        <v>346118.8</v>
      </c>
      <c r="BH23">
        <v>53.8</v>
      </c>
      <c r="BI23">
        <v>90716001.700000003</v>
      </c>
      <c r="BJ23">
        <v>17967789.5</v>
      </c>
      <c r="BK23">
        <v>108683791.2</v>
      </c>
      <c r="BL23">
        <v>0</v>
      </c>
      <c r="BM23">
        <v>23.18</v>
      </c>
      <c r="BN23">
        <v>7.56</v>
      </c>
      <c r="BO23">
        <v>0</v>
      </c>
      <c r="BP23">
        <v>30.74</v>
      </c>
      <c r="BQ23">
        <v>24.74</v>
      </c>
      <c r="BR23">
        <v>8.26</v>
      </c>
      <c r="BS23">
        <v>0</v>
      </c>
      <c r="BT23">
        <v>33</v>
      </c>
      <c r="BU23">
        <v>402297150</v>
      </c>
      <c r="BV23">
        <v>200993900</v>
      </c>
      <c r="BW23">
        <v>1625282.4</v>
      </c>
      <c r="BX23">
        <v>584395.6</v>
      </c>
      <c r="BY23">
        <v>0</v>
      </c>
      <c r="BZ23">
        <v>0</v>
      </c>
      <c r="CA23">
        <v>39003504</v>
      </c>
      <c r="CB23">
        <v>0</v>
      </c>
      <c r="CC23">
        <v>0</v>
      </c>
      <c r="CD23">
        <v>2615561.2000000002</v>
      </c>
      <c r="CE23">
        <v>116088400</v>
      </c>
      <c r="CF23">
        <v>0</v>
      </c>
      <c r="CG23">
        <v>3252285.5</v>
      </c>
      <c r="CH23">
        <v>0</v>
      </c>
      <c r="CI23">
        <v>579877.19999999995</v>
      </c>
      <c r="CJ23">
        <v>37684412</v>
      </c>
      <c r="CK23">
        <v>2476326</v>
      </c>
      <c r="CL23">
        <v>8788.9</v>
      </c>
      <c r="CM23">
        <v>0</v>
      </c>
      <c r="CN23">
        <v>78896290</v>
      </c>
      <c r="CO23">
        <v>119482050</v>
      </c>
      <c r="CP23">
        <v>0</v>
      </c>
      <c r="CQ23">
        <v>1580.1</v>
      </c>
      <c r="CR23">
        <v>110.6</v>
      </c>
      <c r="CS23">
        <v>0</v>
      </c>
      <c r="CT23">
        <v>14766.6</v>
      </c>
      <c r="CU23">
        <v>0</v>
      </c>
      <c r="CV23">
        <v>0</v>
      </c>
      <c r="CW23">
        <v>1776.1</v>
      </c>
      <c r="CX23">
        <v>34699.300000000003</v>
      </c>
      <c r="CY23">
        <v>0</v>
      </c>
      <c r="CZ23">
        <v>7945.7</v>
      </c>
      <c r="DA23">
        <v>0</v>
      </c>
      <c r="DB23">
        <v>562.70000000000005</v>
      </c>
      <c r="DC23">
        <v>4980</v>
      </c>
      <c r="DD23">
        <v>9933.2999999999993</v>
      </c>
      <c r="DE23">
        <v>5</v>
      </c>
      <c r="DF23">
        <v>0</v>
      </c>
      <c r="DG23">
        <v>35071.5</v>
      </c>
      <c r="DH23">
        <v>0</v>
      </c>
      <c r="DI23">
        <v>33658.199999999997</v>
      </c>
      <c r="DJ23">
        <v>3160.2</v>
      </c>
      <c r="DK23">
        <v>50</v>
      </c>
      <c r="DL23">
        <v>0</v>
      </c>
      <c r="DM23">
        <v>0</v>
      </c>
    </row>
    <row r="24" spans="1:117" x14ac:dyDescent="0.3">
      <c r="A24" t="s">
        <v>156</v>
      </c>
      <c r="B24">
        <v>2026</v>
      </c>
      <c r="C24">
        <v>395212860</v>
      </c>
      <c r="D24">
        <v>5007138.5</v>
      </c>
      <c r="E24">
        <v>12035.4</v>
      </c>
      <c r="F24">
        <v>5393729.0999999996</v>
      </c>
      <c r="G24">
        <v>405625779.39999998</v>
      </c>
      <c r="H24">
        <v>381006099.80000001</v>
      </c>
      <c r="I24">
        <v>156313281.80000001</v>
      </c>
      <c r="J24">
        <v>238538930</v>
      </c>
      <c r="K24">
        <v>248365100</v>
      </c>
      <c r="L24">
        <v>3.5900000000000001E-2</v>
      </c>
      <c r="M24">
        <v>5.3900000000000003E-2</v>
      </c>
      <c r="N24">
        <v>0.13750000000000001</v>
      </c>
      <c r="O24">
        <v>43759.7</v>
      </c>
      <c r="P24">
        <v>92507.8</v>
      </c>
      <c r="Q24">
        <v>0.7</v>
      </c>
      <c r="R24">
        <v>0.69</v>
      </c>
      <c r="S24">
        <v>157.80000000000001</v>
      </c>
      <c r="T24">
        <v>8.6999999999999993</v>
      </c>
      <c r="U24">
        <v>1.18</v>
      </c>
      <c r="V24">
        <v>14.4</v>
      </c>
      <c r="W24">
        <v>639.79999999999995</v>
      </c>
      <c r="X24">
        <v>0.1</v>
      </c>
      <c r="Y24">
        <v>158.4</v>
      </c>
      <c r="Z24">
        <v>33.5</v>
      </c>
      <c r="AA24">
        <v>191.9</v>
      </c>
      <c r="AB24">
        <v>169.2</v>
      </c>
      <c r="AC24">
        <v>9.3000000000000007</v>
      </c>
      <c r="AD24">
        <v>1.27</v>
      </c>
      <c r="AE24">
        <v>15.4</v>
      </c>
      <c r="AF24">
        <v>685.1</v>
      </c>
      <c r="AG24">
        <v>0.1</v>
      </c>
      <c r="AH24">
        <v>169.8</v>
      </c>
      <c r="AI24">
        <v>35.9</v>
      </c>
      <c r="AJ24">
        <v>205.7</v>
      </c>
      <c r="AK24">
        <v>149.9</v>
      </c>
      <c r="AL24">
        <v>3.8</v>
      </c>
      <c r="AM24">
        <v>0.44</v>
      </c>
      <c r="AN24">
        <v>16.899999999999999</v>
      </c>
      <c r="AO24">
        <v>746.5</v>
      </c>
      <c r="AP24">
        <v>7.0000000000000007E-2</v>
      </c>
      <c r="AQ24">
        <v>150.1</v>
      </c>
      <c r="AR24">
        <v>39.200000000000003</v>
      </c>
      <c r="AS24">
        <v>189.3</v>
      </c>
      <c r="AT24">
        <v>469.5</v>
      </c>
      <c r="AU24">
        <v>28.8</v>
      </c>
      <c r="AV24">
        <v>4.0599999999999996</v>
      </c>
      <c r="AW24">
        <v>39</v>
      </c>
      <c r="AX24">
        <v>1742.3</v>
      </c>
      <c r="AY24">
        <v>0.28999999999999998</v>
      </c>
      <c r="AZ24">
        <v>471.4</v>
      </c>
      <c r="BA24">
        <v>90.9</v>
      </c>
      <c r="BB24">
        <v>562.4</v>
      </c>
      <c r="BC24">
        <v>65055915.700000003</v>
      </c>
      <c r="BD24">
        <v>3559.3</v>
      </c>
      <c r="BE24">
        <v>486.4</v>
      </c>
      <c r="BF24">
        <v>5946369.7000000002</v>
      </c>
      <c r="BG24">
        <v>263902.59999999998</v>
      </c>
      <c r="BH24">
        <v>39.5</v>
      </c>
      <c r="BI24">
        <v>65294773.799999997</v>
      </c>
      <c r="BJ24">
        <v>13821442.6</v>
      </c>
      <c r="BK24">
        <v>79116216.400000006</v>
      </c>
      <c r="BL24">
        <v>0</v>
      </c>
      <c r="BM24">
        <v>19.47</v>
      </c>
      <c r="BN24">
        <v>8.69</v>
      </c>
      <c r="BO24">
        <v>0</v>
      </c>
      <c r="BP24">
        <v>28.16</v>
      </c>
      <c r="BQ24">
        <v>20.91</v>
      </c>
      <c r="BR24">
        <v>9.56</v>
      </c>
      <c r="BS24">
        <v>0</v>
      </c>
      <c r="BT24">
        <v>30.47</v>
      </c>
      <c r="BU24">
        <v>415504400</v>
      </c>
      <c r="BV24">
        <v>249312480</v>
      </c>
      <c r="BW24">
        <v>4257701</v>
      </c>
      <c r="BX24">
        <v>488456.9</v>
      </c>
      <c r="BY24">
        <v>0</v>
      </c>
      <c r="BZ24">
        <v>0</v>
      </c>
      <c r="CA24">
        <v>23904080</v>
      </c>
      <c r="CB24">
        <v>0</v>
      </c>
      <c r="CC24">
        <v>0</v>
      </c>
      <c r="CD24">
        <v>4681808.5</v>
      </c>
      <c r="CE24">
        <v>97304480</v>
      </c>
      <c r="CF24">
        <v>0</v>
      </c>
      <c r="CG24">
        <v>2199583.7999999998</v>
      </c>
      <c r="CH24">
        <v>0</v>
      </c>
      <c r="CI24">
        <v>532413</v>
      </c>
      <c r="CJ24">
        <v>36206856</v>
      </c>
      <c r="CK24">
        <v>1288690.8999999999</v>
      </c>
      <c r="CL24">
        <v>9618.2000000000007</v>
      </c>
      <c r="CM24">
        <v>0</v>
      </c>
      <c r="CN24">
        <v>81305350</v>
      </c>
      <c r="CO24">
        <v>163325330</v>
      </c>
      <c r="CP24">
        <v>0</v>
      </c>
      <c r="CQ24">
        <v>3394.9</v>
      </c>
      <c r="CR24">
        <v>110.6</v>
      </c>
      <c r="CS24">
        <v>0</v>
      </c>
      <c r="CT24">
        <v>14766.6</v>
      </c>
      <c r="CU24">
        <v>0</v>
      </c>
      <c r="CV24">
        <v>0</v>
      </c>
      <c r="CW24">
        <v>3160</v>
      </c>
      <c r="CX24">
        <v>36025.300000000003</v>
      </c>
      <c r="CY24">
        <v>0</v>
      </c>
      <c r="CZ24">
        <v>7945.7</v>
      </c>
      <c r="DA24">
        <v>0</v>
      </c>
      <c r="DB24">
        <v>562.70000000000005</v>
      </c>
      <c r="DC24">
        <v>4980</v>
      </c>
      <c r="DD24">
        <v>8350.2999999999993</v>
      </c>
      <c r="DE24">
        <v>5</v>
      </c>
      <c r="DF24">
        <v>0</v>
      </c>
      <c r="DG24">
        <v>36531.5</v>
      </c>
      <c r="DH24">
        <v>0</v>
      </c>
      <c r="DI24">
        <v>44919.1</v>
      </c>
      <c r="DJ24">
        <v>9985.9</v>
      </c>
      <c r="DK24">
        <v>50</v>
      </c>
      <c r="DL24">
        <v>0</v>
      </c>
      <c r="DM24">
        <v>0</v>
      </c>
    </row>
    <row r="25" spans="1:117" x14ac:dyDescent="0.3">
      <c r="A25" t="s">
        <v>156</v>
      </c>
      <c r="B25">
        <v>2028</v>
      </c>
      <c r="C25">
        <v>405129150</v>
      </c>
      <c r="D25">
        <v>11006620</v>
      </c>
      <c r="E25">
        <v>10034.200000000001</v>
      </c>
      <c r="F25">
        <v>5009718.5999999996</v>
      </c>
      <c r="G25">
        <v>421155526.10000002</v>
      </c>
      <c r="H25">
        <v>390565964.69999999</v>
      </c>
      <c r="I25">
        <v>110237910.3</v>
      </c>
      <c r="J25">
        <v>229163360</v>
      </c>
      <c r="K25">
        <v>243567840</v>
      </c>
      <c r="L25">
        <v>3.5900000000000001E-2</v>
      </c>
      <c r="M25">
        <v>5.3900000000000003E-2</v>
      </c>
      <c r="N25">
        <v>0.13750000000000001</v>
      </c>
      <c r="O25">
        <v>44122.12</v>
      </c>
      <c r="P25">
        <v>95054.1</v>
      </c>
      <c r="Q25">
        <v>0.82</v>
      </c>
      <c r="R25">
        <v>0.81</v>
      </c>
      <c r="S25">
        <v>89</v>
      </c>
      <c r="T25">
        <v>4</v>
      </c>
      <c r="U25">
        <v>0.53</v>
      </c>
      <c r="V25">
        <v>9.1999999999999993</v>
      </c>
      <c r="W25">
        <v>388.5</v>
      </c>
      <c r="X25">
        <v>0.06</v>
      </c>
      <c r="Y25">
        <v>89.3</v>
      </c>
      <c r="Z25">
        <v>20.8</v>
      </c>
      <c r="AA25">
        <v>110</v>
      </c>
      <c r="AB25">
        <v>97.4</v>
      </c>
      <c r="AC25">
        <v>4.4000000000000004</v>
      </c>
      <c r="AD25">
        <v>0.57999999999999996</v>
      </c>
      <c r="AE25">
        <v>10</v>
      </c>
      <c r="AF25">
        <v>424.8</v>
      </c>
      <c r="AG25">
        <v>7.0000000000000007E-2</v>
      </c>
      <c r="AH25">
        <v>97.6</v>
      </c>
      <c r="AI25">
        <v>22.7</v>
      </c>
      <c r="AJ25">
        <v>120.4</v>
      </c>
      <c r="AK25">
        <v>58.7</v>
      </c>
      <c r="AL25">
        <v>1.9</v>
      </c>
      <c r="AM25">
        <v>0.24</v>
      </c>
      <c r="AN25">
        <v>6.3</v>
      </c>
      <c r="AO25">
        <v>277</v>
      </c>
      <c r="AP25">
        <v>0.03</v>
      </c>
      <c r="AQ25">
        <v>58.8</v>
      </c>
      <c r="AR25">
        <v>14.6</v>
      </c>
      <c r="AS25">
        <v>73.400000000000006</v>
      </c>
      <c r="AT25">
        <v>357.3</v>
      </c>
      <c r="AU25">
        <v>19.8</v>
      </c>
      <c r="AV25">
        <v>2.76</v>
      </c>
      <c r="AW25">
        <v>31.7</v>
      </c>
      <c r="AX25">
        <v>1392.7</v>
      </c>
      <c r="AY25">
        <v>0.22</v>
      </c>
      <c r="AZ25">
        <v>358.7</v>
      </c>
      <c r="BA25">
        <v>73.2</v>
      </c>
      <c r="BB25">
        <v>431.9</v>
      </c>
      <c r="BC25">
        <v>38433084.5</v>
      </c>
      <c r="BD25">
        <v>1727.9</v>
      </c>
      <c r="BE25">
        <v>229.7</v>
      </c>
      <c r="BF25">
        <v>3971129.7</v>
      </c>
      <c r="BG25">
        <v>167893.9</v>
      </c>
      <c r="BH25">
        <v>25.8</v>
      </c>
      <c r="BI25">
        <v>38547282.399999999</v>
      </c>
      <c r="BJ25">
        <v>8981413.0999999996</v>
      </c>
      <c r="BK25">
        <v>47528695.5</v>
      </c>
      <c r="BL25">
        <v>0</v>
      </c>
      <c r="BM25">
        <v>14.74</v>
      </c>
      <c r="BN25">
        <v>8.5500000000000007</v>
      </c>
      <c r="BO25">
        <v>0</v>
      </c>
      <c r="BP25">
        <v>23.29</v>
      </c>
      <c r="BQ25">
        <v>15.98</v>
      </c>
      <c r="BR25">
        <v>9.51</v>
      </c>
      <c r="BS25">
        <v>0</v>
      </c>
      <c r="BT25">
        <v>25.49</v>
      </c>
      <c r="BU25">
        <v>435697730</v>
      </c>
      <c r="BV25">
        <v>310917600</v>
      </c>
      <c r="BW25">
        <v>9294660</v>
      </c>
      <c r="BX25">
        <v>387076.7</v>
      </c>
      <c r="BY25">
        <v>0</v>
      </c>
      <c r="BZ25">
        <v>0</v>
      </c>
      <c r="CA25">
        <v>10449178</v>
      </c>
      <c r="CB25">
        <v>0</v>
      </c>
      <c r="CC25">
        <v>0</v>
      </c>
      <c r="CD25">
        <v>7814090.5</v>
      </c>
      <c r="CE25">
        <v>67857800</v>
      </c>
      <c r="CF25">
        <v>0</v>
      </c>
      <c r="CG25">
        <v>1248376.8</v>
      </c>
      <c r="CH25">
        <v>0</v>
      </c>
      <c r="CI25">
        <v>468673.6</v>
      </c>
      <c r="CJ25">
        <v>34244904</v>
      </c>
      <c r="CK25">
        <v>821457.2</v>
      </c>
      <c r="CL25">
        <v>7976.3</v>
      </c>
      <c r="CM25">
        <v>0</v>
      </c>
      <c r="CN25">
        <v>84630424</v>
      </c>
      <c r="CO25">
        <v>218473120</v>
      </c>
      <c r="CP25">
        <v>0</v>
      </c>
      <c r="CQ25">
        <v>7100.7</v>
      </c>
      <c r="CR25">
        <v>110.6</v>
      </c>
      <c r="CS25">
        <v>0</v>
      </c>
      <c r="CT25">
        <v>14111.6</v>
      </c>
      <c r="CU25">
        <v>0</v>
      </c>
      <c r="CV25">
        <v>0</v>
      </c>
      <c r="CW25">
        <v>5272.9</v>
      </c>
      <c r="CX25">
        <v>35706.199999999997</v>
      </c>
      <c r="CY25">
        <v>0</v>
      </c>
      <c r="CZ25">
        <v>7945.7</v>
      </c>
      <c r="DA25">
        <v>0</v>
      </c>
      <c r="DB25">
        <v>562.70000000000005</v>
      </c>
      <c r="DC25">
        <v>4980</v>
      </c>
      <c r="DD25">
        <v>7858.3</v>
      </c>
      <c r="DE25">
        <v>5</v>
      </c>
      <c r="DF25">
        <v>0</v>
      </c>
      <c r="DG25">
        <v>40405.599999999999</v>
      </c>
      <c r="DH25">
        <v>0</v>
      </c>
      <c r="DI25">
        <v>62110.5</v>
      </c>
      <c r="DJ25">
        <v>24881.599999999999</v>
      </c>
      <c r="DK25">
        <v>50</v>
      </c>
      <c r="DL25">
        <v>0</v>
      </c>
      <c r="DM25">
        <v>0</v>
      </c>
    </row>
    <row r="26" spans="1:117" x14ac:dyDescent="0.3">
      <c r="A26" t="s">
        <v>156</v>
      </c>
      <c r="B26">
        <v>2030</v>
      </c>
      <c r="C26">
        <v>416517100</v>
      </c>
      <c r="D26">
        <v>15126309</v>
      </c>
      <c r="E26">
        <v>8720.6</v>
      </c>
      <c r="F26">
        <v>4843583.5</v>
      </c>
      <c r="G26">
        <v>436495695.60000002</v>
      </c>
      <c r="H26">
        <v>401544615</v>
      </c>
      <c r="I26">
        <v>73118513.900000006</v>
      </c>
      <c r="J26">
        <v>213415650</v>
      </c>
      <c r="K26">
        <v>247162420</v>
      </c>
      <c r="L26">
        <v>3.5900000000000001E-2</v>
      </c>
      <c r="M26">
        <v>5.3900000000000003E-2</v>
      </c>
      <c r="N26">
        <v>0.13750000000000001</v>
      </c>
      <c r="O26">
        <v>56330.31</v>
      </c>
      <c r="P26">
        <v>98193.8</v>
      </c>
      <c r="Q26">
        <v>0.87</v>
      </c>
      <c r="R26">
        <v>0.86</v>
      </c>
      <c r="S26">
        <v>62.2</v>
      </c>
      <c r="T26">
        <v>3</v>
      </c>
      <c r="U26">
        <v>0.4</v>
      </c>
      <c r="V26">
        <v>6.4</v>
      </c>
      <c r="W26">
        <v>265.5</v>
      </c>
      <c r="X26">
        <v>0.05</v>
      </c>
      <c r="Y26">
        <v>62.4</v>
      </c>
      <c r="Z26">
        <v>14.3</v>
      </c>
      <c r="AA26">
        <v>76.7</v>
      </c>
      <c r="AB26">
        <v>70.7</v>
      </c>
      <c r="AC26">
        <v>3.4</v>
      </c>
      <c r="AD26">
        <v>0.46</v>
      </c>
      <c r="AE26">
        <v>7.2</v>
      </c>
      <c r="AF26">
        <v>301.5</v>
      </c>
      <c r="AG26">
        <v>0.05</v>
      </c>
      <c r="AH26">
        <v>71</v>
      </c>
      <c r="AI26">
        <v>16.2</v>
      </c>
      <c r="AJ26">
        <v>87.2</v>
      </c>
      <c r="AK26">
        <v>32.9</v>
      </c>
      <c r="AL26">
        <v>1.7</v>
      </c>
      <c r="AM26">
        <v>0.23</v>
      </c>
      <c r="AN26">
        <v>3</v>
      </c>
      <c r="AO26">
        <v>135.6</v>
      </c>
      <c r="AP26">
        <v>0.02</v>
      </c>
      <c r="AQ26">
        <v>33</v>
      </c>
      <c r="AR26">
        <v>7</v>
      </c>
      <c r="AS26">
        <v>40</v>
      </c>
      <c r="AT26">
        <v>313.10000000000002</v>
      </c>
      <c r="AU26">
        <v>18.3</v>
      </c>
      <c r="AV26">
        <v>2.5499999999999998</v>
      </c>
      <c r="AW26">
        <v>26.8</v>
      </c>
      <c r="AX26">
        <v>1199.0999999999999</v>
      </c>
      <c r="AY26">
        <v>0.19</v>
      </c>
      <c r="AZ26">
        <v>314.39999999999998</v>
      </c>
      <c r="BA26">
        <v>62.6</v>
      </c>
      <c r="BB26">
        <v>377</v>
      </c>
      <c r="BC26">
        <v>28946841.300000001</v>
      </c>
      <c r="BD26">
        <v>1393.1</v>
      </c>
      <c r="BE26">
        <v>187.1</v>
      </c>
      <c r="BF26">
        <v>2975145.6</v>
      </c>
      <c r="BG26">
        <v>123724.2</v>
      </c>
      <c r="BH26">
        <v>21</v>
      </c>
      <c r="BI26">
        <v>29039445</v>
      </c>
      <c r="BJ26">
        <v>6667864.2999999998</v>
      </c>
      <c r="BK26">
        <v>35707309.299999997</v>
      </c>
      <c r="BL26">
        <v>0</v>
      </c>
      <c r="BM26">
        <v>13.11</v>
      </c>
      <c r="BN26">
        <v>10.61</v>
      </c>
      <c r="BO26">
        <v>0</v>
      </c>
      <c r="BP26">
        <v>23.72</v>
      </c>
      <c r="BQ26">
        <v>14.29</v>
      </c>
      <c r="BR26">
        <v>11.88</v>
      </c>
      <c r="BS26">
        <v>0</v>
      </c>
      <c r="BT26">
        <v>26.17</v>
      </c>
      <c r="BU26">
        <v>470501980</v>
      </c>
      <c r="BV26">
        <v>363377180</v>
      </c>
      <c r="BW26">
        <v>12823374</v>
      </c>
      <c r="BX26">
        <v>337452.5</v>
      </c>
      <c r="BY26">
        <v>0</v>
      </c>
      <c r="BZ26">
        <v>0</v>
      </c>
      <c r="CA26">
        <v>8955824</v>
      </c>
      <c r="CB26">
        <v>0</v>
      </c>
      <c r="CC26">
        <v>0</v>
      </c>
      <c r="CD26">
        <v>11923816</v>
      </c>
      <c r="CE26">
        <v>49836256</v>
      </c>
      <c r="CF26">
        <v>0</v>
      </c>
      <c r="CG26">
        <v>831156.4</v>
      </c>
      <c r="CH26">
        <v>0</v>
      </c>
      <c r="CI26">
        <v>441150.1</v>
      </c>
      <c r="CJ26">
        <v>33279494</v>
      </c>
      <c r="CK26">
        <v>613017.80000000005</v>
      </c>
      <c r="CL26">
        <v>7079.1</v>
      </c>
      <c r="CM26">
        <v>0</v>
      </c>
      <c r="CN26">
        <v>98402024</v>
      </c>
      <c r="CO26">
        <v>253051340</v>
      </c>
      <c r="CP26">
        <v>0</v>
      </c>
      <c r="CQ26">
        <v>9431.4</v>
      </c>
      <c r="CR26">
        <v>110.6</v>
      </c>
      <c r="CS26">
        <v>0</v>
      </c>
      <c r="CT26">
        <v>12422.6</v>
      </c>
      <c r="CU26">
        <v>0</v>
      </c>
      <c r="CV26">
        <v>0</v>
      </c>
      <c r="CW26">
        <v>8251.7000000000007</v>
      </c>
      <c r="CX26">
        <v>35590.300000000003</v>
      </c>
      <c r="CY26">
        <v>0</v>
      </c>
      <c r="CZ26">
        <v>7903.7</v>
      </c>
      <c r="DA26">
        <v>0</v>
      </c>
      <c r="DB26">
        <v>562.70000000000005</v>
      </c>
      <c r="DC26">
        <v>4980</v>
      </c>
      <c r="DD26">
        <v>7703.3</v>
      </c>
      <c r="DE26">
        <v>5</v>
      </c>
      <c r="DF26">
        <v>0</v>
      </c>
      <c r="DG26">
        <v>48202.6</v>
      </c>
      <c r="DH26">
        <v>0</v>
      </c>
      <c r="DI26">
        <v>74824.600000000006</v>
      </c>
      <c r="DJ26">
        <v>33753.800000000003</v>
      </c>
      <c r="DK26">
        <v>50</v>
      </c>
      <c r="DL26">
        <v>0</v>
      </c>
      <c r="DM26">
        <v>0</v>
      </c>
    </row>
    <row r="27" spans="1:117" x14ac:dyDescent="0.3">
      <c r="A27" t="s">
        <v>156</v>
      </c>
      <c r="B27">
        <v>2035</v>
      </c>
      <c r="C27">
        <v>446867650</v>
      </c>
      <c r="D27">
        <v>28522292</v>
      </c>
      <c r="E27">
        <v>7011.1</v>
      </c>
      <c r="F27">
        <v>5185313.5</v>
      </c>
      <c r="G27">
        <v>480582252.80000001</v>
      </c>
      <c r="H27">
        <v>430804428.39999998</v>
      </c>
      <c r="I27">
        <v>67571878.200000003</v>
      </c>
      <c r="J27">
        <v>225438370</v>
      </c>
      <c r="K27">
        <v>260770530</v>
      </c>
      <c r="L27">
        <v>3.5900000000000001E-2</v>
      </c>
      <c r="M27">
        <v>5.3900000000000003E-2</v>
      </c>
      <c r="N27">
        <v>0.13750000000000001</v>
      </c>
      <c r="O27">
        <v>81343.149999999994</v>
      </c>
      <c r="P27">
        <v>106656.1</v>
      </c>
      <c r="Q27">
        <v>0.91</v>
      </c>
      <c r="R27">
        <v>0.9</v>
      </c>
      <c r="S27">
        <v>43.6</v>
      </c>
      <c r="T27">
        <v>2.2000000000000002</v>
      </c>
      <c r="U27">
        <v>0.3</v>
      </c>
      <c r="V27">
        <v>4.5</v>
      </c>
      <c r="W27">
        <v>182.5</v>
      </c>
      <c r="X27">
        <v>0.03</v>
      </c>
      <c r="Y27">
        <v>43.8</v>
      </c>
      <c r="Z27">
        <v>9.9</v>
      </c>
      <c r="AA27">
        <v>53.7</v>
      </c>
      <c r="AB27">
        <v>51.1</v>
      </c>
      <c r="AC27">
        <v>2.6</v>
      </c>
      <c r="AD27">
        <v>0.35</v>
      </c>
      <c r="AE27">
        <v>5.2</v>
      </c>
      <c r="AF27">
        <v>213.8</v>
      </c>
      <c r="AG27">
        <v>0.04</v>
      </c>
      <c r="AH27">
        <v>51.3</v>
      </c>
      <c r="AI27">
        <v>11.6</v>
      </c>
      <c r="AJ27">
        <v>62.9</v>
      </c>
      <c r="AK27">
        <v>57.5</v>
      </c>
      <c r="AL27">
        <v>3.2</v>
      </c>
      <c r="AM27">
        <v>0.43</v>
      </c>
      <c r="AN27">
        <v>5</v>
      </c>
      <c r="AO27">
        <v>233.5</v>
      </c>
      <c r="AP27">
        <v>0.03</v>
      </c>
      <c r="AQ27">
        <v>57.7</v>
      </c>
      <c r="AR27">
        <v>11.9</v>
      </c>
      <c r="AS27">
        <v>69.599999999999994</v>
      </c>
      <c r="AT27">
        <v>275.8</v>
      </c>
      <c r="AU27">
        <v>16.600000000000001</v>
      </c>
      <c r="AV27">
        <v>2.3199999999999998</v>
      </c>
      <c r="AW27">
        <v>23.1</v>
      </c>
      <c r="AX27">
        <v>1043.3</v>
      </c>
      <c r="AY27">
        <v>0.16</v>
      </c>
      <c r="AZ27">
        <v>277</v>
      </c>
      <c r="BA27">
        <v>54.3</v>
      </c>
      <c r="BB27">
        <v>331.2</v>
      </c>
      <c r="BC27">
        <v>22203144.899999999</v>
      </c>
      <c r="BD27">
        <v>1130.4000000000001</v>
      </c>
      <c r="BE27">
        <v>153.1</v>
      </c>
      <c r="BF27">
        <v>2290371.5</v>
      </c>
      <c r="BG27">
        <v>93084.4</v>
      </c>
      <c r="BH27">
        <v>17.600000000000001</v>
      </c>
      <c r="BI27">
        <v>22278628.699999999</v>
      </c>
      <c r="BJ27">
        <v>5069098.7</v>
      </c>
      <c r="BK27">
        <v>27347727.399999999</v>
      </c>
      <c r="BL27">
        <v>0</v>
      </c>
      <c r="BM27">
        <v>11.07</v>
      </c>
      <c r="BN27">
        <v>14.46</v>
      </c>
      <c r="BO27">
        <v>0</v>
      </c>
      <c r="BP27">
        <v>25.54</v>
      </c>
      <c r="BQ27">
        <v>12.31</v>
      </c>
      <c r="BR27">
        <v>16.57</v>
      </c>
      <c r="BS27">
        <v>0</v>
      </c>
      <c r="BT27">
        <v>28.89</v>
      </c>
      <c r="BU27">
        <v>516159500</v>
      </c>
      <c r="BV27">
        <v>413010370</v>
      </c>
      <c r="BW27">
        <v>24112970</v>
      </c>
      <c r="BX27">
        <v>300626.5</v>
      </c>
      <c r="BY27">
        <v>0</v>
      </c>
      <c r="BZ27">
        <v>0</v>
      </c>
      <c r="CA27">
        <v>7533997</v>
      </c>
      <c r="CB27">
        <v>0</v>
      </c>
      <c r="CC27">
        <v>0</v>
      </c>
      <c r="CD27">
        <v>16755690</v>
      </c>
      <c r="CE27">
        <v>37001750</v>
      </c>
      <c r="CF27">
        <v>0</v>
      </c>
      <c r="CG27">
        <v>617438.69999999995</v>
      </c>
      <c r="CH27">
        <v>0</v>
      </c>
      <c r="CI27">
        <v>403604.2</v>
      </c>
      <c r="CJ27">
        <v>32694092</v>
      </c>
      <c r="CK27">
        <v>479099.6</v>
      </c>
      <c r="CL27">
        <v>5521.4</v>
      </c>
      <c r="CM27">
        <v>0</v>
      </c>
      <c r="CN27">
        <v>119762420</v>
      </c>
      <c r="CO27">
        <v>276492260</v>
      </c>
      <c r="CP27">
        <v>0</v>
      </c>
      <c r="CQ27">
        <v>15305.2</v>
      </c>
      <c r="CR27">
        <v>110.6</v>
      </c>
      <c r="CS27">
        <v>0</v>
      </c>
      <c r="CT27">
        <v>12422.6</v>
      </c>
      <c r="CU27">
        <v>0</v>
      </c>
      <c r="CV27">
        <v>0</v>
      </c>
      <c r="CW27">
        <v>11969.7</v>
      </c>
      <c r="CX27">
        <v>34607.300000000003</v>
      </c>
      <c r="CY27">
        <v>0</v>
      </c>
      <c r="CZ27">
        <v>7050.7</v>
      </c>
      <c r="DA27">
        <v>0</v>
      </c>
      <c r="DB27">
        <v>562.70000000000005</v>
      </c>
      <c r="DC27">
        <v>4980</v>
      </c>
      <c r="DD27">
        <v>7058.3</v>
      </c>
      <c r="DE27">
        <v>5</v>
      </c>
      <c r="DF27">
        <v>0</v>
      </c>
      <c r="DG27">
        <v>64801.5</v>
      </c>
      <c r="DH27">
        <v>0</v>
      </c>
      <c r="DI27">
        <v>83910.6</v>
      </c>
      <c r="DJ27">
        <v>68941.3</v>
      </c>
      <c r="DK27">
        <v>50</v>
      </c>
      <c r="DL27">
        <v>0</v>
      </c>
      <c r="DM27">
        <v>0</v>
      </c>
    </row>
    <row r="28" spans="1:117" x14ac:dyDescent="0.3">
      <c r="A28" t="s">
        <v>156</v>
      </c>
      <c r="B28">
        <v>2040</v>
      </c>
      <c r="C28">
        <v>482712420</v>
      </c>
      <c r="D28">
        <v>36658270</v>
      </c>
      <c r="E28">
        <v>7414.8</v>
      </c>
      <c r="F28">
        <v>5628964.9000000004</v>
      </c>
      <c r="G28">
        <v>525007051.60000002</v>
      </c>
      <c r="H28">
        <v>465360929.39999998</v>
      </c>
      <c r="I28">
        <v>75418208.099999994</v>
      </c>
      <c r="J28">
        <v>245303520</v>
      </c>
      <c r="K28">
        <v>278080130</v>
      </c>
      <c r="L28">
        <v>3.5900000000000001E-2</v>
      </c>
      <c r="M28">
        <v>5.3900000000000003E-2</v>
      </c>
      <c r="N28">
        <v>0.13750000000000001</v>
      </c>
      <c r="O28">
        <v>85225.56</v>
      </c>
      <c r="P28">
        <v>116496.6</v>
      </c>
      <c r="Q28">
        <v>0.92</v>
      </c>
      <c r="R28">
        <v>0.91</v>
      </c>
      <c r="S28">
        <v>38.6</v>
      </c>
      <c r="T28">
        <v>1.9</v>
      </c>
      <c r="U28">
        <v>0.26</v>
      </c>
      <c r="V28">
        <v>4</v>
      </c>
      <c r="W28">
        <v>163.5</v>
      </c>
      <c r="X28">
        <v>0.03</v>
      </c>
      <c r="Y28">
        <v>38.700000000000003</v>
      </c>
      <c r="Z28">
        <v>8.9</v>
      </c>
      <c r="AA28">
        <v>47.6</v>
      </c>
      <c r="AB28">
        <v>45.8</v>
      </c>
      <c r="AC28">
        <v>2.2999999999999998</v>
      </c>
      <c r="AD28">
        <v>0.31</v>
      </c>
      <c r="AE28">
        <v>4.8</v>
      </c>
      <c r="AF28">
        <v>194</v>
      </c>
      <c r="AG28">
        <v>0.04</v>
      </c>
      <c r="AH28">
        <v>45.9</v>
      </c>
      <c r="AI28">
        <v>10.5</v>
      </c>
      <c r="AJ28">
        <v>56.4</v>
      </c>
      <c r="AK28">
        <v>76.5</v>
      </c>
      <c r="AL28">
        <v>4.0999999999999996</v>
      </c>
      <c r="AM28">
        <v>0.55000000000000004</v>
      </c>
      <c r="AN28">
        <v>7.5</v>
      </c>
      <c r="AO28">
        <v>318.39999999999998</v>
      </c>
      <c r="AP28">
        <v>0.05</v>
      </c>
      <c r="AQ28">
        <v>76.7</v>
      </c>
      <c r="AR28">
        <v>17</v>
      </c>
      <c r="AS28">
        <v>93.7</v>
      </c>
      <c r="AT28">
        <v>259</v>
      </c>
      <c r="AU28">
        <v>14.2</v>
      </c>
      <c r="AV28">
        <v>1.95</v>
      </c>
      <c r="AW28">
        <v>23.1</v>
      </c>
      <c r="AX28">
        <v>1030.4000000000001</v>
      </c>
      <c r="AY28">
        <v>0.15</v>
      </c>
      <c r="AZ28">
        <v>260</v>
      </c>
      <c r="BA28">
        <v>53.8</v>
      </c>
      <c r="BB28">
        <v>313.8</v>
      </c>
      <c r="BC28">
        <v>21250302.899999999</v>
      </c>
      <c r="BD28">
        <v>1054.5999999999999</v>
      </c>
      <c r="BE28">
        <v>142.1</v>
      </c>
      <c r="BF28">
        <v>2225888.2999999998</v>
      </c>
      <c r="BG28">
        <v>90213.7</v>
      </c>
      <c r="BH28">
        <v>17</v>
      </c>
      <c r="BI28">
        <v>21320515.300000001</v>
      </c>
      <c r="BJ28">
        <v>4918886</v>
      </c>
      <c r="BK28">
        <v>26239401.399999999</v>
      </c>
      <c r="BL28">
        <v>0</v>
      </c>
      <c r="BM28">
        <v>10.87</v>
      </c>
      <c r="BN28">
        <v>15.12</v>
      </c>
      <c r="BO28">
        <v>0</v>
      </c>
      <c r="BP28">
        <v>26</v>
      </c>
      <c r="BQ28">
        <v>12.22</v>
      </c>
      <c r="BR28">
        <v>17.510000000000002</v>
      </c>
      <c r="BS28">
        <v>0</v>
      </c>
      <c r="BT28">
        <v>29.73</v>
      </c>
      <c r="BU28">
        <v>558088400</v>
      </c>
      <c r="BV28">
        <v>449588830</v>
      </c>
      <c r="BW28">
        <v>31076724</v>
      </c>
      <c r="BX28">
        <v>296266.5</v>
      </c>
      <c r="BY28">
        <v>0</v>
      </c>
      <c r="BZ28">
        <v>0</v>
      </c>
      <c r="CA28">
        <v>6937382.5</v>
      </c>
      <c r="CB28">
        <v>0</v>
      </c>
      <c r="CC28">
        <v>0</v>
      </c>
      <c r="CD28">
        <v>17200530</v>
      </c>
      <c r="CE28">
        <v>36064520</v>
      </c>
      <c r="CF28">
        <v>0</v>
      </c>
      <c r="CG28">
        <v>720718.5</v>
      </c>
      <c r="CH28">
        <v>0</v>
      </c>
      <c r="CI28">
        <v>404672.3</v>
      </c>
      <c r="CJ28">
        <v>32631706</v>
      </c>
      <c r="CK28">
        <v>361700.4</v>
      </c>
      <c r="CL28">
        <v>5864.6</v>
      </c>
      <c r="CM28">
        <v>0</v>
      </c>
      <c r="CN28">
        <v>121827520</v>
      </c>
      <c r="CO28">
        <v>310560800</v>
      </c>
      <c r="CP28">
        <v>0</v>
      </c>
      <c r="CQ28">
        <v>19545.3</v>
      </c>
      <c r="CR28">
        <v>110.6</v>
      </c>
      <c r="CS28">
        <v>0</v>
      </c>
      <c r="CT28">
        <v>12422.6</v>
      </c>
      <c r="CU28">
        <v>0</v>
      </c>
      <c r="CV28">
        <v>0</v>
      </c>
      <c r="CW28">
        <v>12596.2</v>
      </c>
      <c r="CX28">
        <v>33865.300000000003</v>
      </c>
      <c r="CY28">
        <v>0</v>
      </c>
      <c r="CZ28">
        <v>8044.6</v>
      </c>
      <c r="DA28">
        <v>0</v>
      </c>
      <c r="DB28">
        <v>562.70000000000005</v>
      </c>
      <c r="DC28">
        <v>4980</v>
      </c>
      <c r="DD28">
        <v>5790.3</v>
      </c>
      <c r="DE28">
        <v>5</v>
      </c>
      <c r="DF28">
        <v>0</v>
      </c>
      <c r="DG28">
        <v>68403</v>
      </c>
      <c r="DH28">
        <v>0</v>
      </c>
      <c r="DI28">
        <v>94900.4</v>
      </c>
      <c r="DJ28">
        <v>84982.5</v>
      </c>
      <c r="DK28">
        <v>50</v>
      </c>
      <c r="DL28">
        <v>0</v>
      </c>
      <c r="DM28">
        <v>0</v>
      </c>
    </row>
    <row r="29" spans="1:117" x14ac:dyDescent="0.3">
      <c r="A29" t="s">
        <v>156</v>
      </c>
      <c r="B29">
        <v>2045</v>
      </c>
      <c r="C29">
        <v>515342270</v>
      </c>
      <c r="D29">
        <v>45612356</v>
      </c>
      <c r="E29">
        <v>7338.6</v>
      </c>
      <c r="F29">
        <v>5791129.7000000002</v>
      </c>
      <c r="G29">
        <v>566753115</v>
      </c>
      <c r="H29">
        <v>496817969.60000002</v>
      </c>
      <c r="I29">
        <v>74093150.299999997</v>
      </c>
      <c r="J29">
        <v>255668640</v>
      </c>
      <c r="K29">
        <v>283604260</v>
      </c>
      <c r="L29">
        <v>3.5900000000000001E-2</v>
      </c>
      <c r="M29">
        <v>5.3900000000000003E-2</v>
      </c>
      <c r="N29">
        <v>0.13750000000000001</v>
      </c>
      <c r="O29">
        <v>85753.81</v>
      </c>
      <c r="P29">
        <v>125105.5</v>
      </c>
      <c r="Q29">
        <v>0.92</v>
      </c>
      <c r="R29">
        <v>0.91</v>
      </c>
      <c r="S29">
        <v>37.4</v>
      </c>
      <c r="T29">
        <v>1.7</v>
      </c>
      <c r="U29">
        <v>0.22</v>
      </c>
      <c r="V29">
        <v>3.8</v>
      </c>
      <c r="W29">
        <v>165.8</v>
      </c>
      <c r="X29">
        <v>0.02</v>
      </c>
      <c r="Y29">
        <v>37.6</v>
      </c>
      <c r="Z29">
        <v>8.8000000000000007</v>
      </c>
      <c r="AA29">
        <v>46.3</v>
      </c>
      <c r="AB29">
        <v>44.5</v>
      </c>
      <c r="AC29">
        <v>2</v>
      </c>
      <c r="AD29">
        <v>0.26</v>
      </c>
      <c r="AE29">
        <v>4.5</v>
      </c>
      <c r="AF29">
        <v>197.3</v>
      </c>
      <c r="AG29">
        <v>0.03</v>
      </c>
      <c r="AH29">
        <v>44.6</v>
      </c>
      <c r="AI29">
        <v>10.4</v>
      </c>
      <c r="AJ29">
        <v>55</v>
      </c>
      <c r="AK29">
        <v>67.599999999999994</v>
      </c>
      <c r="AL29">
        <v>3.5</v>
      </c>
      <c r="AM29">
        <v>0.47</v>
      </c>
      <c r="AN29">
        <v>7.5</v>
      </c>
      <c r="AO29">
        <v>287.3</v>
      </c>
      <c r="AP29">
        <v>0.06</v>
      </c>
      <c r="AQ29">
        <v>67.900000000000006</v>
      </c>
      <c r="AR29">
        <v>16.100000000000001</v>
      </c>
      <c r="AS29">
        <v>83.9</v>
      </c>
      <c r="AT29">
        <v>231.4</v>
      </c>
      <c r="AU29">
        <v>10.9</v>
      </c>
      <c r="AV29">
        <v>1.47</v>
      </c>
      <c r="AW29">
        <v>22</v>
      </c>
      <c r="AX29">
        <v>980.4</v>
      </c>
      <c r="AY29">
        <v>0.13</v>
      </c>
      <c r="AZ29">
        <v>232.1</v>
      </c>
      <c r="BA29">
        <v>51.3</v>
      </c>
      <c r="BB29">
        <v>283.39999999999998</v>
      </c>
      <c r="BC29">
        <v>21906415.800000001</v>
      </c>
      <c r="BD29">
        <v>964.3</v>
      </c>
      <c r="BE29">
        <v>126.7</v>
      </c>
      <c r="BF29">
        <v>2237169.2000000002</v>
      </c>
      <c r="BG29">
        <v>97187.1</v>
      </c>
      <c r="BH29">
        <v>13.3</v>
      </c>
      <c r="BI29">
        <v>21969739.5</v>
      </c>
      <c r="BJ29">
        <v>5136963.8</v>
      </c>
      <c r="BK29">
        <v>27106703.300000001</v>
      </c>
      <c r="BL29">
        <v>0</v>
      </c>
      <c r="BM29">
        <v>9.86</v>
      </c>
      <c r="BN29">
        <v>14.75</v>
      </c>
      <c r="BO29">
        <v>0</v>
      </c>
      <c r="BP29">
        <v>24.61</v>
      </c>
      <c r="BQ29">
        <v>11.21</v>
      </c>
      <c r="BR29">
        <v>17.260000000000002</v>
      </c>
      <c r="BS29">
        <v>0</v>
      </c>
      <c r="BT29">
        <v>28.47</v>
      </c>
      <c r="BU29">
        <v>595048300</v>
      </c>
      <c r="BV29">
        <v>492659970</v>
      </c>
      <c r="BW29">
        <v>38725380</v>
      </c>
      <c r="BX29">
        <v>280945.2</v>
      </c>
      <c r="BY29">
        <v>0</v>
      </c>
      <c r="BZ29">
        <v>0</v>
      </c>
      <c r="CA29">
        <v>6006679.5</v>
      </c>
      <c r="CB29">
        <v>0</v>
      </c>
      <c r="CC29">
        <v>0</v>
      </c>
      <c r="CD29">
        <v>18154944</v>
      </c>
      <c r="CE29">
        <v>39548250</v>
      </c>
      <c r="CF29">
        <v>0</v>
      </c>
      <c r="CG29">
        <v>1731921.2</v>
      </c>
      <c r="CH29">
        <v>0</v>
      </c>
      <c r="CI29">
        <v>387345.4</v>
      </c>
      <c r="CJ29">
        <v>15603870</v>
      </c>
      <c r="CK29">
        <v>98036.5</v>
      </c>
      <c r="CL29">
        <v>5947.3</v>
      </c>
      <c r="CM29">
        <v>0</v>
      </c>
      <c r="CN29">
        <v>144497180</v>
      </c>
      <c r="CO29">
        <v>330007840</v>
      </c>
      <c r="CP29">
        <v>0</v>
      </c>
      <c r="CQ29">
        <v>23744.6</v>
      </c>
      <c r="CR29">
        <v>110.6</v>
      </c>
      <c r="CS29">
        <v>0</v>
      </c>
      <c r="CT29">
        <v>9908.6</v>
      </c>
      <c r="CU29">
        <v>0</v>
      </c>
      <c r="CV29">
        <v>0</v>
      </c>
      <c r="CW29">
        <v>13632</v>
      </c>
      <c r="CX29">
        <v>32603.200000000001</v>
      </c>
      <c r="CY29">
        <v>0</v>
      </c>
      <c r="CZ29">
        <v>16600</v>
      </c>
      <c r="DA29">
        <v>0</v>
      </c>
      <c r="DB29">
        <v>562.70000000000005</v>
      </c>
      <c r="DC29">
        <v>2400</v>
      </c>
      <c r="DD29">
        <v>3542.5</v>
      </c>
      <c r="DE29">
        <v>5</v>
      </c>
      <c r="DF29">
        <v>0</v>
      </c>
      <c r="DG29">
        <v>83008.3</v>
      </c>
      <c r="DH29">
        <v>0</v>
      </c>
      <c r="DI29">
        <v>100725.7</v>
      </c>
      <c r="DJ29">
        <v>105161.8</v>
      </c>
      <c r="DK29">
        <v>50</v>
      </c>
      <c r="DL29">
        <v>0</v>
      </c>
      <c r="DM29">
        <v>0</v>
      </c>
    </row>
    <row r="30" spans="1:117" x14ac:dyDescent="0.3">
      <c r="A30" t="s">
        <v>156</v>
      </c>
      <c r="B30">
        <v>2050</v>
      </c>
      <c r="C30">
        <v>546422100</v>
      </c>
      <c r="D30">
        <v>45926364</v>
      </c>
      <c r="E30">
        <v>6501.4</v>
      </c>
      <c r="F30">
        <v>5560372.4000000004</v>
      </c>
      <c r="G30">
        <v>597915345.60000002</v>
      </c>
      <c r="H30">
        <v>526780454.39999998</v>
      </c>
      <c r="I30">
        <v>44874088.399999999</v>
      </c>
      <c r="J30">
        <v>242888580</v>
      </c>
      <c r="K30">
        <v>283252670</v>
      </c>
      <c r="L30">
        <v>3.5900000000000001E-2</v>
      </c>
      <c r="M30">
        <v>5.3900000000000003E-2</v>
      </c>
      <c r="N30">
        <v>0.13750000000000001</v>
      </c>
      <c r="O30">
        <v>85483.19</v>
      </c>
      <c r="P30">
        <v>132738.6</v>
      </c>
      <c r="Q30">
        <v>0.93</v>
      </c>
      <c r="R30">
        <v>0.92</v>
      </c>
      <c r="S30">
        <v>35.200000000000003</v>
      </c>
      <c r="T30">
        <v>1.7</v>
      </c>
      <c r="U30">
        <v>0.22</v>
      </c>
      <c r="V30">
        <v>3.3</v>
      </c>
      <c r="W30">
        <v>152.6</v>
      </c>
      <c r="X30">
        <v>0.02</v>
      </c>
      <c r="Y30">
        <v>35.299999999999997</v>
      </c>
      <c r="Z30">
        <v>7.8</v>
      </c>
      <c r="AA30">
        <v>43.1</v>
      </c>
      <c r="AB30">
        <v>41.8</v>
      </c>
      <c r="AC30">
        <v>1.9</v>
      </c>
      <c r="AD30">
        <v>0.26</v>
      </c>
      <c r="AE30">
        <v>3.9</v>
      </c>
      <c r="AF30">
        <v>181.9</v>
      </c>
      <c r="AG30">
        <v>0.02</v>
      </c>
      <c r="AH30">
        <v>41.9</v>
      </c>
      <c r="AI30">
        <v>9.3000000000000007</v>
      </c>
      <c r="AJ30">
        <v>51.2</v>
      </c>
      <c r="AK30">
        <v>46.7</v>
      </c>
      <c r="AL30">
        <v>2.1</v>
      </c>
      <c r="AM30">
        <v>0.28000000000000003</v>
      </c>
      <c r="AN30">
        <v>6.6</v>
      </c>
      <c r="AO30">
        <v>209.3</v>
      </c>
      <c r="AP30">
        <v>7.0000000000000007E-2</v>
      </c>
      <c r="AQ30">
        <v>46.8</v>
      </c>
      <c r="AR30">
        <v>12.8</v>
      </c>
      <c r="AS30">
        <v>59.7</v>
      </c>
      <c r="AT30">
        <v>213.8</v>
      </c>
      <c r="AU30">
        <v>9.6</v>
      </c>
      <c r="AV30">
        <v>1.27</v>
      </c>
      <c r="AW30">
        <v>20.399999999999999</v>
      </c>
      <c r="AX30">
        <v>933</v>
      </c>
      <c r="AY30">
        <v>0.1</v>
      </c>
      <c r="AZ30">
        <v>214.4</v>
      </c>
      <c r="BA30">
        <v>48.2</v>
      </c>
      <c r="BB30">
        <v>262.7</v>
      </c>
      <c r="BC30">
        <v>22136991.699999999</v>
      </c>
      <c r="BD30">
        <v>1034.0999999999999</v>
      </c>
      <c r="BE30">
        <v>137</v>
      </c>
      <c r="BF30">
        <v>2064121.6</v>
      </c>
      <c r="BG30">
        <v>96165.9</v>
      </c>
      <c r="BH30">
        <v>10.1</v>
      </c>
      <c r="BI30">
        <v>22205216.699999999</v>
      </c>
      <c r="BJ30">
        <v>4932625.4000000004</v>
      </c>
      <c r="BK30">
        <v>27137842</v>
      </c>
      <c r="BL30">
        <v>0</v>
      </c>
      <c r="BM30">
        <v>8.82</v>
      </c>
      <c r="BN30">
        <v>13.82</v>
      </c>
      <c r="BO30">
        <v>0</v>
      </c>
      <c r="BP30">
        <v>22.63</v>
      </c>
      <c r="BQ30">
        <v>10.01</v>
      </c>
      <c r="BR30">
        <v>16.05</v>
      </c>
      <c r="BS30">
        <v>0</v>
      </c>
      <c r="BT30">
        <v>26.05</v>
      </c>
      <c r="BU30">
        <v>638738750</v>
      </c>
      <c r="BV30">
        <v>553041300</v>
      </c>
      <c r="BW30">
        <v>38849916</v>
      </c>
      <c r="BX30">
        <v>237573.7</v>
      </c>
      <c r="BY30">
        <v>0</v>
      </c>
      <c r="BZ30">
        <v>0</v>
      </c>
      <c r="CA30">
        <v>6688204</v>
      </c>
      <c r="CB30">
        <v>0</v>
      </c>
      <c r="CC30">
        <v>0</v>
      </c>
      <c r="CD30">
        <v>19504834</v>
      </c>
      <c r="CE30">
        <v>36988480</v>
      </c>
      <c r="CF30">
        <v>0</v>
      </c>
      <c r="CG30">
        <v>2555132.7999999998</v>
      </c>
      <c r="CH30">
        <v>0</v>
      </c>
      <c r="CI30">
        <v>347831</v>
      </c>
      <c r="CJ30">
        <v>0</v>
      </c>
      <c r="CK30">
        <v>25100.2</v>
      </c>
      <c r="CL30">
        <v>5226.6000000000004</v>
      </c>
      <c r="CM30">
        <v>0</v>
      </c>
      <c r="CN30">
        <v>139707740</v>
      </c>
      <c r="CO30">
        <v>393828670</v>
      </c>
      <c r="CP30">
        <v>0</v>
      </c>
      <c r="CQ30">
        <v>23116.1</v>
      </c>
      <c r="CR30">
        <v>110.6</v>
      </c>
      <c r="CS30">
        <v>0</v>
      </c>
      <c r="CT30">
        <v>9908.6</v>
      </c>
      <c r="CU30">
        <v>0</v>
      </c>
      <c r="CV30">
        <v>0</v>
      </c>
      <c r="CW30">
        <v>15450.9</v>
      </c>
      <c r="CX30">
        <v>32154.9</v>
      </c>
      <c r="CY30">
        <v>0</v>
      </c>
      <c r="CZ30">
        <v>20752</v>
      </c>
      <c r="DA30">
        <v>0</v>
      </c>
      <c r="DB30">
        <v>562.70000000000005</v>
      </c>
      <c r="DC30">
        <v>0</v>
      </c>
      <c r="DD30">
        <v>1528.5</v>
      </c>
      <c r="DE30">
        <v>5</v>
      </c>
      <c r="DF30">
        <v>0</v>
      </c>
      <c r="DG30">
        <v>85917.9</v>
      </c>
      <c r="DH30">
        <v>0</v>
      </c>
      <c r="DI30">
        <v>139111.5</v>
      </c>
      <c r="DJ30">
        <v>94922.6</v>
      </c>
      <c r="DK30">
        <v>50</v>
      </c>
      <c r="DL30">
        <v>0</v>
      </c>
      <c r="DM30">
        <v>0</v>
      </c>
    </row>
    <row r="31" spans="1:117" x14ac:dyDescent="0.3">
      <c r="A31" t="s">
        <v>157</v>
      </c>
      <c r="B31">
        <v>2024</v>
      </c>
      <c r="C31">
        <v>236466300</v>
      </c>
      <c r="D31">
        <v>460615.9</v>
      </c>
      <c r="E31">
        <v>0</v>
      </c>
      <c r="F31">
        <v>1152129.8</v>
      </c>
      <c r="G31">
        <v>238079042.09999999</v>
      </c>
      <c r="H31">
        <v>227968173</v>
      </c>
      <c r="I31">
        <v>187101716.40000001</v>
      </c>
      <c r="J31">
        <v>36699290</v>
      </c>
      <c r="K31">
        <v>33442134</v>
      </c>
      <c r="L31">
        <v>3.5900000000000001E-2</v>
      </c>
      <c r="M31">
        <v>5.3900000000000003E-2</v>
      </c>
      <c r="N31">
        <v>0.15</v>
      </c>
      <c r="O31">
        <v>9315.0300000000007</v>
      </c>
      <c r="P31">
        <v>53555.8</v>
      </c>
      <c r="Q31">
        <v>0.36</v>
      </c>
      <c r="R31">
        <v>0.36</v>
      </c>
      <c r="S31">
        <v>284.10000000000002</v>
      </c>
      <c r="T31">
        <v>11.6</v>
      </c>
      <c r="U31">
        <v>1.5</v>
      </c>
      <c r="V31">
        <v>29.9</v>
      </c>
      <c r="W31">
        <v>1292.2</v>
      </c>
      <c r="X31">
        <v>0.16</v>
      </c>
      <c r="Y31">
        <v>284.8</v>
      </c>
      <c r="Z31">
        <v>68.5</v>
      </c>
      <c r="AA31">
        <v>353.3</v>
      </c>
      <c r="AB31">
        <v>295.8</v>
      </c>
      <c r="AC31">
        <v>12.3</v>
      </c>
      <c r="AD31">
        <v>1.59</v>
      </c>
      <c r="AE31">
        <v>31.1</v>
      </c>
      <c r="AF31">
        <v>1338.6</v>
      </c>
      <c r="AG31">
        <v>0.17</v>
      </c>
      <c r="AH31">
        <v>296.60000000000002</v>
      </c>
      <c r="AI31">
        <v>71</v>
      </c>
      <c r="AJ31">
        <v>367.7</v>
      </c>
      <c r="AK31">
        <v>234.3</v>
      </c>
      <c r="AL31">
        <v>10.9</v>
      </c>
      <c r="AM31">
        <v>1.48</v>
      </c>
      <c r="AN31">
        <v>22.2</v>
      </c>
      <c r="AO31">
        <v>990</v>
      </c>
      <c r="AP31">
        <v>0.13</v>
      </c>
      <c r="AQ31">
        <v>235</v>
      </c>
      <c r="AR31">
        <v>51.7</v>
      </c>
      <c r="AS31">
        <v>286.8</v>
      </c>
      <c r="AT31">
        <v>649</v>
      </c>
      <c r="AU31">
        <v>42.3</v>
      </c>
      <c r="AV31">
        <v>5.98</v>
      </c>
      <c r="AW31">
        <v>50.8</v>
      </c>
      <c r="AX31">
        <v>2338.1999999999998</v>
      </c>
      <c r="AY31">
        <v>0.38</v>
      </c>
      <c r="AZ31">
        <v>651.9</v>
      </c>
      <c r="BA31">
        <v>120.6</v>
      </c>
      <c r="BB31">
        <v>772.6</v>
      </c>
      <c r="BC31">
        <v>66348214.399999999</v>
      </c>
      <c r="BD31">
        <v>2701.6</v>
      </c>
      <c r="BE31">
        <v>349.1</v>
      </c>
      <c r="BF31">
        <v>6990533.9000000004</v>
      </c>
      <c r="BG31">
        <v>301894</v>
      </c>
      <c r="BH31">
        <v>36.700000000000003</v>
      </c>
      <c r="BI31">
        <v>66524014.600000001</v>
      </c>
      <c r="BJ31">
        <v>15996992.300000001</v>
      </c>
      <c r="BK31">
        <v>82521006.900000006</v>
      </c>
      <c r="BL31">
        <v>0</v>
      </c>
      <c r="BM31">
        <v>31.84</v>
      </c>
      <c r="BN31">
        <v>1.8</v>
      </c>
      <c r="BO31">
        <v>0</v>
      </c>
      <c r="BP31">
        <v>33.64</v>
      </c>
      <c r="BQ31">
        <v>33.71</v>
      </c>
      <c r="BR31">
        <v>1.94</v>
      </c>
      <c r="BS31">
        <v>0</v>
      </c>
      <c r="BT31">
        <v>35.65</v>
      </c>
      <c r="BU31">
        <v>234797520</v>
      </c>
      <c r="BV31">
        <v>50977324</v>
      </c>
      <c r="BW31">
        <v>391524.5</v>
      </c>
      <c r="BX31">
        <v>3976722.5</v>
      </c>
      <c r="BY31">
        <v>0</v>
      </c>
      <c r="BZ31">
        <v>0</v>
      </c>
      <c r="CA31">
        <v>14605453</v>
      </c>
      <c r="CB31">
        <v>0</v>
      </c>
      <c r="CC31">
        <v>0</v>
      </c>
      <c r="CD31">
        <v>2700809</v>
      </c>
      <c r="CE31">
        <v>134679710</v>
      </c>
      <c r="CF31">
        <v>0</v>
      </c>
      <c r="CG31">
        <v>722766.8</v>
      </c>
      <c r="CH31">
        <v>0</v>
      </c>
      <c r="CI31">
        <v>216461.9</v>
      </c>
      <c r="CJ31">
        <v>29227546</v>
      </c>
      <c r="CK31">
        <v>0</v>
      </c>
      <c r="CL31">
        <v>0</v>
      </c>
      <c r="CM31">
        <v>0</v>
      </c>
      <c r="CN31">
        <v>48276516</v>
      </c>
      <c r="CO31">
        <v>0</v>
      </c>
      <c r="CP31">
        <v>0</v>
      </c>
      <c r="CQ31">
        <v>492.5</v>
      </c>
      <c r="CR31">
        <v>742.5</v>
      </c>
      <c r="CS31">
        <v>0</v>
      </c>
      <c r="CT31">
        <v>5043</v>
      </c>
      <c r="CU31">
        <v>0</v>
      </c>
      <c r="CV31">
        <v>0</v>
      </c>
      <c r="CW31">
        <v>1762.6</v>
      </c>
      <c r="CX31">
        <v>32719</v>
      </c>
      <c r="CY31">
        <v>0</v>
      </c>
      <c r="CZ31">
        <v>6009.2</v>
      </c>
      <c r="DA31">
        <v>0</v>
      </c>
      <c r="DB31">
        <v>54.5</v>
      </c>
      <c r="DC31">
        <v>3666</v>
      </c>
      <c r="DD31">
        <v>0</v>
      </c>
      <c r="DE31">
        <v>0</v>
      </c>
      <c r="DF31">
        <v>0</v>
      </c>
      <c r="DG31">
        <v>20145.7</v>
      </c>
      <c r="DH31">
        <v>0</v>
      </c>
      <c r="DI31">
        <v>0</v>
      </c>
      <c r="DJ31">
        <v>1082.3</v>
      </c>
      <c r="DK31">
        <v>0</v>
      </c>
      <c r="DL31">
        <v>0</v>
      </c>
      <c r="DM31">
        <v>0</v>
      </c>
    </row>
    <row r="32" spans="1:117" x14ac:dyDescent="0.3">
      <c r="A32" t="s">
        <v>157</v>
      </c>
      <c r="B32">
        <v>2026</v>
      </c>
      <c r="C32">
        <v>241493680</v>
      </c>
      <c r="D32">
        <v>4202506</v>
      </c>
      <c r="E32">
        <v>0</v>
      </c>
      <c r="F32">
        <v>1181211.1000000001</v>
      </c>
      <c r="G32">
        <v>246877396.40000001</v>
      </c>
      <c r="H32">
        <v>232814890.69999999</v>
      </c>
      <c r="I32">
        <v>161379631.30000001</v>
      </c>
      <c r="J32">
        <v>29131412</v>
      </c>
      <c r="K32">
        <v>33849370</v>
      </c>
      <c r="L32">
        <v>3.5900000000000001E-2</v>
      </c>
      <c r="M32">
        <v>5.3900000000000003E-2</v>
      </c>
      <c r="N32">
        <v>0.15</v>
      </c>
      <c r="O32">
        <v>38758.239999999998</v>
      </c>
      <c r="P32">
        <v>54757.4</v>
      </c>
      <c r="Q32">
        <v>0.48</v>
      </c>
      <c r="R32">
        <v>0.46</v>
      </c>
      <c r="S32">
        <v>227.8</v>
      </c>
      <c r="T32">
        <v>9.1</v>
      </c>
      <c r="U32">
        <v>1.18</v>
      </c>
      <c r="V32">
        <v>24.3</v>
      </c>
      <c r="W32">
        <v>1041.0999999999999</v>
      </c>
      <c r="X32">
        <v>0.13</v>
      </c>
      <c r="Y32">
        <v>228.4</v>
      </c>
      <c r="Z32">
        <v>55.4</v>
      </c>
      <c r="AA32">
        <v>283.8</v>
      </c>
      <c r="AB32">
        <v>249.3</v>
      </c>
      <c r="AC32">
        <v>10.199999999999999</v>
      </c>
      <c r="AD32">
        <v>1.32</v>
      </c>
      <c r="AE32">
        <v>26.6</v>
      </c>
      <c r="AF32">
        <v>1134.0999999999999</v>
      </c>
      <c r="AG32">
        <v>0.15</v>
      </c>
      <c r="AH32">
        <v>250</v>
      </c>
      <c r="AI32">
        <v>60.5</v>
      </c>
      <c r="AJ32">
        <v>310.39999999999998</v>
      </c>
      <c r="AK32">
        <v>185.6</v>
      </c>
      <c r="AL32">
        <v>8.1999999999999993</v>
      </c>
      <c r="AM32">
        <v>1.0900000000000001</v>
      </c>
      <c r="AN32">
        <v>17.899999999999999</v>
      </c>
      <c r="AO32">
        <v>805.6</v>
      </c>
      <c r="AP32">
        <v>0.1</v>
      </c>
      <c r="AQ32">
        <v>186.1</v>
      </c>
      <c r="AR32">
        <v>42</v>
      </c>
      <c r="AS32">
        <v>228.1</v>
      </c>
      <c r="AT32">
        <v>528.6</v>
      </c>
      <c r="AU32">
        <v>33.1</v>
      </c>
      <c r="AV32">
        <v>4.63</v>
      </c>
      <c r="AW32">
        <v>42.6</v>
      </c>
      <c r="AX32">
        <v>1978.2</v>
      </c>
      <c r="AY32">
        <v>0.28999999999999998</v>
      </c>
      <c r="AZ32">
        <v>530.79999999999995</v>
      </c>
      <c r="BA32">
        <v>101.6</v>
      </c>
      <c r="BB32">
        <v>632.4</v>
      </c>
      <c r="BC32">
        <v>57003336</v>
      </c>
      <c r="BD32">
        <v>2283.1999999999998</v>
      </c>
      <c r="BE32">
        <v>294</v>
      </c>
      <c r="BF32">
        <v>6088412.2999999998</v>
      </c>
      <c r="BG32">
        <v>260666.5</v>
      </c>
      <c r="BH32">
        <v>32.200000000000003</v>
      </c>
      <c r="BI32">
        <v>57151647.700000003</v>
      </c>
      <c r="BJ32">
        <v>13865068.800000001</v>
      </c>
      <c r="BK32">
        <v>71016716.5</v>
      </c>
      <c r="BL32">
        <v>0</v>
      </c>
      <c r="BM32">
        <v>26.28</v>
      </c>
      <c r="BN32">
        <v>7.35</v>
      </c>
      <c r="BO32">
        <v>0</v>
      </c>
      <c r="BP32">
        <v>33.619999999999997</v>
      </c>
      <c r="BQ32">
        <v>28.07</v>
      </c>
      <c r="BR32">
        <v>8.0399999999999991</v>
      </c>
      <c r="BS32">
        <v>0</v>
      </c>
      <c r="BT32">
        <v>36.11</v>
      </c>
      <c r="BU32">
        <v>251568540</v>
      </c>
      <c r="BV32">
        <v>85497770</v>
      </c>
      <c r="BW32">
        <v>3591514.5</v>
      </c>
      <c r="BX32">
        <v>3774815.5</v>
      </c>
      <c r="BY32">
        <v>0</v>
      </c>
      <c r="BZ32">
        <v>0</v>
      </c>
      <c r="CA32">
        <v>12232729</v>
      </c>
      <c r="CB32">
        <v>0</v>
      </c>
      <c r="CC32">
        <v>0</v>
      </c>
      <c r="CD32">
        <v>4221342</v>
      </c>
      <c r="CE32">
        <v>117386160</v>
      </c>
      <c r="CF32">
        <v>0</v>
      </c>
      <c r="CG32">
        <v>705822.4</v>
      </c>
      <c r="CH32">
        <v>0</v>
      </c>
      <c r="CI32">
        <v>213767.2</v>
      </c>
      <c r="CJ32">
        <v>28165948</v>
      </c>
      <c r="CK32">
        <v>0</v>
      </c>
      <c r="CL32">
        <v>0</v>
      </c>
      <c r="CM32">
        <v>0</v>
      </c>
      <c r="CN32">
        <v>81276424</v>
      </c>
      <c r="CO32">
        <v>0</v>
      </c>
      <c r="CP32">
        <v>0</v>
      </c>
      <c r="CQ32">
        <v>2536.1999999999998</v>
      </c>
      <c r="CR32">
        <v>742.5</v>
      </c>
      <c r="CS32">
        <v>0</v>
      </c>
      <c r="CT32">
        <v>5043</v>
      </c>
      <c r="CU32">
        <v>0</v>
      </c>
      <c r="CV32">
        <v>0</v>
      </c>
      <c r="CW32">
        <v>3092.7</v>
      </c>
      <c r="CX32">
        <v>32719</v>
      </c>
      <c r="CY32">
        <v>0</v>
      </c>
      <c r="CZ32">
        <v>6009.2</v>
      </c>
      <c r="DA32">
        <v>0</v>
      </c>
      <c r="DB32">
        <v>54.5</v>
      </c>
      <c r="DC32">
        <v>3666</v>
      </c>
      <c r="DD32">
        <v>0</v>
      </c>
      <c r="DE32">
        <v>0</v>
      </c>
      <c r="DF32">
        <v>0</v>
      </c>
      <c r="DG32">
        <v>34418</v>
      </c>
      <c r="DH32">
        <v>0</v>
      </c>
      <c r="DI32">
        <v>0</v>
      </c>
      <c r="DJ32">
        <v>9576.5</v>
      </c>
      <c r="DK32">
        <v>0</v>
      </c>
      <c r="DL32">
        <v>0</v>
      </c>
      <c r="DM32">
        <v>0</v>
      </c>
    </row>
    <row r="33" spans="1:117" x14ac:dyDescent="0.3">
      <c r="A33" t="s">
        <v>157</v>
      </c>
      <c r="B33">
        <v>2028</v>
      </c>
      <c r="C33">
        <v>247867740</v>
      </c>
      <c r="D33">
        <v>8503794</v>
      </c>
      <c r="E33">
        <v>0</v>
      </c>
      <c r="F33">
        <v>1450839.4</v>
      </c>
      <c r="G33">
        <v>257822375.5</v>
      </c>
      <c r="H33">
        <v>238959893.40000001</v>
      </c>
      <c r="I33">
        <v>155650652.59999999</v>
      </c>
      <c r="J33">
        <v>40775720</v>
      </c>
      <c r="K33">
        <v>40626856</v>
      </c>
      <c r="L33">
        <v>3.5900000000000001E-2</v>
      </c>
      <c r="M33">
        <v>5.3900000000000003E-2</v>
      </c>
      <c r="N33">
        <v>0.15</v>
      </c>
      <c r="O33">
        <v>48701.72</v>
      </c>
      <c r="P33">
        <v>56316.1</v>
      </c>
      <c r="Q33">
        <v>0.55000000000000004</v>
      </c>
      <c r="R33">
        <v>0.52</v>
      </c>
      <c r="S33">
        <v>189.4</v>
      </c>
      <c r="T33">
        <v>6.4</v>
      </c>
      <c r="U33">
        <v>0.79</v>
      </c>
      <c r="V33">
        <v>21.5</v>
      </c>
      <c r="W33">
        <v>904.1</v>
      </c>
      <c r="X33">
        <v>0.11</v>
      </c>
      <c r="Y33">
        <v>189.8</v>
      </c>
      <c r="Z33">
        <v>48.5</v>
      </c>
      <c r="AA33">
        <v>238.3</v>
      </c>
      <c r="AB33">
        <v>209.8</v>
      </c>
      <c r="AC33">
        <v>7.2</v>
      </c>
      <c r="AD33">
        <v>0.9</v>
      </c>
      <c r="AE33">
        <v>24</v>
      </c>
      <c r="AF33">
        <v>998.7</v>
      </c>
      <c r="AG33">
        <v>0.13</v>
      </c>
      <c r="AH33">
        <v>210.3</v>
      </c>
      <c r="AI33">
        <v>53.7</v>
      </c>
      <c r="AJ33">
        <v>264</v>
      </c>
      <c r="AK33">
        <v>138.6</v>
      </c>
      <c r="AL33">
        <v>4.4000000000000004</v>
      </c>
      <c r="AM33">
        <v>0.55000000000000004</v>
      </c>
      <c r="AN33">
        <v>14.8</v>
      </c>
      <c r="AO33">
        <v>662.7</v>
      </c>
      <c r="AP33">
        <v>0.06</v>
      </c>
      <c r="AQ33">
        <v>138.9</v>
      </c>
      <c r="AR33">
        <v>34.6</v>
      </c>
      <c r="AS33">
        <v>173.5</v>
      </c>
      <c r="AT33">
        <v>455.4</v>
      </c>
      <c r="AU33">
        <v>26.5</v>
      </c>
      <c r="AV33">
        <v>3.69</v>
      </c>
      <c r="AW33">
        <v>38.9</v>
      </c>
      <c r="AX33">
        <v>1756.5</v>
      </c>
      <c r="AY33">
        <v>0.26</v>
      </c>
      <c r="AZ33">
        <v>457.2</v>
      </c>
      <c r="BA33">
        <v>91.3</v>
      </c>
      <c r="BB33">
        <v>548.5</v>
      </c>
      <c r="BC33">
        <v>48521253.399999999</v>
      </c>
      <c r="BD33">
        <v>1635.8</v>
      </c>
      <c r="BE33">
        <v>202.8</v>
      </c>
      <c r="BF33">
        <v>5511814.7000000002</v>
      </c>
      <c r="BG33">
        <v>231718.8</v>
      </c>
      <c r="BH33">
        <v>28</v>
      </c>
      <c r="BI33">
        <v>48625365.399999999</v>
      </c>
      <c r="BJ33">
        <v>12424687.699999999</v>
      </c>
      <c r="BK33">
        <v>61050053.100000001</v>
      </c>
      <c r="BL33">
        <v>0</v>
      </c>
      <c r="BM33">
        <v>22.35</v>
      </c>
      <c r="BN33">
        <v>9.1300000000000008</v>
      </c>
      <c r="BO33">
        <v>0</v>
      </c>
      <c r="BP33">
        <v>31.48</v>
      </c>
      <c r="BQ33">
        <v>24.17</v>
      </c>
      <c r="BR33">
        <v>10.16</v>
      </c>
      <c r="BS33">
        <v>0</v>
      </c>
      <c r="BT33">
        <v>34.33</v>
      </c>
      <c r="BU33">
        <v>257657810</v>
      </c>
      <c r="BV33">
        <v>102171720</v>
      </c>
      <c r="BW33">
        <v>7287149.5</v>
      </c>
      <c r="BX33">
        <v>3535332.5</v>
      </c>
      <c r="BY33">
        <v>0</v>
      </c>
      <c r="BZ33">
        <v>0</v>
      </c>
      <c r="CA33">
        <v>7408961.5</v>
      </c>
      <c r="CB33">
        <v>0</v>
      </c>
      <c r="CC33">
        <v>0</v>
      </c>
      <c r="CD33">
        <v>7025517</v>
      </c>
      <c r="CE33">
        <v>108844160</v>
      </c>
      <c r="CF33">
        <v>0</v>
      </c>
      <c r="CG33">
        <v>675506</v>
      </c>
      <c r="CH33">
        <v>0</v>
      </c>
      <c r="CI33">
        <v>224774.9</v>
      </c>
      <c r="CJ33">
        <v>27510182</v>
      </c>
      <c r="CK33">
        <v>0</v>
      </c>
      <c r="CL33">
        <v>0</v>
      </c>
      <c r="CM33">
        <v>0</v>
      </c>
      <c r="CN33">
        <v>95146210</v>
      </c>
      <c r="CO33">
        <v>0</v>
      </c>
      <c r="CP33">
        <v>0</v>
      </c>
      <c r="CQ33">
        <v>4986.6000000000004</v>
      </c>
      <c r="CR33">
        <v>742.5</v>
      </c>
      <c r="CS33">
        <v>0</v>
      </c>
      <c r="CT33">
        <v>5043</v>
      </c>
      <c r="CU33">
        <v>0</v>
      </c>
      <c r="CV33">
        <v>0</v>
      </c>
      <c r="CW33">
        <v>5125.3999999999996</v>
      </c>
      <c r="CX33">
        <v>32719</v>
      </c>
      <c r="CY33">
        <v>0</v>
      </c>
      <c r="CZ33">
        <v>6009.2</v>
      </c>
      <c r="DA33">
        <v>0</v>
      </c>
      <c r="DB33">
        <v>57.5</v>
      </c>
      <c r="DC33">
        <v>3666</v>
      </c>
      <c r="DD33">
        <v>0</v>
      </c>
      <c r="DE33">
        <v>0</v>
      </c>
      <c r="DF33">
        <v>0</v>
      </c>
      <c r="DG33">
        <v>41433.199999999997</v>
      </c>
      <c r="DH33">
        <v>0</v>
      </c>
      <c r="DI33">
        <v>0</v>
      </c>
      <c r="DJ33">
        <v>18887.5</v>
      </c>
      <c r="DK33">
        <v>0</v>
      </c>
      <c r="DL33">
        <v>0</v>
      </c>
      <c r="DM33">
        <v>0</v>
      </c>
    </row>
    <row r="34" spans="1:117" x14ac:dyDescent="0.3">
      <c r="A34" t="s">
        <v>157</v>
      </c>
      <c r="B34">
        <v>2030</v>
      </c>
      <c r="C34">
        <v>255423280</v>
      </c>
      <c r="D34">
        <v>15303670</v>
      </c>
      <c r="E34">
        <v>0</v>
      </c>
      <c r="F34">
        <v>1559832</v>
      </c>
      <c r="G34">
        <v>272286798.80000001</v>
      </c>
      <c r="H34">
        <v>246243926.19999999</v>
      </c>
      <c r="I34">
        <v>150823286.90000001</v>
      </c>
      <c r="J34">
        <v>44903560</v>
      </c>
      <c r="K34">
        <v>41897876</v>
      </c>
      <c r="L34">
        <v>3.5900000000000001E-2</v>
      </c>
      <c r="M34">
        <v>5.3900000000000003E-2</v>
      </c>
      <c r="N34">
        <v>0.15</v>
      </c>
      <c r="O34">
        <v>51594.09</v>
      </c>
      <c r="P34">
        <v>57836.9</v>
      </c>
      <c r="Q34">
        <v>0.61</v>
      </c>
      <c r="R34">
        <v>0.57999999999999996</v>
      </c>
      <c r="S34">
        <v>159.4</v>
      </c>
      <c r="T34">
        <v>5.2</v>
      </c>
      <c r="U34">
        <v>0.64</v>
      </c>
      <c r="V34">
        <v>18.399999999999999</v>
      </c>
      <c r="W34">
        <v>766.7</v>
      </c>
      <c r="X34">
        <v>0.09</v>
      </c>
      <c r="Y34">
        <v>159.80000000000001</v>
      </c>
      <c r="Z34">
        <v>41.3</v>
      </c>
      <c r="AA34">
        <v>201</v>
      </c>
      <c r="AB34">
        <v>182.5</v>
      </c>
      <c r="AC34">
        <v>6.1</v>
      </c>
      <c r="AD34">
        <v>0.76</v>
      </c>
      <c r="AE34">
        <v>21.2</v>
      </c>
      <c r="AF34">
        <v>873.5</v>
      </c>
      <c r="AG34">
        <v>0.11</v>
      </c>
      <c r="AH34">
        <v>182.9</v>
      </c>
      <c r="AI34">
        <v>47.3</v>
      </c>
      <c r="AJ34">
        <v>230.2</v>
      </c>
      <c r="AK34">
        <v>157</v>
      </c>
      <c r="AL34">
        <v>5.4</v>
      </c>
      <c r="AM34">
        <v>0.68</v>
      </c>
      <c r="AN34">
        <v>16.399999999999999</v>
      </c>
      <c r="AO34">
        <v>738.6</v>
      </c>
      <c r="AP34">
        <v>7.0000000000000007E-2</v>
      </c>
      <c r="AQ34">
        <v>157.4</v>
      </c>
      <c r="AR34">
        <v>38.4</v>
      </c>
      <c r="AS34">
        <v>195.8</v>
      </c>
      <c r="AT34">
        <v>419.5</v>
      </c>
      <c r="AU34">
        <v>25.1</v>
      </c>
      <c r="AV34">
        <v>3.48</v>
      </c>
      <c r="AW34">
        <v>35</v>
      </c>
      <c r="AX34">
        <v>1616.4</v>
      </c>
      <c r="AY34">
        <v>0.23</v>
      </c>
      <c r="AZ34">
        <v>421.2</v>
      </c>
      <c r="BA34">
        <v>83.2</v>
      </c>
      <c r="BB34">
        <v>504.5</v>
      </c>
      <c r="BC34">
        <v>42652170.399999999</v>
      </c>
      <c r="BD34">
        <v>1390.5</v>
      </c>
      <c r="BE34">
        <v>170.9</v>
      </c>
      <c r="BF34">
        <v>4930715.5999999996</v>
      </c>
      <c r="BG34">
        <v>205277</v>
      </c>
      <c r="BH34">
        <v>25.3</v>
      </c>
      <c r="BI34">
        <v>42740275.799999997</v>
      </c>
      <c r="BJ34">
        <v>11054871.6</v>
      </c>
      <c r="BK34">
        <v>53795147.299999997</v>
      </c>
      <c r="BL34">
        <v>0</v>
      </c>
      <c r="BM34">
        <v>20.62</v>
      </c>
      <c r="BN34">
        <v>9.51</v>
      </c>
      <c r="BO34">
        <v>0</v>
      </c>
      <c r="BP34">
        <v>30.13</v>
      </c>
      <c r="BQ34">
        <v>22.74</v>
      </c>
      <c r="BR34">
        <v>10.85</v>
      </c>
      <c r="BS34">
        <v>0</v>
      </c>
      <c r="BT34">
        <v>33.58</v>
      </c>
      <c r="BU34">
        <v>269284060</v>
      </c>
      <c r="BV34">
        <v>121463510</v>
      </c>
      <c r="BW34">
        <v>13042988</v>
      </c>
      <c r="BX34">
        <v>3362444</v>
      </c>
      <c r="BY34">
        <v>0</v>
      </c>
      <c r="BZ34">
        <v>0</v>
      </c>
      <c r="CA34">
        <v>6065688</v>
      </c>
      <c r="CB34">
        <v>0</v>
      </c>
      <c r="CC34">
        <v>0</v>
      </c>
      <c r="CD34">
        <v>10878983</v>
      </c>
      <c r="CE34">
        <v>97353576</v>
      </c>
      <c r="CF34">
        <v>0</v>
      </c>
      <c r="CG34">
        <v>661493.30000000005</v>
      </c>
      <c r="CH34">
        <v>0</v>
      </c>
      <c r="CI34">
        <v>223900.6</v>
      </c>
      <c r="CJ34">
        <v>27110458</v>
      </c>
      <c r="CK34">
        <v>0</v>
      </c>
      <c r="CL34">
        <v>0</v>
      </c>
      <c r="CM34">
        <v>0</v>
      </c>
      <c r="CN34">
        <v>110584530</v>
      </c>
      <c r="CO34">
        <v>0</v>
      </c>
      <c r="CP34">
        <v>0</v>
      </c>
      <c r="CQ34">
        <v>8280.9</v>
      </c>
      <c r="CR34">
        <v>742.5</v>
      </c>
      <c r="CS34">
        <v>0</v>
      </c>
      <c r="CT34">
        <v>5043</v>
      </c>
      <c r="CU34">
        <v>0</v>
      </c>
      <c r="CV34">
        <v>0</v>
      </c>
      <c r="CW34">
        <v>8117.4</v>
      </c>
      <c r="CX34">
        <v>31907.200000000001</v>
      </c>
      <c r="CY34">
        <v>0</v>
      </c>
      <c r="CZ34">
        <v>6009.2</v>
      </c>
      <c r="DA34">
        <v>0</v>
      </c>
      <c r="DB34">
        <v>57.5</v>
      </c>
      <c r="DC34">
        <v>3666</v>
      </c>
      <c r="DD34">
        <v>0</v>
      </c>
      <c r="DE34">
        <v>0</v>
      </c>
      <c r="DF34">
        <v>0</v>
      </c>
      <c r="DG34">
        <v>48772.3</v>
      </c>
      <c r="DH34">
        <v>0</v>
      </c>
      <c r="DI34">
        <v>0</v>
      </c>
      <c r="DJ34">
        <v>34428.5</v>
      </c>
      <c r="DK34">
        <v>0</v>
      </c>
      <c r="DL34">
        <v>0</v>
      </c>
      <c r="DM34">
        <v>0</v>
      </c>
    </row>
    <row r="35" spans="1:117" x14ac:dyDescent="0.3">
      <c r="A35" t="s">
        <v>157</v>
      </c>
      <c r="B35">
        <v>2035</v>
      </c>
      <c r="C35">
        <v>275831940</v>
      </c>
      <c r="D35">
        <v>37539496</v>
      </c>
      <c r="E35">
        <v>0</v>
      </c>
      <c r="F35">
        <v>1343928.1</v>
      </c>
      <c r="G35">
        <v>314715361.19999999</v>
      </c>
      <c r="H35">
        <v>265919137</v>
      </c>
      <c r="I35">
        <v>151536012.30000001</v>
      </c>
      <c r="J35">
        <v>36519130</v>
      </c>
      <c r="K35">
        <v>33420628</v>
      </c>
      <c r="L35">
        <v>3.5900000000000001E-2</v>
      </c>
      <c r="M35">
        <v>5.3900000000000003E-2</v>
      </c>
      <c r="N35">
        <v>0.15</v>
      </c>
      <c r="O35">
        <v>78363.570000000007</v>
      </c>
      <c r="P35">
        <v>63708.6</v>
      </c>
      <c r="Q35">
        <v>0.72</v>
      </c>
      <c r="R35">
        <v>0.67</v>
      </c>
      <c r="S35">
        <v>106.2</v>
      </c>
      <c r="T35">
        <v>2.6</v>
      </c>
      <c r="U35">
        <v>0.28999999999999998</v>
      </c>
      <c r="V35">
        <v>13.4</v>
      </c>
      <c r="W35">
        <v>540.29999999999995</v>
      </c>
      <c r="X35">
        <v>7.0000000000000007E-2</v>
      </c>
      <c r="Y35">
        <v>106.4</v>
      </c>
      <c r="Z35">
        <v>29.5</v>
      </c>
      <c r="AA35">
        <v>135.9</v>
      </c>
      <c r="AB35">
        <v>132.1</v>
      </c>
      <c r="AC35">
        <v>3.5</v>
      </c>
      <c r="AD35">
        <v>0.4</v>
      </c>
      <c r="AE35">
        <v>16.600000000000001</v>
      </c>
      <c r="AF35">
        <v>664.3</v>
      </c>
      <c r="AG35">
        <v>0.09</v>
      </c>
      <c r="AH35">
        <v>132.30000000000001</v>
      </c>
      <c r="AI35">
        <v>36.4</v>
      </c>
      <c r="AJ35">
        <v>168.8</v>
      </c>
      <c r="AK35">
        <v>197.5</v>
      </c>
      <c r="AL35">
        <v>8</v>
      </c>
      <c r="AM35">
        <v>1.04</v>
      </c>
      <c r="AN35">
        <v>19.600000000000001</v>
      </c>
      <c r="AO35">
        <v>894.1</v>
      </c>
      <c r="AP35">
        <v>0.09</v>
      </c>
      <c r="AQ35">
        <v>198.1</v>
      </c>
      <c r="AR35">
        <v>46.2</v>
      </c>
      <c r="AS35">
        <v>244.3</v>
      </c>
      <c r="AT35">
        <v>362.6</v>
      </c>
      <c r="AU35">
        <v>19.5</v>
      </c>
      <c r="AV35">
        <v>2.68</v>
      </c>
      <c r="AW35">
        <v>32.1</v>
      </c>
      <c r="AX35">
        <v>1459.5</v>
      </c>
      <c r="AY35">
        <v>0.2</v>
      </c>
      <c r="AZ35">
        <v>364</v>
      </c>
      <c r="BA35">
        <v>75.599999999999994</v>
      </c>
      <c r="BB35">
        <v>439.6</v>
      </c>
      <c r="BC35">
        <v>32868706.899999999</v>
      </c>
      <c r="BD35">
        <v>789.7</v>
      </c>
      <c r="BE35">
        <v>88.2</v>
      </c>
      <c r="BF35">
        <v>4138456.4</v>
      </c>
      <c r="BG35">
        <v>167278.1</v>
      </c>
      <c r="BH35">
        <v>20.6</v>
      </c>
      <c r="BI35">
        <v>32916330.199999999</v>
      </c>
      <c r="BJ35">
        <v>9128973.9000000004</v>
      </c>
      <c r="BK35">
        <v>42045304.100000001</v>
      </c>
      <c r="BL35">
        <v>0</v>
      </c>
      <c r="BM35">
        <v>17.63</v>
      </c>
      <c r="BN35">
        <v>13.78</v>
      </c>
      <c r="BO35">
        <v>0</v>
      </c>
      <c r="BP35">
        <v>31.42</v>
      </c>
      <c r="BQ35">
        <v>20.56</v>
      </c>
      <c r="BR35">
        <v>16.850000000000001</v>
      </c>
      <c r="BS35">
        <v>0</v>
      </c>
      <c r="BT35">
        <v>37.4</v>
      </c>
      <c r="BU35">
        <v>311626240</v>
      </c>
      <c r="BV35">
        <v>163179340</v>
      </c>
      <c r="BW35">
        <v>32097264</v>
      </c>
      <c r="BX35">
        <v>3122460.5</v>
      </c>
      <c r="BY35">
        <v>0</v>
      </c>
      <c r="BZ35">
        <v>0</v>
      </c>
      <c r="CA35">
        <v>1850455.8</v>
      </c>
      <c r="CB35">
        <v>0</v>
      </c>
      <c r="CC35">
        <v>0</v>
      </c>
      <c r="CD35">
        <v>11855756</v>
      </c>
      <c r="CE35">
        <v>83822424</v>
      </c>
      <c r="CF35">
        <v>0</v>
      </c>
      <c r="CG35">
        <v>634947.30000000005</v>
      </c>
      <c r="CH35">
        <v>0</v>
      </c>
      <c r="CI35">
        <v>221980.4</v>
      </c>
      <c r="CJ35">
        <v>26697360</v>
      </c>
      <c r="CK35">
        <v>0</v>
      </c>
      <c r="CL35">
        <v>0</v>
      </c>
      <c r="CM35">
        <v>0</v>
      </c>
      <c r="CN35">
        <v>151323600</v>
      </c>
      <c r="CO35">
        <v>0</v>
      </c>
      <c r="CP35">
        <v>0</v>
      </c>
      <c r="CQ35">
        <v>15952.1</v>
      </c>
      <c r="CR35">
        <v>742.5</v>
      </c>
      <c r="CS35">
        <v>0</v>
      </c>
      <c r="CT35">
        <v>4811</v>
      </c>
      <c r="CU35">
        <v>0</v>
      </c>
      <c r="CV35">
        <v>0</v>
      </c>
      <c r="CW35">
        <v>10905</v>
      </c>
      <c r="CX35">
        <v>31735.200000000001</v>
      </c>
      <c r="CY35">
        <v>0</v>
      </c>
      <c r="CZ35">
        <v>5912.2</v>
      </c>
      <c r="DA35">
        <v>0</v>
      </c>
      <c r="DB35">
        <v>57.5</v>
      </c>
      <c r="DC35">
        <v>3666</v>
      </c>
      <c r="DD35">
        <v>0</v>
      </c>
      <c r="DE35">
        <v>0</v>
      </c>
      <c r="DF35">
        <v>0</v>
      </c>
      <c r="DG35">
        <v>70964.3</v>
      </c>
      <c r="DH35">
        <v>0</v>
      </c>
      <c r="DI35">
        <v>0</v>
      </c>
      <c r="DJ35">
        <v>90331.8</v>
      </c>
      <c r="DK35">
        <v>0</v>
      </c>
      <c r="DL35">
        <v>0</v>
      </c>
      <c r="DM35">
        <v>0</v>
      </c>
    </row>
    <row r="36" spans="1:117" x14ac:dyDescent="0.3">
      <c r="A36" t="s">
        <v>157</v>
      </c>
      <c r="B36">
        <v>2040</v>
      </c>
      <c r="C36">
        <v>298992740</v>
      </c>
      <c r="D36">
        <v>51057240</v>
      </c>
      <c r="E36">
        <v>0</v>
      </c>
      <c r="F36">
        <v>1384021.6</v>
      </c>
      <c r="G36">
        <v>351434005.60000002</v>
      </c>
      <c r="H36">
        <v>288247587</v>
      </c>
      <c r="I36">
        <v>170201609.19999999</v>
      </c>
      <c r="J36">
        <v>42435748</v>
      </c>
      <c r="K36">
        <v>30373018</v>
      </c>
      <c r="L36">
        <v>3.5900000000000001E-2</v>
      </c>
      <c r="M36">
        <v>5.3900000000000003E-2</v>
      </c>
      <c r="N36">
        <v>0.15</v>
      </c>
      <c r="O36">
        <v>72459.88</v>
      </c>
      <c r="P36">
        <v>69449.399999999994</v>
      </c>
      <c r="Q36">
        <v>0.75</v>
      </c>
      <c r="R36">
        <v>0.71</v>
      </c>
      <c r="S36">
        <v>94.6</v>
      </c>
      <c r="T36">
        <v>2.2000000000000002</v>
      </c>
      <c r="U36">
        <v>0.24</v>
      </c>
      <c r="V36">
        <v>12.1</v>
      </c>
      <c r="W36">
        <v>485.1</v>
      </c>
      <c r="X36">
        <v>0.06</v>
      </c>
      <c r="Y36">
        <v>94.7</v>
      </c>
      <c r="Z36">
        <v>26.5</v>
      </c>
      <c r="AA36">
        <v>121.2</v>
      </c>
      <c r="AB36">
        <v>117.9</v>
      </c>
      <c r="AC36">
        <v>2.9</v>
      </c>
      <c r="AD36">
        <v>0.32</v>
      </c>
      <c r="AE36">
        <v>15.1</v>
      </c>
      <c r="AF36">
        <v>599.79999999999995</v>
      </c>
      <c r="AG36">
        <v>0.08</v>
      </c>
      <c r="AH36">
        <v>118.1</v>
      </c>
      <c r="AI36">
        <v>33</v>
      </c>
      <c r="AJ36">
        <v>151.1</v>
      </c>
      <c r="AK36">
        <v>239</v>
      </c>
      <c r="AL36">
        <v>10.1</v>
      </c>
      <c r="AM36">
        <v>1.31</v>
      </c>
      <c r="AN36">
        <v>23.3</v>
      </c>
      <c r="AO36">
        <v>1072.4000000000001</v>
      </c>
      <c r="AP36">
        <v>0.11</v>
      </c>
      <c r="AQ36">
        <v>239.7</v>
      </c>
      <c r="AR36">
        <v>55.3</v>
      </c>
      <c r="AS36">
        <v>294.89999999999998</v>
      </c>
      <c r="AT36">
        <v>347.1</v>
      </c>
      <c r="AU36">
        <v>16.3</v>
      </c>
      <c r="AV36">
        <v>2.19</v>
      </c>
      <c r="AW36">
        <v>32.799999999999997</v>
      </c>
      <c r="AX36">
        <v>1483.7</v>
      </c>
      <c r="AY36">
        <v>0.18</v>
      </c>
      <c r="AZ36">
        <v>348.2</v>
      </c>
      <c r="BA36">
        <v>77</v>
      </c>
      <c r="BB36">
        <v>425.2</v>
      </c>
      <c r="BC36">
        <v>31838466.899999999</v>
      </c>
      <c r="BD36">
        <v>721.4</v>
      </c>
      <c r="BE36">
        <v>78.8</v>
      </c>
      <c r="BF36">
        <v>4064256.9</v>
      </c>
      <c r="BG36">
        <v>163443.6</v>
      </c>
      <c r="BH36">
        <v>20.2</v>
      </c>
      <c r="BI36">
        <v>31881465.5</v>
      </c>
      <c r="BJ36">
        <v>8940388.6999999993</v>
      </c>
      <c r="BK36">
        <v>40821854.299999997</v>
      </c>
      <c r="BL36">
        <v>0</v>
      </c>
      <c r="BM36">
        <v>17.55</v>
      </c>
      <c r="BN36">
        <v>12.64</v>
      </c>
      <c r="BO36">
        <v>0</v>
      </c>
      <c r="BP36">
        <v>30.19</v>
      </c>
      <c r="BQ36">
        <v>20.78</v>
      </c>
      <c r="BR36">
        <v>15.94</v>
      </c>
      <c r="BS36">
        <v>0</v>
      </c>
      <c r="BT36">
        <v>36.71</v>
      </c>
      <c r="BU36">
        <v>339393700</v>
      </c>
      <c r="BV36">
        <v>181232400</v>
      </c>
      <c r="BW36">
        <v>43422696</v>
      </c>
      <c r="BX36">
        <v>3187635.8</v>
      </c>
      <c r="BY36">
        <v>0</v>
      </c>
      <c r="BZ36">
        <v>0</v>
      </c>
      <c r="CA36">
        <v>1368786.4</v>
      </c>
      <c r="CB36">
        <v>0</v>
      </c>
      <c r="CC36">
        <v>0</v>
      </c>
      <c r="CD36">
        <v>12824179</v>
      </c>
      <c r="CE36">
        <v>82505170</v>
      </c>
      <c r="CF36">
        <v>0</v>
      </c>
      <c r="CG36">
        <v>602483</v>
      </c>
      <c r="CH36">
        <v>0</v>
      </c>
      <c r="CI36">
        <v>222336.6</v>
      </c>
      <c r="CJ36">
        <v>26852204</v>
      </c>
      <c r="CK36">
        <v>0</v>
      </c>
      <c r="CL36">
        <v>0</v>
      </c>
      <c r="CM36">
        <v>0</v>
      </c>
      <c r="CN36">
        <v>168408220</v>
      </c>
      <c r="CO36">
        <v>0</v>
      </c>
      <c r="CP36">
        <v>0</v>
      </c>
      <c r="CQ36">
        <v>22126.6</v>
      </c>
      <c r="CR36">
        <v>742.5</v>
      </c>
      <c r="CS36">
        <v>0</v>
      </c>
      <c r="CT36">
        <v>4811</v>
      </c>
      <c r="CU36">
        <v>0</v>
      </c>
      <c r="CV36">
        <v>0</v>
      </c>
      <c r="CW36">
        <v>11179.3</v>
      </c>
      <c r="CX36">
        <v>31735.200000000001</v>
      </c>
      <c r="CY36">
        <v>0</v>
      </c>
      <c r="CZ36">
        <v>5912.2</v>
      </c>
      <c r="DA36">
        <v>0</v>
      </c>
      <c r="DB36">
        <v>57.5</v>
      </c>
      <c r="DC36">
        <v>3666</v>
      </c>
      <c r="DD36">
        <v>0</v>
      </c>
      <c r="DE36">
        <v>0</v>
      </c>
      <c r="DF36">
        <v>0</v>
      </c>
      <c r="DG36">
        <v>78536.7</v>
      </c>
      <c r="DH36">
        <v>0</v>
      </c>
      <c r="DI36">
        <v>0</v>
      </c>
      <c r="DJ36">
        <v>124521.60000000001</v>
      </c>
      <c r="DK36">
        <v>0</v>
      </c>
      <c r="DL36">
        <v>0</v>
      </c>
      <c r="DM36">
        <v>0</v>
      </c>
    </row>
    <row r="37" spans="1:117" x14ac:dyDescent="0.3">
      <c r="A37" t="s">
        <v>157</v>
      </c>
      <c r="B37">
        <v>2045</v>
      </c>
      <c r="C37">
        <v>319580930</v>
      </c>
      <c r="D37">
        <v>67707210</v>
      </c>
      <c r="E37">
        <v>0</v>
      </c>
      <c r="F37">
        <v>1144741.7</v>
      </c>
      <c r="G37">
        <v>388432880.30000001</v>
      </c>
      <c r="H37">
        <v>308095874.89999998</v>
      </c>
      <c r="I37">
        <v>183648671.59999999</v>
      </c>
      <c r="J37">
        <v>36059520</v>
      </c>
      <c r="K37">
        <v>22522728</v>
      </c>
      <c r="L37">
        <v>3.5900000000000001E-2</v>
      </c>
      <c r="M37">
        <v>5.3900000000000003E-2</v>
      </c>
      <c r="N37">
        <v>0.15</v>
      </c>
      <c r="O37">
        <v>78716.89</v>
      </c>
      <c r="P37">
        <v>75170.399999999994</v>
      </c>
      <c r="Q37">
        <v>0.78</v>
      </c>
      <c r="R37">
        <v>0.73</v>
      </c>
      <c r="S37">
        <v>83.5</v>
      </c>
      <c r="T37">
        <v>1.8</v>
      </c>
      <c r="U37">
        <v>0.19</v>
      </c>
      <c r="V37">
        <v>10.6</v>
      </c>
      <c r="W37">
        <v>431.9</v>
      </c>
      <c r="X37">
        <v>0.05</v>
      </c>
      <c r="Y37">
        <v>83.6</v>
      </c>
      <c r="Z37">
        <v>23.5</v>
      </c>
      <c r="AA37">
        <v>107.1</v>
      </c>
      <c r="AB37">
        <v>106.1</v>
      </c>
      <c r="AC37">
        <v>2.4</v>
      </c>
      <c r="AD37">
        <v>0.26</v>
      </c>
      <c r="AE37">
        <v>13.6</v>
      </c>
      <c r="AF37">
        <v>546.20000000000005</v>
      </c>
      <c r="AG37">
        <v>7.0000000000000007E-2</v>
      </c>
      <c r="AH37">
        <v>106.3</v>
      </c>
      <c r="AI37">
        <v>29.9</v>
      </c>
      <c r="AJ37">
        <v>136.19999999999999</v>
      </c>
      <c r="AK37">
        <v>274.8</v>
      </c>
      <c r="AL37">
        <v>11.3</v>
      </c>
      <c r="AM37">
        <v>1.46</v>
      </c>
      <c r="AN37">
        <v>27.1</v>
      </c>
      <c r="AO37">
        <v>1243.4000000000001</v>
      </c>
      <c r="AP37">
        <v>0.13</v>
      </c>
      <c r="AQ37">
        <v>275.60000000000002</v>
      </c>
      <c r="AR37">
        <v>64.2</v>
      </c>
      <c r="AS37">
        <v>339.7</v>
      </c>
      <c r="AT37">
        <v>309.89999999999998</v>
      </c>
      <c r="AU37">
        <v>12.9</v>
      </c>
      <c r="AV37">
        <v>1.69</v>
      </c>
      <c r="AW37">
        <v>30.8</v>
      </c>
      <c r="AX37">
        <v>1383.9</v>
      </c>
      <c r="AY37">
        <v>0.16</v>
      </c>
      <c r="AZ37">
        <v>310.8</v>
      </c>
      <c r="BA37">
        <v>72.099999999999994</v>
      </c>
      <c r="BB37">
        <v>382.8</v>
      </c>
      <c r="BC37">
        <v>31047283.800000001</v>
      </c>
      <c r="BD37">
        <v>658.6</v>
      </c>
      <c r="BE37">
        <v>69.900000000000006</v>
      </c>
      <c r="BF37">
        <v>3952794.6</v>
      </c>
      <c r="BG37">
        <v>160747.79999999999</v>
      </c>
      <c r="BH37">
        <v>19.5</v>
      </c>
      <c r="BI37">
        <v>31085982.100000001</v>
      </c>
      <c r="BJ37">
        <v>8748400.5</v>
      </c>
      <c r="BK37">
        <v>39834382.600000001</v>
      </c>
      <c r="BL37">
        <v>0</v>
      </c>
      <c r="BM37">
        <v>15.72</v>
      </c>
      <c r="BN37">
        <v>13.4</v>
      </c>
      <c r="BO37">
        <v>0</v>
      </c>
      <c r="BP37">
        <v>29.13</v>
      </c>
      <c r="BQ37">
        <v>19.2</v>
      </c>
      <c r="BR37">
        <v>17.489999999999998</v>
      </c>
      <c r="BS37">
        <v>0</v>
      </c>
      <c r="BT37">
        <v>36.68</v>
      </c>
      <c r="BU37">
        <v>374949920</v>
      </c>
      <c r="BV37">
        <v>204784210</v>
      </c>
      <c r="BW37">
        <v>57528250</v>
      </c>
      <c r="BX37">
        <v>2515949.5</v>
      </c>
      <c r="BY37">
        <v>0</v>
      </c>
      <c r="BZ37">
        <v>0</v>
      </c>
      <c r="CA37">
        <v>876720.5</v>
      </c>
      <c r="CB37">
        <v>0</v>
      </c>
      <c r="CC37">
        <v>0</v>
      </c>
      <c r="CD37">
        <v>12046082</v>
      </c>
      <c r="CE37">
        <v>81879656</v>
      </c>
      <c r="CF37">
        <v>0</v>
      </c>
      <c r="CG37">
        <v>529765.80000000005</v>
      </c>
      <c r="CH37">
        <v>0</v>
      </c>
      <c r="CI37">
        <v>221678.3</v>
      </c>
      <c r="CJ37">
        <v>26613694</v>
      </c>
      <c r="CK37">
        <v>0</v>
      </c>
      <c r="CL37">
        <v>0</v>
      </c>
      <c r="CM37">
        <v>0</v>
      </c>
      <c r="CN37">
        <v>192738130</v>
      </c>
      <c r="CO37">
        <v>0</v>
      </c>
      <c r="CP37">
        <v>0</v>
      </c>
      <c r="CQ37">
        <v>28005.8</v>
      </c>
      <c r="CR37">
        <v>667.6</v>
      </c>
      <c r="CS37">
        <v>0</v>
      </c>
      <c r="CT37">
        <v>4518</v>
      </c>
      <c r="CU37">
        <v>0</v>
      </c>
      <c r="CV37">
        <v>0</v>
      </c>
      <c r="CW37">
        <v>11569.5</v>
      </c>
      <c r="CX37">
        <v>31679.200000000001</v>
      </c>
      <c r="CY37">
        <v>0</v>
      </c>
      <c r="CZ37">
        <v>5912.2</v>
      </c>
      <c r="DA37">
        <v>0</v>
      </c>
      <c r="DB37">
        <v>57.5</v>
      </c>
      <c r="DC37">
        <v>3666</v>
      </c>
      <c r="DD37">
        <v>0</v>
      </c>
      <c r="DE37">
        <v>0</v>
      </c>
      <c r="DF37">
        <v>0</v>
      </c>
      <c r="DG37">
        <v>94746.1</v>
      </c>
      <c r="DH37">
        <v>0</v>
      </c>
      <c r="DI37">
        <v>0</v>
      </c>
      <c r="DJ37">
        <v>165633.5</v>
      </c>
      <c r="DK37">
        <v>0</v>
      </c>
      <c r="DL37">
        <v>0</v>
      </c>
      <c r="DM37">
        <v>0</v>
      </c>
    </row>
    <row r="38" spans="1:117" x14ac:dyDescent="0.3">
      <c r="A38" t="s">
        <v>157</v>
      </c>
      <c r="B38">
        <v>2050</v>
      </c>
      <c r="C38">
        <v>338788500</v>
      </c>
      <c r="D38">
        <v>63704030</v>
      </c>
      <c r="E38">
        <v>0</v>
      </c>
      <c r="F38">
        <v>1106950.3999999999</v>
      </c>
      <c r="G38">
        <v>403599504.69999999</v>
      </c>
      <c r="H38">
        <v>326613191.19999999</v>
      </c>
      <c r="I38">
        <v>200136308.5</v>
      </c>
      <c r="J38">
        <v>36520772</v>
      </c>
      <c r="K38">
        <v>20193544</v>
      </c>
      <c r="L38">
        <v>3.5900000000000001E-2</v>
      </c>
      <c r="M38">
        <v>5.3900000000000003E-2</v>
      </c>
      <c r="N38">
        <v>0.15</v>
      </c>
      <c r="O38">
        <v>82302.720000000001</v>
      </c>
      <c r="P38">
        <v>80143.399999999994</v>
      </c>
      <c r="Q38">
        <v>0.74</v>
      </c>
      <c r="R38">
        <v>0.7</v>
      </c>
      <c r="S38">
        <v>98.8</v>
      </c>
      <c r="T38">
        <v>2.2000000000000002</v>
      </c>
      <c r="U38">
        <v>0.23</v>
      </c>
      <c r="V38">
        <v>12.3</v>
      </c>
      <c r="W38">
        <v>509.3</v>
      </c>
      <c r="X38">
        <v>0.06</v>
      </c>
      <c r="Y38">
        <v>99</v>
      </c>
      <c r="Z38">
        <v>27.5</v>
      </c>
      <c r="AA38">
        <v>126.5</v>
      </c>
      <c r="AB38">
        <v>120.8</v>
      </c>
      <c r="AC38">
        <v>2.7</v>
      </c>
      <c r="AD38">
        <v>0.28999999999999998</v>
      </c>
      <c r="AE38">
        <v>15.2</v>
      </c>
      <c r="AF38">
        <v>621.79999999999995</v>
      </c>
      <c r="AG38">
        <v>0.08</v>
      </c>
      <c r="AH38">
        <v>120.9</v>
      </c>
      <c r="AI38">
        <v>33.799999999999997</v>
      </c>
      <c r="AJ38">
        <v>154.69999999999999</v>
      </c>
      <c r="AK38">
        <v>287.89999999999998</v>
      </c>
      <c r="AL38">
        <v>11.3</v>
      </c>
      <c r="AM38">
        <v>1.44</v>
      </c>
      <c r="AN38">
        <v>28.9</v>
      </c>
      <c r="AO38">
        <v>1320.6</v>
      </c>
      <c r="AP38">
        <v>0.13</v>
      </c>
      <c r="AQ38">
        <v>288.7</v>
      </c>
      <c r="AR38">
        <v>68.3</v>
      </c>
      <c r="AS38">
        <v>356.9</v>
      </c>
      <c r="AT38">
        <v>317.5</v>
      </c>
      <c r="AU38">
        <v>12.1</v>
      </c>
      <c r="AV38">
        <v>1.55</v>
      </c>
      <c r="AW38">
        <v>32.5</v>
      </c>
      <c r="AX38">
        <v>1458.4</v>
      </c>
      <c r="AY38">
        <v>0.16</v>
      </c>
      <c r="AZ38">
        <v>318.3</v>
      </c>
      <c r="BA38">
        <v>76</v>
      </c>
      <c r="BB38">
        <v>394.3</v>
      </c>
      <c r="BC38">
        <v>37982073.700000003</v>
      </c>
      <c r="BD38">
        <v>825</v>
      </c>
      <c r="BE38">
        <v>88.5</v>
      </c>
      <c r="BF38">
        <v>4739243.7</v>
      </c>
      <c r="BG38">
        <v>195877.3</v>
      </c>
      <c r="BH38">
        <v>22.5</v>
      </c>
      <c r="BI38">
        <v>38030806.799999997</v>
      </c>
      <c r="BJ38">
        <v>10582538.6</v>
      </c>
      <c r="BK38">
        <v>48613345.399999999</v>
      </c>
      <c r="BL38">
        <v>0</v>
      </c>
      <c r="BM38">
        <v>16.510000000000002</v>
      </c>
      <c r="BN38">
        <v>14.38</v>
      </c>
      <c r="BO38">
        <v>0</v>
      </c>
      <c r="BP38">
        <v>30.89</v>
      </c>
      <c r="BQ38">
        <v>19.899999999999999</v>
      </c>
      <c r="BR38">
        <v>18.39</v>
      </c>
      <c r="BS38">
        <v>0</v>
      </c>
      <c r="BT38">
        <v>38.29</v>
      </c>
      <c r="BU38">
        <v>387332060</v>
      </c>
      <c r="BV38">
        <v>203463200</v>
      </c>
      <c r="BW38">
        <v>54137460</v>
      </c>
      <c r="BX38">
        <v>2501639</v>
      </c>
      <c r="BY38">
        <v>0</v>
      </c>
      <c r="BZ38">
        <v>0</v>
      </c>
      <c r="CA38">
        <v>1245260.6000000001</v>
      </c>
      <c r="CB38">
        <v>0</v>
      </c>
      <c r="CC38">
        <v>0</v>
      </c>
      <c r="CD38">
        <v>13047015</v>
      </c>
      <c r="CE38">
        <v>98292330</v>
      </c>
      <c r="CF38">
        <v>0</v>
      </c>
      <c r="CG38">
        <v>898889.2</v>
      </c>
      <c r="CH38">
        <v>0</v>
      </c>
      <c r="CI38">
        <v>221651.4</v>
      </c>
      <c r="CJ38">
        <v>26571642</v>
      </c>
      <c r="CK38">
        <v>0</v>
      </c>
      <c r="CL38">
        <v>0</v>
      </c>
      <c r="CM38">
        <v>0</v>
      </c>
      <c r="CN38">
        <v>190416180</v>
      </c>
      <c r="CO38">
        <v>0</v>
      </c>
      <c r="CP38">
        <v>0</v>
      </c>
      <c r="CQ38">
        <v>27855.9</v>
      </c>
      <c r="CR38">
        <v>667.6</v>
      </c>
      <c r="CS38">
        <v>0</v>
      </c>
      <c r="CT38">
        <v>4225</v>
      </c>
      <c r="CU38">
        <v>0</v>
      </c>
      <c r="CV38">
        <v>0</v>
      </c>
      <c r="CW38">
        <v>12487.6</v>
      </c>
      <c r="CX38">
        <v>29953.599999999999</v>
      </c>
      <c r="CY38">
        <v>0</v>
      </c>
      <c r="CZ38">
        <v>8573.2999999999993</v>
      </c>
      <c r="DA38">
        <v>0</v>
      </c>
      <c r="DB38">
        <v>57.5</v>
      </c>
      <c r="DC38">
        <v>3666</v>
      </c>
      <c r="DD38">
        <v>0</v>
      </c>
      <c r="DE38">
        <v>0</v>
      </c>
      <c r="DF38">
        <v>0</v>
      </c>
      <c r="DG38">
        <v>94847.3</v>
      </c>
      <c r="DH38">
        <v>0</v>
      </c>
      <c r="DI38">
        <v>0</v>
      </c>
      <c r="DJ38">
        <v>152391.9</v>
      </c>
      <c r="DK38">
        <v>0</v>
      </c>
      <c r="DL38">
        <v>0</v>
      </c>
      <c r="DM38">
        <v>0</v>
      </c>
    </row>
    <row r="39" spans="1:117" x14ac:dyDescent="0.3">
      <c r="A39" t="s">
        <v>158</v>
      </c>
      <c r="B39">
        <v>2024</v>
      </c>
      <c r="C39">
        <v>32809850</v>
      </c>
      <c r="D39">
        <v>21.3</v>
      </c>
      <c r="E39">
        <v>0</v>
      </c>
      <c r="F39">
        <v>281068.40000000002</v>
      </c>
      <c r="G39">
        <v>33090940.600000001</v>
      </c>
      <c r="H39">
        <v>31630518.199999999</v>
      </c>
      <c r="I39">
        <v>25213364.5</v>
      </c>
      <c r="J39">
        <v>22927904</v>
      </c>
      <c r="K39">
        <v>26204300</v>
      </c>
      <c r="L39">
        <v>3.5900000000000001E-2</v>
      </c>
      <c r="M39">
        <v>5.3900000000000003E-2</v>
      </c>
      <c r="N39">
        <v>0.183</v>
      </c>
      <c r="O39">
        <v>19985.88</v>
      </c>
      <c r="P39">
        <v>8183</v>
      </c>
      <c r="Q39">
        <v>0.55000000000000004</v>
      </c>
      <c r="R39">
        <v>0.65</v>
      </c>
      <c r="S39">
        <v>231.7</v>
      </c>
      <c r="T39">
        <v>12.5</v>
      </c>
      <c r="U39">
        <v>1.69</v>
      </c>
      <c r="V39">
        <v>23.2</v>
      </c>
      <c r="W39">
        <v>956.8</v>
      </c>
      <c r="X39">
        <v>0.17</v>
      </c>
      <c r="Y39">
        <v>232.5</v>
      </c>
      <c r="Z39">
        <v>51.8</v>
      </c>
      <c r="AA39">
        <v>284.3</v>
      </c>
      <c r="AB39">
        <v>225.9</v>
      </c>
      <c r="AC39">
        <v>16.899999999999999</v>
      </c>
      <c r="AD39">
        <v>2.38</v>
      </c>
      <c r="AE39">
        <v>18.7</v>
      </c>
      <c r="AF39">
        <v>783.5</v>
      </c>
      <c r="AG39">
        <v>0.17</v>
      </c>
      <c r="AH39">
        <v>227</v>
      </c>
      <c r="AI39">
        <v>42.1</v>
      </c>
      <c r="AJ39">
        <v>269.10000000000002</v>
      </c>
      <c r="AK39">
        <v>293.8</v>
      </c>
      <c r="AL39">
        <v>19.8</v>
      </c>
      <c r="AM39">
        <v>2.78</v>
      </c>
      <c r="AN39">
        <v>22</v>
      </c>
      <c r="AO39">
        <v>1068.0999999999999</v>
      </c>
      <c r="AP39">
        <v>0.15</v>
      </c>
      <c r="AQ39">
        <v>295.2</v>
      </c>
      <c r="AR39">
        <v>53.8</v>
      </c>
      <c r="AS39">
        <v>349</v>
      </c>
      <c r="AT39">
        <v>815.1</v>
      </c>
      <c r="AU39">
        <v>68.099999999999994</v>
      </c>
      <c r="AV39">
        <v>9.84</v>
      </c>
      <c r="AW39">
        <v>50.6</v>
      </c>
      <c r="AX39">
        <v>2443.1999999999998</v>
      </c>
      <c r="AY39">
        <v>0.5</v>
      </c>
      <c r="AZ39">
        <v>819.8</v>
      </c>
      <c r="BA39">
        <v>123.5</v>
      </c>
      <c r="BB39">
        <v>943.3</v>
      </c>
      <c r="BC39">
        <v>8374693.5</v>
      </c>
      <c r="BD39">
        <v>450.4</v>
      </c>
      <c r="BE39">
        <v>61.2</v>
      </c>
      <c r="BF39">
        <v>840564.7</v>
      </c>
      <c r="BG39">
        <v>34592.199999999997</v>
      </c>
      <c r="BH39">
        <v>6</v>
      </c>
      <c r="BI39">
        <v>8404811.5</v>
      </c>
      <c r="BJ39">
        <v>1873047.6</v>
      </c>
      <c r="BK39">
        <v>10277859.1</v>
      </c>
      <c r="BL39">
        <v>0</v>
      </c>
      <c r="BM39">
        <v>30.17</v>
      </c>
      <c r="BN39">
        <v>4.53</v>
      </c>
      <c r="BO39">
        <v>0</v>
      </c>
      <c r="BP39">
        <v>34.700000000000003</v>
      </c>
      <c r="BQ39">
        <v>31.97</v>
      </c>
      <c r="BR39">
        <v>4.93</v>
      </c>
      <c r="BS39">
        <v>0</v>
      </c>
      <c r="BT39">
        <v>36.89</v>
      </c>
      <c r="BU39">
        <v>36378740</v>
      </c>
      <c r="BV39">
        <v>7877576</v>
      </c>
      <c r="BW39">
        <v>18</v>
      </c>
      <c r="BX39">
        <v>963797.5</v>
      </c>
      <c r="BY39">
        <v>0</v>
      </c>
      <c r="BZ39">
        <v>0</v>
      </c>
      <c r="CA39">
        <v>3032180.2</v>
      </c>
      <c r="CB39">
        <v>0</v>
      </c>
      <c r="CC39">
        <v>0</v>
      </c>
      <c r="CD39">
        <v>81561.2</v>
      </c>
      <c r="CE39">
        <v>12864336</v>
      </c>
      <c r="CF39">
        <v>0</v>
      </c>
      <c r="CG39">
        <v>523199.4</v>
      </c>
      <c r="CH39">
        <v>0</v>
      </c>
      <c r="CI39">
        <v>1474008.9</v>
      </c>
      <c r="CJ39">
        <v>9559418</v>
      </c>
      <c r="CK39">
        <v>84206</v>
      </c>
      <c r="CL39">
        <v>0</v>
      </c>
      <c r="CM39">
        <v>0</v>
      </c>
      <c r="CN39">
        <v>5064003</v>
      </c>
      <c r="CO39">
        <v>2732011.8</v>
      </c>
      <c r="CP39">
        <v>0</v>
      </c>
      <c r="CQ39">
        <v>0.1</v>
      </c>
      <c r="CR39">
        <v>141.1</v>
      </c>
      <c r="CS39">
        <v>0</v>
      </c>
      <c r="CT39">
        <v>840.8</v>
      </c>
      <c r="CU39">
        <v>0</v>
      </c>
      <c r="CV39">
        <v>0</v>
      </c>
      <c r="CW39">
        <v>59.9</v>
      </c>
      <c r="CX39">
        <v>1982</v>
      </c>
      <c r="CY39">
        <v>0</v>
      </c>
      <c r="CZ39">
        <v>2024.1</v>
      </c>
      <c r="DA39">
        <v>0</v>
      </c>
      <c r="DB39">
        <v>304.89999999999998</v>
      </c>
      <c r="DC39">
        <v>1197.0999999999999</v>
      </c>
      <c r="DD39">
        <v>350.7</v>
      </c>
      <c r="DE39">
        <v>0</v>
      </c>
      <c r="DF39">
        <v>0</v>
      </c>
      <c r="DG39">
        <v>2375.8000000000002</v>
      </c>
      <c r="DH39">
        <v>0</v>
      </c>
      <c r="DI39">
        <v>854.6</v>
      </c>
      <c r="DJ39">
        <v>0.1</v>
      </c>
      <c r="DK39">
        <v>0</v>
      </c>
      <c r="DL39">
        <v>0</v>
      </c>
      <c r="DM39">
        <v>0</v>
      </c>
    </row>
    <row r="40" spans="1:117" x14ac:dyDescent="0.3">
      <c r="A40" t="s">
        <v>158</v>
      </c>
      <c r="B40">
        <v>2026</v>
      </c>
      <c r="C40">
        <v>33358636</v>
      </c>
      <c r="D40">
        <v>566098</v>
      </c>
      <c r="E40">
        <v>0</v>
      </c>
      <c r="F40">
        <v>350620.4</v>
      </c>
      <c r="G40">
        <v>34275356.899999999</v>
      </c>
      <c r="H40">
        <v>32159578.899999999</v>
      </c>
      <c r="I40">
        <v>22151704.899999999</v>
      </c>
      <c r="J40">
        <v>29464452</v>
      </c>
      <c r="K40">
        <v>34545470</v>
      </c>
      <c r="L40">
        <v>3.5900000000000001E-2</v>
      </c>
      <c r="M40">
        <v>5.3900000000000003E-2</v>
      </c>
      <c r="N40">
        <v>0.183</v>
      </c>
      <c r="O40">
        <v>50480.59</v>
      </c>
      <c r="P40">
        <v>8334.9</v>
      </c>
      <c r="Q40">
        <v>0.62</v>
      </c>
      <c r="R40">
        <v>0.73</v>
      </c>
      <c r="S40">
        <v>188.1</v>
      </c>
      <c r="T40">
        <v>9.9</v>
      </c>
      <c r="U40">
        <v>1.35</v>
      </c>
      <c r="V40">
        <v>19.399999999999999</v>
      </c>
      <c r="W40">
        <v>784.2</v>
      </c>
      <c r="X40">
        <v>0.14000000000000001</v>
      </c>
      <c r="Y40">
        <v>188.8</v>
      </c>
      <c r="Z40">
        <v>42.8</v>
      </c>
      <c r="AA40">
        <v>231.6</v>
      </c>
      <c r="AB40">
        <v>171.4</v>
      </c>
      <c r="AC40">
        <v>12.6</v>
      </c>
      <c r="AD40">
        <v>1.77</v>
      </c>
      <c r="AE40">
        <v>15</v>
      </c>
      <c r="AF40">
        <v>604.29999999999995</v>
      </c>
      <c r="AG40">
        <v>0.14000000000000001</v>
      </c>
      <c r="AH40">
        <v>172.2</v>
      </c>
      <c r="AI40">
        <v>33</v>
      </c>
      <c r="AJ40">
        <v>205.2</v>
      </c>
      <c r="AK40">
        <v>222.7</v>
      </c>
      <c r="AL40">
        <v>11.8</v>
      </c>
      <c r="AM40">
        <v>1.6</v>
      </c>
      <c r="AN40">
        <v>19.600000000000001</v>
      </c>
      <c r="AO40">
        <v>914.1</v>
      </c>
      <c r="AP40">
        <v>0.11</v>
      </c>
      <c r="AQ40">
        <v>223.5</v>
      </c>
      <c r="AR40">
        <v>46.9</v>
      </c>
      <c r="AS40">
        <v>270.39999999999998</v>
      </c>
      <c r="AT40">
        <v>772.6</v>
      </c>
      <c r="AU40">
        <v>63.8</v>
      </c>
      <c r="AV40">
        <v>9.17</v>
      </c>
      <c r="AW40">
        <v>48.2</v>
      </c>
      <c r="AX40">
        <v>2375.6</v>
      </c>
      <c r="AY40">
        <v>0.45</v>
      </c>
      <c r="AZ40">
        <v>777</v>
      </c>
      <c r="BA40">
        <v>119.1</v>
      </c>
      <c r="BB40">
        <v>896</v>
      </c>
      <c r="BC40">
        <v>7354077.5999999996</v>
      </c>
      <c r="BD40">
        <v>388.8</v>
      </c>
      <c r="BE40">
        <v>52.6</v>
      </c>
      <c r="BF40">
        <v>757793.5</v>
      </c>
      <c r="BG40">
        <v>30658.799999999999</v>
      </c>
      <c r="BH40">
        <v>5.5</v>
      </c>
      <c r="BI40">
        <v>7380028.5</v>
      </c>
      <c r="BJ40">
        <v>1672920.6</v>
      </c>
      <c r="BK40">
        <v>9052949.0999999996</v>
      </c>
      <c r="BL40">
        <v>0</v>
      </c>
      <c r="BM40">
        <v>28.33</v>
      </c>
      <c r="BN40">
        <v>11.02</v>
      </c>
      <c r="BO40">
        <v>0</v>
      </c>
      <c r="BP40">
        <v>39.35</v>
      </c>
      <c r="BQ40">
        <v>30.13</v>
      </c>
      <c r="BR40">
        <v>12.17</v>
      </c>
      <c r="BS40">
        <v>0</v>
      </c>
      <c r="BT40">
        <v>42.3</v>
      </c>
      <c r="BU40">
        <v>39367184</v>
      </c>
      <c r="BV40">
        <v>12123652</v>
      </c>
      <c r="BW40">
        <v>491875</v>
      </c>
      <c r="BX40">
        <v>962931.8</v>
      </c>
      <c r="BY40">
        <v>0</v>
      </c>
      <c r="BZ40">
        <v>0</v>
      </c>
      <c r="CA40">
        <v>2598254.7999999998</v>
      </c>
      <c r="CB40">
        <v>0</v>
      </c>
      <c r="CC40">
        <v>0</v>
      </c>
      <c r="CD40">
        <v>136023.79999999999</v>
      </c>
      <c r="CE40">
        <v>11836708</v>
      </c>
      <c r="CF40">
        <v>0</v>
      </c>
      <c r="CG40">
        <v>283329.2</v>
      </c>
      <c r="CH40">
        <v>0</v>
      </c>
      <c r="CI40">
        <v>1473900.1</v>
      </c>
      <c r="CJ40">
        <v>9540268</v>
      </c>
      <c r="CK40">
        <v>56263.1</v>
      </c>
      <c r="CL40">
        <v>0</v>
      </c>
      <c r="CM40">
        <v>0</v>
      </c>
      <c r="CN40">
        <v>9238448</v>
      </c>
      <c r="CO40">
        <v>2749180.2</v>
      </c>
      <c r="CP40">
        <v>0</v>
      </c>
      <c r="CQ40">
        <v>370.7</v>
      </c>
      <c r="CR40">
        <v>141.1</v>
      </c>
      <c r="CS40">
        <v>0</v>
      </c>
      <c r="CT40">
        <v>840.8</v>
      </c>
      <c r="CU40">
        <v>0</v>
      </c>
      <c r="CV40">
        <v>0</v>
      </c>
      <c r="CW40">
        <v>99.7</v>
      </c>
      <c r="CX40">
        <v>1982</v>
      </c>
      <c r="CY40">
        <v>0</v>
      </c>
      <c r="CZ40">
        <v>1968.8</v>
      </c>
      <c r="DA40">
        <v>0</v>
      </c>
      <c r="DB40">
        <v>304.89999999999998</v>
      </c>
      <c r="DC40">
        <v>1197.0999999999999</v>
      </c>
      <c r="DD40">
        <v>333.7</v>
      </c>
      <c r="DE40">
        <v>0</v>
      </c>
      <c r="DF40">
        <v>0</v>
      </c>
      <c r="DG40">
        <v>4357.1000000000004</v>
      </c>
      <c r="DH40">
        <v>0</v>
      </c>
      <c r="DI40">
        <v>862.4</v>
      </c>
      <c r="DJ40">
        <v>1482.5</v>
      </c>
      <c r="DK40">
        <v>0</v>
      </c>
      <c r="DL40">
        <v>0</v>
      </c>
      <c r="DM40">
        <v>0</v>
      </c>
    </row>
    <row r="41" spans="1:117" x14ac:dyDescent="0.3">
      <c r="A41" t="s">
        <v>158</v>
      </c>
      <c r="B41">
        <v>2028</v>
      </c>
      <c r="C41">
        <v>34084108</v>
      </c>
      <c r="D41">
        <v>717000</v>
      </c>
      <c r="E41">
        <v>0</v>
      </c>
      <c r="F41">
        <v>401149.2</v>
      </c>
      <c r="G41">
        <v>35202258.100000001</v>
      </c>
      <c r="H41">
        <v>32858973.5</v>
      </c>
      <c r="I41">
        <v>22602533.800000001</v>
      </c>
      <c r="J41">
        <v>35086372</v>
      </c>
      <c r="K41">
        <v>35008340</v>
      </c>
      <c r="L41">
        <v>3.5900000000000001E-2</v>
      </c>
      <c r="M41">
        <v>5.3900000000000003E-2</v>
      </c>
      <c r="N41">
        <v>0.183</v>
      </c>
      <c r="O41">
        <v>61570.42</v>
      </c>
      <c r="P41">
        <v>8402.9</v>
      </c>
      <c r="Q41">
        <v>0.7</v>
      </c>
      <c r="R41">
        <v>0.81</v>
      </c>
      <c r="S41">
        <v>137.69999999999999</v>
      </c>
      <c r="T41">
        <v>5.9</v>
      </c>
      <c r="U41">
        <v>0.78</v>
      </c>
      <c r="V41">
        <v>16.399999999999999</v>
      </c>
      <c r="W41">
        <v>617.9</v>
      </c>
      <c r="X41">
        <v>0.12</v>
      </c>
      <c r="Y41">
        <v>138.1</v>
      </c>
      <c r="Z41">
        <v>34.799999999999997</v>
      </c>
      <c r="AA41">
        <v>172.9</v>
      </c>
      <c r="AB41">
        <v>109</v>
      </c>
      <c r="AC41">
        <v>7</v>
      </c>
      <c r="AD41">
        <v>0.97</v>
      </c>
      <c r="AE41">
        <v>11.4</v>
      </c>
      <c r="AF41">
        <v>418.1</v>
      </c>
      <c r="AG41">
        <v>0.11</v>
      </c>
      <c r="AH41">
        <v>109.5</v>
      </c>
      <c r="AI41">
        <v>23.9</v>
      </c>
      <c r="AJ41">
        <v>133.4</v>
      </c>
      <c r="AK41">
        <v>177.3</v>
      </c>
      <c r="AL41">
        <v>4.7</v>
      </c>
      <c r="AM41">
        <v>0.54</v>
      </c>
      <c r="AN41">
        <v>20</v>
      </c>
      <c r="AO41">
        <v>882.2</v>
      </c>
      <c r="AP41">
        <v>0.08</v>
      </c>
      <c r="AQ41">
        <v>177.6</v>
      </c>
      <c r="AR41">
        <v>46.3</v>
      </c>
      <c r="AS41">
        <v>223.9</v>
      </c>
      <c r="AT41">
        <v>582.5</v>
      </c>
      <c r="AU41">
        <v>45.7</v>
      </c>
      <c r="AV41">
        <v>6.54</v>
      </c>
      <c r="AW41">
        <v>39.5</v>
      </c>
      <c r="AX41">
        <v>1874.5</v>
      </c>
      <c r="AY41">
        <v>0.35</v>
      </c>
      <c r="AZ41">
        <v>585.70000000000005</v>
      </c>
      <c r="BA41">
        <v>95.4</v>
      </c>
      <c r="BB41">
        <v>681.1</v>
      </c>
      <c r="BC41">
        <v>4785732</v>
      </c>
      <c r="BD41">
        <v>205.9</v>
      </c>
      <c r="BE41">
        <v>27</v>
      </c>
      <c r="BF41">
        <v>570659.6</v>
      </c>
      <c r="BG41">
        <v>21500.5</v>
      </c>
      <c r="BH41">
        <v>4.2</v>
      </c>
      <c r="BI41">
        <v>4799232.2</v>
      </c>
      <c r="BJ41">
        <v>1212514.8</v>
      </c>
      <c r="BK41">
        <v>6011747</v>
      </c>
      <c r="BL41">
        <v>0</v>
      </c>
      <c r="BM41">
        <v>21.61</v>
      </c>
      <c r="BN41">
        <v>12.93</v>
      </c>
      <c r="BO41">
        <v>0</v>
      </c>
      <c r="BP41">
        <v>34.53</v>
      </c>
      <c r="BQ41">
        <v>23.14</v>
      </c>
      <c r="BR41">
        <v>14.32</v>
      </c>
      <c r="BS41">
        <v>0</v>
      </c>
      <c r="BT41">
        <v>37.46</v>
      </c>
      <c r="BU41">
        <v>35131720</v>
      </c>
      <c r="BV41">
        <v>12599724</v>
      </c>
      <c r="BW41">
        <v>619534</v>
      </c>
      <c r="BX41">
        <v>898749.4</v>
      </c>
      <c r="BY41">
        <v>0</v>
      </c>
      <c r="BZ41">
        <v>0</v>
      </c>
      <c r="CA41">
        <v>1197605.3999999999</v>
      </c>
      <c r="CB41">
        <v>0</v>
      </c>
      <c r="CC41">
        <v>0</v>
      </c>
      <c r="CD41">
        <v>239940.4</v>
      </c>
      <c r="CE41">
        <v>9007560</v>
      </c>
      <c r="CF41">
        <v>0</v>
      </c>
      <c r="CG41">
        <v>214693</v>
      </c>
      <c r="CH41">
        <v>0</v>
      </c>
      <c r="CI41">
        <v>1391404.8</v>
      </c>
      <c r="CJ41">
        <v>9155939</v>
      </c>
      <c r="CK41">
        <v>46509.4</v>
      </c>
      <c r="CL41">
        <v>0</v>
      </c>
      <c r="CM41">
        <v>0</v>
      </c>
      <c r="CN41">
        <v>9315904</v>
      </c>
      <c r="CO41">
        <v>3043879.8</v>
      </c>
      <c r="CP41">
        <v>0</v>
      </c>
      <c r="CQ41">
        <v>413.9</v>
      </c>
      <c r="CR41">
        <v>141.1</v>
      </c>
      <c r="CS41">
        <v>0</v>
      </c>
      <c r="CT41">
        <v>840.8</v>
      </c>
      <c r="CU41">
        <v>0</v>
      </c>
      <c r="CV41">
        <v>0</v>
      </c>
      <c r="CW41">
        <v>175.4</v>
      </c>
      <c r="CX41">
        <v>1982</v>
      </c>
      <c r="CY41">
        <v>0</v>
      </c>
      <c r="CZ41">
        <v>1883.4</v>
      </c>
      <c r="DA41">
        <v>0</v>
      </c>
      <c r="DB41">
        <v>304.89999999999998</v>
      </c>
      <c r="DC41">
        <v>1197.0999999999999</v>
      </c>
      <c r="DD41">
        <v>331.3</v>
      </c>
      <c r="DE41">
        <v>0</v>
      </c>
      <c r="DF41">
        <v>0</v>
      </c>
      <c r="DG41">
        <v>4451.6000000000004</v>
      </c>
      <c r="DH41">
        <v>0</v>
      </c>
      <c r="DI41">
        <v>937.9</v>
      </c>
      <c r="DJ41">
        <v>1636.5</v>
      </c>
      <c r="DK41">
        <v>0</v>
      </c>
      <c r="DL41">
        <v>0</v>
      </c>
      <c r="DM41">
        <v>0</v>
      </c>
    </row>
    <row r="42" spans="1:117" x14ac:dyDescent="0.3">
      <c r="A42" t="s">
        <v>158</v>
      </c>
      <c r="B42">
        <v>2030</v>
      </c>
      <c r="C42">
        <v>34929504</v>
      </c>
      <c r="D42">
        <v>797697.8</v>
      </c>
      <c r="E42">
        <v>0</v>
      </c>
      <c r="F42">
        <v>395746.7</v>
      </c>
      <c r="G42">
        <v>36122947.899999999</v>
      </c>
      <c r="H42">
        <v>33673983.5</v>
      </c>
      <c r="I42">
        <v>22048151.699999999</v>
      </c>
      <c r="J42">
        <v>35622850</v>
      </c>
      <c r="K42">
        <v>32316676</v>
      </c>
      <c r="L42">
        <v>3.5900000000000001E-2</v>
      </c>
      <c r="M42">
        <v>5.3900000000000003E-2</v>
      </c>
      <c r="N42">
        <v>0.183</v>
      </c>
      <c r="O42">
        <v>70621.460000000006</v>
      </c>
      <c r="P42">
        <v>8696.2000000000007</v>
      </c>
      <c r="Q42">
        <v>0.77</v>
      </c>
      <c r="R42">
        <v>0.86</v>
      </c>
      <c r="S42">
        <v>107.4</v>
      </c>
      <c r="T42">
        <v>4.8</v>
      </c>
      <c r="U42">
        <v>0.62</v>
      </c>
      <c r="V42">
        <v>12.9</v>
      </c>
      <c r="W42">
        <v>481.3</v>
      </c>
      <c r="X42">
        <v>0.1</v>
      </c>
      <c r="Y42">
        <v>107.7</v>
      </c>
      <c r="Z42">
        <v>27.3</v>
      </c>
      <c r="AA42">
        <v>135</v>
      </c>
      <c r="AB42">
        <v>79.599999999999994</v>
      </c>
      <c r="AC42">
        <v>5.2</v>
      </c>
      <c r="AD42">
        <v>0.72</v>
      </c>
      <c r="AE42">
        <v>8.5</v>
      </c>
      <c r="AF42">
        <v>304.8</v>
      </c>
      <c r="AG42">
        <v>0.09</v>
      </c>
      <c r="AH42">
        <v>79.900000000000006</v>
      </c>
      <c r="AI42">
        <v>17.600000000000001</v>
      </c>
      <c r="AJ42">
        <v>97.5</v>
      </c>
      <c r="AK42">
        <v>171.6</v>
      </c>
      <c r="AL42">
        <v>6.3</v>
      </c>
      <c r="AM42">
        <v>0.8</v>
      </c>
      <c r="AN42">
        <v>17.8</v>
      </c>
      <c r="AO42">
        <v>798.2</v>
      </c>
      <c r="AP42">
        <v>0.08</v>
      </c>
      <c r="AQ42">
        <v>172</v>
      </c>
      <c r="AR42">
        <v>41.6</v>
      </c>
      <c r="AS42">
        <v>213.6</v>
      </c>
      <c r="AT42">
        <v>487.5</v>
      </c>
      <c r="AU42">
        <v>37.700000000000003</v>
      </c>
      <c r="AV42">
        <v>5.36</v>
      </c>
      <c r="AW42">
        <v>33.299999999999997</v>
      </c>
      <c r="AX42">
        <v>1610.8</v>
      </c>
      <c r="AY42">
        <v>0.28000000000000003</v>
      </c>
      <c r="AZ42">
        <v>490.1</v>
      </c>
      <c r="BA42">
        <v>81.400000000000006</v>
      </c>
      <c r="BB42">
        <v>571.4</v>
      </c>
      <c r="BC42">
        <v>3475135.2</v>
      </c>
      <c r="BD42">
        <v>153.4</v>
      </c>
      <c r="BE42">
        <v>20.100000000000001</v>
      </c>
      <c r="BF42">
        <v>418567.8</v>
      </c>
      <c r="BG42">
        <v>15592</v>
      </c>
      <c r="BH42">
        <v>3.4</v>
      </c>
      <c r="BI42">
        <v>3485197.3</v>
      </c>
      <c r="BJ42">
        <v>884126</v>
      </c>
      <c r="BK42">
        <v>4369323.4000000004</v>
      </c>
      <c r="BL42">
        <v>0</v>
      </c>
      <c r="BM42">
        <v>18.53</v>
      </c>
      <c r="BN42">
        <v>14.12</v>
      </c>
      <c r="BO42">
        <v>0</v>
      </c>
      <c r="BP42">
        <v>32.65</v>
      </c>
      <c r="BQ42">
        <v>19.87</v>
      </c>
      <c r="BR42">
        <v>15.63</v>
      </c>
      <c r="BS42">
        <v>0</v>
      </c>
      <c r="BT42">
        <v>35.5</v>
      </c>
      <c r="BU42">
        <v>32820314</v>
      </c>
      <c r="BV42">
        <v>14074797</v>
      </c>
      <c r="BW42">
        <v>687328.9</v>
      </c>
      <c r="BX42">
        <v>384387.4</v>
      </c>
      <c r="BY42">
        <v>0</v>
      </c>
      <c r="BZ42">
        <v>0</v>
      </c>
      <c r="CA42">
        <v>925301.2</v>
      </c>
      <c r="CB42">
        <v>0</v>
      </c>
      <c r="CC42">
        <v>0</v>
      </c>
      <c r="CD42">
        <v>437118.4</v>
      </c>
      <c r="CE42">
        <v>6609967.5</v>
      </c>
      <c r="CF42">
        <v>0</v>
      </c>
      <c r="CG42">
        <v>102796.9</v>
      </c>
      <c r="CH42">
        <v>0</v>
      </c>
      <c r="CI42">
        <v>1275118.5</v>
      </c>
      <c r="CJ42">
        <v>8760282</v>
      </c>
      <c r="CK42">
        <v>333.3</v>
      </c>
      <c r="CL42">
        <v>0</v>
      </c>
      <c r="CM42">
        <v>0</v>
      </c>
      <c r="CN42">
        <v>9466725</v>
      </c>
      <c r="CO42">
        <v>4170953.2</v>
      </c>
      <c r="CP42">
        <v>0</v>
      </c>
      <c r="CQ42">
        <v>525.4</v>
      </c>
      <c r="CR42">
        <v>79.400000000000006</v>
      </c>
      <c r="CS42">
        <v>0</v>
      </c>
      <c r="CT42">
        <v>840.8</v>
      </c>
      <c r="CU42">
        <v>0</v>
      </c>
      <c r="CV42">
        <v>0</v>
      </c>
      <c r="CW42">
        <v>318.7</v>
      </c>
      <c r="CX42">
        <v>1982</v>
      </c>
      <c r="CY42">
        <v>0</v>
      </c>
      <c r="CZ42">
        <v>1870.5</v>
      </c>
      <c r="DA42">
        <v>0</v>
      </c>
      <c r="DB42">
        <v>304.89999999999998</v>
      </c>
      <c r="DC42">
        <v>1197.0999999999999</v>
      </c>
      <c r="DD42">
        <v>123.8</v>
      </c>
      <c r="DE42">
        <v>0</v>
      </c>
      <c r="DF42">
        <v>0</v>
      </c>
      <c r="DG42">
        <v>4575.1000000000004</v>
      </c>
      <c r="DH42">
        <v>0</v>
      </c>
      <c r="DI42">
        <v>1223.3</v>
      </c>
      <c r="DJ42">
        <v>1929.1</v>
      </c>
      <c r="DK42">
        <v>0</v>
      </c>
      <c r="DL42">
        <v>0</v>
      </c>
      <c r="DM42">
        <v>0</v>
      </c>
    </row>
    <row r="43" spans="1:117" x14ac:dyDescent="0.3">
      <c r="A43" t="s">
        <v>158</v>
      </c>
      <c r="B43">
        <v>2035</v>
      </c>
      <c r="C43">
        <v>37165824</v>
      </c>
      <c r="D43">
        <v>1449543.1</v>
      </c>
      <c r="E43">
        <v>0</v>
      </c>
      <c r="F43">
        <v>362718.4</v>
      </c>
      <c r="G43">
        <v>38978086.899999999</v>
      </c>
      <c r="H43">
        <v>35829931.600000001</v>
      </c>
      <c r="I43">
        <v>19950481.100000001</v>
      </c>
      <c r="J43">
        <v>32033946</v>
      </c>
      <c r="K43">
        <v>30443212</v>
      </c>
      <c r="L43">
        <v>3.5900000000000001E-2</v>
      </c>
      <c r="M43">
        <v>5.3900000000000003E-2</v>
      </c>
      <c r="N43">
        <v>0.183</v>
      </c>
      <c r="O43">
        <v>90647.33</v>
      </c>
      <c r="P43">
        <v>9497.9</v>
      </c>
      <c r="Q43">
        <v>0.81</v>
      </c>
      <c r="R43">
        <v>0.88</v>
      </c>
      <c r="S43">
        <v>83.4</v>
      </c>
      <c r="T43">
        <v>3.5</v>
      </c>
      <c r="U43">
        <v>0.46</v>
      </c>
      <c r="V43">
        <v>10.4</v>
      </c>
      <c r="W43">
        <v>380.1</v>
      </c>
      <c r="X43">
        <v>0.08</v>
      </c>
      <c r="Y43">
        <v>83.6</v>
      </c>
      <c r="Z43">
        <v>21.8</v>
      </c>
      <c r="AA43">
        <v>105.4</v>
      </c>
      <c r="AB43">
        <v>65.8</v>
      </c>
      <c r="AC43">
        <v>3.8</v>
      </c>
      <c r="AD43">
        <v>0.52</v>
      </c>
      <c r="AE43">
        <v>7.8</v>
      </c>
      <c r="AF43">
        <v>268.8</v>
      </c>
      <c r="AG43">
        <v>0.08</v>
      </c>
      <c r="AH43">
        <v>66.099999999999994</v>
      </c>
      <c r="AI43">
        <v>15.8</v>
      </c>
      <c r="AJ43">
        <v>81.900000000000006</v>
      </c>
      <c r="AK43">
        <v>188.1</v>
      </c>
      <c r="AL43">
        <v>9.1999999999999993</v>
      </c>
      <c r="AM43">
        <v>1.24</v>
      </c>
      <c r="AN43">
        <v>17.3</v>
      </c>
      <c r="AO43">
        <v>800.6</v>
      </c>
      <c r="AP43">
        <v>0.09</v>
      </c>
      <c r="AQ43">
        <v>188.7</v>
      </c>
      <c r="AR43">
        <v>41.2</v>
      </c>
      <c r="AS43">
        <v>229.9</v>
      </c>
      <c r="AT43">
        <v>449.1</v>
      </c>
      <c r="AU43">
        <v>34.4</v>
      </c>
      <c r="AV43">
        <v>4.8899999999999997</v>
      </c>
      <c r="AW43">
        <v>31</v>
      </c>
      <c r="AX43">
        <v>1490.7</v>
      </c>
      <c r="AY43">
        <v>0.26</v>
      </c>
      <c r="AZ43">
        <v>451.5</v>
      </c>
      <c r="BA43">
        <v>75.5</v>
      </c>
      <c r="BB43">
        <v>526.9</v>
      </c>
      <c r="BC43">
        <v>3068804.2</v>
      </c>
      <c r="BD43">
        <v>128.5</v>
      </c>
      <c r="BE43">
        <v>16.7</v>
      </c>
      <c r="BF43">
        <v>384442.8</v>
      </c>
      <c r="BG43">
        <v>14008.7</v>
      </c>
      <c r="BH43">
        <v>3.1</v>
      </c>
      <c r="BI43">
        <v>3077191.9</v>
      </c>
      <c r="BJ43">
        <v>802758.7</v>
      </c>
      <c r="BK43">
        <v>3879950.5</v>
      </c>
      <c r="BL43">
        <v>0</v>
      </c>
      <c r="BM43">
        <v>16.62</v>
      </c>
      <c r="BN43">
        <v>17.829999999999998</v>
      </c>
      <c r="BO43">
        <v>0</v>
      </c>
      <c r="BP43">
        <v>34.450000000000003</v>
      </c>
      <c r="BQ43">
        <v>17.96</v>
      </c>
      <c r="BR43">
        <v>20.05</v>
      </c>
      <c r="BS43">
        <v>0</v>
      </c>
      <c r="BT43">
        <v>38.01</v>
      </c>
      <c r="BU43">
        <v>37387856</v>
      </c>
      <c r="BV43">
        <v>19027606</v>
      </c>
      <c r="BW43">
        <v>1223773.2</v>
      </c>
      <c r="BX43">
        <v>362120.3</v>
      </c>
      <c r="BY43">
        <v>0</v>
      </c>
      <c r="BZ43">
        <v>0</v>
      </c>
      <c r="CA43">
        <v>757514.8</v>
      </c>
      <c r="CB43">
        <v>0</v>
      </c>
      <c r="CC43">
        <v>0</v>
      </c>
      <c r="CD43">
        <v>964628.1</v>
      </c>
      <c r="CE43">
        <v>6057795.5</v>
      </c>
      <c r="CF43">
        <v>0</v>
      </c>
      <c r="CG43">
        <v>115176.1</v>
      </c>
      <c r="CH43">
        <v>0</v>
      </c>
      <c r="CI43">
        <v>1211749.6000000001</v>
      </c>
      <c r="CJ43">
        <v>8631984</v>
      </c>
      <c r="CK43">
        <v>138</v>
      </c>
      <c r="CL43">
        <v>0</v>
      </c>
      <c r="CM43">
        <v>0</v>
      </c>
      <c r="CN43">
        <v>12660536</v>
      </c>
      <c r="CO43">
        <v>5402442</v>
      </c>
      <c r="CP43">
        <v>0</v>
      </c>
      <c r="CQ43">
        <v>990.5</v>
      </c>
      <c r="CR43">
        <v>79.400000000000006</v>
      </c>
      <c r="CS43">
        <v>0</v>
      </c>
      <c r="CT43">
        <v>840.8</v>
      </c>
      <c r="CU43">
        <v>0</v>
      </c>
      <c r="CV43">
        <v>0</v>
      </c>
      <c r="CW43">
        <v>707</v>
      </c>
      <c r="CX43">
        <v>1982</v>
      </c>
      <c r="CY43">
        <v>0</v>
      </c>
      <c r="CZ43">
        <v>2233.3000000000002</v>
      </c>
      <c r="DA43">
        <v>0</v>
      </c>
      <c r="DB43">
        <v>304.89999999999998</v>
      </c>
      <c r="DC43">
        <v>1197.0999999999999</v>
      </c>
      <c r="DD43">
        <v>123.8</v>
      </c>
      <c r="DE43">
        <v>0</v>
      </c>
      <c r="DF43">
        <v>0</v>
      </c>
      <c r="DG43">
        <v>6094.1</v>
      </c>
      <c r="DH43">
        <v>0</v>
      </c>
      <c r="DI43">
        <v>1568.2</v>
      </c>
      <c r="DJ43">
        <v>3785.4</v>
      </c>
      <c r="DK43">
        <v>0</v>
      </c>
      <c r="DL43">
        <v>0</v>
      </c>
      <c r="DM43">
        <v>0</v>
      </c>
    </row>
    <row r="44" spans="1:117" x14ac:dyDescent="0.3">
      <c r="A44" t="s">
        <v>158</v>
      </c>
      <c r="B44">
        <v>2040</v>
      </c>
      <c r="C44">
        <v>39722108</v>
      </c>
      <c r="D44">
        <v>2322410</v>
      </c>
      <c r="E44">
        <v>0</v>
      </c>
      <c r="F44">
        <v>384006.2</v>
      </c>
      <c r="G44">
        <v>42428523.399999999</v>
      </c>
      <c r="H44">
        <v>38294334.299999997</v>
      </c>
      <c r="I44">
        <v>14854798.699999999</v>
      </c>
      <c r="J44">
        <v>31197444</v>
      </c>
      <c r="K44">
        <v>34785284</v>
      </c>
      <c r="L44">
        <v>3.5900000000000001E-2</v>
      </c>
      <c r="M44">
        <v>5.3900000000000003E-2</v>
      </c>
      <c r="N44">
        <v>0.183</v>
      </c>
      <c r="O44">
        <v>88295.57</v>
      </c>
      <c r="P44">
        <v>10356.200000000001</v>
      </c>
      <c r="Q44">
        <v>0.86</v>
      </c>
      <c r="R44">
        <v>0.9</v>
      </c>
      <c r="S44">
        <v>61.9</v>
      </c>
      <c r="T44">
        <v>2.2000000000000002</v>
      </c>
      <c r="U44">
        <v>0.28000000000000003</v>
      </c>
      <c r="V44">
        <v>8.1999999999999993</v>
      </c>
      <c r="W44">
        <v>294.39999999999998</v>
      </c>
      <c r="X44">
        <v>7.0000000000000007E-2</v>
      </c>
      <c r="Y44">
        <v>62</v>
      </c>
      <c r="Z44">
        <v>17</v>
      </c>
      <c r="AA44">
        <v>79</v>
      </c>
      <c r="AB44">
        <v>50.3</v>
      </c>
      <c r="AC44">
        <v>2.5</v>
      </c>
      <c r="AD44">
        <v>0.33</v>
      </c>
      <c r="AE44">
        <v>6.6</v>
      </c>
      <c r="AF44">
        <v>220</v>
      </c>
      <c r="AG44">
        <v>0.06</v>
      </c>
      <c r="AH44">
        <v>50.5</v>
      </c>
      <c r="AI44">
        <v>13.2</v>
      </c>
      <c r="AJ44">
        <v>63.7</v>
      </c>
      <c r="AK44">
        <v>195.1</v>
      </c>
      <c r="AL44">
        <v>10.5</v>
      </c>
      <c r="AM44">
        <v>1.43</v>
      </c>
      <c r="AN44">
        <v>17.2</v>
      </c>
      <c r="AO44">
        <v>802</v>
      </c>
      <c r="AP44">
        <v>0.1</v>
      </c>
      <c r="AQ44">
        <v>195.8</v>
      </c>
      <c r="AR44">
        <v>41.2</v>
      </c>
      <c r="AS44">
        <v>237</v>
      </c>
      <c r="AT44">
        <v>382.9</v>
      </c>
      <c r="AU44">
        <v>26.5</v>
      </c>
      <c r="AV44">
        <v>3.73</v>
      </c>
      <c r="AW44">
        <v>29.1</v>
      </c>
      <c r="AX44">
        <v>1366.7</v>
      </c>
      <c r="AY44">
        <v>0.22</v>
      </c>
      <c r="AZ44">
        <v>384.7</v>
      </c>
      <c r="BA44">
        <v>69.8</v>
      </c>
      <c r="BB44">
        <v>454.5</v>
      </c>
      <c r="BC44">
        <v>2797867.1</v>
      </c>
      <c r="BD44">
        <v>99.6</v>
      </c>
      <c r="BE44">
        <v>12.5</v>
      </c>
      <c r="BF44">
        <v>371445.1</v>
      </c>
      <c r="BG44">
        <v>13340.6</v>
      </c>
      <c r="BH44">
        <v>3</v>
      </c>
      <c r="BI44">
        <v>2804249.9</v>
      </c>
      <c r="BJ44">
        <v>769805.8</v>
      </c>
      <c r="BK44">
        <v>3574055.7</v>
      </c>
      <c r="BL44">
        <v>0</v>
      </c>
      <c r="BM44">
        <v>14.43</v>
      </c>
      <c r="BN44">
        <v>17.190000000000001</v>
      </c>
      <c r="BO44">
        <v>0</v>
      </c>
      <c r="BP44">
        <v>31.62</v>
      </c>
      <c r="BQ44">
        <v>15.74</v>
      </c>
      <c r="BR44">
        <v>19.68</v>
      </c>
      <c r="BS44">
        <v>0</v>
      </c>
      <c r="BT44">
        <v>35.42</v>
      </c>
      <c r="BU44">
        <v>46022852</v>
      </c>
      <c r="BV44">
        <v>27573724</v>
      </c>
      <c r="BW44">
        <v>1978941.8</v>
      </c>
      <c r="BX44">
        <v>332045.5</v>
      </c>
      <c r="BY44">
        <v>0</v>
      </c>
      <c r="BZ44">
        <v>0</v>
      </c>
      <c r="CA44">
        <v>512263.4</v>
      </c>
      <c r="CB44">
        <v>0</v>
      </c>
      <c r="CC44">
        <v>0</v>
      </c>
      <c r="CD44">
        <v>992781.4</v>
      </c>
      <c r="CE44">
        <v>5911050.5</v>
      </c>
      <c r="CF44">
        <v>0</v>
      </c>
      <c r="CG44">
        <v>119420.5</v>
      </c>
      <c r="CH44">
        <v>0</v>
      </c>
      <c r="CI44">
        <v>1141939.8999999999</v>
      </c>
      <c r="CJ44">
        <v>8453271</v>
      </c>
      <c r="CK44">
        <v>195.5</v>
      </c>
      <c r="CL44">
        <v>0</v>
      </c>
      <c r="CM44">
        <v>0</v>
      </c>
      <c r="CN44">
        <v>17125132</v>
      </c>
      <c r="CO44">
        <v>9455811</v>
      </c>
      <c r="CP44">
        <v>0</v>
      </c>
      <c r="CQ44">
        <v>1776.6</v>
      </c>
      <c r="CR44">
        <v>79.400000000000006</v>
      </c>
      <c r="CS44">
        <v>0</v>
      </c>
      <c r="CT44">
        <v>840.8</v>
      </c>
      <c r="CU44">
        <v>0</v>
      </c>
      <c r="CV44">
        <v>0</v>
      </c>
      <c r="CW44">
        <v>762.9</v>
      </c>
      <c r="CX44">
        <v>1982</v>
      </c>
      <c r="CY44">
        <v>0</v>
      </c>
      <c r="CZ44">
        <v>2233.3000000000002</v>
      </c>
      <c r="DA44">
        <v>0</v>
      </c>
      <c r="DB44">
        <v>304.89999999999998</v>
      </c>
      <c r="DC44">
        <v>1197.0999999999999</v>
      </c>
      <c r="DD44">
        <v>123.8</v>
      </c>
      <c r="DE44">
        <v>0</v>
      </c>
      <c r="DF44">
        <v>0</v>
      </c>
      <c r="DG44">
        <v>8269.9</v>
      </c>
      <c r="DH44">
        <v>0</v>
      </c>
      <c r="DI44">
        <v>2446.1999999999998</v>
      </c>
      <c r="DJ44">
        <v>5652.3</v>
      </c>
      <c r="DK44">
        <v>0</v>
      </c>
      <c r="DL44">
        <v>0</v>
      </c>
      <c r="DM44">
        <v>0</v>
      </c>
    </row>
    <row r="45" spans="1:117" x14ac:dyDescent="0.3">
      <c r="A45" t="s">
        <v>158</v>
      </c>
      <c r="B45">
        <v>2045</v>
      </c>
      <c r="C45">
        <v>41960764</v>
      </c>
      <c r="D45">
        <v>2002214.8</v>
      </c>
      <c r="E45">
        <v>0</v>
      </c>
      <c r="F45">
        <v>385634</v>
      </c>
      <c r="G45">
        <v>44348612.799999997</v>
      </c>
      <c r="H45">
        <v>40452512.700000003</v>
      </c>
      <c r="I45">
        <v>14942109.199999999</v>
      </c>
      <c r="J45">
        <v>30426150</v>
      </c>
      <c r="K45">
        <v>35731856</v>
      </c>
      <c r="L45">
        <v>3.5900000000000001E-2</v>
      </c>
      <c r="M45">
        <v>5.3900000000000003E-2</v>
      </c>
      <c r="N45">
        <v>0.183</v>
      </c>
      <c r="O45">
        <v>87316.17</v>
      </c>
      <c r="P45">
        <v>11051.4</v>
      </c>
      <c r="Q45">
        <v>0.82</v>
      </c>
      <c r="R45">
        <v>0.88</v>
      </c>
      <c r="S45">
        <v>81.099999999999994</v>
      </c>
      <c r="T45">
        <v>2.8</v>
      </c>
      <c r="U45">
        <v>0.35</v>
      </c>
      <c r="V45">
        <v>10.1</v>
      </c>
      <c r="W45">
        <v>387.9</v>
      </c>
      <c r="X45">
        <v>7.0000000000000007E-2</v>
      </c>
      <c r="Y45">
        <v>81.3</v>
      </c>
      <c r="Z45">
        <v>21.7</v>
      </c>
      <c r="AA45">
        <v>103</v>
      </c>
      <c r="AB45">
        <v>62.6</v>
      </c>
      <c r="AC45">
        <v>2.8</v>
      </c>
      <c r="AD45">
        <v>0.37</v>
      </c>
      <c r="AE45">
        <v>7.7</v>
      </c>
      <c r="AF45">
        <v>279.5</v>
      </c>
      <c r="AG45">
        <v>0.06</v>
      </c>
      <c r="AH45">
        <v>62.8</v>
      </c>
      <c r="AI45">
        <v>16</v>
      </c>
      <c r="AJ45">
        <v>78.900000000000006</v>
      </c>
      <c r="AK45">
        <v>213.8</v>
      </c>
      <c r="AL45">
        <v>10.1</v>
      </c>
      <c r="AM45">
        <v>1.33</v>
      </c>
      <c r="AN45">
        <v>20.3</v>
      </c>
      <c r="AO45">
        <v>926.7</v>
      </c>
      <c r="AP45">
        <v>0.11</v>
      </c>
      <c r="AQ45">
        <v>214.4</v>
      </c>
      <c r="AR45">
        <v>48</v>
      </c>
      <c r="AS45">
        <v>262.39999999999998</v>
      </c>
      <c r="AT45">
        <v>369.8</v>
      </c>
      <c r="AU45">
        <v>24</v>
      </c>
      <c r="AV45">
        <v>3.35</v>
      </c>
      <c r="AW45">
        <v>29.6</v>
      </c>
      <c r="AX45">
        <v>1372.5</v>
      </c>
      <c r="AY45">
        <v>0.2</v>
      </c>
      <c r="AZ45">
        <v>371.4</v>
      </c>
      <c r="BA45">
        <v>70.5</v>
      </c>
      <c r="BB45">
        <v>441.9</v>
      </c>
      <c r="BC45">
        <v>3911977.2</v>
      </c>
      <c r="BD45">
        <v>135</v>
      </c>
      <c r="BE45">
        <v>16.8</v>
      </c>
      <c r="BF45">
        <v>489581.4</v>
      </c>
      <c r="BG45">
        <v>18709.2</v>
      </c>
      <c r="BH45">
        <v>3.5</v>
      </c>
      <c r="BI45">
        <v>3920596.4</v>
      </c>
      <c r="BJ45">
        <v>1048056.8</v>
      </c>
      <c r="BK45">
        <v>4968653.2</v>
      </c>
      <c r="BL45">
        <v>0</v>
      </c>
      <c r="BM45">
        <v>14.22</v>
      </c>
      <c r="BN45">
        <v>17.329999999999998</v>
      </c>
      <c r="BO45">
        <v>0</v>
      </c>
      <c r="BP45">
        <v>31.55</v>
      </c>
      <c r="BQ45">
        <v>15.44</v>
      </c>
      <c r="BR45">
        <v>19.61</v>
      </c>
      <c r="BS45">
        <v>0</v>
      </c>
      <c r="BT45">
        <v>35.049999999999997</v>
      </c>
      <c r="BU45">
        <v>49778950</v>
      </c>
      <c r="BV45">
        <v>29406502</v>
      </c>
      <c r="BW45">
        <v>1705365.2</v>
      </c>
      <c r="BX45">
        <v>324652.79999999999</v>
      </c>
      <c r="BY45">
        <v>0</v>
      </c>
      <c r="BZ45">
        <v>0</v>
      </c>
      <c r="CA45">
        <v>667454</v>
      </c>
      <c r="CB45">
        <v>0</v>
      </c>
      <c r="CC45">
        <v>0</v>
      </c>
      <c r="CD45">
        <v>1013970.6</v>
      </c>
      <c r="CE45">
        <v>6912091</v>
      </c>
      <c r="CF45">
        <v>0</v>
      </c>
      <c r="CG45">
        <v>1238245.2</v>
      </c>
      <c r="CH45">
        <v>0</v>
      </c>
      <c r="CI45">
        <v>1112389.6000000001</v>
      </c>
      <c r="CJ45">
        <v>8412177</v>
      </c>
      <c r="CK45">
        <v>74.400000000000006</v>
      </c>
      <c r="CL45">
        <v>0</v>
      </c>
      <c r="CM45">
        <v>0</v>
      </c>
      <c r="CN45">
        <v>16900218</v>
      </c>
      <c r="CO45">
        <v>11492315</v>
      </c>
      <c r="CP45">
        <v>0</v>
      </c>
      <c r="CQ45">
        <v>1512.4</v>
      </c>
      <c r="CR45">
        <v>79.400000000000006</v>
      </c>
      <c r="CS45">
        <v>0</v>
      </c>
      <c r="CT45">
        <v>840.8</v>
      </c>
      <c r="CU45">
        <v>0</v>
      </c>
      <c r="CV45">
        <v>0</v>
      </c>
      <c r="CW45">
        <v>812.1</v>
      </c>
      <c r="CX45">
        <v>1982</v>
      </c>
      <c r="CY45">
        <v>0</v>
      </c>
      <c r="CZ45">
        <v>6502</v>
      </c>
      <c r="DA45">
        <v>0</v>
      </c>
      <c r="DB45">
        <v>304.89999999999998</v>
      </c>
      <c r="DC45">
        <v>1197.0999999999999</v>
      </c>
      <c r="DD45">
        <v>123.8</v>
      </c>
      <c r="DE45">
        <v>0</v>
      </c>
      <c r="DF45">
        <v>0</v>
      </c>
      <c r="DG45">
        <v>8455.2000000000007</v>
      </c>
      <c r="DH45">
        <v>0</v>
      </c>
      <c r="DI45">
        <v>2959.4</v>
      </c>
      <c r="DJ45">
        <v>4789.8999999999996</v>
      </c>
      <c r="DK45">
        <v>0</v>
      </c>
      <c r="DL45">
        <v>0</v>
      </c>
      <c r="DM45">
        <v>0</v>
      </c>
    </row>
    <row r="46" spans="1:117" x14ac:dyDescent="0.3">
      <c r="A46" t="s">
        <v>158</v>
      </c>
      <c r="B46">
        <v>2050</v>
      </c>
      <c r="C46">
        <v>44025284</v>
      </c>
      <c r="D46">
        <v>1691917.6</v>
      </c>
      <c r="E46">
        <v>0</v>
      </c>
      <c r="F46">
        <v>471863.5</v>
      </c>
      <c r="G46">
        <v>46189063.600000001</v>
      </c>
      <c r="H46">
        <v>42442794</v>
      </c>
      <c r="I46">
        <v>12106362.300000001</v>
      </c>
      <c r="J46">
        <v>36248430</v>
      </c>
      <c r="K46">
        <v>42731388</v>
      </c>
      <c r="L46">
        <v>3.5900000000000001E-2</v>
      </c>
      <c r="M46">
        <v>5.3900000000000003E-2</v>
      </c>
      <c r="N46">
        <v>0.183</v>
      </c>
      <c r="O46">
        <v>86031.09</v>
      </c>
      <c r="P46">
        <v>11636.4</v>
      </c>
      <c r="Q46">
        <v>0.78</v>
      </c>
      <c r="R46">
        <v>0.85</v>
      </c>
      <c r="S46">
        <v>109</v>
      </c>
      <c r="T46">
        <v>3.9</v>
      </c>
      <c r="U46">
        <v>0.49</v>
      </c>
      <c r="V46">
        <v>12.1</v>
      </c>
      <c r="W46">
        <v>514.4</v>
      </c>
      <c r="X46">
        <v>7.0000000000000007E-2</v>
      </c>
      <c r="Y46">
        <v>109.2</v>
      </c>
      <c r="Z46">
        <v>27.5</v>
      </c>
      <c r="AA46">
        <v>136.69999999999999</v>
      </c>
      <c r="AB46">
        <v>80.900000000000006</v>
      </c>
      <c r="AC46">
        <v>3.7</v>
      </c>
      <c r="AD46">
        <v>0.49</v>
      </c>
      <c r="AE46">
        <v>8.5</v>
      </c>
      <c r="AF46">
        <v>356.3</v>
      </c>
      <c r="AG46">
        <v>0.05</v>
      </c>
      <c r="AH46">
        <v>81.099999999999994</v>
      </c>
      <c r="AI46">
        <v>19.2</v>
      </c>
      <c r="AJ46">
        <v>100.3</v>
      </c>
      <c r="AK46">
        <v>215.9</v>
      </c>
      <c r="AL46">
        <v>8.9</v>
      </c>
      <c r="AM46">
        <v>1.1499999999999999</v>
      </c>
      <c r="AN46">
        <v>21.8</v>
      </c>
      <c r="AO46">
        <v>977.3</v>
      </c>
      <c r="AP46">
        <v>0.11</v>
      </c>
      <c r="AQ46">
        <v>216.5</v>
      </c>
      <c r="AR46">
        <v>51</v>
      </c>
      <c r="AS46">
        <v>267.5</v>
      </c>
      <c r="AT46">
        <v>366.3</v>
      </c>
      <c r="AU46">
        <v>21.5</v>
      </c>
      <c r="AV46">
        <v>2.96</v>
      </c>
      <c r="AW46">
        <v>31</v>
      </c>
      <c r="AX46">
        <v>1437.9</v>
      </c>
      <c r="AY46">
        <v>0.2</v>
      </c>
      <c r="AZ46">
        <v>367.7</v>
      </c>
      <c r="BA46">
        <v>73.900000000000006</v>
      </c>
      <c r="BB46">
        <v>441.6</v>
      </c>
      <c r="BC46">
        <v>5578227</v>
      </c>
      <c r="BD46">
        <v>199.1</v>
      </c>
      <c r="BE46">
        <v>25</v>
      </c>
      <c r="BF46">
        <v>620465</v>
      </c>
      <c r="BG46">
        <v>26297.8</v>
      </c>
      <c r="BH46">
        <v>3.4</v>
      </c>
      <c r="BI46">
        <v>5590988.2999999998</v>
      </c>
      <c r="BJ46">
        <v>1405059.1</v>
      </c>
      <c r="BK46">
        <v>6996047.4000000004</v>
      </c>
      <c r="BL46">
        <v>0</v>
      </c>
      <c r="BM46">
        <v>14.47</v>
      </c>
      <c r="BN46">
        <v>17.190000000000001</v>
      </c>
      <c r="BO46">
        <v>0</v>
      </c>
      <c r="BP46">
        <v>31.67</v>
      </c>
      <c r="BQ46">
        <v>15.66</v>
      </c>
      <c r="BR46">
        <v>19.28</v>
      </c>
      <c r="BS46">
        <v>0</v>
      </c>
      <c r="BT46">
        <v>34.94</v>
      </c>
      <c r="BU46">
        <v>52860496</v>
      </c>
      <c r="BV46">
        <v>34082700</v>
      </c>
      <c r="BW46">
        <v>1452327.6</v>
      </c>
      <c r="BX46">
        <v>323399.2</v>
      </c>
      <c r="BY46">
        <v>0</v>
      </c>
      <c r="BZ46">
        <v>0</v>
      </c>
      <c r="CA46">
        <v>1010865.9</v>
      </c>
      <c r="CB46">
        <v>0</v>
      </c>
      <c r="CC46">
        <v>0</v>
      </c>
      <c r="CD46">
        <v>1083197.8</v>
      </c>
      <c r="CE46">
        <v>7441836</v>
      </c>
      <c r="CF46">
        <v>0</v>
      </c>
      <c r="CG46">
        <v>3226922</v>
      </c>
      <c r="CH46">
        <v>0</v>
      </c>
      <c r="CI46">
        <v>1111080.6000000001</v>
      </c>
      <c r="CJ46">
        <v>4211325.5</v>
      </c>
      <c r="CK46">
        <v>37.200000000000003</v>
      </c>
      <c r="CL46">
        <v>0</v>
      </c>
      <c r="CM46">
        <v>0</v>
      </c>
      <c r="CN46">
        <v>16128422</v>
      </c>
      <c r="CO46">
        <v>16871082</v>
      </c>
      <c r="CP46">
        <v>0</v>
      </c>
      <c r="CQ46">
        <v>1293.3</v>
      </c>
      <c r="CR46">
        <v>79.400000000000006</v>
      </c>
      <c r="CS46">
        <v>0</v>
      </c>
      <c r="CT46">
        <v>840.8</v>
      </c>
      <c r="CU46">
        <v>0</v>
      </c>
      <c r="CV46">
        <v>0</v>
      </c>
      <c r="CW46">
        <v>891.3</v>
      </c>
      <c r="CX46">
        <v>1982</v>
      </c>
      <c r="CY46">
        <v>0</v>
      </c>
      <c r="CZ46">
        <v>8376.4</v>
      </c>
      <c r="DA46">
        <v>0</v>
      </c>
      <c r="DB46">
        <v>304.89999999999998</v>
      </c>
      <c r="DC46">
        <v>601.20000000000005</v>
      </c>
      <c r="DD46">
        <v>120.6</v>
      </c>
      <c r="DE46">
        <v>0</v>
      </c>
      <c r="DF46">
        <v>0</v>
      </c>
      <c r="DG46">
        <v>8334.7000000000007</v>
      </c>
      <c r="DH46">
        <v>0</v>
      </c>
      <c r="DI46">
        <v>4448.3999999999996</v>
      </c>
      <c r="DJ46">
        <v>3917.3</v>
      </c>
      <c r="DK46">
        <v>0</v>
      </c>
      <c r="DL46">
        <v>0</v>
      </c>
      <c r="DM46">
        <v>0</v>
      </c>
    </row>
    <row r="47" spans="1:117" x14ac:dyDescent="0.3">
      <c r="A47" t="s">
        <v>159</v>
      </c>
      <c r="B47">
        <v>2024</v>
      </c>
      <c r="C47">
        <v>198114270</v>
      </c>
      <c r="D47">
        <v>16920.099999999999</v>
      </c>
      <c r="E47">
        <v>0</v>
      </c>
      <c r="F47">
        <v>3569848.4</v>
      </c>
      <c r="G47">
        <v>201701047.19999999</v>
      </c>
      <c r="H47">
        <v>190990757.80000001</v>
      </c>
      <c r="I47">
        <v>54098786.5</v>
      </c>
      <c r="J47">
        <v>210276350</v>
      </c>
      <c r="K47">
        <v>277218850</v>
      </c>
      <c r="L47">
        <v>3.5900000000000001E-2</v>
      </c>
      <c r="M47">
        <v>5.3999999999999999E-2</v>
      </c>
      <c r="N47">
        <v>0.17749999999999999</v>
      </c>
      <c r="O47">
        <v>9889.7199999999993</v>
      </c>
      <c r="P47">
        <v>43228.800000000003</v>
      </c>
      <c r="Q47">
        <v>0.72</v>
      </c>
      <c r="R47">
        <v>0.71</v>
      </c>
      <c r="S47">
        <v>259.10000000000002</v>
      </c>
      <c r="T47">
        <v>27.4</v>
      </c>
      <c r="U47">
        <v>3.97</v>
      </c>
      <c r="V47">
        <v>11</v>
      </c>
      <c r="W47">
        <v>641.29999999999995</v>
      </c>
      <c r="X47">
        <v>0.14000000000000001</v>
      </c>
      <c r="Y47">
        <v>261</v>
      </c>
      <c r="Z47">
        <v>30.1</v>
      </c>
      <c r="AA47">
        <v>291.2</v>
      </c>
      <c r="AB47">
        <v>282.60000000000002</v>
      </c>
      <c r="AC47">
        <v>30</v>
      </c>
      <c r="AD47">
        <v>4.34</v>
      </c>
      <c r="AE47">
        <v>12</v>
      </c>
      <c r="AF47">
        <v>697.4</v>
      </c>
      <c r="AG47">
        <v>0.16</v>
      </c>
      <c r="AH47">
        <v>284.7</v>
      </c>
      <c r="AI47">
        <v>32.799999999999997</v>
      </c>
      <c r="AJ47">
        <v>317.5</v>
      </c>
      <c r="AK47">
        <v>247.3</v>
      </c>
      <c r="AL47">
        <v>20.7</v>
      </c>
      <c r="AM47">
        <v>2.96</v>
      </c>
      <c r="AN47">
        <v>14.9</v>
      </c>
      <c r="AO47">
        <v>770.6</v>
      </c>
      <c r="AP47">
        <v>0.13</v>
      </c>
      <c r="AQ47">
        <v>248.7</v>
      </c>
      <c r="AR47">
        <v>37.9</v>
      </c>
      <c r="AS47">
        <v>286.60000000000002</v>
      </c>
      <c r="AT47">
        <v>768.1</v>
      </c>
      <c r="AU47">
        <v>66.8</v>
      </c>
      <c r="AV47">
        <v>9.67</v>
      </c>
      <c r="AW47">
        <v>45.2</v>
      </c>
      <c r="AX47">
        <v>2232.3000000000002</v>
      </c>
      <c r="AY47">
        <v>0.46</v>
      </c>
      <c r="AZ47">
        <v>772.7</v>
      </c>
      <c r="BA47">
        <v>111.9</v>
      </c>
      <c r="BB47">
        <v>884.6</v>
      </c>
      <c r="BC47">
        <v>69063045.299999997</v>
      </c>
      <c r="BD47">
        <v>7306.7</v>
      </c>
      <c r="BE47">
        <v>1057.7</v>
      </c>
      <c r="BF47">
        <v>2931856.2</v>
      </c>
      <c r="BG47">
        <v>170925.3</v>
      </c>
      <c r="BH47">
        <v>38.200000000000003</v>
      </c>
      <c r="BI47">
        <v>69569540</v>
      </c>
      <c r="BJ47">
        <v>8035864</v>
      </c>
      <c r="BK47">
        <v>77605404.099999994</v>
      </c>
      <c r="BL47">
        <v>0</v>
      </c>
      <c r="BM47">
        <v>26.35</v>
      </c>
      <c r="BN47">
        <v>2.02</v>
      </c>
      <c r="BO47">
        <v>0</v>
      </c>
      <c r="BP47">
        <v>28.37</v>
      </c>
      <c r="BQ47">
        <v>27.95</v>
      </c>
      <c r="BR47">
        <v>2.19</v>
      </c>
      <c r="BS47">
        <v>0</v>
      </c>
      <c r="BT47">
        <v>30.15</v>
      </c>
      <c r="BU47">
        <v>268669820</v>
      </c>
      <c r="BV47">
        <v>147602260</v>
      </c>
      <c r="BW47">
        <v>14605.4</v>
      </c>
      <c r="BX47">
        <v>1095240.2</v>
      </c>
      <c r="BY47">
        <v>0</v>
      </c>
      <c r="BZ47">
        <v>14641422</v>
      </c>
      <c r="CA47">
        <v>58913292</v>
      </c>
      <c r="CB47">
        <v>0</v>
      </c>
      <c r="CC47">
        <v>0</v>
      </c>
      <c r="CD47">
        <v>1686599.6</v>
      </c>
      <c r="CE47">
        <v>15284430</v>
      </c>
      <c r="CF47">
        <v>0</v>
      </c>
      <c r="CG47">
        <v>911856.8</v>
      </c>
      <c r="CH47">
        <v>0</v>
      </c>
      <c r="CI47">
        <v>11214647</v>
      </c>
      <c r="CJ47">
        <v>18684632</v>
      </c>
      <c r="CK47">
        <v>307449.59999999998</v>
      </c>
      <c r="CL47">
        <v>0</v>
      </c>
      <c r="CM47">
        <v>0</v>
      </c>
      <c r="CN47">
        <v>14732074</v>
      </c>
      <c r="CO47">
        <v>131183590</v>
      </c>
      <c r="CP47">
        <v>0</v>
      </c>
      <c r="CQ47">
        <v>21.6</v>
      </c>
      <c r="CR47">
        <v>198.1</v>
      </c>
      <c r="CS47">
        <v>0</v>
      </c>
      <c r="CT47">
        <v>15119.2</v>
      </c>
      <c r="CU47">
        <v>0</v>
      </c>
      <c r="CV47">
        <v>0</v>
      </c>
      <c r="CW47">
        <v>1230.5</v>
      </c>
      <c r="CX47">
        <v>4904.7</v>
      </c>
      <c r="CY47">
        <v>0</v>
      </c>
      <c r="CZ47">
        <v>6538.9</v>
      </c>
      <c r="DA47">
        <v>0</v>
      </c>
      <c r="DB47">
        <v>2954.5</v>
      </c>
      <c r="DC47">
        <v>2427</v>
      </c>
      <c r="DD47">
        <v>1891.2</v>
      </c>
      <c r="DE47">
        <v>0</v>
      </c>
      <c r="DF47">
        <v>0</v>
      </c>
      <c r="DG47">
        <v>6605</v>
      </c>
      <c r="DH47">
        <v>0</v>
      </c>
      <c r="DI47">
        <v>35716.300000000003</v>
      </c>
      <c r="DJ47">
        <v>43.3</v>
      </c>
      <c r="DK47">
        <v>0</v>
      </c>
      <c r="DL47">
        <v>0</v>
      </c>
      <c r="DM47">
        <v>0</v>
      </c>
    </row>
    <row r="48" spans="1:117" x14ac:dyDescent="0.3">
      <c r="A48" t="s">
        <v>159</v>
      </c>
      <c r="B48">
        <v>2026</v>
      </c>
      <c r="C48">
        <v>201095340</v>
      </c>
      <c r="D48">
        <v>132318.39999999999</v>
      </c>
      <c r="E48">
        <v>0</v>
      </c>
      <c r="F48">
        <v>4053726.8</v>
      </c>
      <c r="G48">
        <v>205281394.90000001</v>
      </c>
      <c r="H48">
        <v>193864660.69999999</v>
      </c>
      <c r="I48">
        <v>20715360.600000001</v>
      </c>
      <c r="J48">
        <v>246315620</v>
      </c>
      <c r="K48">
        <v>323696000</v>
      </c>
      <c r="L48">
        <v>3.5900000000000001E-2</v>
      </c>
      <c r="M48">
        <v>5.3999999999999999E-2</v>
      </c>
      <c r="N48">
        <v>0.17749999999999999</v>
      </c>
      <c r="O48">
        <v>42551.06</v>
      </c>
      <c r="P48">
        <v>44169.4</v>
      </c>
      <c r="Q48">
        <v>0.81</v>
      </c>
      <c r="R48">
        <v>0.81</v>
      </c>
      <c r="S48">
        <v>171.6</v>
      </c>
      <c r="T48">
        <v>17.899999999999999</v>
      </c>
      <c r="U48">
        <v>2.59</v>
      </c>
      <c r="V48">
        <v>7.7</v>
      </c>
      <c r="W48">
        <v>432.1</v>
      </c>
      <c r="X48">
        <v>0.1</v>
      </c>
      <c r="Y48">
        <v>172.9</v>
      </c>
      <c r="Z48">
        <v>20.6</v>
      </c>
      <c r="AA48">
        <v>193.5</v>
      </c>
      <c r="AB48">
        <v>180.5</v>
      </c>
      <c r="AC48">
        <v>18.899999999999999</v>
      </c>
      <c r="AD48">
        <v>2.74</v>
      </c>
      <c r="AE48">
        <v>8.1</v>
      </c>
      <c r="AF48">
        <v>452.9</v>
      </c>
      <c r="AG48">
        <v>0.11</v>
      </c>
      <c r="AH48">
        <v>181.8</v>
      </c>
      <c r="AI48">
        <v>21.6</v>
      </c>
      <c r="AJ48">
        <v>203.4</v>
      </c>
      <c r="AK48">
        <v>142.30000000000001</v>
      </c>
      <c r="AL48">
        <v>10.4</v>
      </c>
      <c r="AM48">
        <v>1.46</v>
      </c>
      <c r="AN48">
        <v>10</v>
      </c>
      <c r="AO48">
        <v>492.2</v>
      </c>
      <c r="AP48">
        <v>7.0000000000000007E-2</v>
      </c>
      <c r="AQ48">
        <v>143</v>
      </c>
      <c r="AR48">
        <v>24.7</v>
      </c>
      <c r="AS48">
        <v>167.7</v>
      </c>
      <c r="AT48">
        <v>642.79999999999995</v>
      </c>
      <c r="AU48">
        <v>55.6</v>
      </c>
      <c r="AV48">
        <v>8.01</v>
      </c>
      <c r="AW48">
        <v>37.799999999999997</v>
      </c>
      <c r="AX48">
        <v>1909.2</v>
      </c>
      <c r="AY48">
        <v>0.37</v>
      </c>
      <c r="AZ48">
        <v>646.70000000000005</v>
      </c>
      <c r="BA48">
        <v>94.8</v>
      </c>
      <c r="BB48">
        <v>741.5</v>
      </c>
      <c r="BC48">
        <v>48005362.899999999</v>
      </c>
      <c r="BD48">
        <v>5015.6000000000004</v>
      </c>
      <c r="BE48">
        <v>725.5</v>
      </c>
      <c r="BF48">
        <v>2149557.1</v>
      </c>
      <c r="BG48">
        <v>120874.3</v>
      </c>
      <c r="BH48">
        <v>27.6</v>
      </c>
      <c r="BI48">
        <v>48352892</v>
      </c>
      <c r="BJ48">
        <v>5759144.4000000004</v>
      </c>
      <c r="BK48">
        <v>54112036.399999999</v>
      </c>
      <c r="BL48">
        <v>0</v>
      </c>
      <c r="BM48">
        <v>21.75</v>
      </c>
      <c r="BN48">
        <v>8.49</v>
      </c>
      <c r="BO48">
        <v>0</v>
      </c>
      <c r="BP48">
        <v>30.24</v>
      </c>
      <c r="BQ48">
        <v>23.08</v>
      </c>
      <c r="BR48">
        <v>9.18</v>
      </c>
      <c r="BS48">
        <v>0</v>
      </c>
      <c r="BT48">
        <v>32.26</v>
      </c>
      <c r="BU48">
        <v>282701760</v>
      </c>
      <c r="BV48">
        <v>184566030</v>
      </c>
      <c r="BW48">
        <v>113481.1</v>
      </c>
      <c r="BX48">
        <v>1023650.5</v>
      </c>
      <c r="BY48">
        <v>0</v>
      </c>
      <c r="BZ48">
        <v>13592046</v>
      </c>
      <c r="CA48">
        <v>40523730</v>
      </c>
      <c r="CB48">
        <v>0</v>
      </c>
      <c r="CC48">
        <v>0</v>
      </c>
      <c r="CD48">
        <v>2130700.2000000002</v>
      </c>
      <c r="CE48">
        <v>12649018</v>
      </c>
      <c r="CF48">
        <v>0</v>
      </c>
      <c r="CG48">
        <v>465180.1</v>
      </c>
      <c r="CH48">
        <v>0</v>
      </c>
      <c r="CI48">
        <v>11684405</v>
      </c>
      <c r="CJ48">
        <v>17835076</v>
      </c>
      <c r="CK48">
        <v>249156.6</v>
      </c>
      <c r="CL48">
        <v>0</v>
      </c>
      <c r="CM48">
        <v>0</v>
      </c>
      <c r="CN48">
        <v>37877810</v>
      </c>
      <c r="CO48">
        <v>144557520</v>
      </c>
      <c r="CP48">
        <v>0</v>
      </c>
      <c r="CQ48">
        <v>95.2</v>
      </c>
      <c r="CR48">
        <v>198.1</v>
      </c>
      <c r="CS48">
        <v>0</v>
      </c>
      <c r="CT48">
        <v>14439.2</v>
      </c>
      <c r="CU48">
        <v>0</v>
      </c>
      <c r="CV48">
        <v>0</v>
      </c>
      <c r="CW48">
        <v>1585.2</v>
      </c>
      <c r="CX48">
        <v>4904.7</v>
      </c>
      <c r="CY48">
        <v>0</v>
      </c>
      <c r="CZ48">
        <v>5803.4</v>
      </c>
      <c r="DA48">
        <v>0</v>
      </c>
      <c r="DB48">
        <v>3144.5</v>
      </c>
      <c r="DC48">
        <v>2427</v>
      </c>
      <c r="DD48">
        <v>1783.2</v>
      </c>
      <c r="DE48">
        <v>0</v>
      </c>
      <c r="DF48">
        <v>0</v>
      </c>
      <c r="DG48">
        <v>17604.099999999999</v>
      </c>
      <c r="DH48">
        <v>0</v>
      </c>
      <c r="DI48">
        <v>40409.199999999997</v>
      </c>
      <c r="DJ48">
        <v>337.4</v>
      </c>
      <c r="DK48">
        <v>0</v>
      </c>
      <c r="DL48">
        <v>0</v>
      </c>
      <c r="DM48">
        <v>0</v>
      </c>
    </row>
    <row r="49" spans="1:117" x14ac:dyDescent="0.3">
      <c r="A49" t="s">
        <v>159</v>
      </c>
      <c r="B49">
        <v>2028</v>
      </c>
      <c r="C49">
        <v>206123260</v>
      </c>
      <c r="D49">
        <v>2726934.2</v>
      </c>
      <c r="E49">
        <v>0</v>
      </c>
      <c r="F49">
        <v>4354776.3</v>
      </c>
      <c r="G49">
        <v>213204966.59999999</v>
      </c>
      <c r="H49">
        <v>198711825.69999999</v>
      </c>
      <c r="I49">
        <v>-21018693.699999999</v>
      </c>
      <c r="J49">
        <v>246779740</v>
      </c>
      <c r="K49">
        <v>349071170</v>
      </c>
      <c r="L49">
        <v>3.5900000000000001E-2</v>
      </c>
      <c r="M49">
        <v>5.3999999999999999E-2</v>
      </c>
      <c r="N49">
        <v>0.17760000000000001</v>
      </c>
      <c r="O49">
        <v>56046</v>
      </c>
      <c r="P49">
        <v>45422.5</v>
      </c>
      <c r="Q49">
        <v>0.89</v>
      </c>
      <c r="R49">
        <v>0.89</v>
      </c>
      <c r="S49">
        <v>92.9</v>
      </c>
      <c r="T49">
        <v>9.6</v>
      </c>
      <c r="U49">
        <v>1.39</v>
      </c>
      <c r="V49">
        <v>4.4000000000000004</v>
      </c>
      <c r="W49">
        <v>237.1</v>
      </c>
      <c r="X49">
        <v>0.06</v>
      </c>
      <c r="Y49">
        <v>93.5</v>
      </c>
      <c r="Z49">
        <v>11.5</v>
      </c>
      <c r="AA49">
        <v>105.1</v>
      </c>
      <c r="AB49">
        <v>105.9</v>
      </c>
      <c r="AC49">
        <v>11</v>
      </c>
      <c r="AD49">
        <v>1.59</v>
      </c>
      <c r="AE49">
        <v>5.0999999999999996</v>
      </c>
      <c r="AF49">
        <v>269.89999999999998</v>
      </c>
      <c r="AG49">
        <v>7.0000000000000007E-2</v>
      </c>
      <c r="AH49">
        <v>106.7</v>
      </c>
      <c r="AI49">
        <v>13.2</v>
      </c>
      <c r="AJ49">
        <v>119.8</v>
      </c>
      <c r="AK49">
        <v>81.3</v>
      </c>
      <c r="AL49">
        <v>3.1</v>
      </c>
      <c r="AM49">
        <v>0.4</v>
      </c>
      <c r="AN49">
        <v>8.3000000000000007</v>
      </c>
      <c r="AO49">
        <v>370.9</v>
      </c>
      <c r="AP49">
        <v>0.04</v>
      </c>
      <c r="AQ49">
        <v>81.5</v>
      </c>
      <c r="AR49">
        <v>19.399999999999999</v>
      </c>
      <c r="AS49">
        <v>100.9</v>
      </c>
      <c r="AT49">
        <v>491.5</v>
      </c>
      <c r="AU49">
        <v>40.9</v>
      </c>
      <c r="AV49">
        <v>5.87</v>
      </c>
      <c r="AW49">
        <v>30.8</v>
      </c>
      <c r="AX49">
        <v>1513.3</v>
      </c>
      <c r="AY49">
        <v>0.28999999999999998</v>
      </c>
      <c r="AZ49">
        <v>494.3</v>
      </c>
      <c r="BA49">
        <v>76</v>
      </c>
      <c r="BB49">
        <v>570.29999999999995</v>
      </c>
      <c r="BC49">
        <v>28874784.5</v>
      </c>
      <c r="BD49">
        <v>2989.7</v>
      </c>
      <c r="BE49">
        <v>432.2</v>
      </c>
      <c r="BF49">
        <v>1381887.8</v>
      </c>
      <c r="BG49">
        <v>73755.8</v>
      </c>
      <c r="BH49">
        <v>17.899999999999999</v>
      </c>
      <c r="BI49">
        <v>29081855.5</v>
      </c>
      <c r="BJ49">
        <v>3584686.6</v>
      </c>
      <c r="BK49">
        <v>32666542.100000001</v>
      </c>
      <c r="BL49">
        <v>0</v>
      </c>
      <c r="BM49">
        <v>16.260000000000002</v>
      </c>
      <c r="BN49">
        <v>10.74</v>
      </c>
      <c r="BO49">
        <v>0</v>
      </c>
      <c r="BP49">
        <v>27</v>
      </c>
      <c r="BQ49">
        <v>17.38</v>
      </c>
      <c r="BR49">
        <v>11.71</v>
      </c>
      <c r="BS49">
        <v>0</v>
      </c>
      <c r="BT49">
        <v>29.1</v>
      </c>
      <c r="BU49">
        <v>315632000</v>
      </c>
      <c r="BV49">
        <v>234223660</v>
      </c>
      <c r="BW49">
        <v>2328474.5</v>
      </c>
      <c r="BX49">
        <v>839348.4</v>
      </c>
      <c r="BY49">
        <v>0</v>
      </c>
      <c r="BZ49">
        <v>16607819</v>
      </c>
      <c r="CA49">
        <v>24343110</v>
      </c>
      <c r="CB49">
        <v>0</v>
      </c>
      <c r="CC49">
        <v>0</v>
      </c>
      <c r="CD49">
        <v>2875825.2</v>
      </c>
      <c r="CE49">
        <v>8598744</v>
      </c>
      <c r="CF49">
        <v>0</v>
      </c>
      <c r="CG49">
        <v>213216.4</v>
      </c>
      <c r="CH49">
        <v>0</v>
      </c>
      <c r="CI49">
        <v>11260508</v>
      </c>
      <c r="CJ49">
        <v>17086728</v>
      </c>
      <c r="CK49">
        <v>130385.8</v>
      </c>
      <c r="CL49">
        <v>0</v>
      </c>
      <c r="CM49">
        <v>0</v>
      </c>
      <c r="CN49">
        <v>38322360</v>
      </c>
      <c r="CO49">
        <v>193025470</v>
      </c>
      <c r="CP49">
        <v>0</v>
      </c>
      <c r="CQ49">
        <v>1837.4</v>
      </c>
      <c r="CR49">
        <v>162.1</v>
      </c>
      <c r="CS49">
        <v>0</v>
      </c>
      <c r="CT49">
        <v>14418.2</v>
      </c>
      <c r="CU49">
        <v>0</v>
      </c>
      <c r="CV49">
        <v>0</v>
      </c>
      <c r="CW49">
        <v>2155.3000000000002</v>
      </c>
      <c r="CX49">
        <v>4875.5</v>
      </c>
      <c r="CY49">
        <v>0</v>
      </c>
      <c r="CZ49">
        <v>5623</v>
      </c>
      <c r="DA49">
        <v>0</v>
      </c>
      <c r="DB49">
        <v>3144.5</v>
      </c>
      <c r="DC49">
        <v>2427</v>
      </c>
      <c r="DD49">
        <v>1480.5</v>
      </c>
      <c r="DE49">
        <v>0</v>
      </c>
      <c r="DF49">
        <v>0</v>
      </c>
      <c r="DG49">
        <v>18352.900000000001</v>
      </c>
      <c r="DH49">
        <v>0</v>
      </c>
      <c r="DI49">
        <v>56072.9</v>
      </c>
      <c r="DJ49">
        <v>7337.7</v>
      </c>
      <c r="DK49">
        <v>0</v>
      </c>
      <c r="DL49">
        <v>0</v>
      </c>
      <c r="DM49">
        <v>0</v>
      </c>
    </row>
    <row r="50" spans="1:117" x14ac:dyDescent="0.3">
      <c r="A50" t="s">
        <v>159</v>
      </c>
      <c r="B50">
        <v>2030</v>
      </c>
      <c r="C50">
        <v>210656960</v>
      </c>
      <c r="D50">
        <v>6446158</v>
      </c>
      <c r="E50">
        <v>0</v>
      </c>
      <c r="F50">
        <v>4530604.7</v>
      </c>
      <c r="G50">
        <v>221633723.69999999</v>
      </c>
      <c r="H50">
        <v>203082583</v>
      </c>
      <c r="I50">
        <v>-35978321</v>
      </c>
      <c r="J50">
        <v>251851340</v>
      </c>
      <c r="K50">
        <v>363423550</v>
      </c>
      <c r="L50">
        <v>3.5900000000000001E-2</v>
      </c>
      <c r="M50">
        <v>5.3999999999999999E-2</v>
      </c>
      <c r="N50">
        <v>0.17760000000000001</v>
      </c>
      <c r="O50">
        <v>64508.59</v>
      </c>
      <c r="P50">
        <v>47086.8</v>
      </c>
      <c r="Q50">
        <v>0.93</v>
      </c>
      <c r="R50">
        <v>0.93</v>
      </c>
      <c r="S50">
        <v>63</v>
      </c>
      <c r="T50">
        <v>6.7</v>
      </c>
      <c r="U50">
        <v>0.97</v>
      </c>
      <c r="V50">
        <v>3</v>
      </c>
      <c r="W50">
        <v>156.6</v>
      </c>
      <c r="X50">
        <v>0.04</v>
      </c>
      <c r="Y50">
        <v>63.5</v>
      </c>
      <c r="Z50">
        <v>7.7</v>
      </c>
      <c r="AA50">
        <v>71.2</v>
      </c>
      <c r="AB50">
        <v>70.7</v>
      </c>
      <c r="AC50">
        <v>7.5</v>
      </c>
      <c r="AD50">
        <v>1.0900000000000001</v>
      </c>
      <c r="AE50">
        <v>3.5</v>
      </c>
      <c r="AF50">
        <v>175.5</v>
      </c>
      <c r="AG50">
        <v>0.05</v>
      </c>
      <c r="AH50">
        <v>71.2</v>
      </c>
      <c r="AI50">
        <v>8.6999999999999993</v>
      </c>
      <c r="AJ50">
        <v>79.900000000000006</v>
      </c>
      <c r="AK50">
        <v>98.3</v>
      </c>
      <c r="AL50">
        <v>4.9000000000000004</v>
      </c>
      <c r="AM50">
        <v>0.66</v>
      </c>
      <c r="AN50">
        <v>9</v>
      </c>
      <c r="AO50">
        <v>411.6</v>
      </c>
      <c r="AP50">
        <v>0.05</v>
      </c>
      <c r="AQ50">
        <v>98.7</v>
      </c>
      <c r="AR50">
        <v>21.3</v>
      </c>
      <c r="AS50">
        <v>119.9</v>
      </c>
      <c r="AT50">
        <v>416.9</v>
      </c>
      <c r="AU50">
        <v>35.200000000000003</v>
      </c>
      <c r="AV50">
        <v>5.04</v>
      </c>
      <c r="AW50">
        <v>25.5</v>
      </c>
      <c r="AX50">
        <v>1286.0999999999999</v>
      </c>
      <c r="AY50">
        <v>0.23</v>
      </c>
      <c r="AZ50">
        <v>419.3</v>
      </c>
      <c r="BA50">
        <v>63.9</v>
      </c>
      <c r="BB50">
        <v>483.2</v>
      </c>
      <c r="BC50">
        <v>20615356.100000001</v>
      </c>
      <c r="BD50">
        <v>2183.6999999999998</v>
      </c>
      <c r="BE50">
        <v>316</v>
      </c>
      <c r="BF50">
        <v>981549.8</v>
      </c>
      <c r="BG50">
        <v>51274.400000000001</v>
      </c>
      <c r="BH50">
        <v>13.6</v>
      </c>
      <c r="BI50">
        <v>20766707.300000001</v>
      </c>
      <c r="BJ50">
        <v>2513246.2999999998</v>
      </c>
      <c r="BK50">
        <v>23279953.600000001</v>
      </c>
      <c r="BL50">
        <v>0</v>
      </c>
      <c r="BM50">
        <v>13.67</v>
      </c>
      <c r="BN50">
        <v>12.46</v>
      </c>
      <c r="BO50">
        <v>0</v>
      </c>
      <c r="BP50">
        <v>26.13</v>
      </c>
      <c r="BQ50">
        <v>14.76</v>
      </c>
      <c r="BR50">
        <v>13.8</v>
      </c>
      <c r="BS50">
        <v>0</v>
      </c>
      <c r="BT50">
        <v>28.55</v>
      </c>
      <c r="BU50">
        <v>333374850</v>
      </c>
      <c r="BV50">
        <v>257612060</v>
      </c>
      <c r="BW50">
        <v>5467554.5</v>
      </c>
      <c r="BX50">
        <v>665927.19999999995</v>
      </c>
      <c r="BY50">
        <v>0</v>
      </c>
      <c r="BZ50">
        <v>19165756</v>
      </c>
      <c r="CA50">
        <v>17980714</v>
      </c>
      <c r="CB50">
        <v>0</v>
      </c>
      <c r="CC50">
        <v>0</v>
      </c>
      <c r="CD50">
        <v>4054896</v>
      </c>
      <c r="CE50">
        <v>5022318</v>
      </c>
      <c r="CF50">
        <v>0</v>
      </c>
      <c r="CG50">
        <v>67257.8</v>
      </c>
      <c r="CH50">
        <v>0</v>
      </c>
      <c r="CI50">
        <v>10728802</v>
      </c>
      <c r="CJ50">
        <v>16609906</v>
      </c>
      <c r="CK50">
        <v>54578.8</v>
      </c>
      <c r="CL50">
        <v>0</v>
      </c>
      <c r="CM50">
        <v>0</v>
      </c>
      <c r="CN50">
        <v>42541240</v>
      </c>
      <c r="CO50">
        <v>211015900</v>
      </c>
      <c r="CP50">
        <v>0</v>
      </c>
      <c r="CQ50">
        <v>4265.8999999999996</v>
      </c>
      <c r="CR50">
        <v>144.1</v>
      </c>
      <c r="CS50">
        <v>0</v>
      </c>
      <c r="CT50">
        <v>14056.2</v>
      </c>
      <c r="CU50">
        <v>0</v>
      </c>
      <c r="CV50">
        <v>0</v>
      </c>
      <c r="CW50">
        <v>3062.4</v>
      </c>
      <c r="CX50">
        <v>4731.1000000000004</v>
      </c>
      <c r="CY50">
        <v>0</v>
      </c>
      <c r="CZ50">
        <v>5143.7</v>
      </c>
      <c r="DA50">
        <v>0</v>
      </c>
      <c r="DB50">
        <v>3144.5</v>
      </c>
      <c r="DC50">
        <v>2427</v>
      </c>
      <c r="DD50">
        <v>1092.0999999999999</v>
      </c>
      <c r="DE50">
        <v>0</v>
      </c>
      <c r="DF50">
        <v>0</v>
      </c>
      <c r="DG50">
        <v>21263.1</v>
      </c>
      <c r="DH50">
        <v>0</v>
      </c>
      <c r="DI50">
        <v>65460.5</v>
      </c>
      <c r="DJ50">
        <v>17053.599999999999</v>
      </c>
      <c r="DK50">
        <v>0</v>
      </c>
      <c r="DL50">
        <v>0</v>
      </c>
      <c r="DM50">
        <v>0</v>
      </c>
    </row>
    <row r="51" spans="1:117" x14ac:dyDescent="0.3">
      <c r="A51" t="s">
        <v>159</v>
      </c>
      <c r="B51">
        <v>2035</v>
      </c>
      <c r="C51">
        <v>224549300</v>
      </c>
      <c r="D51">
        <v>11085341</v>
      </c>
      <c r="E51">
        <v>0</v>
      </c>
      <c r="F51">
        <v>4509680</v>
      </c>
      <c r="G51">
        <v>240144314.90000001</v>
      </c>
      <c r="H51">
        <v>216475606.69999999</v>
      </c>
      <c r="I51">
        <v>-33838647.700000003</v>
      </c>
      <c r="J51">
        <v>254222800</v>
      </c>
      <c r="K51">
        <v>356416860</v>
      </c>
      <c r="L51">
        <v>3.5900000000000001E-2</v>
      </c>
      <c r="M51">
        <v>5.3999999999999999E-2</v>
      </c>
      <c r="N51">
        <v>0.1777</v>
      </c>
      <c r="O51">
        <v>87234.05</v>
      </c>
      <c r="P51">
        <v>51479.4</v>
      </c>
      <c r="Q51">
        <v>0.95</v>
      </c>
      <c r="R51">
        <v>0.95</v>
      </c>
      <c r="S51">
        <v>46.5</v>
      </c>
      <c r="T51">
        <v>4.9000000000000004</v>
      </c>
      <c r="U51">
        <v>0.71</v>
      </c>
      <c r="V51">
        <v>2.2000000000000002</v>
      </c>
      <c r="W51">
        <v>115.4</v>
      </c>
      <c r="X51">
        <v>0.03</v>
      </c>
      <c r="Y51">
        <v>46.8</v>
      </c>
      <c r="Z51">
        <v>5.6</v>
      </c>
      <c r="AA51">
        <v>52.5</v>
      </c>
      <c r="AB51">
        <v>51.1</v>
      </c>
      <c r="AC51">
        <v>5.4</v>
      </c>
      <c r="AD51">
        <v>0.78</v>
      </c>
      <c r="AE51">
        <v>2.5</v>
      </c>
      <c r="AF51">
        <v>127.9</v>
      </c>
      <c r="AG51">
        <v>0.04</v>
      </c>
      <c r="AH51">
        <v>51.4</v>
      </c>
      <c r="AI51">
        <v>6.4</v>
      </c>
      <c r="AJ51">
        <v>57.8</v>
      </c>
      <c r="AK51">
        <v>127.1</v>
      </c>
      <c r="AL51">
        <v>7.4</v>
      </c>
      <c r="AM51">
        <v>1.02</v>
      </c>
      <c r="AN51">
        <v>10.6</v>
      </c>
      <c r="AO51">
        <v>501.5</v>
      </c>
      <c r="AP51">
        <v>0.06</v>
      </c>
      <c r="AQ51">
        <v>127.6</v>
      </c>
      <c r="AR51">
        <v>25.6</v>
      </c>
      <c r="AS51">
        <v>153.19999999999999</v>
      </c>
      <c r="AT51">
        <v>395.8</v>
      </c>
      <c r="AU51">
        <v>33.299999999999997</v>
      </c>
      <c r="AV51">
        <v>4.7699999999999996</v>
      </c>
      <c r="AW51">
        <v>24.4</v>
      </c>
      <c r="AX51">
        <v>1218.7</v>
      </c>
      <c r="AY51">
        <v>0.23</v>
      </c>
      <c r="AZ51">
        <v>398.1</v>
      </c>
      <c r="BA51">
        <v>60.7</v>
      </c>
      <c r="BB51">
        <v>458.8</v>
      </c>
      <c r="BC51">
        <v>15579754.6</v>
      </c>
      <c r="BD51">
        <v>1651.7</v>
      </c>
      <c r="BE51">
        <v>239</v>
      </c>
      <c r="BF51">
        <v>736420.2</v>
      </c>
      <c r="BG51">
        <v>38713.4</v>
      </c>
      <c r="BH51">
        <v>10.1</v>
      </c>
      <c r="BI51">
        <v>15694229.199999999</v>
      </c>
      <c r="BJ51">
        <v>1892830.3</v>
      </c>
      <c r="BK51">
        <v>17587059.5</v>
      </c>
      <c r="BL51">
        <v>0</v>
      </c>
      <c r="BM51">
        <v>12.7</v>
      </c>
      <c r="BN51">
        <v>16.7</v>
      </c>
      <c r="BO51">
        <v>0</v>
      </c>
      <c r="BP51">
        <v>29.4</v>
      </c>
      <c r="BQ51">
        <v>13.82</v>
      </c>
      <c r="BR51">
        <v>18.82</v>
      </c>
      <c r="BS51">
        <v>0</v>
      </c>
      <c r="BT51">
        <v>32.64</v>
      </c>
      <c r="BU51">
        <v>342392860</v>
      </c>
      <c r="BV51">
        <v>273982980</v>
      </c>
      <c r="BW51">
        <v>9451142</v>
      </c>
      <c r="BX51">
        <v>662207</v>
      </c>
      <c r="BY51">
        <v>0</v>
      </c>
      <c r="BZ51">
        <v>18926190</v>
      </c>
      <c r="CA51">
        <v>13734346</v>
      </c>
      <c r="CB51">
        <v>0</v>
      </c>
      <c r="CC51">
        <v>0</v>
      </c>
      <c r="CD51">
        <v>6179694</v>
      </c>
      <c r="CE51">
        <v>3862182</v>
      </c>
      <c r="CF51">
        <v>0</v>
      </c>
      <c r="CG51">
        <v>27600.1</v>
      </c>
      <c r="CH51">
        <v>0</v>
      </c>
      <c r="CI51">
        <v>10379643</v>
      </c>
      <c r="CJ51">
        <v>11340396</v>
      </c>
      <c r="CK51">
        <v>26195.599999999999</v>
      </c>
      <c r="CL51">
        <v>0</v>
      </c>
      <c r="CM51">
        <v>0</v>
      </c>
      <c r="CN51">
        <v>48780900</v>
      </c>
      <c r="CO51">
        <v>219022370</v>
      </c>
      <c r="CP51">
        <v>0</v>
      </c>
      <c r="CQ51">
        <v>7304</v>
      </c>
      <c r="CR51">
        <v>144.1</v>
      </c>
      <c r="CS51">
        <v>0</v>
      </c>
      <c r="CT51">
        <v>12644.1</v>
      </c>
      <c r="CU51">
        <v>0</v>
      </c>
      <c r="CV51">
        <v>0</v>
      </c>
      <c r="CW51">
        <v>4729.5</v>
      </c>
      <c r="CX51">
        <v>4731.1000000000004</v>
      </c>
      <c r="CY51">
        <v>0</v>
      </c>
      <c r="CZ51">
        <v>5102.5</v>
      </c>
      <c r="DA51">
        <v>0</v>
      </c>
      <c r="DB51">
        <v>3144.5</v>
      </c>
      <c r="DC51">
        <v>1657</v>
      </c>
      <c r="DD51">
        <v>1018.6</v>
      </c>
      <c r="DE51">
        <v>0</v>
      </c>
      <c r="DF51">
        <v>0</v>
      </c>
      <c r="DG51">
        <v>24774</v>
      </c>
      <c r="DH51">
        <v>0</v>
      </c>
      <c r="DI51">
        <v>70333.7</v>
      </c>
      <c r="DJ51">
        <v>30792.6</v>
      </c>
      <c r="DK51">
        <v>0</v>
      </c>
      <c r="DL51">
        <v>0</v>
      </c>
      <c r="DM51">
        <v>0</v>
      </c>
    </row>
    <row r="52" spans="1:117" x14ac:dyDescent="0.3">
      <c r="A52" t="s">
        <v>159</v>
      </c>
      <c r="B52">
        <v>2040</v>
      </c>
      <c r="C52">
        <v>240373150</v>
      </c>
      <c r="D52">
        <v>15436590</v>
      </c>
      <c r="E52">
        <v>0</v>
      </c>
      <c r="F52">
        <v>4923641</v>
      </c>
      <c r="G52">
        <v>260733365</v>
      </c>
      <c r="H52">
        <v>231730651.90000001</v>
      </c>
      <c r="I52">
        <v>-43769822.899999999</v>
      </c>
      <c r="J52">
        <v>271493500</v>
      </c>
      <c r="K52">
        <v>381407680</v>
      </c>
      <c r="L52">
        <v>3.5900000000000001E-2</v>
      </c>
      <c r="M52">
        <v>5.3999999999999999E-2</v>
      </c>
      <c r="N52">
        <v>0.1777</v>
      </c>
      <c r="O52">
        <v>84926.78</v>
      </c>
      <c r="P52">
        <v>56276.7</v>
      </c>
      <c r="Q52">
        <v>0.97</v>
      </c>
      <c r="R52">
        <v>0.97</v>
      </c>
      <c r="S52">
        <v>30.3</v>
      </c>
      <c r="T52">
        <v>3.2</v>
      </c>
      <c r="U52">
        <v>0.46</v>
      </c>
      <c r="V52">
        <v>1.5</v>
      </c>
      <c r="W52">
        <v>75.5</v>
      </c>
      <c r="X52">
        <v>0.02</v>
      </c>
      <c r="Y52">
        <v>30.5</v>
      </c>
      <c r="Z52">
        <v>3.8</v>
      </c>
      <c r="AA52">
        <v>34.299999999999997</v>
      </c>
      <c r="AB52">
        <v>31.2</v>
      </c>
      <c r="AC52">
        <v>3.3</v>
      </c>
      <c r="AD52">
        <v>0.47</v>
      </c>
      <c r="AE52">
        <v>1.7</v>
      </c>
      <c r="AF52">
        <v>79.3</v>
      </c>
      <c r="AG52">
        <v>0.02</v>
      </c>
      <c r="AH52">
        <v>31.4</v>
      </c>
      <c r="AI52">
        <v>4.0999999999999996</v>
      </c>
      <c r="AJ52">
        <v>35.5</v>
      </c>
      <c r="AK52">
        <v>145.9</v>
      </c>
      <c r="AL52">
        <v>8.9</v>
      </c>
      <c r="AM52">
        <v>1.23</v>
      </c>
      <c r="AN52">
        <v>12.7</v>
      </c>
      <c r="AO52">
        <v>568.20000000000005</v>
      </c>
      <c r="AP52">
        <v>0.09</v>
      </c>
      <c r="AQ52">
        <v>146.5</v>
      </c>
      <c r="AR52">
        <v>29.7</v>
      </c>
      <c r="AS52">
        <v>176.2</v>
      </c>
      <c r="AT52">
        <v>331.1</v>
      </c>
      <c r="AU52">
        <v>26.6</v>
      </c>
      <c r="AV52">
        <v>3.79</v>
      </c>
      <c r="AW52">
        <v>21.6</v>
      </c>
      <c r="AX52">
        <v>1068.0999999999999</v>
      </c>
      <c r="AY52">
        <v>0.18</v>
      </c>
      <c r="AZ52">
        <v>332.9</v>
      </c>
      <c r="BA52">
        <v>53.4</v>
      </c>
      <c r="BB52">
        <v>386.3</v>
      </c>
      <c r="BC52">
        <v>10889276.6</v>
      </c>
      <c r="BD52">
        <v>1153</v>
      </c>
      <c r="BE52">
        <v>166.8</v>
      </c>
      <c r="BF52">
        <v>550599.4</v>
      </c>
      <c r="BG52">
        <v>27185.9</v>
      </c>
      <c r="BH52">
        <v>7.7</v>
      </c>
      <c r="BI52">
        <v>10969181.199999999</v>
      </c>
      <c r="BJ52">
        <v>1362842.2</v>
      </c>
      <c r="BK52">
        <v>12332023.4</v>
      </c>
      <c r="BL52">
        <v>0</v>
      </c>
      <c r="BM52">
        <v>10.69</v>
      </c>
      <c r="BN52">
        <v>15.71</v>
      </c>
      <c r="BO52">
        <v>0</v>
      </c>
      <c r="BP52">
        <v>26.41</v>
      </c>
      <c r="BQ52">
        <v>11.71</v>
      </c>
      <c r="BR52">
        <v>17.93</v>
      </c>
      <c r="BS52">
        <v>0</v>
      </c>
      <c r="BT52">
        <v>29.64</v>
      </c>
      <c r="BU52">
        <v>370737100</v>
      </c>
      <c r="BV52">
        <v>304503200</v>
      </c>
      <c r="BW52">
        <v>13191828</v>
      </c>
      <c r="BX52">
        <v>630517.19999999995</v>
      </c>
      <c r="BY52">
        <v>0</v>
      </c>
      <c r="BZ52">
        <v>19024540</v>
      </c>
      <c r="CA52">
        <v>9696122</v>
      </c>
      <c r="CB52">
        <v>0</v>
      </c>
      <c r="CC52">
        <v>0</v>
      </c>
      <c r="CD52">
        <v>6570208.5</v>
      </c>
      <c r="CE52">
        <v>2767042</v>
      </c>
      <c r="CF52">
        <v>0</v>
      </c>
      <c r="CG52">
        <v>15220.6</v>
      </c>
      <c r="CH52">
        <v>0</v>
      </c>
      <c r="CI52">
        <v>9809969</v>
      </c>
      <c r="CJ52">
        <v>11082539</v>
      </c>
      <c r="CK52">
        <v>16130.2</v>
      </c>
      <c r="CL52">
        <v>0</v>
      </c>
      <c r="CM52">
        <v>0</v>
      </c>
      <c r="CN52">
        <v>61231564</v>
      </c>
      <c r="CO52">
        <v>236701400</v>
      </c>
      <c r="CP52">
        <v>0</v>
      </c>
      <c r="CQ52">
        <v>9503.2999999999993</v>
      </c>
      <c r="CR52">
        <v>144.1</v>
      </c>
      <c r="CS52">
        <v>0</v>
      </c>
      <c r="CT52">
        <v>12305</v>
      </c>
      <c r="CU52">
        <v>0</v>
      </c>
      <c r="CV52">
        <v>0</v>
      </c>
      <c r="CW52">
        <v>5230.7</v>
      </c>
      <c r="CX52">
        <v>4731.1000000000004</v>
      </c>
      <c r="CY52">
        <v>0</v>
      </c>
      <c r="CZ52">
        <v>5073.2</v>
      </c>
      <c r="DA52">
        <v>0</v>
      </c>
      <c r="DB52">
        <v>3144.5</v>
      </c>
      <c r="DC52">
        <v>1657</v>
      </c>
      <c r="DD52">
        <v>996.4</v>
      </c>
      <c r="DE52">
        <v>0</v>
      </c>
      <c r="DF52">
        <v>0</v>
      </c>
      <c r="DG52">
        <v>34636.300000000003</v>
      </c>
      <c r="DH52">
        <v>0</v>
      </c>
      <c r="DI52">
        <v>78092</v>
      </c>
      <c r="DJ52">
        <v>39579.9</v>
      </c>
      <c r="DK52">
        <v>0</v>
      </c>
      <c r="DL52">
        <v>0</v>
      </c>
      <c r="DM52">
        <v>0</v>
      </c>
    </row>
    <row r="53" spans="1:117" x14ac:dyDescent="0.3">
      <c r="A53" t="s">
        <v>159</v>
      </c>
      <c r="B53">
        <v>2045</v>
      </c>
      <c r="C53">
        <v>254665700</v>
      </c>
      <c r="D53">
        <v>17804586</v>
      </c>
      <c r="E53">
        <v>0</v>
      </c>
      <c r="F53">
        <v>5125045.2</v>
      </c>
      <c r="G53">
        <v>277595332.89999998</v>
      </c>
      <c r="H53">
        <v>245509344.59999999</v>
      </c>
      <c r="I53">
        <v>-43090045.200000003</v>
      </c>
      <c r="J53">
        <v>292067900</v>
      </c>
      <c r="K53">
        <v>393639550</v>
      </c>
      <c r="L53">
        <v>3.5900000000000001E-2</v>
      </c>
      <c r="M53">
        <v>5.3999999999999999E-2</v>
      </c>
      <c r="N53">
        <v>0.1777</v>
      </c>
      <c r="O53">
        <v>86272.639999999999</v>
      </c>
      <c r="P53">
        <v>60239.6</v>
      </c>
      <c r="Q53">
        <v>0.97</v>
      </c>
      <c r="R53">
        <v>0.97</v>
      </c>
      <c r="S53">
        <v>28.8</v>
      </c>
      <c r="T53">
        <v>2.9</v>
      </c>
      <c r="U53">
        <v>0.42</v>
      </c>
      <c r="V53">
        <v>1.3</v>
      </c>
      <c r="W53">
        <v>75.099999999999994</v>
      </c>
      <c r="X53">
        <v>0.01</v>
      </c>
      <c r="Y53">
        <v>29</v>
      </c>
      <c r="Z53">
        <v>3.6</v>
      </c>
      <c r="AA53">
        <v>32.6</v>
      </c>
      <c r="AB53">
        <v>29.6</v>
      </c>
      <c r="AC53">
        <v>2.9</v>
      </c>
      <c r="AD53">
        <v>0.42</v>
      </c>
      <c r="AE53">
        <v>1.5</v>
      </c>
      <c r="AF53">
        <v>79.3</v>
      </c>
      <c r="AG53">
        <v>0.02</v>
      </c>
      <c r="AH53">
        <v>29.8</v>
      </c>
      <c r="AI53">
        <v>3.8</v>
      </c>
      <c r="AJ53">
        <v>33.6</v>
      </c>
      <c r="AK53">
        <v>146.80000000000001</v>
      </c>
      <c r="AL53">
        <v>7.7</v>
      </c>
      <c r="AM53">
        <v>1.04</v>
      </c>
      <c r="AN53">
        <v>14.1</v>
      </c>
      <c r="AO53">
        <v>612</v>
      </c>
      <c r="AP53">
        <v>0.1</v>
      </c>
      <c r="AQ53">
        <v>147.30000000000001</v>
      </c>
      <c r="AR53">
        <v>32.299999999999997</v>
      </c>
      <c r="AS53">
        <v>179.7</v>
      </c>
      <c r="AT53">
        <v>311</v>
      </c>
      <c r="AU53">
        <v>23</v>
      </c>
      <c r="AV53">
        <v>3.25</v>
      </c>
      <c r="AW53">
        <v>22</v>
      </c>
      <c r="AX53">
        <v>1067.8</v>
      </c>
      <c r="AY53">
        <v>0.17</v>
      </c>
      <c r="AZ53">
        <v>312.5</v>
      </c>
      <c r="BA53">
        <v>53.9</v>
      </c>
      <c r="BB53">
        <v>366.5</v>
      </c>
      <c r="BC53">
        <v>10585281.300000001</v>
      </c>
      <c r="BD53">
        <v>1077.0999999999999</v>
      </c>
      <c r="BE53">
        <v>155.4</v>
      </c>
      <c r="BF53">
        <v>489451.4</v>
      </c>
      <c r="BG53">
        <v>27623.8</v>
      </c>
      <c r="BH53">
        <v>5.5</v>
      </c>
      <c r="BI53">
        <v>10659802.4</v>
      </c>
      <c r="BJ53">
        <v>1314134.8999999999</v>
      </c>
      <c r="BK53">
        <v>11973937.300000001</v>
      </c>
      <c r="BL53">
        <v>0</v>
      </c>
      <c r="BM53">
        <v>10.42</v>
      </c>
      <c r="BN53">
        <v>15.93</v>
      </c>
      <c r="BO53">
        <v>0</v>
      </c>
      <c r="BP53">
        <v>26.34</v>
      </c>
      <c r="BQ53">
        <v>11.46</v>
      </c>
      <c r="BR53">
        <v>18.27</v>
      </c>
      <c r="BS53">
        <v>0</v>
      </c>
      <c r="BT53">
        <v>29.74</v>
      </c>
      <c r="BU53">
        <v>379137660</v>
      </c>
      <c r="BV53">
        <v>320685380</v>
      </c>
      <c r="BW53">
        <v>15182178</v>
      </c>
      <c r="BX53">
        <v>629948.30000000005</v>
      </c>
      <c r="BY53">
        <v>0</v>
      </c>
      <c r="BZ53">
        <v>19209920</v>
      </c>
      <c r="CA53">
        <v>8908457</v>
      </c>
      <c r="CB53">
        <v>0</v>
      </c>
      <c r="CC53">
        <v>0</v>
      </c>
      <c r="CD53">
        <v>7052172</v>
      </c>
      <c r="CE53">
        <v>3735263.2</v>
      </c>
      <c r="CF53">
        <v>0</v>
      </c>
      <c r="CG53">
        <v>117891.2</v>
      </c>
      <c r="CH53">
        <v>0</v>
      </c>
      <c r="CI53">
        <v>9714425</v>
      </c>
      <c r="CJ53">
        <v>954196.8</v>
      </c>
      <c r="CK53">
        <v>13.9</v>
      </c>
      <c r="CL53">
        <v>0</v>
      </c>
      <c r="CM53">
        <v>0</v>
      </c>
      <c r="CN53">
        <v>70732696</v>
      </c>
      <c r="CO53">
        <v>242900510</v>
      </c>
      <c r="CP53">
        <v>0</v>
      </c>
      <c r="CQ53">
        <v>10534.2</v>
      </c>
      <c r="CR53">
        <v>144.1</v>
      </c>
      <c r="CS53">
        <v>0</v>
      </c>
      <c r="CT53">
        <v>10991.7</v>
      </c>
      <c r="CU53">
        <v>0</v>
      </c>
      <c r="CV53">
        <v>0</v>
      </c>
      <c r="CW53">
        <v>5763.2</v>
      </c>
      <c r="CX53">
        <v>4571.1000000000004</v>
      </c>
      <c r="CY53">
        <v>0</v>
      </c>
      <c r="CZ53">
        <v>7522.9</v>
      </c>
      <c r="DA53">
        <v>0</v>
      </c>
      <c r="DB53">
        <v>3144.5</v>
      </c>
      <c r="DC53">
        <v>142.19999999999999</v>
      </c>
      <c r="DD53">
        <v>728.3</v>
      </c>
      <c r="DE53">
        <v>0</v>
      </c>
      <c r="DF53">
        <v>0</v>
      </c>
      <c r="DG53">
        <v>40337.4</v>
      </c>
      <c r="DH53">
        <v>0</v>
      </c>
      <c r="DI53">
        <v>80205.3</v>
      </c>
      <c r="DJ53">
        <v>45361.7</v>
      </c>
      <c r="DK53">
        <v>0</v>
      </c>
      <c r="DL53">
        <v>0</v>
      </c>
      <c r="DM53">
        <v>0</v>
      </c>
    </row>
    <row r="54" spans="1:117" x14ac:dyDescent="0.3">
      <c r="A54" t="s">
        <v>159</v>
      </c>
      <c r="B54">
        <v>2050</v>
      </c>
      <c r="C54">
        <v>267765150</v>
      </c>
      <c r="D54">
        <v>20025310</v>
      </c>
      <c r="E54">
        <v>0</v>
      </c>
      <c r="F54">
        <v>5514403.2999999998</v>
      </c>
      <c r="G54">
        <v>293304847.30000001</v>
      </c>
      <c r="H54">
        <v>258137637.90000001</v>
      </c>
      <c r="I54">
        <v>-53473477.700000003</v>
      </c>
      <c r="J54">
        <v>307196700</v>
      </c>
      <c r="K54">
        <v>419045120</v>
      </c>
      <c r="L54">
        <v>3.5900000000000001E-2</v>
      </c>
      <c r="M54">
        <v>5.3999999999999999E-2</v>
      </c>
      <c r="N54">
        <v>0.1777</v>
      </c>
      <c r="O54">
        <v>85249.65</v>
      </c>
      <c r="P54">
        <v>63505.3</v>
      </c>
      <c r="Q54">
        <v>0.97</v>
      </c>
      <c r="R54">
        <v>0.97</v>
      </c>
      <c r="S54">
        <v>23.5</v>
      </c>
      <c r="T54">
        <v>2.2999999999999998</v>
      </c>
      <c r="U54">
        <v>0.32</v>
      </c>
      <c r="V54">
        <v>1.2</v>
      </c>
      <c r="W54">
        <v>65.7</v>
      </c>
      <c r="X54">
        <v>0.01</v>
      </c>
      <c r="Y54">
        <v>23.6</v>
      </c>
      <c r="Z54">
        <v>3.1</v>
      </c>
      <c r="AA54">
        <v>26.8</v>
      </c>
      <c r="AB54">
        <v>24</v>
      </c>
      <c r="AC54">
        <v>2.2000000000000002</v>
      </c>
      <c r="AD54">
        <v>0.31</v>
      </c>
      <c r="AE54">
        <v>1.3</v>
      </c>
      <c r="AF54">
        <v>70.2</v>
      </c>
      <c r="AG54">
        <v>0.01</v>
      </c>
      <c r="AH54">
        <v>24.1</v>
      </c>
      <c r="AI54">
        <v>3.4</v>
      </c>
      <c r="AJ54">
        <v>27.5</v>
      </c>
      <c r="AK54">
        <v>148.1</v>
      </c>
      <c r="AL54">
        <v>7.1</v>
      </c>
      <c r="AM54">
        <v>0.94</v>
      </c>
      <c r="AN54">
        <v>15.4</v>
      </c>
      <c r="AO54">
        <v>641.79999999999995</v>
      </c>
      <c r="AP54">
        <v>0.11</v>
      </c>
      <c r="AQ54">
        <v>148.6</v>
      </c>
      <c r="AR54">
        <v>34.5</v>
      </c>
      <c r="AS54">
        <v>183.2</v>
      </c>
      <c r="AT54">
        <v>287</v>
      </c>
      <c r="AU54">
        <v>19.100000000000001</v>
      </c>
      <c r="AV54">
        <v>2.66</v>
      </c>
      <c r="AW54">
        <v>22.1</v>
      </c>
      <c r="AX54">
        <v>1055.5</v>
      </c>
      <c r="AY54">
        <v>0.15</v>
      </c>
      <c r="AZ54">
        <v>288.3</v>
      </c>
      <c r="BA54">
        <v>53.6</v>
      </c>
      <c r="BB54">
        <v>341.9</v>
      </c>
      <c r="BC54">
        <v>9217331.5999999996</v>
      </c>
      <c r="BD54">
        <v>883.3</v>
      </c>
      <c r="BE54">
        <v>126.9</v>
      </c>
      <c r="BF54">
        <v>461436.5</v>
      </c>
      <c r="BG54">
        <v>25755.8</v>
      </c>
      <c r="BH54">
        <v>4.5</v>
      </c>
      <c r="BI54">
        <v>9278294.3000000007</v>
      </c>
      <c r="BJ54">
        <v>1230197.8999999999</v>
      </c>
      <c r="BK54">
        <v>10508492.1</v>
      </c>
      <c r="BL54">
        <v>0</v>
      </c>
      <c r="BM54">
        <v>9.91</v>
      </c>
      <c r="BN54">
        <v>15.66</v>
      </c>
      <c r="BO54">
        <v>0</v>
      </c>
      <c r="BP54">
        <v>25.58</v>
      </c>
      <c r="BQ54">
        <v>10.97</v>
      </c>
      <c r="BR54">
        <v>18.05</v>
      </c>
      <c r="BS54">
        <v>0</v>
      </c>
      <c r="BT54">
        <v>29.02</v>
      </c>
      <c r="BU54">
        <v>405100400</v>
      </c>
      <c r="BV54">
        <v>346778340</v>
      </c>
      <c r="BW54">
        <v>17077694</v>
      </c>
      <c r="BX54">
        <v>372115</v>
      </c>
      <c r="BY54">
        <v>0</v>
      </c>
      <c r="BZ54">
        <v>19306928</v>
      </c>
      <c r="CA54">
        <v>7199694.5</v>
      </c>
      <c r="CB54">
        <v>0</v>
      </c>
      <c r="CC54">
        <v>0</v>
      </c>
      <c r="CD54">
        <v>7444001.5</v>
      </c>
      <c r="CE54">
        <v>4592516</v>
      </c>
      <c r="CF54">
        <v>0</v>
      </c>
      <c r="CG54">
        <v>235690.7</v>
      </c>
      <c r="CH54">
        <v>0</v>
      </c>
      <c r="CI54">
        <v>9537465</v>
      </c>
      <c r="CJ54">
        <v>0</v>
      </c>
      <c r="CK54">
        <v>0</v>
      </c>
      <c r="CL54">
        <v>0</v>
      </c>
      <c r="CM54">
        <v>0</v>
      </c>
      <c r="CN54">
        <v>88750360</v>
      </c>
      <c r="CO54">
        <v>250583970</v>
      </c>
      <c r="CP54">
        <v>0</v>
      </c>
      <c r="CQ54">
        <v>11662.9</v>
      </c>
      <c r="CR54">
        <v>111.1</v>
      </c>
      <c r="CS54">
        <v>0</v>
      </c>
      <c r="CT54">
        <v>9338.1</v>
      </c>
      <c r="CU54">
        <v>0</v>
      </c>
      <c r="CV54">
        <v>0</v>
      </c>
      <c r="CW54">
        <v>6281.9</v>
      </c>
      <c r="CX54">
        <v>4520.1000000000004</v>
      </c>
      <c r="CY54">
        <v>0</v>
      </c>
      <c r="CZ54">
        <v>9556.6</v>
      </c>
      <c r="DA54">
        <v>0</v>
      </c>
      <c r="DB54">
        <v>3144.5</v>
      </c>
      <c r="DC54">
        <v>0</v>
      </c>
      <c r="DD54">
        <v>506.3</v>
      </c>
      <c r="DE54">
        <v>0</v>
      </c>
      <c r="DF54">
        <v>0</v>
      </c>
      <c r="DG54">
        <v>54349.4</v>
      </c>
      <c r="DH54">
        <v>0</v>
      </c>
      <c r="DI54">
        <v>82748.2</v>
      </c>
      <c r="DJ54">
        <v>48042.9</v>
      </c>
      <c r="DK54">
        <v>0</v>
      </c>
      <c r="DL54">
        <v>0</v>
      </c>
      <c r="DM54">
        <v>0</v>
      </c>
    </row>
    <row r="55" spans="1:117" x14ac:dyDescent="0.3">
      <c r="A55" t="s">
        <v>160</v>
      </c>
      <c r="B55">
        <v>2024</v>
      </c>
      <c r="C55">
        <v>123356110</v>
      </c>
      <c r="D55">
        <v>120065.1</v>
      </c>
      <c r="E55">
        <v>2091297.4</v>
      </c>
      <c r="F55">
        <v>707456.6</v>
      </c>
      <c r="G55">
        <v>126274929.7</v>
      </c>
      <c r="H55">
        <v>118921090.90000001</v>
      </c>
      <c r="I55">
        <v>103007407.3</v>
      </c>
      <c r="J55">
        <v>50261716</v>
      </c>
      <c r="K55">
        <v>54133384</v>
      </c>
      <c r="L55">
        <v>3.5900000000000001E-2</v>
      </c>
      <c r="M55">
        <v>5.3999999999999999E-2</v>
      </c>
      <c r="N55">
        <v>0.13500000000000001</v>
      </c>
      <c r="O55">
        <v>9763.69</v>
      </c>
      <c r="P55">
        <v>28098.799999999999</v>
      </c>
      <c r="Q55">
        <v>0.7</v>
      </c>
      <c r="R55">
        <v>0.69</v>
      </c>
      <c r="S55">
        <v>120.6</v>
      </c>
      <c r="T55">
        <v>2.5</v>
      </c>
      <c r="U55">
        <v>0.27</v>
      </c>
      <c r="V55">
        <v>17.8</v>
      </c>
      <c r="W55">
        <v>628.4</v>
      </c>
      <c r="X55">
        <v>0.1</v>
      </c>
      <c r="Y55">
        <v>120.8</v>
      </c>
      <c r="Z55">
        <v>36.6</v>
      </c>
      <c r="AA55">
        <v>157.30000000000001</v>
      </c>
      <c r="AB55">
        <v>128</v>
      </c>
      <c r="AC55">
        <v>2.8</v>
      </c>
      <c r="AD55">
        <v>0.3</v>
      </c>
      <c r="AE55">
        <v>18.8</v>
      </c>
      <c r="AF55">
        <v>663.2</v>
      </c>
      <c r="AG55">
        <v>0.11</v>
      </c>
      <c r="AH55">
        <v>128.1</v>
      </c>
      <c r="AI55">
        <v>38.6</v>
      </c>
      <c r="AJ55">
        <v>166.7</v>
      </c>
      <c r="AK55">
        <v>290.89999999999998</v>
      </c>
      <c r="AL55">
        <v>7.2</v>
      </c>
      <c r="AM55">
        <v>0.84</v>
      </c>
      <c r="AN55">
        <v>33.299999999999997</v>
      </c>
      <c r="AO55">
        <v>1436.4</v>
      </c>
      <c r="AP55">
        <v>0.15</v>
      </c>
      <c r="AQ55">
        <v>291.3</v>
      </c>
      <c r="AR55">
        <v>76.099999999999994</v>
      </c>
      <c r="AS55">
        <v>367.4</v>
      </c>
      <c r="AT55">
        <v>630.9</v>
      </c>
      <c r="AU55">
        <v>36.799999999999997</v>
      </c>
      <c r="AV55">
        <v>5.18</v>
      </c>
      <c r="AW55">
        <v>53.7</v>
      </c>
      <c r="AX55">
        <v>2380.4</v>
      </c>
      <c r="AY55">
        <v>0.38</v>
      </c>
      <c r="AZ55">
        <v>633.4</v>
      </c>
      <c r="BA55">
        <v>124.8</v>
      </c>
      <c r="BB55">
        <v>758.2</v>
      </c>
      <c r="BC55">
        <v>15603227.4</v>
      </c>
      <c r="BD55">
        <v>329.1</v>
      </c>
      <c r="BE55">
        <v>34.9</v>
      </c>
      <c r="BF55">
        <v>2307783.7999999998</v>
      </c>
      <c r="BG55">
        <v>81299.7</v>
      </c>
      <c r="BH55">
        <v>13.4</v>
      </c>
      <c r="BI55">
        <v>15622563.6</v>
      </c>
      <c r="BJ55">
        <v>4734161.2</v>
      </c>
      <c r="BK55">
        <v>20356724.800000001</v>
      </c>
      <c r="BL55">
        <v>0</v>
      </c>
      <c r="BM55">
        <v>31.58</v>
      </c>
      <c r="BN55">
        <v>2</v>
      </c>
      <c r="BO55">
        <v>0.43</v>
      </c>
      <c r="BP55">
        <v>34.01</v>
      </c>
      <c r="BQ55">
        <v>33.53</v>
      </c>
      <c r="BR55">
        <v>2.2000000000000002</v>
      </c>
      <c r="BS55">
        <v>0.46</v>
      </c>
      <c r="BT55">
        <v>36.19</v>
      </c>
      <c r="BU55">
        <v>130210640</v>
      </c>
      <c r="BV55">
        <v>23267522</v>
      </c>
      <c r="BW55">
        <v>102804.6</v>
      </c>
      <c r="BX55">
        <v>6460556.5</v>
      </c>
      <c r="BY55">
        <v>0</v>
      </c>
      <c r="BZ55">
        <v>25291684</v>
      </c>
      <c r="CA55">
        <v>308564.2</v>
      </c>
      <c r="CB55">
        <v>0</v>
      </c>
      <c r="CC55">
        <v>0</v>
      </c>
      <c r="CD55">
        <v>5799717.5</v>
      </c>
      <c r="CE55">
        <v>38884492</v>
      </c>
      <c r="CF55">
        <v>0</v>
      </c>
      <c r="CG55">
        <v>96601.4</v>
      </c>
      <c r="CH55">
        <v>0</v>
      </c>
      <c r="CI55">
        <v>7545445.5</v>
      </c>
      <c r="CJ55">
        <v>26513462</v>
      </c>
      <c r="CK55">
        <v>29147.599999999999</v>
      </c>
      <c r="CL55">
        <v>1710360.8</v>
      </c>
      <c r="CM55">
        <v>0</v>
      </c>
      <c r="CN55">
        <v>5497026</v>
      </c>
      <c r="CO55">
        <v>6043843</v>
      </c>
      <c r="CP55">
        <v>5926936</v>
      </c>
      <c r="CQ55">
        <v>133.30000000000001</v>
      </c>
      <c r="CR55">
        <v>1068.5999999999999</v>
      </c>
      <c r="CS55">
        <v>0</v>
      </c>
      <c r="CT55">
        <v>438.5</v>
      </c>
      <c r="CU55">
        <v>0</v>
      </c>
      <c r="CV55">
        <v>0</v>
      </c>
      <c r="CW55">
        <v>4369.7</v>
      </c>
      <c r="CX55">
        <v>12900.2</v>
      </c>
      <c r="CY55">
        <v>0</v>
      </c>
      <c r="CZ55">
        <v>2257.1</v>
      </c>
      <c r="DA55">
        <v>0</v>
      </c>
      <c r="DB55">
        <v>1957.5</v>
      </c>
      <c r="DC55">
        <v>3320.9</v>
      </c>
      <c r="DD55">
        <v>2592.6999999999998</v>
      </c>
      <c r="DE55">
        <v>1797.4</v>
      </c>
      <c r="DF55">
        <v>0</v>
      </c>
      <c r="DG55">
        <v>2898.1</v>
      </c>
      <c r="DH55">
        <v>1546</v>
      </c>
      <c r="DI55">
        <v>1811.4</v>
      </c>
      <c r="DJ55">
        <v>289.7</v>
      </c>
      <c r="DK55">
        <v>17974</v>
      </c>
      <c r="DL55">
        <v>0</v>
      </c>
      <c r="DM55">
        <v>0</v>
      </c>
    </row>
    <row r="56" spans="1:117" x14ac:dyDescent="0.3">
      <c r="A56" t="s">
        <v>160</v>
      </c>
      <c r="B56">
        <v>2026</v>
      </c>
      <c r="C56">
        <v>124639384</v>
      </c>
      <c r="D56">
        <v>152153.4</v>
      </c>
      <c r="E56">
        <v>2112164.7999999998</v>
      </c>
      <c r="F56">
        <v>683793.4</v>
      </c>
      <c r="G56">
        <v>127587506.8</v>
      </c>
      <c r="H56">
        <v>120158246.5</v>
      </c>
      <c r="I56">
        <v>96882525.900000006</v>
      </c>
      <c r="J56">
        <v>46077176</v>
      </c>
      <c r="K56">
        <v>56509430</v>
      </c>
      <c r="L56">
        <v>3.5900000000000001E-2</v>
      </c>
      <c r="M56">
        <v>5.3999999999999999E-2</v>
      </c>
      <c r="N56">
        <v>0.13500000000000001</v>
      </c>
      <c r="O56">
        <v>39063.910000000003</v>
      </c>
      <c r="P56">
        <v>28643.7</v>
      </c>
      <c r="Q56">
        <v>0.71</v>
      </c>
      <c r="R56">
        <v>0.71</v>
      </c>
      <c r="S56">
        <v>117.1</v>
      </c>
      <c r="T56">
        <v>2.2999999999999998</v>
      </c>
      <c r="U56">
        <v>0.24</v>
      </c>
      <c r="V56">
        <v>17.3</v>
      </c>
      <c r="W56">
        <v>614.29999999999995</v>
      </c>
      <c r="X56">
        <v>0.1</v>
      </c>
      <c r="Y56">
        <v>117.3</v>
      </c>
      <c r="Z56">
        <v>35.700000000000003</v>
      </c>
      <c r="AA56">
        <v>152.9</v>
      </c>
      <c r="AB56">
        <v>122.8</v>
      </c>
      <c r="AC56">
        <v>2.5</v>
      </c>
      <c r="AD56">
        <v>0.26</v>
      </c>
      <c r="AE56">
        <v>18.2</v>
      </c>
      <c r="AF56">
        <v>642.4</v>
      </c>
      <c r="AG56">
        <v>0.1</v>
      </c>
      <c r="AH56">
        <v>122.9</v>
      </c>
      <c r="AI56">
        <v>37.4</v>
      </c>
      <c r="AJ56">
        <v>160.30000000000001</v>
      </c>
      <c r="AK56">
        <v>254</v>
      </c>
      <c r="AL56">
        <v>5.6</v>
      </c>
      <c r="AM56">
        <v>0.64</v>
      </c>
      <c r="AN56">
        <v>29.6</v>
      </c>
      <c r="AO56">
        <v>1278.3</v>
      </c>
      <c r="AP56">
        <v>0.13</v>
      </c>
      <c r="AQ56">
        <v>254.4</v>
      </c>
      <c r="AR56">
        <v>67.7</v>
      </c>
      <c r="AS56">
        <v>322.10000000000002</v>
      </c>
      <c r="AT56">
        <v>584.5</v>
      </c>
      <c r="AU56">
        <v>31.8</v>
      </c>
      <c r="AV56">
        <v>4.4000000000000004</v>
      </c>
      <c r="AW56">
        <v>51.5</v>
      </c>
      <c r="AX56">
        <v>2313.3000000000002</v>
      </c>
      <c r="AY56">
        <v>0.33</v>
      </c>
      <c r="AZ56">
        <v>586.70000000000005</v>
      </c>
      <c r="BA56">
        <v>120.5</v>
      </c>
      <c r="BB56">
        <v>707.2</v>
      </c>
      <c r="BC56">
        <v>16074777.199999999</v>
      </c>
      <c r="BD56">
        <v>320.89999999999998</v>
      </c>
      <c r="BE56">
        <v>33.1</v>
      </c>
      <c r="BF56">
        <v>2378390.4</v>
      </c>
      <c r="BG56">
        <v>84306.9</v>
      </c>
      <c r="BH56">
        <v>13.5</v>
      </c>
      <c r="BI56">
        <v>16093388.5</v>
      </c>
      <c r="BJ56">
        <v>4894431.4000000004</v>
      </c>
      <c r="BK56">
        <v>20987819.899999999</v>
      </c>
      <c r="BL56">
        <v>0</v>
      </c>
      <c r="BM56">
        <v>28.6</v>
      </c>
      <c r="BN56">
        <v>7.86</v>
      </c>
      <c r="BO56">
        <v>1.06</v>
      </c>
      <c r="BP56">
        <v>37.520000000000003</v>
      </c>
      <c r="BQ56">
        <v>30.4</v>
      </c>
      <c r="BR56">
        <v>8.66</v>
      </c>
      <c r="BS56">
        <v>1.1399999999999999</v>
      </c>
      <c r="BT56">
        <v>40.19</v>
      </c>
      <c r="BU56">
        <v>138127820</v>
      </c>
      <c r="BV56">
        <v>30704980</v>
      </c>
      <c r="BW56">
        <v>129960.1</v>
      </c>
      <c r="BX56">
        <v>6460120</v>
      </c>
      <c r="BY56">
        <v>0</v>
      </c>
      <c r="BZ56">
        <v>24597320</v>
      </c>
      <c r="CA56">
        <v>155105.4</v>
      </c>
      <c r="CB56">
        <v>0</v>
      </c>
      <c r="CC56">
        <v>0</v>
      </c>
      <c r="CD56">
        <v>6513414</v>
      </c>
      <c r="CE56">
        <v>40228570</v>
      </c>
      <c r="CF56">
        <v>0</v>
      </c>
      <c r="CG56">
        <v>106248</v>
      </c>
      <c r="CH56">
        <v>0</v>
      </c>
      <c r="CI56">
        <v>7538838.5</v>
      </c>
      <c r="CJ56">
        <v>26463058</v>
      </c>
      <c r="CK56">
        <v>29147.9</v>
      </c>
      <c r="CL56">
        <v>1714472.8</v>
      </c>
      <c r="CM56">
        <v>0</v>
      </c>
      <c r="CN56">
        <v>5668230</v>
      </c>
      <c r="CO56">
        <v>6416181.5</v>
      </c>
      <c r="CP56">
        <v>12107156</v>
      </c>
      <c r="CQ56">
        <v>155.69999999999999</v>
      </c>
      <c r="CR56">
        <v>1068.5999999999999</v>
      </c>
      <c r="CS56">
        <v>0</v>
      </c>
      <c r="CT56">
        <v>438.5</v>
      </c>
      <c r="CU56">
        <v>0</v>
      </c>
      <c r="CV56">
        <v>0</v>
      </c>
      <c r="CW56">
        <v>4944.3999999999996</v>
      </c>
      <c r="CX56">
        <v>12900.2</v>
      </c>
      <c r="CY56">
        <v>0</v>
      </c>
      <c r="CZ56">
        <v>2241.1</v>
      </c>
      <c r="DA56">
        <v>0</v>
      </c>
      <c r="DB56">
        <v>1957.5</v>
      </c>
      <c r="DC56">
        <v>3320.9</v>
      </c>
      <c r="DD56">
        <v>2576.5</v>
      </c>
      <c r="DE56">
        <v>1797.4</v>
      </c>
      <c r="DF56">
        <v>0</v>
      </c>
      <c r="DG56">
        <v>3018.6</v>
      </c>
      <c r="DH56">
        <v>3154</v>
      </c>
      <c r="DI56">
        <v>1904.9</v>
      </c>
      <c r="DJ56">
        <v>379.1</v>
      </c>
      <c r="DK56">
        <v>17974</v>
      </c>
      <c r="DL56">
        <v>0</v>
      </c>
      <c r="DM56">
        <v>0</v>
      </c>
    </row>
    <row r="57" spans="1:117" x14ac:dyDescent="0.3">
      <c r="A57" t="s">
        <v>160</v>
      </c>
      <c r="B57">
        <v>2028</v>
      </c>
      <c r="C57">
        <v>127184500</v>
      </c>
      <c r="D57">
        <v>1014507.4</v>
      </c>
      <c r="E57">
        <v>2453155.5</v>
      </c>
      <c r="F57">
        <v>679577.7</v>
      </c>
      <c r="G57">
        <v>131331745.09999999</v>
      </c>
      <c r="H57">
        <v>122611875.40000001</v>
      </c>
      <c r="I57">
        <v>92171307.099999994</v>
      </c>
      <c r="J57">
        <v>42712196</v>
      </c>
      <c r="K57">
        <v>56931270</v>
      </c>
      <c r="L57">
        <v>3.5900000000000001E-2</v>
      </c>
      <c r="M57">
        <v>5.3999999999999999E-2</v>
      </c>
      <c r="N57">
        <v>0.13500000000000001</v>
      </c>
      <c r="O57">
        <v>46071.28</v>
      </c>
      <c r="P57">
        <v>29580.2</v>
      </c>
      <c r="Q57">
        <v>0.73</v>
      </c>
      <c r="R57">
        <v>0.73</v>
      </c>
      <c r="S57">
        <v>106.4</v>
      </c>
      <c r="T57">
        <v>2</v>
      </c>
      <c r="U57">
        <v>0.2</v>
      </c>
      <c r="V57">
        <v>16</v>
      </c>
      <c r="W57">
        <v>561.79999999999995</v>
      </c>
      <c r="X57">
        <v>0.09</v>
      </c>
      <c r="Y57">
        <v>106.5</v>
      </c>
      <c r="Z57">
        <v>32.700000000000003</v>
      </c>
      <c r="AA57">
        <v>139.30000000000001</v>
      </c>
      <c r="AB57">
        <v>112.5</v>
      </c>
      <c r="AC57">
        <v>2.1</v>
      </c>
      <c r="AD57">
        <v>0.22</v>
      </c>
      <c r="AE57">
        <v>17</v>
      </c>
      <c r="AF57">
        <v>593.29999999999995</v>
      </c>
      <c r="AG57">
        <v>0.1</v>
      </c>
      <c r="AH57">
        <v>112.6</v>
      </c>
      <c r="AI57">
        <v>34.700000000000003</v>
      </c>
      <c r="AJ57">
        <v>147.30000000000001</v>
      </c>
      <c r="AK57">
        <v>217.1</v>
      </c>
      <c r="AL57">
        <v>4.2</v>
      </c>
      <c r="AM57">
        <v>0.44</v>
      </c>
      <c r="AN57">
        <v>25.6</v>
      </c>
      <c r="AO57">
        <v>1122.4000000000001</v>
      </c>
      <c r="AP57">
        <v>0.1</v>
      </c>
      <c r="AQ57">
        <v>217.3</v>
      </c>
      <c r="AR57">
        <v>59.1</v>
      </c>
      <c r="AS57">
        <v>276.39999999999998</v>
      </c>
      <c r="AT57">
        <v>527.5</v>
      </c>
      <c r="AU57">
        <v>25.3</v>
      </c>
      <c r="AV57">
        <v>3.46</v>
      </c>
      <c r="AW57">
        <v>49.8</v>
      </c>
      <c r="AX57">
        <v>2190.9</v>
      </c>
      <c r="AY57">
        <v>0.3</v>
      </c>
      <c r="AZ57">
        <v>529.20000000000005</v>
      </c>
      <c r="BA57">
        <v>115.1</v>
      </c>
      <c r="BB57">
        <v>644.4</v>
      </c>
      <c r="BC57">
        <v>15411181.4</v>
      </c>
      <c r="BD57">
        <v>291.39999999999998</v>
      </c>
      <c r="BE57">
        <v>29.3</v>
      </c>
      <c r="BF57">
        <v>2313598</v>
      </c>
      <c r="BG57">
        <v>81347.5</v>
      </c>
      <c r="BH57">
        <v>13.2</v>
      </c>
      <c r="BI57">
        <v>15427867.6</v>
      </c>
      <c r="BJ57">
        <v>4741362.2</v>
      </c>
      <c r="BK57">
        <v>20169229.800000001</v>
      </c>
      <c r="BL57">
        <v>0</v>
      </c>
      <c r="BM57">
        <v>24.29</v>
      </c>
      <c r="BN57">
        <v>9.08</v>
      </c>
      <c r="BO57">
        <v>0.81</v>
      </c>
      <c r="BP57">
        <v>34.18</v>
      </c>
      <c r="BQ57">
        <v>25.93</v>
      </c>
      <c r="BR57">
        <v>10.08</v>
      </c>
      <c r="BS57">
        <v>0.88</v>
      </c>
      <c r="BT57">
        <v>36.89</v>
      </c>
      <c r="BU57">
        <v>145698220</v>
      </c>
      <c r="BV57">
        <v>39160436</v>
      </c>
      <c r="BW57">
        <v>872755.8</v>
      </c>
      <c r="BX57">
        <v>6436005.5</v>
      </c>
      <c r="BY57">
        <v>0</v>
      </c>
      <c r="BZ57">
        <v>24314008</v>
      </c>
      <c r="CA57">
        <v>1853.7</v>
      </c>
      <c r="CB57">
        <v>0</v>
      </c>
      <c r="CC57">
        <v>0</v>
      </c>
      <c r="CD57">
        <v>7252269</v>
      </c>
      <c r="CE57">
        <v>38988096</v>
      </c>
      <c r="CF57">
        <v>0</v>
      </c>
      <c r="CG57">
        <v>85303.4</v>
      </c>
      <c r="CH57">
        <v>0</v>
      </c>
      <c r="CI57">
        <v>7501107</v>
      </c>
      <c r="CJ57">
        <v>26311200</v>
      </c>
      <c r="CK57">
        <v>37834.6</v>
      </c>
      <c r="CL57">
        <v>1989616.6</v>
      </c>
      <c r="CM57">
        <v>0</v>
      </c>
      <c r="CN57">
        <v>5959445.5</v>
      </c>
      <c r="CO57">
        <v>7337866.5</v>
      </c>
      <c r="CP57">
        <v>18610858</v>
      </c>
      <c r="CQ57">
        <v>707.1</v>
      </c>
      <c r="CR57">
        <v>1068.5999999999999</v>
      </c>
      <c r="CS57">
        <v>0</v>
      </c>
      <c r="CT57">
        <v>330.5</v>
      </c>
      <c r="CU57">
        <v>0</v>
      </c>
      <c r="CV57">
        <v>0</v>
      </c>
      <c r="CW57">
        <v>5545.9</v>
      </c>
      <c r="CX57">
        <v>12900.2</v>
      </c>
      <c r="CY57">
        <v>0</v>
      </c>
      <c r="CZ57">
        <v>2236.1999999999998</v>
      </c>
      <c r="DA57">
        <v>0</v>
      </c>
      <c r="DB57">
        <v>1957.5</v>
      </c>
      <c r="DC57">
        <v>3320.9</v>
      </c>
      <c r="DD57">
        <v>2565.3000000000002</v>
      </c>
      <c r="DE57">
        <v>1770</v>
      </c>
      <c r="DF57">
        <v>0</v>
      </c>
      <c r="DG57">
        <v>3195.6</v>
      </c>
      <c r="DH57">
        <v>4796</v>
      </c>
      <c r="DI57">
        <v>2147.6999999999998</v>
      </c>
      <c r="DJ57">
        <v>2584.9</v>
      </c>
      <c r="DK57">
        <v>17700</v>
      </c>
      <c r="DL57">
        <v>0</v>
      </c>
      <c r="DM57">
        <v>0</v>
      </c>
    </row>
    <row r="58" spans="1:117" x14ac:dyDescent="0.3">
      <c r="A58" t="s">
        <v>160</v>
      </c>
      <c r="B58">
        <v>2030</v>
      </c>
      <c r="C58">
        <v>129913750</v>
      </c>
      <c r="D58">
        <v>2201189.5</v>
      </c>
      <c r="E58">
        <v>2677282.2000000002</v>
      </c>
      <c r="F58">
        <v>570178.19999999995</v>
      </c>
      <c r="G58">
        <v>135362402.40000001</v>
      </c>
      <c r="H58">
        <v>125243034.90000001</v>
      </c>
      <c r="I58">
        <v>87942348</v>
      </c>
      <c r="J58">
        <v>36767900</v>
      </c>
      <c r="K58">
        <v>50085624</v>
      </c>
      <c r="L58">
        <v>3.5900000000000001E-2</v>
      </c>
      <c r="M58">
        <v>5.3999999999999999E-2</v>
      </c>
      <c r="N58">
        <v>0.13500000000000001</v>
      </c>
      <c r="O58">
        <v>65885.929999999993</v>
      </c>
      <c r="P58">
        <v>30853.599999999999</v>
      </c>
      <c r="Q58">
        <v>0.77</v>
      </c>
      <c r="R58">
        <v>0.76</v>
      </c>
      <c r="S58">
        <v>91</v>
      </c>
      <c r="T58">
        <v>1.7</v>
      </c>
      <c r="U58">
        <v>0.17</v>
      </c>
      <c r="V58">
        <v>13.9</v>
      </c>
      <c r="W58">
        <v>481.2</v>
      </c>
      <c r="X58">
        <v>0.08</v>
      </c>
      <c r="Y58">
        <v>91.1</v>
      </c>
      <c r="Z58">
        <v>28.2</v>
      </c>
      <c r="AA58">
        <v>119.4</v>
      </c>
      <c r="AB58">
        <v>101.1</v>
      </c>
      <c r="AC58">
        <v>1.9</v>
      </c>
      <c r="AD58">
        <v>0.2</v>
      </c>
      <c r="AE58">
        <v>15.4</v>
      </c>
      <c r="AF58">
        <v>533.5</v>
      </c>
      <c r="AG58">
        <v>0.09</v>
      </c>
      <c r="AH58">
        <v>101.2</v>
      </c>
      <c r="AI58">
        <v>31.4</v>
      </c>
      <c r="AJ58">
        <v>132.5</v>
      </c>
      <c r="AK58">
        <v>194</v>
      </c>
      <c r="AL58">
        <v>3.8</v>
      </c>
      <c r="AM58">
        <v>0.4</v>
      </c>
      <c r="AN58">
        <v>22.9</v>
      </c>
      <c r="AO58">
        <v>999.3</v>
      </c>
      <c r="AP58">
        <v>0.09</v>
      </c>
      <c r="AQ58">
        <v>194.2</v>
      </c>
      <c r="AR58">
        <v>52.7</v>
      </c>
      <c r="AS58">
        <v>246.9</v>
      </c>
      <c r="AT58">
        <v>494.9</v>
      </c>
      <c r="AU58">
        <v>22.8</v>
      </c>
      <c r="AV58">
        <v>3.07</v>
      </c>
      <c r="AW58">
        <v>47.4</v>
      </c>
      <c r="AX58">
        <v>2112.1999999999998</v>
      </c>
      <c r="AY58">
        <v>0.27</v>
      </c>
      <c r="AZ58">
        <v>496.4</v>
      </c>
      <c r="BA58">
        <v>110.4</v>
      </c>
      <c r="BB58">
        <v>606.79999999999995</v>
      </c>
      <c r="BC58">
        <v>13459029.9</v>
      </c>
      <c r="BD58">
        <v>254.2</v>
      </c>
      <c r="BE58">
        <v>25.5</v>
      </c>
      <c r="BF58">
        <v>2052362.5</v>
      </c>
      <c r="BG58">
        <v>71136.600000000006</v>
      </c>
      <c r="BH58">
        <v>12.2</v>
      </c>
      <c r="BI58">
        <v>13473578.699999999</v>
      </c>
      <c r="BJ58">
        <v>4175559</v>
      </c>
      <c r="BK58">
        <v>17649137.699999999</v>
      </c>
      <c r="BL58">
        <v>0</v>
      </c>
      <c r="BM58">
        <v>23.53</v>
      </c>
      <c r="BN58">
        <v>12.89</v>
      </c>
      <c r="BO58">
        <v>0.43</v>
      </c>
      <c r="BP58">
        <v>36.85</v>
      </c>
      <c r="BQ58">
        <v>25.23</v>
      </c>
      <c r="BR58">
        <v>14.44</v>
      </c>
      <c r="BS58">
        <v>0.47</v>
      </c>
      <c r="BT58">
        <v>40.15</v>
      </c>
      <c r="BU58">
        <v>148870060</v>
      </c>
      <c r="BV58">
        <v>47420056</v>
      </c>
      <c r="BW58">
        <v>1863237.2</v>
      </c>
      <c r="BX58">
        <v>5675408.5</v>
      </c>
      <c r="BY58">
        <v>0</v>
      </c>
      <c r="BZ58">
        <v>23872054</v>
      </c>
      <c r="CA58">
        <v>0</v>
      </c>
      <c r="CB58">
        <v>0</v>
      </c>
      <c r="CC58">
        <v>0</v>
      </c>
      <c r="CD58">
        <v>8248931</v>
      </c>
      <c r="CE58">
        <v>34189610</v>
      </c>
      <c r="CF58">
        <v>0</v>
      </c>
      <c r="CG58">
        <v>84126.6</v>
      </c>
      <c r="CH58">
        <v>0</v>
      </c>
      <c r="CI58">
        <v>7493241.5</v>
      </c>
      <c r="CJ58">
        <v>26081988</v>
      </c>
      <c r="CK58">
        <v>28349.5</v>
      </c>
      <c r="CL58">
        <v>2161989.7999999998</v>
      </c>
      <c r="CM58">
        <v>0</v>
      </c>
      <c r="CN58">
        <v>6312323</v>
      </c>
      <c r="CO58">
        <v>10313039</v>
      </c>
      <c r="CP58">
        <v>22545760</v>
      </c>
      <c r="CQ58">
        <v>1555.5</v>
      </c>
      <c r="CR58">
        <v>973.5</v>
      </c>
      <c r="CS58">
        <v>0</v>
      </c>
      <c r="CT58">
        <v>252.5</v>
      </c>
      <c r="CU58">
        <v>0</v>
      </c>
      <c r="CV58">
        <v>0</v>
      </c>
      <c r="CW58">
        <v>6338.3</v>
      </c>
      <c r="CX58">
        <v>12792.3</v>
      </c>
      <c r="CY58">
        <v>0</v>
      </c>
      <c r="CZ58">
        <v>2228.6</v>
      </c>
      <c r="DA58">
        <v>0</v>
      </c>
      <c r="DB58">
        <v>1972.5</v>
      </c>
      <c r="DC58">
        <v>3320.9</v>
      </c>
      <c r="DD58">
        <v>2005.3</v>
      </c>
      <c r="DE58">
        <v>1768</v>
      </c>
      <c r="DF58">
        <v>0</v>
      </c>
      <c r="DG58">
        <v>3401.5</v>
      </c>
      <c r="DH58">
        <v>5786</v>
      </c>
      <c r="DI58">
        <v>2940.1</v>
      </c>
      <c r="DJ58">
        <v>5816.2</v>
      </c>
      <c r="DK58">
        <v>17680</v>
      </c>
      <c r="DL58">
        <v>0</v>
      </c>
      <c r="DM58">
        <v>0</v>
      </c>
    </row>
    <row r="59" spans="1:117" x14ac:dyDescent="0.3">
      <c r="A59" t="s">
        <v>160</v>
      </c>
      <c r="B59">
        <v>2035</v>
      </c>
      <c r="C59">
        <v>138157630</v>
      </c>
      <c r="D59">
        <v>3847980.8</v>
      </c>
      <c r="E59">
        <v>2609243.2000000002</v>
      </c>
      <c r="F59">
        <v>552458.5</v>
      </c>
      <c r="G59">
        <v>145167314.90000001</v>
      </c>
      <c r="H59">
        <v>133190627.09999999</v>
      </c>
      <c r="I59">
        <v>87313486.599999994</v>
      </c>
      <c r="J59">
        <v>38515180</v>
      </c>
      <c r="K59">
        <v>43250870</v>
      </c>
      <c r="L59">
        <v>3.5900000000000001E-2</v>
      </c>
      <c r="M59">
        <v>5.3999999999999999E-2</v>
      </c>
      <c r="N59">
        <v>0.13500000000000001</v>
      </c>
      <c r="O59">
        <v>99522.13</v>
      </c>
      <c r="P59">
        <v>34516.699999999997</v>
      </c>
      <c r="Q59">
        <v>0.81</v>
      </c>
      <c r="R59">
        <v>0.81</v>
      </c>
      <c r="S59">
        <v>74.3</v>
      </c>
      <c r="T59">
        <v>1.4</v>
      </c>
      <c r="U59">
        <v>0.14000000000000001</v>
      </c>
      <c r="V59">
        <v>11.3</v>
      </c>
      <c r="W59">
        <v>392.9</v>
      </c>
      <c r="X59">
        <v>7.0000000000000007E-2</v>
      </c>
      <c r="Y59">
        <v>74.400000000000006</v>
      </c>
      <c r="Z59">
        <v>23</v>
      </c>
      <c r="AA59">
        <v>97.4</v>
      </c>
      <c r="AB59">
        <v>76.7</v>
      </c>
      <c r="AC59">
        <v>1.5</v>
      </c>
      <c r="AD59">
        <v>0.15</v>
      </c>
      <c r="AE59">
        <v>11.7</v>
      </c>
      <c r="AF59">
        <v>404.7</v>
      </c>
      <c r="AG59">
        <v>0.08</v>
      </c>
      <c r="AH59">
        <v>76.8</v>
      </c>
      <c r="AI59">
        <v>23.8</v>
      </c>
      <c r="AJ59">
        <v>100.6</v>
      </c>
      <c r="AK59">
        <v>179.7</v>
      </c>
      <c r="AL59">
        <v>3.6</v>
      </c>
      <c r="AM59">
        <v>0.38</v>
      </c>
      <c r="AN59">
        <v>21.2</v>
      </c>
      <c r="AO59">
        <v>924.3</v>
      </c>
      <c r="AP59">
        <v>0.09</v>
      </c>
      <c r="AQ59">
        <v>179.9</v>
      </c>
      <c r="AR59">
        <v>48.8</v>
      </c>
      <c r="AS59">
        <v>228.7</v>
      </c>
      <c r="AT59">
        <v>452.3</v>
      </c>
      <c r="AU59">
        <v>18.899999999999999</v>
      </c>
      <c r="AV59">
        <v>2.5099999999999998</v>
      </c>
      <c r="AW59">
        <v>45.4</v>
      </c>
      <c r="AX59">
        <v>1986.1</v>
      </c>
      <c r="AY59">
        <v>0.25</v>
      </c>
      <c r="AZ59">
        <v>453.6</v>
      </c>
      <c r="BA59">
        <v>104.7</v>
      </c>
      <c r="BB59">
        <v>558.29999999999995</v>
      </c>
      <c r="BC59">
        <v>11071463</v>
      </c>
      <c r="BD59">
        <v>209.5</v>
      </c>
      <c r="BE59">
        <v>21.1</v>
      </c>
      <c r="BF59">
        <v>1682124.9</v>
      </c>
      <c r="BG59">
        <v>58537</v>
      </c>
      <c r="BH59">
        <v>10.7</v>
      </c>
      <c r="BI59">
        <v>11083457.4</v>
      </c>
      <c r="BJ59">
        <v>3429449.9</v>
      </c>
      <c r="BK59">
        <v>14512907.300000001</v>
      </c>
      <c r="BL59">
        <v>0</v>
      </c>
      <c r="BM59">
        <v>22.02</v>
      </c>
      <c r="BN59">
        <v>20.05</v>
      </c>
      <c r="BO59">
        <v>0.3</v>
      </c>
      <c r="BP59">
        <v>42.37</v>
      </c>
      <c r="BQ59">
        <v>23.71</v>
      </c>
      <c r="BR59">
        <v>22.67</v>
      </c>
      <c r="BS59">
        <v>0.33</v>
      </c>
      <c r="BT59">
        <v>46.72</v>
      </c>
      <c r="BU59">
        <v>150085440</v>
      </c>
      <c r="BV59">
        <v>57853830</v>
      </c>
      <c r="BW59">
        <v>3268978</v>
      </c>
      <c r="BX59">
        <v>3715485.5</v>
      </c>
      <c r="BY59">
        <v>0</v>
      </c>
      <c r="BZ59">
        <v>21660106</v>
      </c>
      <c r="CA59">
        <v>1853.7</v>
      </c>
      <c r="CB59">
        <v>0</v>
      </c>
      <c r="CC59">
        <v>0</v>
      </c>
      <c r="CD59">
        <v>9285512</v>
      </c>
      <c r="CE59">
        <v>27953834</v>
      </c>
      <c r="CF59">
        <v>0</v>
      </c>
      <c r="CG59">
        <v>305566.90000000002</v>
      </c>
      <c r="CH59">
        <v>0</v>
      </c>
      <c r="CI59">
        <v>7366241</v>
      </c>
      <c r="CJ59">
        <v>25842428</v>
      </c>
      <c r="CK59">
        <v>28500.5</v>
      </c>
      <c r="CL59">
        <v>2088614.4</v>
      </c>
      <c r="CM59">
        <v>0</v>
      </c>
      <c r="CN59">
        <v>6183551.5</v>
      </c>
      <c r="CO59">
        <v>10179249</v>
      </c>
      <c r="CP59">
        <v>32205516</v>
      </c>
      <c r="CQ59">
        <v>2714.7</v>
      </c>
      <c r="CR59">
        <v>717.7</v>
      </c>
      <c r="CS59">
        <v>0</v>
      </c>
      <c r="CT59">
        <v>252.5</v>
      </c>
      <c r="CU59">
        <v>0</v>
      </c>
      <c r="CV59">
        <v>0</v>
      </c>
      <c r="CW59">
        <v>7295.3</v>
      </c>
      <c r="CX59">
        <v>12696.2</v>
      </c>
      <c r="CY59">
        <v>0</v>
      </c>
      <c r="CZ59">
        <v>4299.6000000000004</v>
      </c>
      <c r="DA59">
        <v>0</v>
      </c>
      <c r="DB59">
        <v>1972.5</v>
      </c>
      <c r="DC59">
        <v>3320.9</v>
      </c>
      <c r="DD59">
        <v>1874.7</v>
      </c>
      <c r="DE59">
        <v>1768</v>
      </c>
      <c r="DF59">
        <v>0</v>
      </c>
      <c r="DG59">
        <v>3442.7</v>
      </c>
      <c r="DH59">
        <v>8186</v>
      </c>
      <c r="DI59">
        <v>2943.5</v>
      </c>
      <c r="DJ59">
        <v>10587.6</v>
      </c>
      <c r="DK59">
        <v>17680</v>
      </c>
      <c r="DL59">
        <v>0</v>
      </c>
      <c r="DM59">
        <v>0</v>
      </c>
    </row>
    <row r="60" spans="1:117" x14ac:dyDescent="0.3">
      <c r="A60" t="s">
        <v>160</v>
      </c>
      <c r="B60">
        <v>2040</v>
      </c>
      <c r="C60">
        <v>148184180</v>
      </c>
      <c r="D60">
        <v>7080454.5</v>
      </c>
      <c r="E60">
        <v>2551997.2000000002</v>
      </c>
      <c r="F60">
        <v>639195.6</v>
      </c>
      <c r="G60">
        <v>158455818.69999999</v>
      </c>
      <c r="H60">
        <v>142856741.59999999</v>
      </c>
      <c r="I60">
        <v>100332852.40000001</v>
      </c>
      <c r="J60">
        <v>48874044</v>
      </c>
      <c r="K60">
        <v>42783836</v>
      </c>
      <c r="L60">
        <v>3.5900000000000001E-2</v>
      </c>
      <c r="M60">
        <v>5.3900000000000003E-2</v>
      </c>
      <c r="N60">
        <v>0.13500000000000001</v>
      </c>
      <c r="O60">
        <v>98384.72</v>
      </c>
      <c r="P60">
        <v>38394.400000000001</v>
      </c>
      <c r="Q60">
        <v>0.81</v>
      </c>
      <c r="R60">
        <v>0.81</v>
      </c>
      <c r="S60">
        <v>77.3</v>
      </c>
      <c r="T60">
        <v>1.5</v>
      </c>
      <c r="U60">
        <v>0.15</v>
      </c>
      <c r="V60">
        <v>11.4</v>
      </c>
      <c r="W60">
        <v>408.4</v>
      </c>
      <c r="X60">
        <v>7.0000000000000007E-2</v>
      </c>
      <c r="Y60">
        <v>77.400000000000006</v>
      </c>
      <c r="Z60">
        <v>23.6</v>
      </c>
      <c r="AA60">
        <v>101</v>
      </c>
      <c r="AB60">
        <v>77.900000000000006</v>
      </c>
      <c r="AC60">
        <v>1.5</v>
      </c>
      <c r="AD60">
        <v>0.15</v>
      </c>
      <c r="AE60">
        <v>11.6</v>
      </c>
      <c r="AF60">
        <v>411</v>
      </c>
      <c r="AG60">
        <v>0.08</v>
      </c>
      <c r="AH60">
        <v>78</v>
      </c>
      <c r="AI60">
        <v>23.9</v>
      </c>
      <c r="AJ60">
        <v>101.9</v>
      </c>
      <c r="AK60">
        <v>167.1</v>
      </c>
      <c r="AL60">
        <v>3.4</v>
      </c>
      <c r="AM60">
        <v>0.36</v>
      </c>
      <c r="AN60">
        <v>19.7</v>
      </c>
      <c r="AO60">
        <v>860.3</v>
      </c>
      <c r="AP60">
        <v>0.08</v>
      </c>
      <c r="AQ60">
        <v>167.3</v>
      </c>
      <c r="AR60">
        <v>45.3</v>
      </c>
      <c r="AS60">
        <v>212.7</v>
      </c>
      <c r="AT60">
        <v>432.6</v>
      </c>
      <c r="AU60">
        <v>14.4</v>
      </c>
      <c r="AV60">
        <v>1.83</v>
      </c>
      <c r="AW60">
        <v>46.7</v>
      </c>
      <c r="AX60">
        <v>2019.6</v>
      </c>
      <c r="AY60">
        <v>0.24</v>
      </c>
      <c r="AZ60">
        <v>433.5</v>
      </c>
      <c r="BA60">
        <v>106.9</v>
      </c>
      <c r="BB60">
        <v>540.5</v>
      </c>
      <c r="BC60">
        <v>11699261</v>
      </c>
      <c r="BD60">
        <v>221</v>
      </c>
      <c r="BE60">
        <v>22.2</v>
      </c>
      <c r="BF60">
        <v>1732557.2</v>
      </c>
      <c r="BG60">
        <v>61812.6</v>
      </c>
      <c r="BH60">
        <v>10.9</v>
      </c>
      <c r="BI60">
        <v>11711905.4</v>
      </c>
      <c r="BJ60">
        <v>3577536.5</v>
      </c>
      <c r="BK60">
        <v>15289441.9</v>
      </c>
      <c r="BL60">
        <v>0</v>
      </c>
      <c r="BM60">
        <v>21.45</v>
      </c>
      <c r="BN60">
        <v>20.260000000000002</v>
      </c>
      <c r="BO60">
        <v>0.23</v>
      </c>
      <c r="BP60">
        <v>41.94</v>
      </c>
      <c r="BQ60">
        <v>23.22</v>
      </c>
      <c r="BR60">
        <v>23.35</v>
      </c>
      <c r="BS60">
        <v>0.25</v>
      </c>
      <c r="BT60">
        <v>46.82</v>
      </c>
      <c r="BU60">
        <v>152496780</v>
      </c>
      <c r="BV60">
        <v>58122970</v>
      </c>
      <c r="BW60">
        <v>6057572</v>
      </c>
      <c r="BX60">
        <v>3156590</v>
      </c>
      <c r="BY60">
        <v>0</v>
      </c>
      <c r="BZ60">
        <v>20470698</v>
      </c>
      <c r="CA60">
        <v>0</v>
      </c>
      <c r="CB60">
        <v>0</v>
      </c>
      <c r="CC60">
        <v>0</v>
      </c>
      <c r="CD60">
        <v>9303164</v>
      </c>
      <c r="CE60">
        <v>28268806</v>
      </c>
      <c r="CF60">
        <v>0</v>
      </c>
      <c r="CG60">
        <v>1171514</v>
      </c>
      <c r="CH60">
        <v>0</v>
      </c>
      <c r="CI60">
        <v>7346872</v>
      </c>
      <c r="CJ60">
        <v>25831508</v>
      </c>
      <c r="CK60">
        <v>23706.6</v>
      </c>
      <c r="CL60">
        <v>2046555.6</v>
      </c>
      <c r="CM60">
        <v>0</v>
      </c>
      <c r="CN60">
        <v>6970210.5</v>
      </c>
      <c r="CO60">
        <v>10074486</v>
      </c>
      <c r="CP60">
        <v>31775108</v>
      </c>
      <c r="CQ60">
        <v>4416</v>
      </c>
      <c r="CR60">
        <v>644.79999999999995</v>
      </c>
      <c r="CS60">
        <v>0</v>
      </c>
      <c r="CT60">
        <v>252.5</v>
      </c>
      <c r="CU60">
        <v>0</v>
      </c>
      <c r="CV60">
        <v>0</v>
      </c>
      <c r="CW60">
        <v>7541.9</v>
      </c>
      <c r="CX60">
        <v>12391.1</v>
      </c>
      <c r="CY60">
        <v>0</v>
      </c>
      <c r="CZ60">
        <v>7686.8</v>
      </c>
      <c r="DA60">
        <v>0</v>
      </c>
      <c r="DB60">
        <v>1972.5</v>
      </c>
      <c r="DC60">
        <v>3320.9</v>
      </c>
      <c r="DD60">
        <v>1874.7</v>
      </c>
      <c r="DE60">
        <v>1768</v>
      </c>
      <c r="DF60">
        <v>0</v>
      </c>
      <c r="DG60">
        <v>3891.9</v>
      </c>
      <c r="DH60">
        <v>8186</v>
      </c>
      <c r="DI60">
        <v>2849.7</v>
      </c>
      <c r="DJ60">
        <v>19270</v>
      </c>
      <c r="DK60">
        <v>17680</v>
      </c>
      <c r="DL60">
        <v>0</v>
      </c>
      <c r="DM60">
        <v>0</v>
      </c>
    </row>
    <row r="61" spans="1:117" x14ac:dyDescent="0.3">
      <c r="A61" t="s">
        <v>160</v>
      </c>
      <c r="B61">
        <v>2045</v>
      </c>
      <c r="C61">
        <v>157577140</v>
      </c>
      <c r="D61">
        <v>9539591</v>
      </c>
      <c r="E61">
        <v>2332117</v>
      </c>
      <c r="F61">
        <v>656683.6</v>
      </c>
      <c r="G61">
        <v>170105529.19999999</v>
      </c>
      <c r="H61">
        <v>151911910.09999999</v>
      </c>
      <c r="I61">
        <v>109762233.90000001</v>
      </c>
      <c r="J61">
        <v>50980120</v>
      </c>
      <c r="K61">
        <v>43699080</v>
      </c>
      <c r="L61">
        <v>3.5900000000000001E-2</v>
      </c>
      <c r="M61">
        <v>5.3900000000000003E-2</v>
      </c>
      <c r="N61">
        <v>0.13500000000000001</v>
      </c>
      <c r="O61">
        <v>96549.43</v>
      </c>
      <c r="P61">
        <v>41498.800000000003</v>
      </c>
      <c r="Q61">
        <v>0.78</v>
      </c>
      <c r="R61">
        <v>0.79</v>
      </c>
      <c r="S61">
        <v>87.9</v>
      </c>
      <c r="T61">
        <v>1.7</v>
      </c>
      <c r="U61">
        <v>0.17</v>
      </c>
      <c r="V61">
        <v>12.6</v>
      </c>
      <c r="W61">
        <v>463.9</v>
      </c>
      <c r="X61">
        <v>7.0000000000000007E-2</v>
      </c>
      <c r="Y61">
        <v>88</v>
      </c>
      <c r="Z61">
        <v>26.4</v>
      </c>
      <c r="AA61">
        <v>114.4</v>
      </c>
      <c r="AB61">
        <v>88.5</v>
      </c>
      <c r="AC61">
        <v>1.7</v>
      </c>
      <c r="AD61">
        <v>0.17</v>
      </c>
      <c r="AE61">
        <v>12.8</v>
      </c>
      <c r="AF61">
        <v>466.5</v>
      </c>
      <c r="AG61">
        <v>0.08</v>
      </c>
      <c r="AH61">
        <v>88.6</v>
      </c>
      <c r="AI61">
        <v>26.7</v>
      </c>
      <c r="AJ61">
        <v>115.3</v>
      </c>
      <c r="AK61">
        <v>152.4</v>
      </c>
      <c r="AL61">
        <v>3.1</v>
      </c>
      <c r="AM61">
        <v>0.32</v>
      </c>
      <c r="AN61">
        <v>17.899999999999999</v>
      </c>
      <c r="AO61">
        <v>786.3</v>
      </c>
      <c r="AP61">
        <v>7.0000000000000007E-2</v>
      </c>
      <c r="AQ61">
        <v>152.6</v>
      </c>
      <c r="AR61">
        <v>41.4</v>
      </c>
      <c r="AS61">
        <v>194</v>
      </c>
      <c r="AT61">
        <v>446.8</v>
      </c>
      <c r="AU61">
        <v>13.7</v>
      </c>
      <c r="AV61">
        <v>1.7</v>
      </c>
      <c r="AW61">
        <v>49.2</v>
      </c>
      <c r="AX61">
        <v>2132.1</v>
      </c>
      <c r="AY61">
        <v>0.24</v>
      </c>
      <c r="AZ61">
        <v>447.7</v>
      </c>
      <c r="BA61">
        <v>112.8</v>
      </c>
      <c r="BB61">
        <v>560.5</v>
      </c>
      <c r="BC61">
        <v>14215805</v>
      </c>
      <c r="BD61">
        <v>268.10000000000002</v>
      </c>
      <c r="BE61">
        <v>26.9</v>
      </c>
      <c r="BF61">
        <v>2032889.9</v>
      </c>
      <c r="BG61">
        <v>75016.800000000003</v>
      </c>
      <c r="BH61">
        <v>12</v>
      </c>
      <c r="BI61">
        <v>14231129.300000001</v>
      </c>
      <c r="BJ61">
        <v>4271659.4000000004</v>
      </c>
      <c r="BK61">
        <v>18502788.699999999</v>
      </c>
      <c r="BL61">
        <v>0</v>
      </c>
      <c r="BM61">
        <v>21.35</v>
      </c>
      <c r="BN61">
        <v>20</v>
      </c>
      <c r="BO61">
        <v>0.32</v>
      </c>
      <c r="BP61">
        <v>41.68</v>
      </c>
      <c r="BQ61">
        <v>23.1</v>
      </c>
      <c r="BR61">
        <v>23.29</v>
      </c>
      <c r="BS61">
        <v>0.36</v>
      </c>
      <c r="BT61">
        <v>46.75</v>
      </c>
      <c r="BU61">
        <v>162950900</v>
      </c>
      <c r="BV61">
        <v>60343296</v>
      </c>
      <c r="BW61">
        <v>8100487</v>
      </c>
      <c r="BX61">
        <v>3209516</v>
      </c>
      <c r="BY61">
        <v>0</v>
      </c>
      <c r="BZ61">
        <v>20507206</v>
      </c>
      <c r="CA61">
        <v>0</v>
      </c>
      <c r="CB61">
        <v>0</v>
      </c>
      <c r="CC61">
        <v>0</v>
      </c>
      <c r="CD61">
        <v>9455518</v>
      </c>
      <c r="CE61">
        <v>33833896</v>
      </c>
      <c r="CF61">
        <v>0</v>
      </c>
      <c r="CG61">
        <v>1645571.2</v>
      </c>
      <c r="CH61">
        <v>0</v>
      </c>
      <c r="CI61">
        <v>7425887</v>
      </c>
      <c r="CJ61">
        <v>25994922</v>
      </c>
      <c r="CK61">
        <v>11025.6</v>
      </c>
      <c r="CL61">
        <v>1879080.4</v>
      </c>
      <c r="CM61">
        <v>0</v>
      </c>
      <c r="CN61">
        <v>8706681</v>
      </c>
      <c r="CO61">
        <v>10832036</v>
      </c>
      <c r="CP61">
        <v>31349060</v>
      </c>
      <c r="CQ61">
        <v>6097.3</v>
      </c>
      <c r="CR61">
        <v>644.79999999999995</v>
      </c>
      <c r="CS61">
        <v>0</v>
      </c>
      <c r="CT61">
        <v>0</v>
      </c>
      <c r="CU61">
        <v>0</v>
      </c>
      <c r="CV61">
        <v>0</v>
      </c>
      <c r="CW61">
        <v>7884.1</v>
      </c>
      <c r="CX61">
        <v>11970</v>
      </c>
      <c r="CY61">
        <v>0</v>
      </c>
      <c r="CZ61">
        <v>10060.299999999999</v>
      </c>
      <c r="DA61">
        <v>0</v>
      </c>
      <c r="DB61">
        <v>1972.5</v>
      </c>
      <c r="DC61">
        <v>3320.9</v>
      </c>
      <c r="DD61">
        <v>1314.7</v>
      </c>
      <c r="DE61">
        <v>1768</v>
      </c>
      <c r="DF61">
        <v>0</v>
      </c>
      <c r="DG61">
        <v>4671.6000000000004</v>
      </c>
      <c r="DH61">
        <v>8186</v>
      </c>
      <c r="DI61">
        <v>2945.9</v>
      </c>
      <c r="DJ61">
        <v>27377.5</v>
      </c>
      <c r="DK61">
        <v>17680</v>
      </c>
      <c r="DL61">
        <v>0</v>
      </c>
      <c r="DM61">
        <v>0</v>
      </c>
    </row>
    <row r="62" spans="1:117" x14ac:dyDescent="0.3">
      <c r="A62" t="s">
        <v>160</v>
      </c>
      <c r="B62">
        <v>2050</v>
      </c>
      <c r="C62">
        <v>167246540</v>
      </c>
      <c r="D62">
        <v>11775079</v>
      </c>
      <c r="E62">
        <v>2688919.5</v>
      </c>
      <c r="F62">
        <v>639404</v>
      </c>
      <c r="G62">
        <v>182349948.59999999</v>
      </c>
      <c r="H62">
        <v>161233383</v>
      </c>
      <c r="I62">
        <v>111652989.8</v>
      </c>
      <c r="J62">
        <v>51251200</v>
      </c>
      <c r="K62">
        <v>45976628</v>
      </c>
      <c r="L62">
        <v>3.5900000000000001E-2</v>
      </c>
      <c r="M62">
        <v>5.3999999999999999E-2</v>
      </c>
      <c r="N62">
        <v>0.13500000000000001</v>
      </c>
      <c r="O62">
        <v>95181.73</v>
      </c>
      <c r="P62">
        <v>44055.199999999997</v>
      </c>
      <c r="Q62">
        <v>0.79</v>
      </c>
      <c r="R62">
        <v>0.79</v>
      </c>
      <c r="S62">
        <v>86.8</v>
      </c>
      <c r="T62">
        <v>1.6</v>
      </c>
      <c r="U62">
        <v>0.16</v>
      </c>
      <c r="V62">
        <v>12.2</v>
      </c>
      <c r="W62">
        <v>457.9</v>
      </c>
      <c r="X62">
        <v>7.0000000000000007E-2</v>
      </c>
      <c r="Y62">
        <v>86.9</v>
      </c>
      <c r="Z62">
        <v>25.9</v>
      </c>
      <c r="AA62">
        <v>112.8</v>
      </c>
      <c r="AB62">
        <v>88.3</v>
      </c>
      <c r="AC62">
        <v>1.7</v>
      </c>
      <c r="AD62">
        <v>0.17</v>
      </c>
      <c r="AE62">
        <v>12.5</v>
      </c>
      <c r="AF62">
        <v>465.8</v>
      </c>
      <c r="AG62">
        <v>7.0000000000000007E-2</v>
      </c>
      <c r="AH62">
        <v>88.4</v>
      </c>
      <c r="AI62">
        <v>26.4</v>
      </c>
      <c r="AJ62">
        <v>114.9</v>
      </c>
      <c r="AK62">
        <v>143.6</v>
      </c>
      <c r="AL62">
        <v>2.9</v>
      </c>
      <c r="AM62">
        <v>0.3</v>
      </c>
      <c r="AN62">
        <v>16.899999999999999</v>
      </c>
      <c r="AO62">
        <v>741.9</v>
      </c>
      <c r="AP62">
        <v>7.0000000000000007E-2</v>
      </c>
      <c r="AQ62">
        <v>143.80000000000001</v>
      </c>
      <c r="AR62">
        <v>39</v>
      </c>
      <c r="AS62">
        <v>182.8</v>
      </c>
      <c r="AT62">
        <v>438.2</v>
      </c>
      <c r="AU62">
        <v>11.9</v>
      </c>
      <c r="AV62">
        <v>1.42</v>
      </c>
      <c r="AW62">
        <v>49.3</v>
      </c>
      <c r="AX62">
        <v>2154.3000000000002</v>
      </c>
      <c r="AY62">
        <v>0.22</v>
      </c>
      <c r="AZ62">
        <v>439</v>
      </c>
      <c r="BA62">
        <v>113.6</v>
      </c>
      <c r="BB62">
        <v>552.5</v>
      </c>
      <c r="BC62">
        <v>15283650.1</v>
      </c>
      <c r="BD62">
        <v>288.2</v>
      </c>
      <c r="BE62">
        <v>28.9</v>
      </c>
      <c r="BF62">
        <v>2154522.7000000002</v>
      </c>
      <c r="BG62">
        <v>80605.399999999994</v>
      </c>
      <c r="BH62">
        <v>12.4</v>
      </c>
      <c r="BI62">
        <v>15300114.4</v>
      </c>
      <c r="BJ62">
        <v>4559938.5</v>
      </c>
      <c r="BK62">
        <v>19860052.899999999</v>
      </c>
      <c r="BL62">
        <v>0</v>
      </c>
      <c r="BM62">
        <v>21.18</v>
      </c>
      <c r="BN62">
        <v>19.329999999999998</v>
      </c>
      <c r="BO62">
        <v>0.17</v>
      </c>
      <c r="BP62">
        <v>40.69</v>
      </c>
      <c r="BQ62">
        <v>23.07</v>
      </c>
      <c r="BR62">
        <v>22.73</v>
      </c>
      <c r="BS62">
        <v>0.19</v>
      </c>
      <c r="BT62">
        <v>45.99</v>
      </c>
      <c r="BU62">
        <v>177133400</v>
      </c>
      <c r="BV62">
        <v>70696960</v>
      </c>
      <c r="BW62">
        <v>10015959</v>
      </c>
      <c r="BX62">
        <v>3117859</v>
      </c>
      <c r="BY62">
        <v>0</v>
      </c>
      <c r="BZ62">
        <v>20503488</v>
      </c>
      <c r="CA62">
        <v>0</v>
      </c>
      <c r="CB62">
        <v>0</v>
      </c>
      <c r="CC62">
        <v>0</v>
      </c>
      <c r="CD62">
        <v>9722595</v>
      </c>
      <c r="CE62">
        <v>35079508</v>
      </c>
      <c r="CF62">
        <v>0</v>
      </c>
      <c r="CG62">
        <v>2564300.7999999998</v>
      </c>
      <c r="CH62">
        <v>0</v>
      </c>
      <c r="CI62">
        <v>7258913.5</v>
      </c>
      <c r="CJ62">
        <v>25748554</v>
      </c>
      <c r="CK62">
        <v>7051.2</v>
      </c>
      <c r="CL62">
        <v>2140811.2000000002</v>
      </c>
      <c r="CM62">
        <v>0</v>
      </c>
      <c r="CN62">
        <v>15179402</v>
      </c>
      <c r="CO62">
        <v>14836563</v>
      </c>
      <c r="CP62">
        <v>30958396</v>
      </c>
      <c r="CQ62">
        <v>7337.6</v>
      </c>
      <c r="CR62">
        <v>644.79999999999995</v>
      </c>
      <c r="CS62">
        <v>0</v>
      </c>
      <c r="CT62">
        <v>0</v>
      </c>
      <c r="CU62">
        <v>0</v>
      </c>
      <c r="CV62">
        <v>0</v>
      </c>
      <c r="CW62">
        <v>8333.2000000000007</v>
      </c>
      <c r="CX62">
        <v>10487.6</v>
      </c>
      <c r="CY62">
        <v>0</v>
      </c>
      <c r="CZ62">
        <v>12977.1</v>
      </c>
      <c r="DA62">
        <v>0</v>
      </c>
      <c r="DB62">
        <v>1972.5</v>
      </c>
      <c r="DC62">
        <v>3320.9</v>
      </c>
      <c r="DD62">
        <v>746.5</v>
      </c>
      <c r="DE62">
        <v>1768</v>
      </c>
      <c r="DF62">
        <v>0</v>
      </c>
      <c r="DG62">
        <v>7354.6</v>
      </c>
      <c r="DH62">
        <v>8186</v>
      </c>
      <c r="DI62">
        <v>3879.1</v>
      </c>
      <c r="DJ62">
        <v>32338.7</v>
      </c>
      <c r="DK62">
        <v>17680</v>
      </c>
      <c r="DL62">
        <v>0</v>
      </c>
      <c r="DM62">
        <v>0</v>
      </c>
    </row>
    <row r="63" spans="1:117" x14ac:dyDescent="0.3">
      <c r="A63" t="s">
        <v>161</v>
      </c>
      <c r="B63">
        <v>2024</v>
      </c>
      <c r="C63">
        <v>277861400</v>
      </c>
      <c r="D63">
        <v>415926.7</v>
      </c>
      <c r="E63">
        <v>179688.5</v>
      </c>
      <c r="F63">
        <v>5469964.5</v>
      </c>
      <c r="G63">
        <v>283926991.5</v>
      </c>
      <c r="H63">
        <v>267869030.90000001</v>
      </c>
      <c r="I63">
        <v>239778268.19999999</v>
      </c>
      <c r="J63">
        <v>229515360</v>
      </c>
      <c r="K63">
        <v>234560980</v>
      </c>
      <c r="L63">
        <v>3.5999999999999997E-2</v>
      </c>
      <c r="M63">
        <v>5.3999999999999999E-2</v>
      </c>
      <c r="N63">
        <v>0.14349999999999999</v>
      </c>
      <c r="O63">
        <v>50908.39</v>
      </c>
      <c r="P63">
        <v>52755</v>
      </c>
      <c r="Q63">
        <v>0.76</v>
      </c>
      <c r="R63">
        <v>0.76</v>
      </c>
      <c r="S63">
        <v>189.5</v>
      </c>
      <c r="T63">
        <v>17.899999999999999</v>
      </c>
      <c r="U63">
        <v>2.57</v>
      </c>
      <c r="V63">
        <v>9.9</v>
      </c>
      <c r="W63">
        <v>537.9</v>
      </c>
      <c r="X63">
        <v>0.1</v>
      </c>
      <c r="Y63">
        <v>190.7</v>
      </c>
      <c r="Z63">
        <v>26</v>
      </c>
      <c r="AA63">
        <v>216.7</v>
      </c>
      <c r="AB63">
        <v>196.8</v>
      </c>
      <c r="AC63">
        <v>18.7</v>
      </c>
      <c r="AD63">
        <v>2.69</v>
      </c>
      <c r="AE63">
        <v>10.199999999999999</v>
      </c>
      <c r="AF63">
        <v>555</v>
      </c>
      <c r="AG63">
        <v>0.1</v>
      </c>
      <c r="AH63">
        <v>198.1</v>
      </c>
      <c r="AI63">
        <v>26.8</v>
      </c>
      <c r="AJ63">
        <v>224.9</v>
      </c>
      <c r="AK63">
        <v>265.5</v>
      </c>
      <c r="AL63">
        <v>7.6</v>
      </c>
      <c r="AM63">
        <v>0.91</v>
      </c>
      <c r="AN63">
        <v>29</v>
      </c>
      <c r="AO63">
        <v>1304.7</v>
      </c>
      <c r="AP63">
        <v>0.12</v>
      </c>
      <c r="AQ63">
        <v>266</v>
      </c>
      <c r="AR63">
        <v>67.900000000000006</v>
      </c>
      <c r="AS63">
        <v>333.9</v>
      </c>
      <c r="AT63">
        <v>676.5</v>
      </c>
      <c r="AU63">
        <v>51.5</v>
      </c>
      <c r="AV63">
        <v>7.28</v>
      </c>
      <c r="AW63">
        <v>45.4</v>
      </c>
      <c r="AX63">
        <v>2289.3000000000002</v>
      </c>
      <c r="AY63">
        <v>0.34</v>
      </c>
      <c r="AZ63">
        <v>680</v>
      </c>
      <c r="BA63">
        <v>113.7</v>
      </c>
      <c r="BB63">
        <v>793.8</v>
      </c>
      <c r="BC63">
        <v>54332818.100000001</v>
      </c>
      <c r="BD63">
        <v>5137.8</v>
      </c>
      <c r="BE63">
        <v>737.4</v>
      </c>
      <c r="BF63">
        <v>2841692.4</v>
      </c>
      <c r="BG63">
        <v>154161</v>
      </c>
      <c r="BH63">
        <v>28.4</v>
      </c>
      <c r="BI63">
        <v>54687230.600000001</v>
      </c>
      <c r="BJ63">
        <v>7443453</v>
      </c>
      <c r="BK63">
        <v>62130683.5</v>
      </c>
      <c r="BL63">
        <v>0</v>
      </c>
      <c r="BM63">
        <v>28.43</v>
      </c>
      <c r="BN63">
        <v>9.01</v>
      </c>
      <c r="BO63">
        <v>0</v>
      </c>
      <c r="BP63">
        <v>37.44</v>
      </c>
      <c r="BQ63">
        <v>30.1</v>
      </c>
      <c r="BR63">
        <v>9.7200000000000006</v>
      </c>
      <c r="BS63">
        <v>0</v>
      </c>
      <c r="BT63">
        <v>39.82</v>
      </c>
      <c r="BU63">
        <v>289099620</v>
      </c>
      <c r="BV63">
        <v>44148724</v>
      </c>
      <c r="BW63">
        <v>351900.6</v>
      </c>
      <c r="BX63">
        <v>1895702.2</v>
      </c>
      <c r="BY63">
        <v>0</v>
      </c>
      <c r="BZ63">
        <v>8768596</v>
      </c>
      <c r="CA63">
        <v>39999676</v>
      </c>
      <c r="CB63">
        <v>0</v>
      </c>
      <c r="CC63">
        <v>223158.39999999999</v>
      </c>
      <c r="CD63">
        <v>2596831.7999999998</v>
      </c>
      <c r="CE63">
        <v>29582748</v>
      </c>
      <c r="CF63">
        <v>0</v>
      </c>
      <c r="CG63">
        <v>45888.800000000003</v>
      </c>
      <c r="CH63">
        <v>5848751.5</v>
      </c>
      <c r="CI63">
        <v>149234580</v>
      </c>
      <c r="CJ63">
        <v>9071488</v>
      </c>
      <c r="CK63">
        <v>4786.3</v>
      </c>
      <c r="CL63">
        <v>146778.5</v>
      </c>
      <c r="CM63">
        <v>0</v>
      </c>
      <c r="CN63">
        <v>11473924</v>
      </c>
      <c r="CO63">
        <v>29854810</v>
      </c>
      <c r="CP63">
        <v>0</v>
      </c>
      <c r="CQ63">
        <v>504.3</v>
      </c>
      <c r="CR63">
        <v>312.3</v>
      </c>
      <c r="CS63">
        <v>0</v>
      </c>
      <c r="CT63">
        <v>7986.4</v>
      </c>
      <c r="CU63">
        <v>0</v>
      </c>
      <c r="CV63">
        <v>110</v>
      </c>
      <c r="CW63">
        <v>1861.6</v>
      </c>
      <c r="CX63">
        <v>9059.2000000000007</v>
      </c>
      <c r="CY63">
        <v>0</v>
      </c>
      <c r="CZ63">
        <v>2648.9</v>
      </c>
      <c r="DA63">
        <v>785.4</v>
      </c>
      <c r="DB63">
        <v>36898.699999999997</v>
      </c>
      <c r="DC63">
        <v>1151</v>
      </c>
      <c r="DD63">
        <v>617</v>
      </c>
      <c r="DE63">
        <v>314</v>
      </c>
      <c r="DF63">
        <v>0</v>
      </c>
      <c r="DG63">
        <v>4688.8</v>
      </c>
      <c r="DH63">
        <v>0</v>
      </c>
      <c r="DI63">
        <v>11185.6</v>
      </c>
      <c r="DJ63">
        <v>1385.6</v>
      </c>
      <c r="DK63">
        <v>3140</v>
      </c>
      <c r="DL63">
        <v>0</v>
      </c>
      <c r="DM63">
        <v>0</v>
      </c>
    </row>
    <row r="64" spans="1:117" x14ac:dyDescent="0.3">
      <c r="A64" t="s">
        <v>161</v>
      </c>
      <c r="B64">
        <v>2026</v>
      </c>
      <c r="C64">
        <v>285316260</v>
      </c>
      <c r="D64">
        <v>1961179.8</v>
      </c>
      <c r="E64">
        <v>295773.8</v>
      </c>
      <c r="F64">
        <v>6039920.2000000002</v>
      </c>
      <c r="G64">
        <v>293613116.5</v>
      </c>
      <c r="H64">
        <v>275055780.80000001</v>
      </c>
      <c r="I64">
        <v>243536020</v>
      </c>
      <c r="J64">
        <v>258272800</v>
      </c>
      <c r="K64">
        <v>251257140</v>
      </c>
      <c r="L64">
        <v>3.5999999999999997E-2</v>
      </c>
      <c r="M64">
        <v>5.3999999999999999E-2</v>
      </c>
      <c r="N64">
        <v>0.14349999999999999</v>
      </c>
      <c r="O64">
        <v>60066.99</v>
      </c>
      <c r="P64">
        <v>54490.2</v>
      </c>
      <c r="Q64">
        <v>0.81</v>
      </c>
      <c r="R64">
        <v>0.81</v>
      </c>
      <c r="S64">
        <v>143.5</v>
      </c>
      <c r="T64">
        <v>13.2</v>
      </c>
      <c r="U64">
        <v>1.88</v>
      </c>
      <c r="V64">
        <v>8</v>
      </c>
      <c r="W64">
        <v>420.6</v>
      </c>
      <c r="X64">
        <v>0.08</v>
      </c>
      <c r="Y64">
        <v>144.5</v>
      </c>
      <c r="Z64">
        <v>20.6</v>
      </c>
      <c r="AA64">
        <v>165</v>
      </c>
      <c r="AB64">
        <v>151.80000000000001</v>
      </c>
      <c r="AC64">
        <v>14.1</v>
      </c>
      <c r="AD64">
        <v>2.0299999999999998</v>
      </c>
      <c r="AE64">
        <v>8.1999999999999993</v>
      </c>
      <c r="AF64">
        <v>437.5</v>
      </c>
      <c r="AG64">
        <v>0.08</v>
      </c>
      <c r="AH64">
        <v>152.69999999999999</v>
      </c>
      <c r="AI64">
        <v>21.3</v>
      </c>
      <c r="AJ64">
        <v>174.1</v>
      </c>
      <c r="AK64">
        <v>191.2</v>
      </c>
      <c r="AL64">
        <v>6.9</v>
      </c>
      <c r="AM64">
        <v>0.86</v>
      </c>
      <c r="AN64">
        <v>19.7</v>
      </c>
      <c r="AO64">
        <v>896.8</v>
      </c>
      <c r="AP64">
        <v>0.09</v>
      </c>
      <c r="AQ64">
        <v>191.6</v>
      </c>
      <c r="AR64">
        <v>46.4</v>
      </c>
      <c r="AS64">
        <v>238</v>
      </c>
      <c r="AT64">
        <v>604.20000000000005</v>
      </c>
      <c r="AU64">
        <v>43.1</v>
      </c>
      <c r="AV64">
        <v>6.06</v>
      </c>
      <c r="AW64">
        <v>43.2</v>
      </c>
      <c r="AX64">
        <v>2138.9</v>
      </c>
      <c r="AY64">
        <v>0.3</v>
      </c>
      <c r="AZ64">
        <v>607.1</v>
      </c>
      <c r="BA64">
        <v>107.1</v>
      </c>
      <c r="BB64">
        <v>714.2</v>
      </c>
      <c r="BC64">
        <v>40786160.399999999</v>
      </c>
      <c r="BD64">
        <v>3742.7</v>
      </c>
      <c r="BE64">
        <v>535.9</v>
      </c>
      <c r="BF64">
        <v>2272699.2999999998</v>
      </c>
      <c r="BG64">
        <v>119407.7</v>
      </c>
      <c r="BH64">
        <v>21.8</v>
      </c>
      <c r="BI64">
        <v>41043995.100000001</v>
      </c>
      <c r="BJ64">
        <v>5836996.9000000004</v>
      </c>
      <c r="BK64">
        <v>46880992</v>
      </c>
      <c r="BL64">
        <v>0</v>
      </c>
      <c r="BM64">
        <v>26.74</v>
      </c>
      <c r="BN64">
        <v>10.58</v>
      </c>
      <c r="BO64">
        <v>0</v>
      </c>
      <c r="BP64">
        <v>37.32</v>
      </c>
      <c r="BQ64">
        <v>28.38</v>
      </c>
      <c r="BR64">
        <v>11.48</v>
      </c>
      <c r="BS64">
        <v>0</v>
      </c>
      <c r="BT64">
        <v>39.86</v>
      </c>
      <c r="BU64">
        <v>286633570</v>
      </c>
      <c r="BV64">
        <v>50077096</v>
      </c>
      <c r="BW64">
        <v>1665078.1</v>
      </c>
      <c r="BX64">
        <v>1861153</v>
      </c>
      <c r="BY64">
        <v>0</v>
      </c>
      <c r="BZ64">
        <v>10671875</v>
      </c>
      <c r="CA64">
        <v>29347580</v>
      </c>
      <c r="CB64">
        <v>0</v>
      </c>
      <c r="CC64">
        <v>224728.6</v>
      </c>
      <c r="CD64">
        <v>3607382.5</v>
      </c>
      <c r="CE64">
        <v>25281858</v>
      </c>
      <c r="CF64">
        <v>0</v>
      </c>
      <c r="CG64">
        <v>35797.800000000003</v>
      </c>
      <c r="CH64">
        <v>5848751.5</v>
      </c>
      <c r="CI64">
        <v>152647650</v>
      </c>
      <c r="CJ64">
        <v>8958378</v>
      </c>
      <c r="CK64">
        <v>3059.9</v>
      </c>
      <c r="CL64">
        <v>235274.1</v>
      </c>
      <c r="CM64">
        <v>0</v>
      </c>
      <c r="CN64">
        <v>16531562</v>
      </c>
      <c r="CO64">
        <v>29713424</v>
      </c>
      <c r="CP64">
        <v>0</v>
      </c>
      <c r="CQ64">
        <v>1492.6</v>
      </c>
      <c r="CR64">
        <v>312.3</v>
      </c>
      <c r="CS64">
        <v>0</v>
      </c>
      <c r="CT64">
        <v>5903.8</v>
      </c>
      <c r="CU64">
        <v>0</v>
      </c>
      <c r="CV64">
        <v>110</v>
      </c>
      <c r="CW64">
        <v>2640.9</v>
      </c>
      <c r="CX64">
        <v>9059.2000000000007</v>
      </c>
      <c r="CY64">
        <v>0</v>
      </c>
      <c r="CZ64">
        <v>2648.9</v>
      </c>
      <c r="DA64">
        <v>785.4</v>
      </c>
      <c r="DB64">
        <v>37894.400000000001</v>
      </c>
      <c r="DC64">
        <v>1151</v>
      </c>
      <c r="DD64">
        <v>617</v>
      </c>
      <c r="DE64">
        <v>314</v>
      </c>
      <c r="DF64">
        <v>0</v>
      </c>
      <c r="DG64">
        <v>6504.2</v>
      </c>
      <c r="DH64">
        <v>0</v>
      </c>
      <c r="DI64">
        <v>11190.3</v>
      </c>
      <c r="DJ64">
        <v>5338.5</v>
      </c>
      <c r="DK64">
        <v>3140</v>
      </c>
      <c r="DL64">
        <v>0</v>
      </c>
      <c r="DM64">
        <v>0</v>
      </c>
    </row>
    <row r="65" spans="1:117" x14ac:dyDescent="0.3">
      <c r="A65" t="s">
        <v>161</v>
      </c>
      <c r="B65">
        <v>2028</v>
      </c>
      <c r="C65">
        <v>293630460</v>
      </c>
      <c r="D65">
        <v>3122871.2</v>
      </c>
      <c r="E65">
        <v>476312.5</v>
      </c>
      <c r="F65">
        <v>7574662.5999999996</v>
      </c>
      <c r="G65">
        <v>304804322.39999998</v>
      </c>
      <c r="H65">
        <v>283071045</v>
      </c>
      <c r="I65">
        <v>246692449.59999999</v>
      </c>
      <c r="J65">
        <v>325549100</v>
      </c>
      <c r="K65">
        <v>301090430</v>
      </c>
      <c r="L65">
        <v>3.5999999999999997E-2</v>
      </c>
      <c r="M65">
        <v>5.3999999999999999E-2</v>
      </c>
      <c r="N65">
        <v>0.14349999999999999</v>
      </c>
      <c r="O65">
        <v>59625.91</v>
      </c>
      <c r="P65">
        <v>56743.1</v>
      </c>
      <c r="Q65">
        <v>0.86</v>
      </c>
      <c r="R65">
        <v>0.87</v>
      </c>
      <c r="S65">
        <v>109.2</v>
      </c>
      <c r="T65">
        <v>10.199999999999999</v>
      </c>
      <c r="U65">
        <v>1.46</v>
      </c>
      <c r="V65">
        <v>6</v>
      </c>
      <c r="W65">
        <v>314.10000000000002</v>
      </c>
      <c r="X65">
        <v>0.06</v>
      </c>
      <c r="Y65">
        <v>109.9</v>
      </c>
      <c r="Z65">
        <v>15.4</v>
      </c>
      <c r="AA65">
        <v>125.3</v>
      </c>
      <c r="AB65">
        <v>106.3</v>
      </c>
      <c r="AC65">
        <v>10.1</v>
      </c>
      <c r="AD65">
        <v>1.45</v>
      </c>
      <c r="AE65">
        <v>5.7</v>
      </c>
      <c r="AF65">
        <v>300.10000000000002</v>
      </c>
      <c r="AG65">
        <v>0.06</v>
      </c>
      <c r="AH65">
        <v>107</v>
      </c>
      <c r="AI65">
        <v>14.6</v>
      </c>
      <c r="AJ65">
        <v>121.6</v>
      </c>
      <c r="AK65">
        <v>121.9</v>
      </c>
      <c r="AL65">
        <v>5.4</v>
      </c>
      <c r="AM65">
        <v>0.72</v>
      </c>
      <c r="AN65">
        <v>11.6</v>
      </c>
      <c r="AO65">
        <v>538.1</v>
      </c>
      <c r="AP65">
        <v>0.06</v>
      </c>
      <c r="AQ65">
        <v>122.3</v>
      </c>
      <c r="AR65">
        <v>27.6</v>
      </c>
      <c r="AS65">
        <v>149.9</v>
      </c>
      <c r="AT65">
        <v>529.70000000000005</v>
      </c>
      <c r="AU65">
        <v>37.700000000000003</v>
      </c>
      <c r="AV65">
        <v>5.3</v>
      </c>
      <c r="AW65">
        <v>38.299999999999997</v>
      </c>
      <c r="AX65">
        <v>1875.9</v>
      </c>
      <c r="AY65">
        <v>0.27</v>
      </c>
      <c r="AZ65">
        <v>532.29999999999995</v>
      </c>
      <c r="BA65">
        <v>94.3</v>
      </c>
      <c r="BB65">
        <v>626.6</v>
      </c>
      <c r="BC65">
        <v>30281666</v>
      </c>
      <c r="BD65">
        <v>2832.3</v>
      </c>
      <c r="BE65">
        <v>406.1</v>
      </c>
      <c r="BF65">
        <v>1655773.1</v>
      </c>
      <c r="BG65">
        <v>87007.7</v>
      </c>
      <c r="BH65">
        <v>16.600000000000001</v>
      </c>
      <c r="BI65">
        <v>30476947.600000001</v>
      </c>
      <c r="BJ65">
        <v>4253143</v>
      </c>
      <c r="BK65">
        <v>34730090.700000003</v>
      </c>
      <c r="BL65">
        <v>0</v>
      </c>
      <c r="BM65">
        <v>22.81</v>
      </c>
      <c r="BN65">
        <v>10.49</v>
      </c>
      <c r="BO65">
        <v>0</v>
      </c>
      <c r="BP65">
        <v>33.299999999999997</v>
      </c>
      <c r="BQ65">
        <v>24.3</v>
      </c>
      <c r="BR65">
        <v>11.44</v>
      </c>
      <c r="BS65">
        <v>0</v>
      </c>
      <c r="BT65">
        <v>35.74</v>
      </c>
      <c r="BU65">
        <v>280275740</v>
      </c>
      <c r="BV65">
        <v>58111870</v>
      </c>
      <c r="BW65">
        <v>2677546.5</v>
      </c>
      <c r="BX65">
        <v>1342711.8</v>
      </c>
      <c r="BY65">
        <v>0</v>
      </c>
      <c r="BZ65">
        <v>10473821</v>
      </c>
      <c r="CA65">
        <v>22426418</v>
      </c>
      <c r="CB65">
        <v>0</v>
      </c>
      <c r="CC65">
        <v>221165</v>
      </c>
      <c r="CD65">
        <v>4756781</v>
      </c>
      <c r="CE65">
        <v>17527062</v>
      </c>
      <c r="CF65">
        <v>0</v>
      </c>
      <c r="CG65">
        <v>3343.4</v>
      </c>
      <c r="CH65">
        <v>7832711</v>
      </c>
      <c r="CI65">
        <v>150769630</v>
      </c>
      <c r="CJ65">
        <v>8729332</v>
      </c>
      <c r="CK65">
        <v>361.9</v>
      </c>
      <c r="CL65">
        <v>380909.8</v>
      </c>
      <c r="CM65">
        <v>0</v>
      </c>
      <c r="CN65">
        <v>19576828</v>
      </c>
      <c r="CO65">
        <v>33557100</v>
      </c>
      <c r="CP65">
        <v>0</v>
      </c>
      <c r="CQ65">
        <v>2232.5</v>
      </c>
      <c r="CR65">
        <v>250.7</v>
      </c>
      <c r="CS65">
        <v>0</v>
      </c>
      <c r="CT65">
        <v>5796.8</v>
      </c>
      <c r="CU65">
        <v>0</v>
      </c>
      <c r="CV65">
        <v>110</v>
      </c>
      <c r="CW65">
        <v>3518.5</v>
      </c>
      <c r="CX65">
        <v>9059.2000000000007</v>
      </c>
      <c r="CY65">
        <v>0</v>
      </c>
      <c r="CZ65">
        <v>2648.9</v>
      </c>
      <c r="DA65">
        <v>1051.8</v>
      </c>
      <c r="DB65">
        <v>38113.300000000003</v>
      </c>
      <c r="DC65">
        <v>1151</v>
      </c>
      <c r="DD65">
        <v>391</v>
      </c>
      <c r="DE65">
        <v>314</v>
      </c>
      <c r="DF65">
        <v>0</v>
      </c>
      <c r="DG65">
        <v>7637.4</v>
      </c>
      <c r="DH65">
        <v>0</v>
      </c>
      <c r="DI65">
        <v>12257.8</v>
      </c>
      <c r="DJ65">
        <v>8298</v>
      </c>
      <c r="DK65">
        <v>3140</v>
      </c>
      <c r="DL65">
        <v>0</v>
      </c>
      <c r="DM65">
        <v>0</v>
      </c>
    </row>
    <row r="66" spans="1:117" x14ac:dyDescent="0.3">
      <c r="A66" t="s">
        <v>161</v>
      </c>
      <c r="B66">
        <v>2030</v>
      </c>
      <c r="C66">
        <v>303248960</v>
      </c>
      <c r="D66">
        <v>4572919.5</v>
      </c>
      <c r="E66">
        <v>544875.19999999995</v>
      </c>
      <c r="F66">
        <v>8740152.6999999993</v>
      </c>
      <c r="G66">
        <v>317106922.60000002</v>
      </c>
      <c r="H66">
        <v>292343694.89999998</v>
      </c>
      <c r="I66">
        <v>249730942.19999999</v>
      </c>
      <c r="J66">
        <v>379746600</v>
      </c>
      <c r="K66">
        <v>343283100</v>
      </c>
      <c r="L66">
        <v>3.5999999999999997E-2</v>
      </c>
      <c r="M66">
        <v>5.3999999999999999E-2</v>
      </c>
      <c r="N66">
        <v>0.14349999999999999</v>
      </c>
      <c r="O66">
        <v>62410.82</v>
      </c>
      <c r="P66">
        <v>59474.6</v>
      </c>
      <c r="Q66">
        <v>0.88</v>
      </c>
      <c r="R66">
        <v>0.91</v>
      </c>
      <c r="S66">
        <v>95.6</v>
      </c>
      <c r="T66">
        <v>9.1</v>
      </c>
      <c r="U66">
        <v>1.3</v>
      </c>
      <c r="V66">
        <v>5.0999999999999996</v>
      </c>
      <c r="W66">
        <v>270.39999999999998</v>
      </c>
      <c r="X66">
        <v>0.05</v>
      </c>
      <c r="Y66">
        <v>96.2</v>
      </c>
      <c r="Z66">
        <v>13.2</v>
      </c>
      <c r="AA66">
        <v>109.4</v>
      </c>
      <c r="AB66">
        <v>74.7</v>
      </c>
      <c r="AC66">
        <v>7.5</v>
      </c>
      <c r="AD66">
        <v>1.08</v>
      </c>
      <c r="AE66">
        <v>3.5</v>
      </c>
      <c r="AF66">
        <v>198.9</v>
      </c>
      <c r="AG66">
        <v>0.04</v>
      </c>
      <c r="AH66">
        <v>75.2</v>
      </c>
      <c r="AI66">
        <v>9.4</v>
      </c>
      <c r="AJ66">
        <v>84.6</v>
      </c>
      <c r="AK66">
        <v>69.900000000000006</v>
      </c>
      <c r="AL66">
        <v>2.7</v>
      </c>
      <c r="AM66">
        <v>0.34</v>
      </c>
      <c r="AN66">
        <v>7.1</v>
      </c>
      <c r="AO66">
        <v>322.7</v>
      </c>
      <c r="AP66">
        <v>0.03</v>
      </c>
      <c r="AQ66">
        <v>70</v>
      </c>
      <c r="AR66">
        <v>16.7</v>
      </c>
      <c r="AS66">
        <v>86.7</v>
      </c>
      <c r="AT66">
        <v>453.1</v>
      </c>
      <c r="AU66">
        <v>33.1</v>
      </c>
      <c r="AV66">
        <v>4.6500000000000004</v>
      </c>
      <c r="AW66">
        <v>32.6</v>
      </c>
      <c r="AX66">
        <v>1587.4</v>
      </c>
      <c r="AY66">
        <v>0.24</v>
      </c>
      <c r="AZ66">
        <v>455.3</v>
      </c>
      <c r="BA66">
        <v>79.900000000000006</v>
      </c>
      <c r="BB66">
        <v>535.29999999999995</v>
      </c>
      <c r="BC66">
        <v>26493620</v>
      </c>
      <c r="BD66">
        <v>2517.6999999999998</v>
      </c>
      <c r="BE66">
        <v>361.5</v>
      </c>
      <c r="BF66">
        <v>1416012.6</v>
      </c>
      <c r="BG66">
        <v>74880</v>
      </c>
      <c r="BH66">
        <v>14.7</v>
      </c>
      <c r="BI66">
        <v>26667330.199999999</v>
      </c>
      <c r="BJ66">
        <v>3651455</v>
      </c>
      <c r="BK66">
        <v>30318785.199999999</v>
      </c>
      <c r="BL66">
        <v>0</v>
      </c>
      <c r="BM66">
        <v>21.25</v>
      </c>
      <c r="BN66">
        <v>11.03</v>
      </c>
      <c r="BO66">
        <v>0</v>
      </c>
      <c r="BP66">
        <v>32.28</v>
      </c>
      <c r="BQ66">
        <v>22.75</v>
      </c>
      <c r="BR66">
        <v>12.11</v>
      </c>
      <c r="BS66">
        <v>0</v>
      </c>
      <c r="BT66">
        <v>34.86</v>
      </c>
      <c r="BU66">
        <v>280538460</v>
      </c>
      <c r="BV66">
        <v>67375980</v>
      </c>
      <c r="BW66">
        <v>3844197.5</v>
      </c>
      <c r="BX66">
        <v>1102021.3999999999</v>
      </c>
      <c r="BY66">
        <v>0</v>
      </c>
      <c r="BZ66">
        <v>10254136</v>
      </c>
      <c r="CA66">
        <v>20060306</v>
      </c>
      <c r="CB66">
        <v>0</v>
      </c>
      <c r="CC66">
        <v>221549.8</v>
      </c>
      <c r="CD66">
        <v>6530977</v>
      </c>
      <c r="CE66">
        <v>14266789</v>
      </c>
      <c r="CF66">
        <v>0</v>
      </c>
      <c r="CG66">
        <v>23168.6</v>
      </c>
      <c r="CH66">
        <v>7832711</v>
      </c>
      <c r="CI66">
        <v>146907700</v>
      </c>
      <c r="CJ66">
        <v>8430975</v>
      </c>
      <c r="CK66">
        <v>141.69999999999999</v>
      </c>
      <c r="CL66">
        <v>440325</v>
      </c>
      <c r="CM66">
        <v>0</v>
      </c>
      <c r="CN66">
        <v>22816128</v>
      </c>
      <c r="CO66">
        <v>37807324</v>
      </c>
      <c r="CP66">
        <v>0</v>
      </c>
      <c r="CQ66">
        <v>3081.1</v>
      </c>
      <c r="CR66">
        <v>228.2</v>
      </c>
      <c r="CS66">
        <v>0</v>
      </c>
      <c r="CT66">
        <v>5755.1</v>
      </c>
      <c r="CU66">
        <v>0</v>
      </c>
      <c r="CV66">
        <v>110</v>
      </c>
      <c r="CW66">
        <v>4891.8</v>
      </c>
      <c r="CX66">
        <v>8727.4</v>
      </c>
      <c r="CY66">
        <v>0</v>
      </c>
      <c r="CZ66">
        <v>2648.9</v>
      </c>
      <c r="DA66">
        <v>1051.8</v>
      </c>
      <c r="DB66">
        <v>38133.199999999997</v>
      </c>
      <c r="DC66">
        <v>1151</v>
      </c>
      <c r="DD66">
        <v>145.6</v>
      </c>
      <c r="DE66">
        <v>314</v>
      </c>
      <c r="DF66">
        <v>0</v>
      </c>
      <c r="DG66">
        <v>8864.1</v>
      </c>
      <c r="DH66">
        <v>0</v>
      </c>
      <c r="DI66">
        <v>13266.1</v>
      </c>
      <c r="DJ66">
        <v>11707.4</v>
      </c>
      <c r="DK66">
        <v>3140</v>
      </c>
      <c r="DL66">
        <v>0</v>
      </c>
      <c r="DM66">
        <v>0</v>
      </c>
    </row>
    <row r="67" spans="1:117" x14ac:dyDescent="0.3">
      <c r="A67" t="s">
        <v>161</v>
      </c>
      <c r="B67">
        <v>2035</v>
      </c>
      <c r="C67">
        <v>330419840</v>
      </c>
      <c r="D67">
        <v>8435410</v>
      </c>
      <c r="E67">
        <v>1061382.3999999999</v>
      </c>
      <c r="F67">
        <v>9220729.1999999993</v>
      </c>
      <c r="G67">
        <v>349137354.69999999</v>
      </c>
      <c r="H67">
        <v>318537623.89999998</v>
      </c>
      <c r="I67">
        <v>249989165.69999999</v>
      </c>
      <c r="J67">
        <v>403309980</v>
      </c>
      <c r="K67">
        <v>358793900</v>
      </c>
      <c r="L67">
        <v>3.5999999999999997E-2</v>
      </c>
      <c r="M67">
        <v>5.3999999999999999E-2</v>
      </c>
      <c r="N67">
        <v>0.14349999999999999</v>
      </c>
      <c r="O67">
        <v>90916.99</v>
      </c>
      <c r="P67">
        <v>67288.100000000006</v>
      </c>
      <c r="Q67">
        <v>0.9</v>
      </c>
      <c r="R67">
        <v>0.94</v>
      </c>
      <c r="S67">
        <v>73.5</v>
      </c>
      <c r="T67">
        <v>6.9</v>
      </c>
      <c r="U67">
        <v>0.99</v>
      </c>
      <c r="V67">
        <v>4</v>
      </c>
      <c r="W67">
        <v>211.1</v>
      </c>
      <c r="X67">
        <v>0.04</v>
      </c>
      <c r="Y67">
        <v>74</v>
      </c>
      <c r="Z67">
        <v>10.3</v>
      </c>
      <c r="AA67">
        <v>84.3</v>
      </c>
      <c r="AB67">
        <v>55.9</v>
      </c>
      <c r="AC67">
        <v>5.6</v>
      </c>
      <c r="AD67">
        <v>0.8</v>
      </c>
      <c r="AE67">
        <v>2.6</v>
      </c>
      <c r="AF67">
        <v>148.80000000000001</v>
      </c>
      <c r="AG67">
        <v>0.03</v>
      </c>
      <c r="AH67">
        <v>56.3</v>
      </c>
      <c r="AI67">
        <v>7</v>
      </c>
      <c r="AJ67">
        <v>63.3</v>
      </c>
      <c r="AK67">
        <v>65.099999999999994</v>
      </c>
      <c r="AL67">
        <v>2</v>
      </c>
      <c r="AM67">
        <v>0.24</v>
      </c>
      <c r="AN67">
        <v>7</v>
      </c>
      <c r="AO67">
        <v>316.5</v>
      </c>
      <c r="AP67">
        <v>0.03</v>
      </c>
      <c r="AQ67">
        <v>65.2</v>
      </c>
      <c r="AR67">
        <v>16.5</v>
      </c>
      <c r="AS67">
        <v>81.7</v>
      </c>
      <c r="AT67">
        <v>375</v>
      </c>
      <c r="AU67">
        <v>25.2</v>
      </c>
      <c r="AV67">
        <v>3.51</v>
      </c>
      <c r="AW67">
        <v>29.2</v>
      </c>
      <c r="AX67">
        <v>1385.3</v>
      </c>
      <c r="AY67">
        <v>0.2</v>
      </c>
      <c r="AZ67">
        <v>376.7</v>
      </c>
      <c r="BA67">
        <v>70.5</v>
      </c>
      <c r="BB67">
        <v>447.2</v>
      </c>
      <c r="BC67">
        <v>22075459.600000001</v>
      </c>
      <c r="BD67">
        <v>2070.6</v>
      </c>
      <c r="BE67">
        <v>297</v>
      </c>
      <c r="BF67">
        <v>1205460.8</v>
      </c>
      <c r="BG67">
        <v>63271</v>
      </c>
      <c r="BH67">
        <v>12.4</v>
      </c>
      <c r="BI67">
        <v>22218238.100000001</v>
      </c>
      <c r="BJ67">
        <v>3094333.9</v>
      </c>
      <c r="BK67">
        <v>25312572</v>
      </c>
      <c r="BL67">
        <v>0</v>
      </c>
      <c r="BM67">
        <v>18.71</v>
      </c>
      <c r="BN67">
        <v>16.38</v>
      </c>
      <c r="BO67">
        <v>0</v>
      </c>
      <c r="BP67">
        <v>35.1</v>
      </c>
      <c r="BQ67">
        <v>20.18</v>
      </c>
      <c r="BR67">
        <v>18.28</v>
      </c>
      <c r="BS67">
        <v>0</v>
      </c>
      <c r="BT67">
        <v>38.450000000000003</v>
      </c>
      <c r="BU67">
        <v>304503650</v>
      </c>
      <c r="BV67">
        <v>99148190</v>
      </c>
      <c r="BW67">
        <v>7145430.5</v>
      </c>
      <c r="BX67">
        <v>697627.3</v>
      </c>
      <c r="BY67">
        <v>0</v>
      </c>
      <c r="BZ67">
        <v>9740400</v>
      </c>
      <c r="CA67">
        <v>16421213</v>
      </c>
      <c r="CB67">
        <v>0</v>
      </c>
      <c r="CC67">
        <v>221845.2</v>
      </c>
      <c r="CD67">
        <v>8596439</v>
      </c>
      <c r="CE67">
        <v>12445308</v>
      </c>
      <c r="CF67">
        <v>0</v>
      </c>
      <c r="CG67">
        <v>92656.3</v>
      </c>
      <c r="CH67">
        <v>7832531</v>
      </c>
      <c r="CI67">
        <v>141930400</v>
      </c>
      <c r="CJ67">
        <v>8186439</v>
      </c>
      <c r="CK67">
        <v>170.4</v>
      </c>
      <c r="CL67">
        <v>863274.5</v>
      </c>
      <c r="CM67">
        <v>0</v>
      </c>
      <c r="CN67">
        <v>34311550</v>
      </c>
      <c r="CO67">
        <v>56018356</v>
      </c>
      <c r="CP67">
        <v>0</v>
      </c>
      <c r="CQ67">
        <v>5256.1</v>
      </c>
      <c r="CR67">
        <v>182.9</v>
      </c>
      <c r="CS67">
        <v>0</v>
      </c>
      <c r="CT67">
        <v>5297.1</v>
      </c>
      <c r="CU67">
        <v>0</v>
      </c>
      <c r="CV67">
        <v>110</v>
      </c>
      <c r="CW67">
        <v>6590.1</v>
      </c>
      <c r="CX67">
        <v>8590.4</v>
      </c>
      <c r="CY67">
        <v>0</v>
      </c>
      <c r="CZ67">
        <v>4853.2</v>
      </c>
      <c r="DA67">
        <v>1051.8</v>
      </c>
      <c r="DB67">
        <v>38156.1</v>
      </c>
      <c r="DC67">
        <v>1151</v>
      </c>
      <c r="DD67">
        <v>145.6</v>
      </c>
      <c r="DE67">
        <v>630.4</v>
      </c>
      <c r="DF67">
        <v>0</v>
      </c>
      <c r="DG67">
        <v>13156.9</v>
      </c>
      <c r="DH67">
        <v>0</v>
      </c>
      <c r="DI67">
        <v>17338.099999999999</v>
      </c>
      <c r="DJ67">
        <v>22760.1</v>
      </c>
      <c r="DK67">
        <v>6304.4</v>
      </c>
      <c r="DL67">
        <v>0</v>
      </c>
      <c r="DM67">
        <v>0</v>
      </c>
    </row>
    <row r="68" spans="1:117" x14ac:dyDescent="0.3">
      <c r="A68" t="s">
        <v>161</v>
      </c>
      <c r="B68">
        <v>2040</v>
      </c>
      <c r="C68">
        <v>363522020</v>
      </c>
      <c r="D68">
        <v>13489709</v>
      </c>
      <c r="E68">
        <v>2078443</v>
      </c>
      <c r="F68">
        <v>9010474</v>
      </c>
      <c r="G68">
        <v>388100655.39999998</v>
      </c>
      <c r="H68">
        <v>350449600.69999999</v>
      </c>
      <c r="I68">
        <v>255871710</v>
      </c>
      <c r="J68">
        <v>406169800</v>
      </c>
      <c r="K68">
        <v>345981500</v>
      </c>
      <c r="L68">
        <v>3.5900000000000001E-2</v>
      </c>
      <c r="M68">
        <v>5.3999999999999999E-2</v>
      </c>
      <c r="N68">
        <v>0.14349999999999999</v>
      </c>
      <c r="O68">
        <v>89459.33</v>
      </c>
      <c r="P68">
        <v>74959.5</v>
      </c>
      <c r="Q68">
        <v>0.93</v>
      </c>
      <c r="R68">
        <v>0.96</v>
      </c>
      <c r="S68">
        <v>55.7</v>
      </c>
      <c r="T68">
        <v>5.0999999999999996</v>
      </c>
      <c r="U68">
        <v>0.74</v>
      </c>
      <c r="V68">
        <v>3.1</v>
      </c>
      <c r="W68">
        <v>161.9</v>
      </c>
      <c r="X68">
        <v>0.03</v>
      </c>
      <c r="Y68">
        <v>56</v>
      </c>
      <c r="Z68">
        <v>8</v>
      </c>
      <c r="AA68">
        <v>64</v>
      </c>
      <c r="AB68">
        <v>35.799999999999997</v>
      </c>
      <c r="AC68">
        <v>3.8</v>
      </c>
      <c r="AD68">
        <v>0.55000000000000004</v>
      </c>
      <c r="AE68">
        <v>1.4</v>
      </c>
      <c r="AF68">
        <v>88.8</v>
      </c>
      <c r="AG68">
        <v>0.02</v>
      </c>
      <c r="AH68">
        <v>36.1</v>
      </c>
      <c r="AI68">
        <v>4.0999999999999996</v>
      </c>
      <c r="AJ68">
        <v>40.200000000000003</v>
      </c>
      <c r="AK68">
        <v>71.8</v>
      </c>
      <c r="AL68">
        <v>2.5</v>
      </c>
      <c r="AM68">
        <v>0.31</v>
      </c>
      <c r="AN68">
        <v>7.5</v>
      </c>
      <c r="AO68">
        <v>340.6</v>
      </c>
      <c r="AP68">
        <v>0.03</v>
      </c>
      <c r="AQ68">
        <v>72</v>
      </c>
      <c r="AR68">
        <v>17.7</v>
      </c>
      <c r="AS68">
        <v>89.7</v>
      </c>
      <c r="AT68">
        <v>356</v>
      </c>
      <c r="AU68">
        <v>23.6</v>
      </c>
      <c r="AV68">
        <v>3.29</v>
      </c>
      <c r="AW68">
        <v>27.5</v>
      </c>
      <c r="AX68">
        <v>1321.3</v>
      </c>
      <c r="AY68">
        <v>0.18</v>
      </c>
      <c r="AZ68">
        <v>357.6</v>
      </c>
      <c r="BA68">
        <v>67</v>
      </c>
      <c r="BB68">
        <v>424.5</v>
      </c>
      <c r="BC68">
        <v>17933376.699999999</v>
      </c>
      <c r="BD68">
        <v>1663</v>
      </c>
      <c r="BE68">
        <v>238.3</v>
      </c>
      <c r="BF68">
        <v>1012004.8</v>
      </c>
      <c r="BG68">
        <v>52039.1</v>
      </c>
      <c r="BH68">
        <v>10.4</v>
      </c>
      <c r="BI68">
        <v>18047991.100000001</v>
      </c>
      <c r="BJ68">
        <v>2565608</v>
      </c>
      <c r="BK68">
        <v>20613599.100000001</v>
      </c>
      <c r="BL68">
        <v>0</v>
      </c>
      <c r="BM68">
        <v>16.72</v>
      </c>
      <c r="BN68">
        <v>16.27</v>
      </c>
      <c r="BO68">
        <v>0</v>
      </c>
      <c r="BP68">
        <v>33</v>
      </c>
      <c r="BQ68">
        <v>18.13</v>
      </c>
      <c r="BR68">
        <v>18.41</v>
      </c>
      <c r="BS68">
        <v>0</v>
      </c>
      <c r="BT68">
        <v>36.54</v>
      </c>
      <c r="BU68">
        <v>327691650</v>
      </c>
      <c r="BV68">
        <v>132228940</v>
      </c>
      <c r="BW68">
        <v>11530153</v>
      </c>
      <c r="BX68">
        <v>639405.1</v>
      </c>
      <c r="BY68">
        <v>0</v>
      </c>
      <c r="BZ68">
        <v>9855291</v>
      </c>
      <c r="CA68">
        <v>13228244</v>
      </c>
      <c r="CB68">
        <v>0</v>
      </c>
      <c r="CC68">
        <v>220253.9</v>
      </c>
      <c r="CD68">
        <v>8694907</v>
      </c>
      <c r="CE68">
        <v>10803421</v>
      </c>
      <c r="CF68">
        <v>0</v>
      </c>
      <c r="CG68">
        <v>131794.4</v>
      </c>
      <c r="CH68">
        <v>7049069</v>
      </c>
      <c r="CI68">
        <v>132477580</v>
      </c>
      <c r="CJ68">
        <v>8082529</v>
      </c>
      <c r="CK68">
        <v>104.1</v>
      </c>
      <c r="CL68">
        <v>1665121.4</v>
      </c>
      <c r="CM68">
        <v>0</v>
      </c>
      <c r="CN68">
        <v>53510480</v>
      </c>
      <c r="CO68">
        <v>69803304</v>
      </c>
      <c r="CP68">
        <v>0</v>
      </c>
      <c r="CQ68">
        <v>8901.7999999999993</v>
      </c>
      <c r="CR68">
        <v>182.9</v>
      </c>
      <c r="CS68">
        <v>0</v>
      </c>
      <c r="CT68">
        <v>5172.8999999999996</v>
      </c>
      <c r="CU68">
        <v>0</v>
      </c>
      <c r="CV68">
        <v>110</v>
      </c>
      <c r="CW68">
        <v>6894.1</v>
      </c>
      <c r="CX68">
        <v>8088</v>
      </c>
      <c r="CY68">
        <v>0</v>
      </c>
      <c r="CZ68">
        <v>6368</v>
      </c>
      <c r="DA68">
        <v>948.9</v>
      </c>
      <c r="DB68">
        <v>38178.9</v>
      </c>
      <c r="DC68">
        <v>1151</v>
      </c>
      <c r="DD68">
        <v>131.6</v>
      </c>
      <c r="DE68">
        <v>1220.5999999999999</v>
      </c>
      <c r="DF68">
        <v>0</v>
      </c>
      <c r="DG68">
        <v>20480.3</v>
      </c>
      <c r="DH68">
        <v>0</v>
      </c>
      <c r="DI68">
        <v>19042.3</v>
      </c>
      <c r="DJ68">
        <v>41990.5</v>
      </c>
      <c r="DK68">
        <v>12206</v>
      </c>
      <c r="DL68">
        <v>0</v>
      </c>
      <c r="DM68">
        <v>0</v>
      </c>
    </row>
    <row r="69" spans="1:117" x14ac:dyDescent="0.3">
      <c r="A69" t="s">
        <v>161</v>
      </c>
      <c r="B69">
        <v>2045</v>
      </c>
      <c r="C69">
        <v>396687400</v>
      </c>
      <c r="D69">
        <v>21400960</v>
      </c>
      <c r="E69">
        <v>2324684.7999999998</v>
      </c>
      <c r="F69">
        <v>10032522.6</v>
      </c>
      <c r="G69">
        <v>430445553.80000001</v>
      </c>
      <c r="H69">
        <v>382422356.69999999</v>
      </c>
      <c r="I69">
        <v>277527017.5</v>
      </c>
      <c r="J69">
        <v>460573900</v>
      </c>
      <c r="K69">
        <v>374066340</v>
      </c>
      <c r="L69">
        <v>3.5900000000000001E-2</v>
      </c>
      <c r="M69">
        <v>5.3999999999999999E-2</v>
      </c>
      <c r="N69">
        <v>0.14349999999999999</v>
      </c>
      <c r="O69">
        <v>90738.49</v>
      </c>
      <c r="P69">
        <v>83235.199999999997</v>
      </c>
      <c r="Q69">
        <v>0.94</v>
      </c>
      <c r="R69">
        <v>0.97</v>
      </c>
      <c r="S69">
        <v>43.7</v>
      </c>
      <c r="T69">
        <v>3.9</v>
      </c>
      <c r="U69">
        <v>0.55000000000000004</v>
      </c>
      <c r="V69">
        <v>2.7</v>
      </c>
      <c r="W69">
        <v>133.5</v>
      </c>
      <c r="X69">
        <v>0.03</v>
      </c>
      <c r="Y69">
        <v>44</v>
      </c>
      <c r="Z69">
        <v>6.7</v>
      </c>
      <c r="AA69">
        <v>50.7</v>
      </c>
      <c r="AB69">
        <v>24.7</v>
      </c>
      <c r="AC69">
        <v>2.6</v>
      </c>
      <c r="AD69">
        <v>0.38</v>
      </c>
      <c r="AE69">
        <v>1</v>
      </c>
      <c r="AF69">
        <v>61.8</v>
      </c>
      <c r="AG69">
        <v>0.01</v>
      </c>
      <c r="AH69">
        <v>24.9</v>
      </c>
      <c r="AI69">
        <v>2.8</v>
      </c>
      <c r="AJ69">
        <v>27.7</v>
      </c>
      <c r="AK69">
        <v>67.5</v>
      </c>
      <c r="AL69">
        <v>2.5</v>
      </c>
      <c r="AM69">
        <v>0.32</v>
      </c>
      <c r="AN69">
        <v>6.9</v>
      </c>
      <c r="AO69">
        <v>312.7</v>
      </c>
      <c r="AP69">
        <v>0.03</v>
      </c>
      <c r="AQ69">
        <v>67.7</v>
      </c>
      <c r="AR69">
        <v>16.2</v>
      </c>
      <c r="AS69">
        <v>83.8</v>
      </c>
      <c r="AT69">
        <v>298.89999999999998</v>
      </c>
      <c r="AU69">
        <v>18.8</v>
      </c>
      <c r="AV69">
        <v>2.6</v>
      </c>
      <c r="AW69">
        <v>24.5</v>
      </c>
      <c r="AX69">
        <v>1144</v>
      </c>
      <c r="AY69">
        <v>0.16</v>
      </c>
      <c r="AZ69">
        <v>300.2</v>
      </c>
      <c r="BA69">
        <v>58.6</v>
      </c>
      <c r="BB69">
        <v>358.8</v>
      </c>
      <c r="BC69">
        <v>14743163.5</v>
      </c>
      <c r="BD69">
        <v>1302.8</v>
      </c>
      <c r="BE69">
        <v>186</v>
      </c>
      <c r="BF69">
        <v>903776.1</v>
      </c>
      <c r="BG69">
        <v>44849.5</v>
      </c>
      <c r="BH69">
        <v>8.8000000000000007</v>
      </c>
      <c r="BI69">
        <v>14832759.300000001</v>
      </c>
      <c r="BJ69">
        <v>2242687.7000000002</v>
      </c>
      <c r="BK69">
        <v>17075447.100000001</v>
      </c>
      <c r="BL69">
        <v>0</v>
      </c>
      <c r="BM69">
        <v>14.78</v>
      </c>
      <c r="BN69">
        <v>16.48</v>
      </c>
      <c r="BO69">
        <v>0.26</v>
      </c>
      <c r="BP69">
        <v>31.52</v>
      </c>
      <c r="BQ69">
        <v>16.16</v>
      </c>
      <c r="BR69">
        <v>18.940000000000001</v>
      </c>
      <c r="BS69">
        <v>0.28999999999999998</v>
      </c>
      <c r="BT69">
        <v>35.39</v>
      </c>
      <c r="BU69">
        <v>343564030</v>
      </c>
      <c r="BV69">
        <v>152918540</v>
      </c>
      <c r="BW69">
        <v>18175754</v>
      </c>
      <c r="BX69">
        <v>585333</v>
      </c>
      <c r="BY69">
        <v>0</v>
      </c>
      <c r="BZ69">
        <v>9670921</v>
      </c>
      <c r="CA69">
        <v>10247970</v>
      </c>
      <c r="CB69">
        <v>0</v>
      </c>
      <c r="CC69">
        <v>205508.9</v>
      </c>
      <c r="CD69">
        <v>8797574</v>
      </c>
      <c r="CE69">
        <v>10412306</v>
      </c>
      <c r="CF69">
        <v>0</v>
      </c>
      <c r="CG69">
        <v>173998.4</v>
      </c>
      <c r="CH69">
        <v>6374805</v>
      </c>
      <c r="CI69">
        <v>125241420</v>
      </c>
      <c r="CJ69">
        <v>7896798.5</v>
      </c>
      <c r="CK69">
        <v>54</v>
      </c>
      <c r="CL69">
        <v>1866129.6</v>
      </c>
      <c r="CM69">
        <v>0</v>
      </c>
      <c r="CN69">
        <v>72931460</v>
      </c>
      <c r="CO69">
        <v>70983990</v>
      </c>
      <c r="CP69">
        <v>0</v>
      </c>
      <c r="CQ69">
        <v>13608.4</v>
      </c>
      <c r="CR69">
        <v>182.9</v>
      </c>
      <c r="CS69">
        <v>0</v>
      </c>
      <c r="CT69">
        <v>4879</v>
      </c>
      <c r="CU69">
        <v>0</v>
      </c>
      <c r="CV69">
        <v>110</v>
      </c>
      <c r="CW69">
        <v>7214.3</v>
      </c>
      <c r="CX69">
        <v>8088</v>
      </c>
      <c r="CY69">
        <v>0</v>
      </c>
      <c r="CZ69">
        <v>11499.9</v>
      </c>
      <c r="DA69">
        <v>867.3</v>
      </c>
      <c r="DB69">
        <v>38204.5</v>
      </c>
      <c r="DC69">
        <v>1151</v>
      </c>
      <c r="DD69">
        <v>131.6</v>
      </c>
      <c r="DE69">
        <v>1220.5999999999999</v>
      </c>
      <c r="DF69">
        <v>0</v>
      </c>
      <c r="DG69">
        <v>27924.5</v>
      </c>
      <c r="DH69">
        <v>0</v>
      </c>
      <c r="DI69">
        <v>18653.5</v>
      </c>
      <c r="DJ69">
        <v>68852.800000000003</v>
      </c>
      <c r="DK69">
        <v>12206</v>
      </c>
      <c r="DL69">
        <v>0</v>
      </c>
      <c r="DM69">
        <v>0</v>
      </c>
    </row>
    <row r="70" spans="1:117" x14ac:dyDescent="0.3">
      <c r="A70" t="s">
        <v>161</v>
      </c>
      <c r="B70">
        <v>2050</v>
      </c>
      <c r="C70">
        <v>429994400</v>
      </c>
      <c r="D70">
        <v>26395236</v>
      </c>
      <c r="E70">
        <v>2375249</v>
      </c>
      <c r="F70">
        <v>10569219.9</v>
      </c>
      <c r="G70">
        <v>469334067.89999998</v>
      </c>
      <c r="H70">
        <v>414531484.30000001</v>
      </c>
      <c r="I70">
        <v>272300354.39999998</v>
      </c>
      <c r="J70">
        <v>483819620</v>
      </c>
      <c r="K70">
        <v>404511420</v>
      </c>
      <c r="L70">
        <v>3.5900000000000001E-2</v>
      </c>
      <c r="M70">
        <v>5.3999999999999999E-2</v>
      </c>
      <c r="N70">
        <v>0.14349999999999999</v>
      </c>
      <c r="O70">
        <v>90968.48</v>
      </c>
      <c r="P70">
        <v>91028.7</v>
      </c>
      <c r="Q70">
        <v>0.95</v>
      </c>
      <c r="R70">
        <v>0.98</v>
      </c>
      <c r="S70">
        <v>34.700000000000003</v>
      </c>
      <c r="T70">
        <v>2.8</v>
      </c>
      <c r="U70">
        <v>0.4</v>
      </c>
      <c r="V70">
        <v>2.4</v>
      </c>
      <c r="W70">
        <v>114.1</v>
      </c>
      <c r="X70">
        <v>0.02</v>
      </c>
      <c r="Y70">
        <v>34.9</v>
      </c>
      <c r="Z70">
        <v>5.8</v>
      </c>
      <c r="AA70">
        <v>40.700000000000003</v>
      </c>
      <c r="AB70">
        <v>20.7</v>
      </c>
      <c r="AC70">
        <v>2.1</v>
      </c>
      <c r="AD70">
        <v>0.3</v>
      </c>
      <c r="AE70">
        <v>0.9</v>
      </c>
      <c r="AF70">
        <v>55.2</v>
      </c>
      <c r="AG70">
        <v>0.01</v>
      </c>
      <c r="AH70">
        <v>20.8</v>
      </c>
      <c r="AI70">
        <v>2.6</v>
      </c>
      <c r="AJ70">
        <v>23.4</v>
      </c>
      <c r="AK70">
        <v>70.8</v>
      </c>
      <c r="AL70">
        <v>2.9</v>
      </c>
      <c r="AM70">
        <v>0.37</v>
      </c>
      <c r="AN70">
        <v>7</v>
      </c>
      <c r="AO70">
        <v>321.3</v>
      </c>
      <c r="AP70">
        <v>0.03</v>
      </c>
      <c r="AQ70">
        <v>71</v>
      </c>
      <c r="AR70">
        <v>16.600000000000001</v>
      </c>
      <c r="AS70">
        <v>87.6</v>
      </c>
      <c r="AT70">
        <v>301.3</v>
      </c>
      <c r="AU70">
        <v>17.100000000000001</v>
      </c>
      <c r="AV70">
        <v>2.33</v>
      </c>
      <c r="AW70">
        <v>26.1</v>
      </c>
      <c r="AX70">
        <v>1214.3</v>
      </c>
      <c r="AY70">
        <v>0.15</v>
      </c>
      <c r="AZ70">
        <v>302.39999999999998</v>
      </c>
      <c r="BA70">
        <v>62.4</v>
      </c>
      <c r="BB70">
        <v>364.8</v>
      </c>
      <c r="BC70">
        <v>13252089.699999999</v>
      </c>
      <c r="BD70">
        <v>1071.3</v>
      </c>
      <c r="BE70">
        <v>151.80000000000001</v>
      </c>
      <c r="BF70">
        <v>912399.4</v>
      </c>
      <c r="BG70">
        <v>43489.8</v>
      </c>
      <c r="BH70">
        <v>8</v>
      </c>
      <c r="BI70">
        <v>13325453.699999999</v>
      </c>
      <c r="BJ70">
        <v>2210580.1</v>
      </c>
      <c r="BK70">
        <v>15536033.800000001</v>
      </c>
      <c r="BL70">
        <v>0</v>
      </c>
      <c r="BM70">
        <v>15.67</v>
      </c>
      <c r="BN70">
        <v>16.28</v>
      </c>
      <c r="BO70">
        <v>0</v>
      </c>
      <c r="BP70">
        <v>31.95</v>
      </c>
      <c r="BQ70">
        <v>17.23</v>
      </c>
      <c r="BR70">
        <v>18.8</v>
      </c>
      <c r="BS70">
        <v>0</v>
      </c>
      <c r="BT70">
        <v>36.03</v>
      </c>
      <c r="BU70">
        <v>389590140</v>
      </c>
      <c r="BV70">
        <v>197033710</v>
      </c>
      <c r="BW70">
        <v>22415258</v>
      </c>
      <c r="BX70">
        <v>593402.19999999995</v>
      </c>
      <c r="BY70">
        <v>0</v>
      </c>
      <c r="BZ70">
        <v>9904730</v>
      </c>
      <c r="CA70">
        <v>8156198.5</v>
      </c>
      <c r="CB70">
        <v>0</v>
      </c>
      <c r="CC70">
        <v>0</v>
      </c>
      <c r="CD70">
        <v>8961576</v>
      </c>
      <c r="CE70">
        <v>11382034</v>
      </c>
      <c r="CF70">
        <v>0</v>
      </c>
      <c r="CG70">
        <v>569009</v>
      </c>
      <c r="CH70">
        <v>5385158</v>
      </c>
      <c r="CI70">
        <v>124376880</v>
      </c>
      <c r="CJ70">
        <v>7906249.5</v>
      </c>
      <c r="CK70">
        <v>24.3</v>
      </c>
      <c r="CL70">
        <v>1867495.2</v>
      </c>
      <c r="CM70">
        <v>0</v>
      </c>
      <c r="CN70">
        <v>81998940</v>
      </c>
      <c r="CO70">
        <v>106073190</v>
      </c>
      <c r="CP70">
        <v>0</v>
      </c>
      <c r="CQ70">
        <v>15838.5</v>
      </c>
      <c r="CR70">
        <v>182.9</v>
      </c>
      <c r="CS70">
        <v>0</v>
      </c>
      <c r="CT70">
        <v>3359</v>
      </c>
      <c r="CU70">
        <v>0</v>
      </c>
      <c r="CV70">
        <v>0</v>
      </c>
      <c r="CW70">
        <v>7594.7</v>
      </c>
      <c r="CX70">
        <v>7469.1</v>
      </c>
      <c r="CY70">
        <v>0</v>
      </c>
      <c r="CZ70">
        <v>19083.900000000001</v>
      </c>
      <c r="DA70">
        <v>735.4</v>
      </c>
      <c r="DB70">
        <v>38203.5</v>
      </c>
      <c r="DC70">
        <v>1151</v>
      </c>
      <c r="DD70">
        <v>11.4</v>
      </c>
      <c r="DE70">
        <v>1220.5999999999999</v>
      </c>
      <c r="DF70">
        <v>0</v>
      </c>
      <c r="DG70">
        <v>31506.1</v>
      </c>
      <c r="DH70">
        <v>0</v>
      </c>
      <c r="DI70">
        <v>28648.7</v>
      </c>
      <c r="DJ70">
        <v>81251.3</v>
      </c>
      <c r="DK70">
        <v>12206</v>
      </c>
      <c r="DL70">
        <v>0</v>
      </c>
      <c r="DM70">
        <v>0</v>
      </c>
    </row>
    <row r="71" spans="1:117" x14ac:dyDescent="0.3">
      <c r="A71" t="s">
        <v>162</v>
      </c>
      <c r="B71">
        <v>2024</v>
      </c>
      <c r="C71">
        <v>154072400</v>
      </c>
      <c r="D71">
        <v>1668020.6</v>
      </c>
      <c r="E71">
        <v>1393849.1</v>
      </c>
      <c r="F71">
        <v>434058.8</v>
      </c>
      <c r="G71">
        <v>157568330.09999999</v>
      </c>
      <c r="H71">
        <v>148533067.80000001</v>
      </c>
      <c r="I71">
        <v>130529638.40000001</v>
      </c>
      <c r="J71">
        <v>27486892</v>
      </c>
      <c r="K71">
        <v>13722966</v>
      </c>
      <c r="L71">
        <v>3.5900000000000001E-2</v>
      </c>
      <c r="M71">
        <v>5.3999999999999999E-2</v>
      </c>
      <c r="N71">
        <v>0.15</v>
      </c>
      <c r="O71">
        <v>10097.620000000001</v>
      </c>
      <c r="P71">
        <v>34902.199999999997</v>
      </c>
      <c r="Q71">
        <v>0.68</v>
      </c>
      <c r="R71">
        <v>0.65</v>
      </c>
      <c r="S71">
        <v>161.30000000000001</v>
      </c>
      <c r="T71">
        <v>5.2</v>
      </c>
      <c r="U71">
        <v>0.76</v>
      </c>
      <c r="V71">
        <v>20.7</v>
      </c>
      <c r="W71">
        <v>673.5</v>
      </c>
      <c r="X71">
        <v>0.19</v>
      </c>
      <c r="Y71">
        <v>161.69999999999999</v>
      </c>
      <c r="Z71">
        <v>40.799999999999997</v>
      </c>
      <c r="AA71">
        <v>202.5</v>
      </c>
      <c r="AB71">
        <v>182.5</v>
      </c>
      <c r="AC71">
        <v>6.2</v>
      </c>
      <c r="AD71">
        <v>0.88</v>
      </c>
      <c r="AE71">
        <v>22.8</v>
      </c>
      <c r="AF71">
        <v>771.1</v>
      </c>
      <c r="AG71">
        <v>0.2</v>
      </c>
      <c r="AH71">
        <v>182.9</v>
      </c>
      <c r="AI71">
        <v>45.9</v>
      </c>
      <c r="AJ71">
        <v>228.8</v>
      </c>
      <c r="AK71">
        <v>246.7</v>
      </c>
      <c r="AL71">
        <v>8.1</v>
      </c>
      <c r="AM71">
        <v>1.08</v>
      </c>
      <c r="AN71">
        <v>26.9</v>
      </c>
      <c r="AO71">
        <v>1113.2</v>
      </c>
      <c r="AP71">
        <v>0.16</v>
      </c>
      <c r="AQ71">
        <v>247.3</v>
      </c>
      <c r="AR71">
        <v>60.1</v>
      </c>
      <c r="AS71">
        <v>307.3</v>
      </c>
      <c r="AT71">
        <v>689.6</v>
      </c>
      <c r="AU71">
        <v>41.4</v>
      </c>
      <c r="AV71">
        <v>6.04</v>
      </c>
      <c r="AW71">
        <v>59.8</v>
      </c>
      <c r="AX71">
        <v>2396.4</v>
      </c>
      <c r="AY71">
        <v>0.54</v>
      </c>
      <c r="AZ71">
        <v>692.5</v>
      </c>
      <c r="BA71">
        <v>131.30000000000001</v>
      </c>
      <c r="BB71">
        <v>823.8</v>
      </c>
      <c r="BC71">
        <v>22940282</v>
      </c>
      <c r="BD71">
        <v>739.3</v>
      </c>
      <c r="BE71">
        <v>107.6</v>
      </c>
      <c r="BF71">
        <v>2939534.9</v>
      </c>
      <c r="BG71">
        <v>95889.1</v>
      </c>
      <c r="BH71">
        <v>26.3</v>
      </c>
      <c r="BI71">
        <v>22991689.399999999</v>
      </c>
      <c r="BJ71">
        <v>5804208.5999999996</v>
      </c>
      <c r="BK71">
        <v>28795898.100000001</v>
      </c>
      <c r="BL71">
        <v>0</v>
      </c>
      <c r="BM71">
        <v>33.31</v>
      </c>
      <c r="BN71">
        <v>2.0499999999999998</v>
      </c>
      <c r="BO71">
        <v>5.18</v>
      </c>
      <c r="BP71">
        <v>40.54</v>
      </c>
      <c r="BQ71">
        <v>35.42</v>
      </c>
      <c r="BR71">
        <v>2.2599999999999998</v>
      </c>
      <c r="BS71">
        <v>5.47</v>
      </c>
      <c r="BT71">
        <v>43.14</v>
      </c>
      <c r="BU71">
        <v>143947660</v>
      </c>
      <c r="BV71">
        <v>27038692</v>
      </c>
      <c r="BW71">
        <v>1426944</v>
      </c>
      <c r="BX71">
        <v>2012466.8</v>
      </c>
      <c r="BY71">
        <v>0</v>
      </c>
      <c r="BZ71">
        <v>13723090</v>
      </c>
      <c r="CA71">
        <v>1649607.2</v>
      </c>
      <c r="CB71">
        <v>0</v>
      </c>
      <c r="CC71">
        <v>0</v>
      </c>
      <c r="CD71">
        <v>2489203.7999999998</v>
      </c>
      <c r="CE71">
        <v>36841290</v>
      </c>
      <c r="CF71">
        <v>0</v>
      </c>
      <c r="CG71">
        <v>1360266.1</v>
      </c>
      <c r="CH71">
        <v>0</v>
      </c>
      <c r="CI71">
        <v>26825330</v>
      </c>
      <c r="CJ71">
        <v>25580812</v>
      </c>
      <c r="CK71">
        <v>6372602.5</v>
      </c>
      <c r="CL71">
        <v>1116574.1000000001</v>
      </c>
      <c r="CM71">
        <v>0</v>
      </c>
      <c r="CN71">
        <v>7190846.5</v>
      </c>
      <c r="CO71">
        <v>16875878</v>
      </c>
      <c r="CP71">
        <v>482764.3</v>
      </c>
      <c r="CQ71">
        <v>1857.5</v>
      </c>
      <c r="CR71">
        <v>394.6</v>
      </c>
      <c r="CS71">
        <v>0</v>
      </c>
      <c r="CT71">
        <v>445</v>
      </c>
      <c r="CU71">
        <v>0</v>
      </c>
      <c r="CV71">
        <v>0</v>
      </c>
      <c r="CW71">
        <v>1928.7</v>
      </c>
      <c r="CX71">
        <v>9759.5</v>
      </c>
      <c r="CY71">
        <v>0</v>
      </c>
      <c r="CZ71">
        <v>2825.1</v>
      </c>
      <c r="DA71">
        <v>0</v>
      </c>
      <c r="DB71">
        <v>4550.6000000000004</v>
      </c>
      <c r="DC71">
        <v>3203</v>
      </c>
      <c r="DD71">
        <v>10926.5</v>
      </c>
      <c r="DE71">
        <v>1427.1</v>
      </c>
      <c r="DF71">
        <v>0</v>
      </c>
      <c r="DG71">
        <v>3685</v>
      </c>
      <c r="DH71">
        <v>130</v>
      </c>
      <c r="DI71">
        <v>5099.1000000000004</v>
      </c>
      <c r="DJ71">
        <v>3840.4</v>
      </c>
      <c r="DK71">
        <v>14271</v>
      </c>
      <c r="DL71">
        <v>0</v>
      </c>
      <c r="DM71">
        <v>0</v>
      </c>
    </row>
    <row r="72" spans="1:117" x14ac:dyDescent="0.3">
      <c r="A72" t="s">
        <v>162</v>
      </c>
      <c r="B72">
        <v>2026</v>
      </c>
      <c r="C72">
        <v>155267710</v>
      </c>
      <c r="D72">
        <v>1883087.6</v>
      </c>
      <c r="E72">
        <v>1565547.2</v>
      </c>
      <c r="F72">
        <v>479601.6</v>
      </c>
      <c r="G72">
        <v>159195941</v>
      </c>
      <c r="H72">
        <v>149685311.19999999</v>
      </c>
      <c r="I72">
        <v>121356388.90000001</v>
      </c>
      <c r="J72">
        <v>24136174</v>
      </c>
      <c r="K72">
        <v>21957602</v>
      </c>
      <c r="L72">
        <v>3.5900000000000001E-2</v>
      </c>
      <c r="M72">
        <v>5.3999999999999999E-2</v>
      </c>
      <c r="N72">
        <v>0.15</v>
      </c>
      <c r="O72">
        <v>40331.35</v>
      </c>
      <c r="P72">
        <v>35231</v>
      </c>
      <c r="Q72">
        <v>0.75</v>
      </c>
      <c r="R72">
        <v>0.73</v>
      </c>
      <c r="S72">
        <v>112.3</v>
      </c>
      <c r="T72">
        <v>3.2</v>
      </c>
      <c r="U72">
        <v>0.43</v>
      </c>
      <c r="V72">
        <v>14.9</v>
      </c>
      <c r="W72">
        <v>509.6</v>
      </c>
      <c r="X72">
        <v>0.12</v>
      </c>
      <c r="Y72">
        <v>112.5</v>
      </c>
      <c r="Z72">
        <v>30.1</v>
      </c>
      <c r="AA72">
        <v>142.6</v>
      </c>
      <c r="AB72">
        <v>129.9</v>
      </c>
      <c r="AC72">
        <v>3.9</v>
      </c>
      <c r="AD72">
        <v>0.52</v>
      </c>
      <c r="AE72">
        <v>16.899999999999999</v>
      </c>
      <c r="AF72">
        <v>590.1</v>
      </c>
      <c r="AG72">
        <v>0.13</v>
      </c>
      <c r="AH72">
        <v>130.19999999999999</v>
      </c>
      <c r="AI72">
        <v>34.6</v>
      </c>
      <c r="AJ72">
        <v>164.7</v>
      </c>
      <c r="AK72">
        <v>213.2</v>
      </c>
      <c r="AL72">
        <v>6.5</v>
      </c>
      <c r="AM72">
        <v>0.86</v>
      </c>
      <c r="AN72">
        <v>23.9</v>
      </c>
      <c r="AO72">
        <v>965.2</v>
      </c>
      <c r="AP72">
        <v>0.15</v>
      </c>
      <c r="AQ72">
        <v>213.6</v>
      </c>
      <c r="AR72">
        <v>52.7</v>
      </c>
      <c r="AS72">
        <v>266.39999999999998</v>
      </c>
      <c r="AT72">
        <v>631.9</v>
      </c>
      <c r="AU72">
        <v>36.1</v>
      </c>
      <c r="AV72">
        <v>5.15</v>
      </c>
      <c r="AW72">
        <v>55.5</v>
      </c>
      <c r="AX72">
        <v>2332.6</v>
      </c>
      <c r="AY72">
        <v>0.44</v>
      </c>
      <c r="AZ72">
        <v>634.4</v>
      </c>
      <c r="BA72">
        <v>125.2</v>
      </c>
      <c r="BB72">
        <v>759.6</v>
      </c>
      <c r="BC72">
        <v>17465063.100000001</v>
      </c>
      <c r="BD72">
        <v>494.8</v>
      </c>
      <c r="BE72">
        <v>66.900000000000006</v>
      </c>
      <c r="BF72">
        <v>2321093.6</v>
      </c>
      <c r="BG72">
        <v>79301.899999999994</v>
      </c>
      <c r="BH72">
        <v>18.5</v>
      </c>
      <c r="BI72">
        <v>17498071</v>
      </c>
      <c r="BJ72">
        <v>4689331.5999999996</v>
      </c>
      <c r="BK72">
        <v>22187402.600000001</v>
      </c>
      <c r="BL72">
        <v>0</v>
      </c>
      <c r="BM72">
        <v>29.93</v>
      </c>
      <c r="BN72">
        <v>8.01</v>
      </c>
      <c r="BO72">
        <v>0</v>
      </c>
      <c r="BP72">
        <v>37.94</v>
      </c>
      <c r="BQ72">
        <v>31.86</v>
      </c>
      <c r="BR72">
        <v>8.83</v>
      </c>
      <c r="BS72">
        <v>0</v>
      </c>
      <c r="BT72">
        <v>40.69</v>
      </c>
      <c r="BU72">
        <v>157177250</v>
      </c>
      <c r="BV72">
        <v>37839550</v>
      </c>
      <c r="BW72">
        <v>1607114.6</v>
      </c>
      <c r="BX72">
        <v>2001249.8</v>
      </c>
      <c r="BY72">
        <v>0</v>
      </c>
      <c r="BZ72">
        <v>22661086</v>
      </c>
      <c r="CA72">
        <v>927272.9</v>
      </c>
      <c r="CB72">
        <v>0</v>
      </c>
      <c r="CC72">
        <v>0</v>
      </c>
      <c r="CD72">
        <v>2833035.2</v>
      </c>
      <c r="CE72">
        <v>33723550</v>
      </c>
      <c r="CF72">
        <v>0</v>
      </c>
      <c r="CG72">
        <v>809784.1</v>
      </c>
      <c r="CH72">
        <v>0</v>
      </c>
      <c r="CI72">
        <v>27635302</v>
      </c>
      <c r="CJ72">
        <v>25553040</v>
      </c>
      <c r="CK72">
        <v>3147550.8</v>
      </c>
      <c r="CL72">
        <v>1271744.8</v>
      </c>
      <c r="CM72">
        <v>0</v>
      </c>
      <c r="CN72">
        <v>7075147</v>
      </c>
      <c r="CO72">
        <v>16784872</v>
      </c>
      <c r="CP72">
        <v>11146498</v>
      </c>
      <c r="CQ72">
        <v>2006.7</v>
      </c>
      <c r="CR72">
        <v>394.6</v>
      </c>
      <c r="CS72">
        <v>0</v>
      </c>
      <c r="CT72">
        <v>445</v>
      </c>
      <c r="CU72">
        <v>0</v>
      </c>
      <c r="CV72">
        <v>0</v>
      </c>
      <c r="CW72">
        <v>2234.8000000000002</v>
      </c>
      <c r="CX72">
        <v>9759.5</v>
      </c>
      <c r="CY72">
        <v>0</v>
      </c>
      <c r="CZ72">
        <v>2253.6999999999998</v>
      </c>
      <c r="DA72">
        <v>0</v>
      </c>
      <c r="DB72">
        <v>4671.1000000000004</v>
      </c>
      <c r="DC72">
        <v>3203</v>
      </c>
      <c r="DD72">
        <v>10516</v>
      </c>
      <c r="DE72">
        <v>1427.1</v>
      </c>
      <c r="DF72">
        <v>0</v>
      </c>
      <c r="DG72">
        <v>3685</v>
      </c>
      <c r="DH72">
        <v>3088</v>
      </c>
      <c r="DI72">
        <v>5099.1000000000004</v>
      </c>
      <c r="DJ72">
        <v>4453</v>
      </c>
      <c r="DK72">
        <v>14271</v>
      </c>
      <c r="DL72">
        <v>0</v>
      </c>
      <c r="DM72">
        <v>0</v>
      </c>
    </row>
    <row r="73" spans="1:117" x14ac:dyDescent="0.3">
      <c r="A73" t="s">
        <v>162</v>
      </c>
      <c r="B73">
        <v>2028</v>
      </c>
      <c r="C73">
        <v>157365060</v>
      </c>
      <c r="D73">
        <v>2524089.2000000002</v>
      </c>
      <c r="E73">
        <v>1760815.4</v>
      </c>
      <c r="F73">
        <v>560969.80000000005</v>
      </c>
      <c r="G73">
        <v>162210928.5</v>
      </c>
      <c r="H73">
        <v>151707185.5</v>
      </c>
      <c r="I73">
        <v>119679953.40000001</v>
      </c>
      <c r="J73">
        <v>27089884</v>
      </c>
      <c r="K73">
        <v>26686768</v>
      </c>
      <c r="L73">
        <v>3.5900000000000001E-2</v>
      </c>
      <c r="M73">
        <v>5.3999999999999999E-2</v>
      </c>
      <c r="N73">
        <v>0.15</v>
      </c>
      <c r="O73">
        <v>47414.93</v>
      </c>
      <c r="P73">
        <v>35902.5</v>
      </c>
      <c r="Q73">
        <v>0.78</v>
      </c>
      <c r="R73">
        <v>0.76</v>
      </c>
      <c r="S73">
        <v>97.4</v>
      </c>
      <c r="T73">
        <v>2.5</v>
      </c>
      <c r="U73">
        <v>0.34</v>
      </c>
      <c r="V73">
        <v>13.3</v>
      </c>
      <c r="W73">
        <v>451.9</v>
      </c>
      <c r="X73">
        <v>0.1</v>
      </c>
      <c r="Y73">
        <v>97.6</v>
      </c>
      <c r="Z73">
        <v>26.8</v>
      </c>
      <c r="AA73">
        <v>124.4</v>
      </c>
      <c r="AB73">
        <v>112.9</v>
      </c>
      <c r="AC73">
        <v>3.1</v>
      </c>
      <c r="AD73">
        <v>0.4</v>
      </c>
      <c r="AE73">
        <v>15.2</v>
      </c>
      <c r="AF73">
        <v>525.20000000000005</v>
      </c>
      <c r="AG73">
        <v>0.12</v>
      </c>
      <c r="AH73">
        <v>113.1</v>
      </c>
      <c r="AI73">
        <v>30.8</v>
      </c>
      <c r="AJ73">
        <v>144</v>
      </c>
      <c r="AK73">
        <v>138.69999999999999</v>
      </c>
      <c r="AL73">
        <v>3.5</v>
      </c>
      <c r="AM73">
        <v>0.45</v>
      </c>
      <c r="AN73">
        <v>16.2</v>
      </c>
      <c r="AO73">
        <v>651.9</v>
      </c>
      <c r="AP73">
        <v>0.09</v>
      </c>
      <c r="AQ73">
        <v>139</v>
      </c>
      <c r="AR73">
        <v>35.6</v>
      </c>
      <c r="AS73">
        <v>174.6</v>
      </c>
      <c r="AT73">
        <v>571.1</v>
      </c>
      <c r="AU73">
        <v>28.9</v>
      </c>
      <c r="AV73">
        <v>4.08</v>
      </c>
      <c r="AW73">
        <v>53.7</v>
      </c>
      <c r="AX73">
        <v>2228.1</v>
      </c>
      <c r="AY73">
        <v>0.4</v>
      </c>
      <c r="AZ73">
        <v>573.1</v>
      </c>
      <c r="BA73">
        <v>120.2</v>
      </c>
      <c r="BB73">
        <v>693.3</v>
      </c>
      <c r="BC73">
        <v>15622916.699999999</v>
      </c>
      <c r="BD73">
        <v>409</v>
      </c>
      <c r="BE73">
        <v>54.2</v>
      </c>
      <c r="BF73">
        <v>2132177</v>
      </c>
      <c r="BG73">
        <v>72476.3</v>
      </c>
      <c r="BH73">
        <v>16.8</v>
      </c>
      <c r="BI73">
        <v>15649898.5</v>
      </c>
      <c r="BJ73">
        <v>4296547.4000000004</v>
      </c>
      <c r="BK73">
        <v>19946445.899999999</v>
      </c>
      <c r="BL73">
        <v>0</v>
      </c>
      <c r="BM73">
        <v>25.69</v>
      </c>
      <c r="BN73">
        <v>9.33</v>
      </c>
      <c r="BO73">
        <v>0</v>
      </c>
      <c r="BP73">
        <v>35.020000000000003</v>
      </c>
      <c r="BQ73">
        <v>27.43</v>
      </c>
      <c r="BR73">
        <v>10.33</v>
      </c>
      <c r="BS73">
        <v>0</v>
      </c>
      <c r="BT73">
        <v>37.76</v>
      </c>
      <c r="BU73">
        <v>161944130</v>
      </c>
      <c r="BV73">
        <v>42530976</v>
      </c>
      <c r="BW73">
        <v>2159781.2000000002</v>
      </c>
      <c r="BX73">
        <v>1980483.4</v>
      </c>
      <c r="BY73">
        <v>0</v>
      </c>
      <c r="BZ73">
        <v>25161198</v>
      </c>
      <c r="CA73">
        <v>551808.19999999995</v>
      </c>
      <c r="CB73">
        <v>0</v>
      </c>
      <c r="CC73">
        <v>0</v>
      </c>
      <c r="CD73">
        <v>3372916.8</v>
      </c>
      <c r="CE73">
        <v>31539120</v>
      </c>
      <c r="CF73">
        <v>0</v>
      </c>
      <c r="CG73">
        <v>709943</v>
      </c>
      <c r="CH73">
        <v>0</v>
      </c>
      <c r="CI73">
        <v>27822364</v>
      </c>
      <c r="CJ73">
        <v>25447464</v>
      </c>
      <c r="CK73">
        <v>2630115</v>
      </c>
      <c r="CL73">
        <v>1410871.2</v>
      </c>
      <c r="CM73">
        <v>0</v>
      </c>
      <c r="CN73">
        <v>6957111</v>
      </c>
      <c r="CO73">
        <v>16694354</v>
      </c>
      <c r="CP73">
        <v>15506594</v>
      </c>
      <c r="CQ73">
        <v>2500</v>
      </c>
      <c r="CR73">
        <v>394.6</v>
      </c>
      <c r="CS73">
        <v>0</v>
      </c>
      <c r="CT73">
        <v>445</v>
      </c>
      <c r="CU73">
        <v>0</v>
      </c>
      <c r="CV73">
        <v>0</v>
      </c>
      <c r="CW73">
        <v>2680.8</v>
      </c>
      <c r="CX73">
        <v>9759.5</v>
      </c>
      <c r="CY73">
        <v>0</v>
      </c>
      <c r="CZ73">
        <v>1901.1</v>
      </c>
      <c r="DA73">
        <v>0</v>
      </c>
      <c r="DB73">
        <v>4720.3</v>
      </c>
      <c r="DC73">
        <v>3203</v>
      </c>
      <c r="DD73">
        <v>10411.5</v>
      </c>
      <c r="DE73">
        <v>1427.1</v>
      </c>
      <c r="DF73">
        <v>0</v>
      </c>
      <c r="DG73">
        <v>3685</v>
      </c>
      <c r="DH73">
        <v>4318</v>
      </c>
      <c r="DI73">
        <v>5099.1000000000004</v>
      </c>
      <c r="DJ73">
        <v>6239</v>
      </c>
      <c r="DK73">
        <v>14271</v>
      </c>
      <c r="DL73">
        <v>0</v>
      </c>
      <c r="DM73">
        <v>0</v>
      </c>
    </row>
    <row r="74" spans="1:117" x14ac:dyDescent="0.3">
      <c r="A74" t="s">
        <v>162</v>
      </c>
      <c r="B74">
        <v>2030</v>
      </c>
      <c r="C74">
        <v>160291620</v>
      </c>
      <c r="D74">
        <v>4590202.5</v>
      </c>
      <c r="E74">
        <v>1973627</v>
      </c>
      <c r="F74">
        <v>595601.30000000005</v>
      </c>
      <c r="G74">
        <v>167451042.5</v>
      </c>
      <c r="H74">
        <v>154528472</v>
      </c>
      <c r="I74">
        <v>113108275.59999999</v>
      </c>
      <c r="J74">
        <v>27180134</v>
      </c>
      <c r="K74">
        <v>30158874</v>
      </c>
      <c r="L74">
        <v>3.5900000000000001E-2</v>
      </c>
      <c r="M74">
        <v>5.3999999999999999E-2</v>
      </c>
      <c r="N74">
        <v>0.15</v>
      </c>
      <c r="O74">
        <v>65079.8</v>
      </c>
      <c r="P74">
        <v>36877</v>
      </c>
      <c r="Q74">
        <v>0.82</v>
      </c>
      <c r="R74">
        <v>0.9</v>
      </c>
      <c r="S74">
        <v>80.900000000000006</v>
      </c>
      <c r="T74">
        <v>2.1</v>
      </c>
      <c r="U74">
        <v>0.27</v>
      </c>
      <c r="V74">
        <v>11.3</v>
      </c>
      <c r="W74">
        <v>376.6</v>
      </c>
      <c r="X74">
        <v>0.09</v>
      </c>
      <c r="Y74">
        <v>81</v>
      </c>
      <c r="Z74">
        <v>22.6</v>
      </c>
      <c r="AA74">
        <v>103.6</v>
      </c>
      <c r="AB74">
        <v>47.1</v>
      </c>
      <c r="AC74">
        <v>1.3</v>
      </c>
      <c r="AD74">
        <v>0.17</v>
      </c>
      <c r="AE74">
        <v>6.5</v>
      </c>
      <c r="AF74">
        <v>218.3</v>
      </c>
      <c r="AG74">
        <v>0.05</v>
      </c>
      <c r="AH74">
        <v>47.2</v>
      </c>
      <c r="AI74">
        <v>13</v>
      </c>
      <c r="AJ74">
        <v>60.1</v>
      </c>
      <c r="AK74">
        <v>81.2</v>
      </c>
      <c r="AL74">
        <v>2</v>
      </c>
      <c r="AM74">
        <v>0.27</v>
      </c>
      <c r="AN74">
        <v>9.6999999999999993</v>
      </c>
      <c r="AO74">
        <v>369.6</v>
      </c>
      <c r="AP74">
        <v>0.06</v>
      </c>
      <c r="AQ74">
        <v>81.3</v>
      </c>
      <c r="AR74">
        <v>20.7</v>
      </c>
      <c r="AS74">
        <v>102</v>
      </c>
      <c r="AT74">
        <v>529.9</v>
      </c>
      <c r="AU74">
        <v>25.3</v>
      </c>
      <c r="AV74">
        <v>3.54</v>
      </c>
      <c r="AW74">
        <v>51</v>
      </c>
      <c r="AX74">
        <v>2137</v>
      </c>
      <c r="AY74">
        <v>0.35</v>
      </c>
      <c r="AZ74">
        <v>531.6</v>
      </c>
      <c r="BA74">
        <v>114.8</v>
      </c>
      <c r="BB74">
        <v>646.4</v>
      </c>
      <c r="BC74">
        <v>13661629.5</v>
      </c>
      <c r="BD74">
        <v>347.4</v>
      </c>
      <c r="BE74">
        <v>46</v>
      </c>
      <c r="BF74">
        <v>1910779</v>
      </c>
      <c r="BG74">
        <v>63594.7</v>
      </c>
      <c r="BH74">
        <v>15.4</v>
      </c>
      <c r="BI74">
        <v>13684541.9</v>
      </c>
      <c r="BJ74">
        <v>3810106.4</v>
      </c>
      <c r="BK74">
        <v>17494648.300000001</v>
      </c>
      <c r="BL74">
        <v>0</v>
      </c>
      <c r="BM74">
        <v>24.59</v>
      </c>
      <c r="BN74">
        <v>12.15</v>
      </c>
      <c r="BO74">
        <v>3.77</v>
      </c>
      <c r="BP74">
        <v>40.51</v>
      </c>
      <c r="BQ74">
        <v>26.41</v>
      </c>
      <c r="BR74">
        <v>13.61</v>
      </c>
      <c r="BS74">
        <v>3.99</v>
      </c>
      <c r="BT74">
        <v>44.01</v>
      </c>
      <c r="BU74">
        <v>170528720</v>
      </c>
      <c r="BV74">
        <v>54342772</v>
      </c>
      <c r="BW74">
        <v>3904798</v>
      </c>
      <c r="BX74">
        <v>1948413.4</v>
      </c>
      <c r="BY74">
        <v>0</v>
      </c>
      <c r="BZ74">
        <v>24765420</v>
      </c>
      <c r="CA74">
        <v>371687</v>
      </c>
      <c r="CB74">
        <v>0</v>
      </c>
      <c r="CC74">
        <v>0</v>
      </c>
      <c r="CD74">
        <v>4248445</v>
      </c>
      <c r="CE74">
        <v>27744876</v>
      </c>
      <c r="CF74">
        <v>0</v>
      </c>
      <c r="CG74">
        <v>641974</v>
      </c>
      <c r="CH74">
        <v>0</v>
      </c>
      <c r="CI74">
        <v>27697132</v>
      </c>
      <c r="CJ74">
        <v>25165082</v>
      </c>
      <c r="CK74">
        <v>2372179.5</v>
      </c>
      <c r="CL74">
        <v>1574388.9</v>
      </c>
      <c r="CM74">
        <v>0</v>
      </c>
      <c r="CN74">
        <v>18064484</v>
      </c>
      <c r="CO74">
        <v>16604243</v>
      </c>
      <c r="CP74">
        <v>15425594</v>
      </c>
      <c r="CQ74">
        <v>3532.3</v>
      </c>
      <c r="CR74">
        <v>394.6</v>
      </c>
      <c r="CS74">
        <v>0</v>
      </c>
      <c r="CT74">
        <v>370</v>
      </c>
      <c r="CU74">
        <v>0</v>
      </c>
      <c r="CV74">
        <v>0</v>
      </c>
      <c r="CW74">
        <v>3362.3</v>
      </c>
      <c r="CX74">
        <v>9759.5</v>
      </c>
      <c r="CY74">
        <v>0</v>
      </c>
      <c r="CZ74">
        <v>1884</v>
      </c>
      <c r="DA74">
        <v>0</v>
      </c>
      <c r="DB74">
        <v>4738.3999999999996</v>
      </c>
      <c r="DC74">
        <v>3203</v>
      </c>
      <c r="DD74">
        <v>9781.2999999999993</v>
      </c>
      <c r="DE74">
        <v>1427.1</v>
      </c>
      <c r="DF74">
        <v>0</v>
      </c>
      <c r="DG74">
        <v>9253.4</v>
      </c>
      <c r="DH74">
        <v>4318</v>
      </c>
      <c r="DI74">
        <v>5099.1000000000004</v>
      </c>
      <c r="DJ74">
        <v>11631.1</v>
      </c>
      <c r="DK74">
        <v>14271</v>
      </c>
      <c r="DL74">
        <v>0</v>
      </c>
      <c r="DM74">
        <v>0</v>
      </c>
    </row>
    <row r="75" spans="1:117" x14ac:dyDescent="0.3">
      <c r="A75" t="s">
        <v>162</v>
      </c>
      <c r="B75">
        <v>2035</v>
      </c>
      <c r="C75">
        <v>168657580</v>
      </c>
      <c r="D75">
        <v>6569641</v>
      </c>
      <c r="E75">
        <v>1916898.4</v>
      </c>
      <c r="F75">
        <v>668716.1</v>
      </c>
      <c r="G75">
        <v>177812844.90000001</v>
      </c>
      <c r="H75">
        <v>162593607.5</v>
      </c>
      <c r="I75">
        <v>106849384.7</v>
      </c>
      <c r="J75">
        <v>29432234</v>
      </c>
      <c r="K75">
        <v>34448296</v>
      </c>
      <c r="L75">
        <v>3.5900000000000001E-2</v>
      </c>
      <c r="M75">
        <v>5.3999999999999999E-2</v>
      </c>
      <c r="N75">
        <v>0.15</v>
      </c>
      <c r="O75">
        <v>91589.94</v>
      </c>
      <c r="P75">
        <v>39749.1</v>
      </c>
      <c r="Q75">
        <v>0.85</v>
      </c>
      <c r="R75">
        <v>0.95</v>
      </c>
      <c r="S75">
        <v>63.8</v>
      </c>
      <c r="T75">
        <v>1.4</v>
      </c>
      <c r="U75">
        <v>0.17</v>
      </c>
      <c r="V75">
        <v>9.1999999999999993</v>
      </c>
      <c r="W75">
        <v>309</v>
      </c>
      <c r="X75">
        <v>7.0000000000000007E-2</v>
      </c>
      <c r="Y75">
        <v>63.9</v>
      </c>
      <c r="Z75">
        <v>18.399999999999999</v>
      </c>
      <c r="AA75">
        <v>82.3</v>
      </c>
      <c r="AB75">
        <v>23.2</v>
      </c>
      <c r="AC75">
        <v>0.6</v>
      </c>
      <c r="AD75">
        <v>7.0000000000000007E-2</v>
      </c>
      <c r="AE75">
        <v>3.2</v>
      </c>
      <c r="AF75">
        <v>111.3</v>
      </c>
      <c r="AG75">
        <v>0.02</v>
      </c>
      <c r="AH75">
        <v>23.3</v>
      </c>
      <c r="AI75">
        <v>6.5</v>
      </c>
      <c r="AJ75">
        <v>29.8</v>
      </c>
      <c r="AK75">
        <v>24.8</v>
      </c>
      <c r="AL75">
        <v>0.6</v>
      </c>
      <c r="AM75">
        <v>0.08</v>
      </c>
      <c r="AN75">
        <v>2.9</v>
      </c>
      <c r="AO75">
        <v>114.5</v>
      </c>
      <c r="AP75">
        <v>0.02</v>
      </c>
      <c r="AQ75">
        <v>24.9</v>
      </c>
      <c r="AR75">
        <v>6.3</v>
      </c>
      <c r="AS75">
        <v>31.2</v>
      </c>
      <c r="AT75">
        <v>472.7</v>
      </c>
      <c r="AU75">
        <v>19.7</v>
      </c>
      <c r="AV75">
        <v>2.69</v>
      </c>
      <c r="AW75">
        <v>48.2</v>
      </c>
      <c r="AX75">
        <v>2016.1</v>
      </c>
      <c r="AY75">
        <v>0.31</v>
      </c>
      <c r="AZ75">
        <v>474.1</v>
      </c>
      <c r="BA75">
        <v>108.4</v>
      </c>
      <c r="BB75">
        <v>582.4</v>
      </c>
      <c r="BC75">
        <v>11542568.699999999</v>
      </c>
      <c r="BD75">
        <v>250.9</v>
      </c>
      <c r="BE75">
        <v>31.4</v>
      </c>
      <c r="BF75">
        <v>1667980.1</v>
      </c>
      <c r="BG75">
        <v>55932.9</v>
      </c>
      <c r="BH75">
        <v>13.1</v>
      </c>
      <c r="BI75">
        <v>11558625.199999999</v>
      </c>
      <c r="BJ75">
        <v>3338367.3</v>
      </c>
      <c r="BK75">
        <v>14896992.5</v>
      </c>
      <c r="BL75">
        <v>0</v>
      </c>
      <c r="BM75">
        <v>22.74</v>
      </c>
      <c r="BN75">
        <v>17.260000000000002</v>
      </c>
      <c r="BO75">
        <v>0</v>
      </c>
      <c r="BP75">
        <v>40</v>
      </c>
      <c r="BQ75">
        <v>24.5</v>
      </c>
      <c r="BR75">
        <v>19.52</v>
      </c>
      <c r="BS75">
        <v>0</v>
      </c>
      <c r="BT75">
        <v>44.03</v>
      </c>
      <c r="BU75">
        <v>182936580</v>
      </c>
      <c r="BV75">
        <v>70963464</v>
      </c>
      <c r="BW75">
        <v>5602665</v>
      </c>
      <c r="BX75">
        <v>1507715.8</v>
      </c>
      <c r="BY75">
        <v>0</v>
      </c>
      <c r="BZ75">
        <v>24039834</v>
      </c>
      <c r="CA75">
        <v>0</v>
      </c>
      <c r="CB75">
        <v>0</v>
      </c>
      <c r="CC75">
        <v>0</v>
      </c>
      <c r="CD75">
        <v>5277882.5</v>
      </c>
      <c r="CE75">
        <v>23497018</v>
      </c>
      <c r="CF75">
        <v>0</v>
      </c>
      <c r="CG75">
        <v>1770253.2</v>
      </c>
      <c r="CH75">
        <v>0</v>
      </c>
      <c r="CI75">
        <v>27427226</v>
      </c>
      <c r="CJ75">
        <v>24922274</v>
      </c>
      <c r="CK75">
        <v>1691023.2</v>
      </c>
      <c r="CL75">
        <v>1515112.2</v>
      </c>
      <c r="CM75">
        <v>0</v>
      </c>
      <c r="CN75">
        <v>17448220</v>
      </c>
      <c r="CO75">
        <v>16585222</v>
      </c>
      <c r="CP75">
        <v>31652134</v>
      </c>
      <c r="CQ75">
        <v>4547.3</v>
      </c>
      <c r="CR75">
        <v>339.6</v>
      </c>
      <c r="CS75">
        <v>0</v>
      </c>
      <c r="CT75">
        <v>0</v>
      </c>
      <c r="CU75">
        <v>0</v>
      </c>
      <c r="CV75">
        <v>0</v>
      </c>
      <c r="CW75">
        <v>4221.7</v>
      </c>
      <c r="CX75">
        <v>9759.5</v>
      </c>
      <c r="CY75">
        <v>0</v>
      </c>
      <c r="CZ75">
        <v>2264.8000000000002</v>
      </c>
      <c r="DA75">
        <v>0</v>
      </c>
      <c r="DB75">
        <v>4750.3</v>
      </c>
      <c r="DC75">
        <v>3203</v>
      </c>
      <c r="DD75">
        <v>8832.6</v>
      </c>
      <c r="DE75">
        <v>1427.1</v>
      </c>
      <c r="DF75">
        <v>0</v>
      </c>
      <c r="DG75">
        <v>9253.4</v>
      </c>
      <c r="DH75">
        <v>9000</v>
      </c>
      <c r="DI75">
        <v>5135.7</v>
      </c>
      <c r="DJ75">
        <v>17860.8</v>
      </c>
      <c r="DK75">
        <v>14271</v>
      </c>
      <c r="DL75">
        <v>0</v>
      </c>
      <c r="DM75">
        <v>0</v>
      </c>
    </row>
    <row r="76" spans="1:117" x14ac:dyDescent="0.3">
      <c r="A76" t="s">
        <v>162</v>
      </c>
      <c r="B76">
        <v>2040</v>
      </c>
      <c r="C76">
        <v>179295620</v>
      </c>
      <c r="D76">
        <v>9252661</v>
      </c>
      <c r="E76">
        <v>2227942.2000000002</v>
      </c>
      <c r="F76">
        <v>691185.8</v>
      </c>
      <c r="G76">
        <v>191467404.5</v>
      </c>
      <c r="H76">
        <v>172849122.09999999</v>
      </c>
      <c r="I76">
        <v>102935016.2</v>
      </c>
      <c r="J76">
        <v>27074988</v>
      </c>
      <c r="K76">
        <v>39768456</v>
      </c>
      <c r="L76">
        <v>3.5900000000000001E-2</v>
      </c>
      <c r="M76">
        <v>5.3999999999999999E-2</v>
      </c>
      <c r="N76">
        <v>0.15</v>
      </c>
      <c r="O76">
        <v>96641.21</v>
      </c>
      <c r="P76">
        <v>43031.9</v>
      </c>
      <c r="Q76">
        <v>0.86</v>
      </c>
      <c r="R76">
        <v>1</v>
      </c>
      <c r="S76">
        <v>62.6</v>
      </c>
      <c r="T76">
        <v>1.3</v>
      </c>
      <c r="U76">
        <v>0.15</v>
      </c>
      <c r="V76">
        <v>8.9</v>
      </c>
      <c r="W76">
        <v>315.5</v>
      </c>
      <c r="X76">
        <v>0.06</v>
      </c>
      <c r="Y76">
        <v>62.7</v>
      </c>
      <c r="Z76">
        <v>18.3</v>
      </c>
      <c r="AA76">
        <v>81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7.1</v>
      </c>
      <c r="AL76">
        <v>0.2</v>
      </c>
      <c r="AM76">
        <v>0.02</v>
      </c>
      <c r="AN76">
        <v>0.8</v>
      </c>
      <c r="AO76">
        <v>34.700000000000003</v>
      </c>
      <c r="AP76">
        <v>0</v>
      </c>
      <c r="AQ76">
        <v>7.1</v>
      </c>
      <c r="AR76">
        <v>1.8</v>
      </c>
      <c r="AS76">
        <v>9</v>
      </c>
      <c r="AT76">
        <v>450</v>
      </c>
      <c r="AU76">
        <v>16.3</v>
      </c>
      <c r="AV76">
        <v>2.15</v>
      </c>
      <c r="AW76">
        <v>47.8</v>
      </c>
      <c r="AX76">
        <v>2025.3</v>
      </c>
      <c r="AY76">
        <v>0.27</v>
      </c>
      <c r="AZ76">
        <v>451.1</v>
      </c>
      <c r="BA76">
        <v>108.2</v>
      </c>
      <c r="BB76">
        <v>559.29999999999995</v>
      </c>
      <c r="BC76">
        <v>12629594</v>
      </c>
      <c r="BD76">
        <v>257.8</v>
      </c>
      <c r="BE76">
        <v>29.5</v>
      </c>
      <c r="BF76">
        <v>1786405</v>
      </c>
      <c r="BG76">
        <v>63678.9</v>
      </c>
      <c r="BH76">
        <v>12.4</v>
      </c>
      <c r="BI76">
        <v>12645332.800000001</v>
      </c>
      <c r="BJ76">
        <v>3687427.9</v>
      </c>
      <c r="BK76">
        <v>16332760.699999999</v>
      </c>
      <c r="BL76">
        <v>0</v>
      </c>
      <c r="BM76">
        <v>21.54</v>
      </c>
      <c r="BN76">
        <v>17.87</v>
      </c>
      <c r="BO76">
        <v>1.87</v>
      </c>
      <c r="BP76">
        <v>41.29</v>
      </c>
      <c r="BQ76">
        <v>23.37</v>
      </c>
      <c r="BR76">
        <v>20.47</v>
      </c>
      <c r="BS76">
        <v>1.99</v>
      </c>
      <c r="BT76">
        <v>45.82</v>
      </c>
      <c r="BU76">
        <v>204323940</v>
      </c>
      <c r="BV76">
        <v>88532390</v>
      </c>
      <c r="BW76">
        <v>7900216</v>
      </c>
      <c r="BX76">
        <v>1488370.2</v>
      </c>
      <c r="BY76">
        <v>0</v>
      </c>
      <c r="BZ76">
        <v>23039164</v>
      </c>
      <c r="CA76">
        <v>0</v>
      </c>
      <c r="CB76">
        <v>0</v>
      </c>
      <c r="CC76">
        <v>0</v>
      </c>
      <c r="CD76">
        <v>5474068</v>
      </c>
      <c r="CE76">
        <v>24565338</v>
      </c>
      <c r="CF76">
        <v>0</v>
      </c>
      <c r="CG76">
        <v>3946722</v>
      </c>
      <c r="CH76">
        <v>0</v>
      </c>
      <c r="CI76">
        <v>27253242</v>
      </c>
      <c r="CJ76">
        <v>24776306</v>
      </c>
      <c r="CK76">
        <v>1008618.7</v>
      </c>
      <c r="CL76">
        <v>1813566.2</v>
      </c>
      <c r="CM76">
        <v>0</v>
      </c>
      <c r="CN76">
        <v>31298970</v>
      </c>
      <c r="CO76">
        <v>20523480</v>
      </c>
      <c r="CP76">
        <v>31235876</v>
      </c>
      <c r="CQ76">
        <v>5459.8</v>
      </c>
      <c r="CR76">
        <v>339.6</v>
      </c>
      <c r="CS76">
        <v>0</v>
      </c>
      <c r="CT76">
        <v>0</v>
      </c>
      <c r="CU76">
        <v>0</v>
      </c>
      <c r="CV76">
        <v>0</v>
      </c>
      <c r="CW76">
        <v>4506.8999999999996</v>
      </c>
      <c r="CX76">
        <v>9759.5</v>
      </c>
      <c r="CY76">
        <v>0</v>
      </c>
      <c r="CZ76">
        <v>4306.6000000000004</v>
      </c>
      <c r="DA76">
        <v>0</v>
      </c>
      <c r="DB76">
        <v>4765.8</v>
      </c>
      <c r="DC76">
        <v>3203</v>
      </c>
      <c r="DD76">
        <v>6235</v>
      </c>
      <c r="DE76">
        <v>1427.1</v>
      </c>
      <c r="DF76">
        <v>0</v>
      </c>
      <c r="DG76">
        <v>16190.1</v>
      </c>
      <c r="DH76">
        <v>9000</v>
      </c>
      <c r="DI76">
        <v>5740.1</v>
      </c>
      <c r="DJ76">
        <v>25497.200000000001</v>
      </c>
      <c r="DK76">
        <v>14271</v>
      </c>
      <c r="DL76">
        <v>0</v>
      </c>
      <c r="DM76">
        <v>0</v>
      </c>
    </row>
    <row r="77" spans="1:117" x14ac:dyDescent="0.3">
      <c r="A77" t="s">
        <v>162</v>
      </c>
      <c r="B77">
        <v>2045</v>
      </c>
      <c r="C77">
        <v>189133010</v>
      </c>
      <c r="D77">
        <v>10857951</v>
      </c>
      <c r="E77">
        <v>2190068.2000000002</v>
      </c>
      <c r="F77">
        <v>691171.4</v>
      </c>
      <c r="G77">
        <v>202872206</v>
      </c>
      <c r="H77">
        <v>182332627.90000001</v>
      </c>
      <c r="I77">
        <v>107913073.5</v>
      </c>
      <c r="J77">
        <v>25609154</v>
      </c>
      <c r="K77">
        <v>41573270</v>
      </c>
      <c r="L77">
        <v>3.5900000000000001E-2</v>
      </c>
      <c r="M77">
        <v>5.3999999999999999E-2</v>
      </c>
      <c r="N77">
        <v>0.15</v>
      </c>
      <c r="O77">
        <v>94255.41</v>
      </c>
      <c r="P77">
        <v>45652.4</v>
      </c>
      <c r="Q77">
        <v>0.84</v>
      </c>
      <c r="R77">
        <v>1</v>
      </c>
      <c r="S77">
        <v>71.3</v>
      </c>
      <c r="T77">
        <v>1.4</v>
      </c>
      <c r="U77">
        <v>0.16</v>
      </c>
      <c r="V77">
        <v>9.8000000000000007</v>
      </c>
      <c r="W77">
        <v>359.9</v>
      </c>
      <c r="X77">
        <v>0.06</v>
      </c>
      <c r="Y77">
        <v>71.400000000000006</v>
      </c>
      <c r="Z77">
        <v>20.5</v>
      </c>
      <c r="AA77">
        <v>91.9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462.4</v>
      </c>
      <c r="AU77">
        <v>15.2</v>
      </c>
      <c r="AV77">
        <v>1.96</v>
      </c>
      <c r="AW77">
        <v>50.3</v>
      </c>
      <c r="AX77">
        <v>2139.6</v>
      </c>
      <c r="AY77">
        <v>0.27</v>
      </c>
      <c r="AZ77">
        <v>463.4</v>
      </c>
      <c r="BA77">
        <v>114.1</v>
      </c>
      <c r="BB77">
        <v>577.5</v>
      </c>
      <c r="BC77">
        <v>15411092.5</v>
      </c>
      <c r="BD77">
        <v>312.8</v>
      </c>
      <c r="BE77">
        <v>35.5</v>
      </c>
      <c r="BF77">
        <v>2118028.7999999998</v>
      </c>
      <c r="BG77">
        <v>77823.7</v>
      </c>
      <c r="BH77">
        <v>13.9</v>
      </c>
      <c r="BI77">
        <v>15430115.1</v>
      </c>
      <c r="BJ77">
        <v>4440966.5</v>
      </c>
      <c r="BK77">
        <v>19871081.600000001</v>
      </c>
      <c r="BL77">
        <v>0</v>
      </c>
      <c r="BM77">
        <v>21.26</v>
      </c>
      <c r="BN77">
        <v>17.43</v>
      </c>
      <c r="BO77">
        <v>0.73</v>
      </c>
      <c r="BP77">
        <v>39.42</v>
      </c>
      <c r="BQ77">
        <v>22.99</v>
      </c>
      <c r="BR77">
        <v>20.05</v>
      </c>
      <c r="BS77">
        <v>0.77</v>
      </c>
      <c r="BT77">
        <v>43.82</v>
      </c>
      <c r="BU77">
        <v>219006750</v>
      </c>
      <c r="BV77">
        <v>94959140</v>
      </c>
      <c r="BW77">
        <v>9273931</v>
      </c>
      <c r="BX77">
        <v>1515029.8</v>
      </c>
      <c r="BY77">
        <v>0</v>
      </c>
      <c r="BZ77">
        <v>23079352</v>
      </c>
      <c r="CA77">
        <v>0</v>
      </c>
      <c r="CB77">
        <v>0</v>
      </c>
      <c r="CC77">
        <v>0</v>
      </c>
      <c r="CD77">
        <v>6293379</v>
      </c>
      <c r="CE77">
        <v>29700516</v>
      </c>
      <c r="CF77">
        <v>0</v>
      </c>
      <c r="CG77">
        <v>5226634.5</v>
      </c>
      <c r="CH77">
        <v>0</v>
      </c>
      <c r="CI77">
        <v>27421824</v>
      </c>
      <c r="CJ77">
        <v>24925642</v>
      </c>
      <c r="CK77">
        <v>1122312.3999999999</v>
      </c>
      <c r="CL77">
        <v>1782368.8</v>
      </c>
      <c r="CM77">
        <v>0</v>
      </c>
      <c r="CN77">
        <v>35474988</v>
      </c>
      <c r="CO77">
        <v>22362578</v>
      </c>
      <c r="CP77">
        <v>30828186</v>
      </c>
      <c r="CQ77">
        <v>6741.9</v>
      </c>
      <c r="CR77">
        <v>339.6</v>
      </c>
      <c r="CS77">
        <v>0</v>
      </c>
      <c r="CT77">
        <v>0</v>
      </c>
      <c r="CU77">
        <v>0</v>
      </c>
      <c r="CV77">
        <v>0</v>
      </c>
      <c r="CW77">
        <v>5240.2</v>
      </c>
      <c r="CX77">
        <v>9866.2000000000007</v>
      </c>
      <c r="CY77">
        <v>0</v>
      </c>
      <c r="CZ77">
        <v>5883.3</v>
      </c>
      <c r="DA77">
        <v>0</v>
      </c>
      <c r="DB77">
        <v>4780</v>
      </c>
      <c r="DC77">
        <v>3203</v>
      </c>
      <c r="DD77">
        <v>4920.6000000000004</v>
      </c>
      <c r="DE77">
        <v>1427.1</v>
      </c>
      <c r="DF77">
        <v>0</v>
      </c>
      <c r="DG77">
        <v>18646.900000000001</v>
      </c>
      <c r="DH77">
        <v>9000</v>
      </c>
      <c r="DI77">
        <v>6186.4</v>
      </c>
      <c r="DJ77">
        <v>31434.7</v>
      </c>
      <c r="DK77">
        <v>14271</v>
      </c>
      <c r="DL77">
        <v>0</v>
      </c>
      <c r="DM77">
        <v>0</v>
      </c>
    </row>
    <row r="78" spans="1:117" x14ac:dyDescent="0.3">
      <c r="A78" t="s">
        <v>162</v>
      </c>
      <c r="B78">
        <v>2050</v>
      </c>
      <c r="C78">
        <v>199197520</v>
      </c>
      <c r="D78">
        <v>12934537</v>
      </c>
      <c r="E78">
        <v>2494479.7999999998</v>
      </c>
      <c r="F78">
        <v>692570.1</v>
      </c>
      <c r="G78">
        <v>215319106.19999999</v>
      </c>
      <c r="H78">
        <v>192034833.69999999</v>
      </c>
      <c r="I78">
        <v>99996329.799999997</v>
      </c>
      <c r="J78">
        <v>22363656</v>
      </c>
      <c r="K78">
        <v>45066864</v>
      </c>
      <c r="L78">
        <v>3.5900000000000001E-2</v>
      </c>
      <c r="M78">
        <v>5.3999999999999999E-2</v>
      </c>
      <c r="N78">
        <v>0.15</v>
      </c>
      <c r="O78">
        <v>93487.33</v>
      </c>
      <c r="P78">
        <v>47866.7</v>
      </c>
      <c r="Q78">
        <v>0.82</v>
      </c>
      <c r="R78">
        <v>1</v>
      </c>
      <c r="S78">
        <v>80.7</v>
      </c>
      <c r="T78">
        <v>1.5</v>
      </c>
      <c r="U78">
        <v>0.16</v>
      </c>
      <c r="V78">
        <v>10.4</v>
      </c>
      <c r="W78">
        <v>420.2</v>
      </c>
      <c r="X78">
        <v>0.05</v>
      </c>
      <c r="Y78">
        <v>80.8</v>
      </c>
      <c r="Z78">
        <v>22.9</v>
      </c>
      <c r="AA78">
        <v>103.8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448.3</v>
      </c>
      <c r="AU78">
        <v>12.8</v>
      </c>
      <c r="AV78">
        <v>1.55</v>
      </c>
      <c r="AW78">
        <v>50.1</v>
      </c>
      <c r="AX78">
        <v>2169.1999999999998</v>
      </c>
      <c r="AY78">
        <v>0.24</v>
      </c>
      <c r="AZ78">
        <v>449.1</v>
      </c>
      <c r="BA78">
        <v>114.8</v>
      </c>
      <c r="BB78">
        <v>563.9</v>
      </c>
      <c r="BC78">
        <v>18947904.300000001</v>
      </c>
      <c r="BD78">
        <v>362.9</v>
      </c>
      <c r="BE78">
        <v>37.4</v>
      </c>
      <c r="BF78">
        <v>2440529.1</v>
      </c>
      <c r="BG78">
        <v>98622.1</v>
      </c>
      <c r="BH78">
        <v>12.1</v>
      </c>
      <c r="BI78">
        <v>18968922.5</v>
      </c>
      <c r="BJ78">
        <v>5382774.5999999996</v>
      </c>
      <c r="BK78">
        <v>24351697.100000001</v>
      </c>
      <c r="BL78">
        <v>0</v>
      </c>
      <c r="BM78">
        <v>21.1</v>
      </c>
      <c r="BN78">
        <v>16.899999999999999</v>
      </c>
      <c r="BO78">
        <v>2.59</v>
      </c>
      <c r="BP78">
        <v>40.58</v>
      </c>
      <c r="BQ78">
        <v>22.97</v>
      </c>
      <c r="BR78">
        <v>19.57</v>
      </c>
      <c r="BS78">
        <v>2.75</v>
      </c>
      <c r="BT78">
        <v>45.28</v>
      </c>
      <c r="BU78">
        <v>238265950</v>
      </c>
      <c r="BV78">
        <v>115322776</v>
      </c>
      <c r="BW78">
        <v>11031965</v>
      </c>
      <c r="BX78">
        <v>1477852.2</v>
      </c>
      <c r="BY78">
        <v>0</v>
      </c>
      <c r="BZ78">
        <v>23078046</v>
      </c>
      <c r="CA78">
        <v>0</v>
      </c>
      <c r="CB78">
        <v>0</v>
      </c>
      <c r="CC78">
        <v>0</v>
      </c>
      <c r="CD78">
        <v>6878811</v>
      </c>
      <c r="CE78">
        <v>30087612</v>
      </c>
      <c r="CF78">
        <v>0</v>
      </c>
      <c r="CG78">
        <v>12594924</v>
      </c>
      <c r="CH78">
        <v>0</v>
      </c>
      <c r="CI78">
        <v>27093300</v>
      </c>
      <c r="CJ78">
        <v>15306237</v>
      </c>
      <c r="CK78">
        <v>289845.8</v>
      </c>
      <c r="CL78">
        <v>1983410.2</v>
      </c>
      <c r="CM78">
        <v>0</v>
      </c>
      <c r="CN78">
        <v>50628260</v>
      </c>
      <c r="CO78">
        <v>27449760</v>
      </c>
      <c r="CP78">
        <v>30365946</v>
      </c>
      <c r="CQ78">
        <v>7703.7</v>
      </c>
      <c r="CR78">
        <v>339.6</v>
      </c>
      <c r="CS78">
        <v>0</v>
      </c>
      <c r="CT78">
        <v>0</v>
      </c>
      <c r="CU78">
        <v>0</v>
      </c>
      <c r="CV78">
        <v>0</v>
      </c>
      <c r="CW78">
        <v>5880.6</v>
      </c>
      <c r="CX78">
        <v>7051.5</v>
      </c>
      <c r="CY78">
        <v>0</v>
      </c>
      <c r="CZ78">
        <v>13976.3</v>
      </c>
      <c r="DA78">
        <v>0</v>
      </c>
      <c r="DB78">
        <v>4784.8999999999996</v>
      </c>
      <c r="DC78">
        <v>1991.6</v>
      </c>
      <c r="DD78">
        <v>1427.1</v>
      </c>
      <c r="DE78">
        <v>1427.1</v>
      </c>
      <c r="DF78">
        <v>0</v>
      </c>
      <c r="DG78">
        <v>26128.400000000001</v>
      </c>
      <c r="DH78">
        <v>9000</v>
      </c>
      <c r="DI78">
        <v>7595.8</v>
      </c>
      <c r="DJ78">
        <v>35988.699999999997</v>
      </c>
      <c r="DK78">
        <v>14271</v>
      </c>
      <c r="DL78">
        <v>0</v>
      </c>
      <c r="DM78">
        <v>0</v>
      </c>
    </row>
    <row r="79" spans="1:117" x14ac:dyDescent="0.3">
      <c r="A79" t="s">
        <v>163</v>
      </c>
      <c r="B79">
        <v>2024</v>
      </c>
      <c r="C79">
        <v>293203400</v>
      </c>
      <c r="D79">
        <v>1080639</v>
      </c>
      <c r="E79">
        <v>1695817.2</v>
      </c>
      <c r="F79">
        <v>1542306</v>
      </c>
      <c r="G79">
        <v>297522155.80000001</v>
      </c>
      <c r="H79">
        <v>282661412.10000002</v>
      </c>
      <c r="I79">
        <v>249248389</v>
      </c>
      <c r="J79">
        <v>75792470</v>
      </c>
      <c r="K79">
        <v>113140840</v>
      </c>
      <c r="L79">
        <v>3.5900000000000001E-2</v>
      </c>
      <c r="M79">
        <v>5.3999999999999999E-2</v>
      </c>
      <c r="N79">
        <v>0.14599999999999999</v>
      </c>
      <c r="O79">
        <v>10970.91</v>
      </c>
      <c r="P79">
        <v>69307.399999999994</v>
      </c>
      <c r="Q79">
        <v>0.47</v>
      </c>
      <c r="R79">
        <v>0.46</v>
      </c>
      <c r="S79">
        <v>233.4</v>
      </c>
      <c r="T79">
        <v>8.8000000000000007</v>
      </c>
      <c r="U79">
        <v>1.1299999999999999</v>
      </c>
      <c r="V79">
        <v>26.6</v>
      </c>
      <c r="W79">
        <v>1082.9000000000001</v>
      </c>
      <c r="X79">
        <v>0.17</v>
      </c>
      <c r="Y79">
        <v>234</v>
      </c>
      <c r="Z79">
        <v>58.9</v>
      </c>
      <c r="AA79">
        <v>292.89999999999998</v>
      </c>
      <c r="AB79">
        <v>251.4</v>
      </c>
      <c r="AC79">
        <v>10.3</v>
      </c>
      <c r="AD79">
        <v>1.34</v>
      </c>
      <c r="AE79">
        <v>27.8</v>
      </c>
      <c r="AF79">
        <v>1140.8</v>
      </c>
      <c r="AG79">
        <v>0.18</v>
      </c>
      <c r="AH79">
        <v>252.1</v>
      </c>
      <c r="AI79">
        <v>61.8</v>
      </c>
      <c r="AJ79">
        <v>314</v>
      </c>
      <c r="AK79">
        <v>347.9</v>
      </c>
      <c r="AL79">
        <v>21</v>
      </c>
      <c r="AM79">
        <v>2.94</v>
      </c>
      <c r="AN79">
        <v>28.6</v>
      </c>
      <c r="AO79">
        <v>1313.8</v>
      </c>
      <c r="AP79">
        <v>0.19</v>
      </c>
      <c r="AQ79">
        <v>349.3</v>
      </c>
      <c r="AR79">
        <v>67.8</v>
      </c>
      <c r="AS79">
        <v>417.1</v>
      </c>
      <c r="AT79">
        <v>728.8</v>
      </c>
      <c r="AU79">
        <v>52.6</v>
      </c>
      <c r="AV79">
        <v>7.54</v>
      </c>
      <c r="AW79">
        <v>52.9</v>
      </c>
      <c r="AX79">
        <v>2426.6</v>
      </c>
      <c r="AY79">
        <v>0.45</v>
      </c>
      <c r="AZ79">
        <v>732.5</v>
      </c>
      <c r="BA79">
        <v>125.4</v>
      </c>
      <c r="BB79">
        <v>857.8</v>
      </c>
      <c r="BC79">
        <v>77747408</v>
      </c>
      <c r="BD79">
        <v>2946.8</v>
      </c>
      <c r="BE79">
        <v>376.8</v>
      </c>
      <c r="BF79">
        <v>8849331.8000000007</v>
      </c>
      <c r="BG79">
        <v>360579.2</v>
      </c>
      <c r="BH79">
        <v>56.3</v>
      </c>
      <c r="BI79">
        <v>77938083.5</v>
      </c>
      <c r="BJ79">
        <v>19609959.800000001</v>
      </c>
      <c r="BK79">
        <v>97548043.299999997</v>
      </c>
      <c r="BL79">
        <v>0</v>
      </c>
      <c r="BM79">
        <v>31.66</v>
      </c>
      <c r="BN79">
        <v>2.35</v>
      </c>
      <c r="BO79">
        <v>0.14000000000000001</v>
      </c>
      <c r="BP79">
        <v>34.159999999999997</v>
      </c>
      <c r="BQ79">
        <v>33.590000000000003</v>
      </c>
      <c r="BR79">
        <v>2.57</v>
      </c>
      <c r="BS79">
        <v>0.15</v>
      </c>
      <c r="BT79">
        <v>36.31</v>
      </c>
      <c r="BU79">
        <v>335006700</v>
      </c>
      <c r="BV79">
        <v>48273770</v>
      </c>
      <c r="BW79">
        <v>920591.1</v>
      </c>
      <c r="BX79">
        <v>2688081.5</v>
      </c>
      <c r="BY79">
        <v>0</v>
      </c>
      <c r="BZ79">
        <v>0</v>
      </c>
      <c r="CA79">
        <v>14348781</v>
      </c>
      <c r="CB79">
        <v>0</v>
      </c>
      <c r="CC79">
        <v>0</v>
      </c>
      <c r="CD79">
        <v>7439134.5</v>
      </c>
      <c r="CE79">
        <v>161994580</v>
      </c>
      <c r="CF79">
        <v>0</v>
      </c>
      <c r="CG79">
        <v>754619.2</v>
      </c>
      <c r="CH79">
        <v>0</v>
      </c>
      <c r="CI79">
        <v>4541562</v>
      </c>
      <c r="CJ79">
        <v>99559470</v>
      </c>
      <c r="CK79">
        <v>547121.5</v>
      </c>
      <c r="CL79">
        <v>1378104.2</v>
      </c>
      <c r="CM79">
        <v>0</v>
      </c>
      <c r="CN79">
        <v>22120764</v>
      </c>
      <c r="CO79">
        <v>9439877</v>
      </c>
      <c r="CP79">
        <v>9273992</v>
      </c>
      <c r="CQ79">
        <v>1273.8</v>
      </c>
      <c r="CR79">
        <v>588.6</v>
      </c>
      <c r="CS79">
        <v>0</v>
      </c>
      <c r="CT79">
        <v>8088.9</v>
      </c>
      <c r="CU79">
        <v>0</v>
      </c>
      <c r="CV79">
        <v>0</v>
      </c>
      <c r="CW79">
        <v>5439.1</v>
      </c>
      <c r="CX79">
        <v>28317</v>
      </c>
      <c r="CY79">
        <v>0</v>
      </c>
      <c r="CZ79">
        <v>5760</v>
      </c>
      <c r="DA79">
        <v>0</v>
      </c>
      <c r="DB79">
        <v>1371.9</v>
      </c>
      <c r="DC79">
        <v>12467.7</v>
      </c>
      <c r="DD79">
        <v>8089.3</v>
      </c>
      <c r="DE79">
        <v>1992</v>
      </c>
      <c r="DF79">
        <v>0</v>
      </c>
      <c r="DG79">
        <v>10749.9</v>
      </c>
      <c r="DH79">
        <v>3331.1</v>
      </c>
      <c r="DI79">
        <v>2728.3</v>
      </c>
      <c r="DJ79">
        <v>2547.5</v>
      </c>
      <c r="DK79">
        <v>19920</v>
      </c>
      <c r="DL79">
        <v>0</v>
      </c>
      <c r="DM79">
        <v>0</v>
      </c>
    </row>
    <row r="80" spans="1:117" x14ac:dyDescent="0.3">
      <c r="A80" t="s">
        <v>163</v>
      </c>
      <c r="B80">
        <v>2026</v>
      </c>
      <c r="C80">
        <v>295210620</v>
      </c>
      <c r="D80">
        <v>1742236.8</v>
      </c>
      <c r="E80">
        <v>1789661.8</v>
      </c>
      <c r="F80">
        <v>1765178</v>
      </c>
      <c r="G80">
        <v>300507695.19999999</v>
      </c>
      <c r="H80">
        <v>284596385.39999998</v>
      </c>
      <c r="I80">
        <v>244044005.59999999</v>
      </c>
      <c r="J80">
        <v>81922720</v>
      </c>
      <c r="K80">
        <v>117113370</v>
      </c>
      <c r="L80">
        <v>3.5900000000000001E-2</v>
      </c>
      <c r="M80">
        <v>5.3999999999999999E-2</v>
      </c>
      <c r="N80">
        <v>0.14599999999999999</v>
      </c>
      <c r="O80">
        <v>42570.46</v>
      </c>
      <c r="P80">
        <v>70040</v>
      </c>
      <c r="Q80">
        <v>0.5</v>
      </c>
      <c r="R80">
        <v>0.5</v>
      </c>
      <c r="S80">
        <v>215.9</v>
      </c>
      <c r="T80">
        <v>7.4</v>
      </c>
      <c r="U80">
        <v>0.93</v>
      </c>
      <c r="V80">
        <v>25.5</v>
      </c>
      <c r="W80">
        <v>1026.8</v>
      </c>
      <c r="X80">
        <v>0.16</v>
      </c>
      <c r="Y80">
        <v>216.4</v>
      </c>
      <c r="Z80">
        <v>56.1</v>
      </c>
      <c r="AA80">
        <v>272.5</v>
      </c>
      <c r="AB80">
        <v>227.3</v>
      </c>
      <c r="AC80">
        <v>8.3000000000000007</v>
      </c>
      <c r="AD80">
        <v>1.05</v>
      </c>
      <c r="AE80">
        <v>26.3</v>
      </c>
      <c r="AF80">
        <v>1064.0999999999999</v>
      </c>
      <c r="AG80">
        <v>0.17</v>
      </c>
      <c r="AH80">
        <v>227.8</v>
      </c>
      <c r="AI80">
        <v>58.1</v>
      </c>
      <c r="AJ80">
        <v>285.89999999999998</v>
      </c>
      <c r="AK80">
        <v>301.8</v>
      </c>
      <c r="AL80">
        <v>14.2</v>
      </c>
      <c r="AM80">
        <v>1.91</v>
      </c>
      <c r="AN80">
        <v>28.4</v>
      </c>
      <c r="AO80">
        <v>1282.7</v>
      </c>
      <c r="AP80">
        <v>0.16</v>
      </c>
      <c r="AQ80">
        <v>302.7</v>
      </c>
      <c r="AR80">
        <v>66.599999999999994</v>
      </c>
      <c r="AS80">
        <v>369.4</v>
      </c>
      <c r="AT80">
        <v>677.8</v>
      </c>
      <c r="AU80">
        <v>46.8</v>
      </c>
      <c r="AV80">
        <v>6.65</v>
      </c>
      <c r="AW80">
        <v>50.6</v>
      </c>
      <c r="AX80">
        <v>2363.1</v>
      </c>
      <c r="AY80">
        <v>0.39</v>
      </c>
      <c r="AZ80">
        <v>681.1</v>
      </c>
      <c r="BA80">
        <v>121.1</v>
      </c>
      <c r="BB80">
        <v>802.2</v>
      </c>
      <c r="BC80">
        <v>72072978.900000006</v>
      </c>
      <c r="BD80">
        <v>2475.6</v>
      </c>
      <c r="BE80">
        <v>309.60000000000002</v>
      </c>
      <c r="BF80">
        <v>8503959.5</v>
      </c>
      <c r="BG80">
        <v>342701.6</v>
      </c>
      <c r="BH80">
        <v>53.4</v>
      </c>
      <c r="BI80">
        <v>72231264.400000006</v>
      </c>
      <c r="BJ80">
        <v>18731040.300000001</v>
      </c>
      <c r="BK80">
        <v>90962304.700000003</v>
      </c>
      <c r="BL80">
        <v>0</v>
      </c>
      <c r="BM80">
        <v>29.65</v>
      </c>
      <c r="BN80">
        <v>9.08</v>
      </c>
      <c r="BO80">
        <v>0.31</v>
      </c>
      <c r="BP80">
        <v>39.04</v>
      </c>
      <c r="BQ80">
        <v>31.49</v>
      </c>
      <c r="BR80">
        <v>9.9499999999999993</v>
      </c>
      <c r="BS80">
        <v>0.33</v>
      </c>
      <c r="BT80">
        <v>41.77</v>
      </c>
      <c r="BU80">
        <v>335880500</v>
      </c>
      <c r="BV80">
        <v>56463690</v>
      </c>
      <c r="BW80">
        <v>1498775.6</v>
      </c>
      <c r="BX80">
        <v>2684401.8</v>
      </c>
      <c r="BY80">
        <v>0</v>
      </c>
      <c r="BZ80">
        <v>0</v>
      </c>
      <c r="CA80">
        <v>10881668</v>
      </c>
      <c r="CB80">
        <v>0</v>
      </c>
      <c r="CC80">
        <v>0</v>
      </c>
      <c r="CD80">
        <v>9485922</v>
      </c>
      <c r="CE80">
        <v>157608800</v>
      </c>
      <c r="CF80">
        <v>0</v>
      </c>
      <c r="CG80">
        <v>653693.69999999995</v>
      </c>
      <c r="CH80">
        <v>0</v>
      </c>
      <c r="CI80">
        <v>4729960</v>
      </c>
      <c r="CJ80">
        <v>99465040</v>
      </c>
      <c r="CK80">
        <v>441971.4</v>
      </c>
      <c r="CL80">
        <v>1452505</v>
      </c>
      <c r="CM80">
        <v>0</v>
      </c>
      <c r="CN80">
        <v>21819928</v>
      </c>
      <c r="CO80">
        <v>9388973</v>
      </c>
      <c r="CP80">
        <v>15768867</v>
      </c>
      <c r="CQ80">
        <v>1960</v>
      </c>
      <c r="CR80">
        <v>588.6</v>
      </c>
      <c r="CS80">
        <v>0</v>
      </c>
      <c r="CT80">
        <v>8088.9</v>
      </c>
      <c r="CU80">
        <v>0</v>
      </c>
      <c r="CV80">
        <v>0</v>
      </c>
      <c r="CW80">
        <v>6959</v>
      </c>
      <c r="CX80">
        <v>28317</v>
      </c>
      <c r="CY80">
        <v>0</v>
      </c>
      <c r="CZ80">
        <v>5590.4</v>
      </c>
      <c r="DA80">
        <v>0</v>
      </c>
      <c r="DB80">
        <v>1424.9</v>
      </c>
      <c r="DC80">
        <v>12467.7</v>
      </c>
      <c r="DD80">
        <v>8089.3</v>
      </c>
      <c r="DE80">
        <v>1992</v>
      </c>
      <c r="DF80">
        <v>0</v>
      </c>
      <c r="DG80">
        <v>10749.9</v>
      </c>
      <c r="DH80">
        <v>5105.1000000000004</v>
      </c>
      <c r="DI80">
        <v>2728.3</v>
      </c>
      <c r="DJ80">
        <v>3920</v>
      </c>
      <c r="DK80">
        <v>19920</v>
      </c>
      <c r="DL80">
        <v>0</v>
      </c>
      <c r="DM80">
        <v>0</v>
      </c>
    </row>
    <row r="81" spans="1:117" x14ac:dyDescent="0.3">
      <c r="A81" t="s">
        <v>163</v>
      </c>
      <c r="B81">
        <v>2028</v>
      </c>
      <c r="C81">
        <v>299096770</v>
      </c>
      <c r="D81">
        <v>2634969</v>
      </c>
      <c r="E81">
        <v>2625246</v>
      </c>
      <c r="F81">
        <v>2039680.3</v>
      </c>
      <c r="G81">
        <v>306396659.19999999</v>
      </c>
      <c r="H81">
        <v>288342745.10000002</v>
      </c>
      <c r="I81">
        <v>238042358.40000001</v>
      </c>
      <c r="J81">
        <v>96475900</v>
      </c>
      <c r="K81">
        <v>130702320</v>
      </c>
      <c r="L81">
        <v>3.5900000000000001E-2</v>
      </c>
      <c r="M81">
        <v>5.3999999999999999E-2</v>
      </c>
      <c r="N81">
        <v>0.14599999999999999</v>
      </c>
      <c r="O81">
        <v>51984.4</v>
      </c>
      <c r="P81">
        <v>71497.2</v>
      </c>
      <c r="Q81">
        <v>0.53</v>
      </c>
      <c r="R81">
        <v>0.54</v>
      </c>
      <c r="S81">
        <v>196.8</v>
      </c>
      <c r="T81">
        <v>5.9</v>
      </c>
      <c r="U81">
        <v>0.71</v>
      </c>
      <c r="V81">
        <v>24.2</v>
      </c>
      <c r="W81">
        <v>964.6</v>
      </c>
      <c r="X81">
        <v>0.15</v>
      </c>
      <c r="Y81">
        <v>197.2</v>
      </c>
      <c r="Z81">
        <v>53</v>
      </c>
      <c r="AA81">
        <v>250.2</v>
      </c>
      <c r="AB81">
        <v>204.2</v>
      </c>
      <c r="AC81">
        <v>6.5</v>
      </c>
      <c r="AD81">
        <v>0.81</v>
      </c>
      <c r="AE81">
        <v>24.7</v>
      </c>
      <c r="AF81">
        <v>985.4</v>
      </c>
      <c r="AG81">
        <v>0.15</v>
      </c>
      <c r="AH81">
        <v>204.6</v>
      </c>
      <c r="AI81">
        <v>54.1</v>
      </c>
      <c r="AJ81">
        <v>258.7</v>
      </c>
      <c r="AK81">
        <v>242.8</v>
      </c>
      <c r="AL81">
        <v>5.7</v>
      </c>
      <c r="AM81">
        <v>0.64</v>
      </c>
      <c r="AN81">
        <v>27.8</v>
      </c>
      <c r="AO81">
        <v>1224.7</v>
      </c>
      <c r="AP81">
        <v>0.11</v>
      </c>
      <c r="AQ81">
        <v>243.1</v>
      </c>
      <c r="AR81">
        <v>64.3</v>
      </c>
      <c r="AS81">
        <v>307.5</v>
      </c>
      <c r="AT81">
        <v>611.6</v>
      </c>
      <c r="AU81">
        <v>38.4</v>
      </c>
      <c r="AV81">
        <v>5.41</v>
      </c>
      <c r="AW81">
        <v>49.5</v>
      </c>
      <c r="AX81">
        <v>2250.5</v>
      </c>
      <c r="AY81">
        <v>0.36</v>
      </c>
      <c r="AZ81">
        <v>614.20000000000005</v>
      </c>
      <c r="BA81">
        <v>116.6</v>
      </c>
      <c r="BB81">
        <v>730.8</v>
      </c>
      <c r="BC81">
        <v>66671786.299999997</v>
      </c>
      <c r="BD81">
        <v>1990.1</v>
      </c>
      <c r="BE81">
        <v>240.1</v>
      </c>
      <c r="BF81">
        <v>8207216.5</v>
      </c>
      <c r="BG81">
        <v>326663</v>
      </c>
      <c r="BH81">
        <v>50.6</v>
      </c>
      <c r="BI81">
        <v>66796636.799999997</v>
      </c>
      <c r="BJ81">
        <v>17955597.300000001</v>
      </c>
      <c r="BK81">
        <v>84752234.099999994</v>
      </c>
      <c r="BL81">
        <v>0</v>
      </c>
      <c r="BM81">
        <v>26.16</v>
      </c>
      <c r="BN81">
        <v>11</v>
      </c>
      <c r="BO81">
        <v>0.19</v>
      </c>
      <c r="BP81">
        <v>37.35</v>
      </c>
      <c r="BQ81">
        <v>27.86</v>
      </c>
      <c r="BR81">
        <v>12.13</v>
      </c>
      <c r="BS81">
        <v>0.2</v>
      </c>
      <c r="BT81">
        <v>40.19</v>
      </c>
      <c r="BU81">
        <v>340865800</v>
      </c>
      <c r="BV81">
        <v>68354300</v>
      </c>
      <c r="BW81">
        <v>2240619.5</v>
      </c>
      <c r="BX81">
        <v>2653348</v>
      </c>
      <c r="BY81">
        <v>0</v>
      </c>
      <c r="BZ81">
        <v>0</v>
      </c>
      <c r="CA81">
        <v>7203283</v>
      </c>
      <c r="CB81">
        <v>0</v>
      </c>
      <c r="CC81">
        <v>0</v>
      </c>
      <c r="CD81">
        <v>11954572</v>
      </c>
      <c r="CE81">
        <v>153536830</v>
      </c>
      <c r="CF81">
        <v>0</v>
      </c>
      <c r="CG81">
        <v>655517.6</v>
      </c>
      <c r="CH81">
        <v>0</v>
      </c>
      <c r="CI81">
        <v>4690955</v>
      </c>
      <c r="CJ81">
        <v>98980480</v>
      </c>
      <c r="CK81">
        <v>417275.4</v>
      </c>
      <c r="CL81">
        <v>2133185.2000000002</v>
      </c>
      <c r="CM81">
        <v>0</v>
      </c>
      <c r="CN81">
        <v>21510380</v>
      </c>
      <c r="CO81">
        <v>9338336</v>
      </c>
      <c r="CP81">
        <v>25551012</v>
      </c>
      <c r="CQ81">
        <v>2510.5</v>
      </c>
      <c r="CR81">
        <v>588.6</v>
      </c>
      <c r="CS81">
        <v>0</v>
      </c>
      <c r="CT81">
        <v>8088.9</v>
      </c>
      <c r="CU81">
        <v>0</v>
      </c>
      <c r="CV81">
        <v>0</v>
      </c>
      <c r="CW81">
        <v>8807</v>
      </c>
      <c r="CX81">
        <v>28317</v>
      </c>
      <c r="CY81">
        <v>0</v>
      </c>
      <c r="CZ81">
        <v>5263.5</v>
      </c>
      <c r="DA81">
        <v>0</v>
      </c>
      <c r="DB81">
        <v>1424.9</v>
      </c>
      <c r="DC81">
        <v>12467.7</v>
      </c>
      <c r="DD81">
        <v>8076.9</v>
      </c>
      <c r="DE81">
        <v>1992</v>
      </c>
      <c r="DF81">
        <v>0</v>
      </c>
      <c r="DG81">
        <v>10749.9</v>
      </c>
      <c r="DH81">
        <v>7763.1</v>
      </c>
      <c r="DI81">
        <v>2728.3</v>
      </c>
      <c r="DJ81">
        <v>6082.3</v>
      </c>
      <c r="DK81">
        <v>19920</v>
      </c>
      <c r="DL81">
        <v>0</v>
      </c>
      <c r="DM81">
        <v>0</v>
      </c>
    </row>
    <row r="82" spans="1:117" x14ac:dyDescent="0.3">
      <c r="A82" t="s">
        <v>163</v>
      </c>
      <c r="B82">
        <v>2030</v>
      </c>
      <c r="C82">
        <v>304649600</v>
      </c>
      <c r="D82">
        <v>2681489.7999999998</v>
      </c>
      <c r="E82">
        <v>2950678.5</v>
      </c>
      <c r="F82">
        <v>1962530.3</v>
      </c>
      <c r="G82">
        <v>312244294.80000001</v>
      </c>
      <c r="H82">
        <v>293695888.5</v>
      </c>
      <c r="I82">
        <v>241052492.09999999</v>
      </c>
      <c r="J82">
        <v>102633864</v>
      </c>
      <c r="K82">
        <v>121343450</v>
      </c>
      <c r="L82">
        <v>3.5900000000000001E-2</v>
      </c>
      <c r="M82">
        <v>5.3999999999999999E-2</v>
      </c>
      <c r="N82">
        <v>0.14599999999999999</v>
      </c>
      <c r="O82">
        <v>68381.070000000007</v>
      </c>
      <c r="P82">
        <v>73592.100000000006</v>
      </c>
      <c r="Q82">
        <v>0.55000000000000004</v>
      </c>
      <c r="R82">
        <v>0.56000000000000005</v>
      </c>
      <c r="S82">
        <v>185.6</v>
      </c>
      <c r="T82">
        <v>5.5</v>
      </c>
      <c r="U82">
        <v>0.66</v>
      </c>
      <c r="V82">
        <v>23.1</v>
      </c>
      <c r="W82">
        <v>912.2</v>
      </c>
      <c r="X82">
        <v>0.15</v>
      </c>
      <c r="Y82">
        <v>185.9</v>
      </c>
      <c r="Z82">
        <v>50.3</v>
      </c>
      <c r="AA82">
        <v>236.3</v>
      </c>
      <c r="AB82">
        <v>190.7</v>
      </c>
      <c r="AC82">
        <v>6.2</v>
      </c>
      <c r="AD82">
        <v>0.76</v>
      </c>
      <c r="AE82">
        <v>23.2</v>
      </c>
      <c r="AF82">
        <v>920.1</v>
      </c>
      <c r="AG82">
        <v>0.15</v>
      </c>
      <c r="AH82">
        <v>191.1</v>
      </c>
      <c r="AI82">
        <v>50.7</v>
      </c>
      <c r="AJ82">
        <v>241.8</v>
      </c>
      <c r="AK82">
        <v>250.7</v>
      </c>
      <c r="AL82">
        <v>8.1999999999999993</v>
      </c>
      <c r="AM82">
        <v>1.02</v>
      </c>
      <c r="AN82">
        <v>26.6</v>
      </c>
      <c r="AO82">
        <v>1193.8</v>
      </c>
      <c r="AP82">
        <v>0.12</v>
      </c>
      <c r="AQ82">
        <v>251.2</v>
      </c>
      <c r="AR82">
        <v>62.2</v>
      </c>
      <c r="AS82">
        <v>313.39999999999998</v>
      </c>
      <c r="AT82">
        <v>569.1</v>
      </c>
      <c r="AU82">
        <v>35.1</v>
      </c>
      <c r="AV82">
        <v>4.9000000000000004</v>
      </c>
      <c r="AW82">
        <v>46.3</v>
      </c>
      <c r="AX82">
        <v>2150.1999999999998</v>
      </c>
      <c r="AY82">
        <v>0.31</v>
      </c>
      <c r="AZ82">
        <v>571.5</v>
      </c>
      <c r="BA82">
        <v>110.5</v>
      </c>
      <c r="BB82">
        <v>682</v>
      </c>
      <c r="BC82">
        <v>61038196.799999997</v>
      </c>
      <c r="BD82">
        <v>1805.5</v>
      </c>
      <c r="BE82">
        <v>217</v>
      </c>
      <c r="BF82">
        <v>7598370.4000000004</v>
      </c>
      <c r="BG82">
        <v>299974.8</v>
      </c>
      <c r="BH82">
        <v>47.7</v>
      </c>
      <c r="BI82">
        <v>61151246.299999997</v>
      </c>
      <c r="BJ82">
        <v>16550646</v>
      </c>
      <c r="BK82">
        <v>77701892.400000006</v>
      </c>
      <c r="BL82">
        <v>0</v>
      </c>
      <c r="BM82">
        <v>25.2</v>
      </c>
      <c r="BN82">
        <v>14.48</v>
      </c>
      <c r="BO82">
        <v>0.35</v>
      </c>
      <c r="BP82">
        <v>40.03</v>
      </c>
      <c r="BQ82">
        <v>26.87</v>
      </c>
      <c r="BR82">
        <v>15.98</v>
      </c>
      <c r="BS82">
        <v>0.37</v>
      </c>
      <c r="BT82">
        <v>43.22</v>
      </c>
      <c r="BU82">
        <v>331169000</v>
      </c>
      <c r="BV82">
        <v>71191800</v>
      </c>
      <c r="BW82">
        <v>2288478.7999999998</v>
      </c>
      <c r="BX82">
        <v>2601434.5</v>
      </c>
      <c r="BY82">
        <v>0</v>
      </c>
      <c r="BZ82">
        <v>0</v>
      </c>
      <c r="CA82">
        <v>6499398.5</v>
      </c>
      <c r="CB82">
        <v>0</v>
      </c>
      <c r="CC82">
        <v>0</v>
      </c>
      <c r="CD82">
        <v>15240286</v>
      </c>
      <c r="CE82">
        <v>142801060</v>
      </c>
      <c r="CF82">
        <v>0</v>
      </c>
      <c r="CG82">
        <v>409400.8</v>
      </c>
      <c r="CH82">
        <v>0</v>
      </c>
      <c r="CI82">
        <v>4609221.5</v>
      </c>
      <c r="CJ82">
        <v>98087080</v>
      </c>
      <c r="CK82">
        <v>292899.20000000001</v>
      </c>
      <c r="CL82">
        <v>2388228.7999999998</v>
      </c>
      <c r="CM82">
        <v>0</v>
      </c>
      <c r="CN82">
        <v>21212490</v>
      </c>
      <c r="CO82">
        <v>9287980</v>
      </c>
      <c r="CP82">
        <v>25451048</v>
      </c>
      <c r="CQ82">
        <v>2510.3000000000002</v>
      </c>
      <c r="CR82">
        <v>588.6</v>
      </c>
      <c r="CS82">
        <v>0</v>
      </c>
      <c r="CT82">
        <v>8088.9</v>
      </c>
      <c r="CU82">
        <v>0</v>
      </c>
      <c r="CV82">
        <v>0</v>
      </c>
      <c r="CW82">
        <v>11260.3</v>
      </c>
      <c r="CX82">
        <v>27923</v>
      </c>
      <c r="CY82">
        <v>0</v>
      </c>
      <c r="CZ82">
        <v>5243.2</v>
      </c>
      <c r="DA82">
        <v>0</v>
      </c>
      <c r="DB82">
        <v>1424.9</v>
      </c>
      <c r="DC82">
        <v>12467.7</v>
      </c>
      <c r="DD82">
        <v>6946.4</v>
      </c>
      <c r="DE82">
        <v>1992</v>
      </c>
      <c r="DF82">
        <v>0</v>
      </c>
      <c r="DG82">
        <v>10750.4</v>
      </c>
      <c r="DH82">
        <v>7763.1</v>
      </c>
      <c r="DI82">
        <v>2728.3</v>
      </c>
      <c r="DJ82">
        <v>6085.4</v>
      </c>
      <c r="DK82">
        <v>19920</v>
      </c>
      <c r="DL82">
        <v>0</v>
      </c>
      <c r="DM82">
        <v>0</v>
      </c>
    </row>
    <row r="83" spans="1:117" x14ac:dyDescent="0.3">
      <c r="A83" t="s">
        <v>163</v>
      </c>
      <c r="B83">
        <v>2035</v>
      </c>
      <c r="C83">
        <v>320692060</v>
      </c>
      <c r="D83">
        <v>6673665.5</v>
      </c>
      <c r="E83">
        <v>3100227.5</v>
      </c>
      <c r="F83">
        <v>2344255.7000000002</v>
      </c>
      <c r="G83">
        <v>332810227</v>
      </c>
      <c r="H83">
        <v>309161545.30000001</v>
      </c>
      <c r="I83">
        <v>239149589.69999999</v>
      </c>
      <c r="J83">
        <v>131008920</v>
      </c>
      <c r="K83">
        <v>136159060</v>
      </c>
      <c r="L83">
        <v>3.5900000000000001E-2</v>
      </c>
      <c r="M83">
        <v>5.3999999999999999E-2</v>
      </c>
      <c r="N83">
        <v>0.14599999999999999</v>
      </c>
      <c r="O83">
        <v>90182.86</v>
      </c>
      <c r="P83">
        <v>79719.199999999997</v>
      </c>
      <c r="Q83">
        <v>0.61</v>
      </c>
      <c r="R83">
        <v>0.63</v>
      </c>
      <c r="S83">
        <v>160.1</v>
      </c>
      <c r="T83">
        <v>4.8</v>
      </c>
      <c r="U83">
        <v>0.57999999999999996</v>
      </c>
      <c r="V83">
        <v>20.2</v>
      </c>
      <c r="W83">
        <v>785.4</v>
      </c>
      <c r="X83">
        <v>0.13</v>
      </c>
      <c r="Y83">
        <v>160.4</v>
      </c>
      <c r="Z83">
        <v>43.6</v>
      </c>
      <c r="AA83">
        <v>204</v>
      </c>
      <c r="AB83">
        <v>163.4</v>
      </c>
      <c r="AC83">
        <v>5.4</v>
      </c>
      <c r="AD83">
        <v>0.67</v>
      </c>
      <c r="AE83">
        <v>20.100000000000001</v>
      </c>
      <c r="AF83">
        <v>786.2</v>
      </c>
      <c r="AG83">
        <v>0.13</v>
      </c>
      <c r="AH83">
        <v>163.69999999999999</v>
      </c>
      <c r="AI83">
        <v>43.6</v>
      </c>
      <c r="AJ83">
        <v>207.3</v>
      </c>
      <c r="AK83">
        <v>270.2</v>
      </c>
      <c r="AL83">
        <v>11.8</v>
      </c>
      <c r="AM83">
        <v>1.55</v>
      </c>
      <c r="AN83">
        <v>26</v>
      </c>
      <c r="AO83">
        <v>1194.7</v>
      </c>
      <c r="AP83">
        <v>0.13</v>
      </c>
      <c r="AQ83">
        <v>271</v>
      </c>
      <c r="AR83">
        <v>61.6</v>
      </c>
      <c r="AS83">
        <v>332.6</v>
      </c>
      <c r="AT83">
        <v>530.4</v>
      </c>
      <c r="AU83">
        <v>31.4</v>
      </c>
      <c r="AV83">
        <v>4.38</v>
      </c>
      <c r="AW83">
        <v>44.5</v>
      </c>
      <c r="AX83">
        <v>2035.8</v>
      </c>
      <c r="AY83">
        <v>0.3</v>
      </c>
      <c r="AZ83">
        <v>532.6</v>
      </c>
      <c r="BA83">
        <v>105.2</v>
      </c>
      <c r="BB83">
        <v>637.79999999999995</v>
      </c>
      <c r="BC83">
        <v>53749314.5</v>
      </c>
      <c r="BD83">
        <v>1619.1</v>
      </c>
      <c r="BE83">
        <v>195.5</v>
      </c>
      <c r="BF83">
        <v>6769289.2999999998</v>
      </c>
      <c r="BG83">
        <v>263598.7</v>
      </c>
      <c r="BH83">
        <v>44.2</v>
      </c>
      <c r="BI83">
        <v>53850928</v>
      </c>
      <c r="BJ83">
        <v>14636593.5</v>
      </c>
      <c r="BK83">
        <v>68487521.5</v>
      </c>
      <c r="BL83">
        <v>0</v>
      </c>
      <c r="BM83">
        <v>23.11</v>
      </c>
      <c r="BN83">
        <v>19.11</v>
      </c>
      <c r="BO83">
        <v>0</v>
      </c>
      <c r="BP83">
        <v>42.22</v>
      </c>
      <c r="BQ83">
        <v>24.79</v>
      </c>
      <c r="BR83">
        <v>21.33</v>
      </c>
      <c r="BS83">
        <v>0</v>
      </c>
      <c r="BT83">
        <v>46.12</v>
      </c>
      <c r="BU83">
        <v>338221150</v>
      </c>
      <c r="BV83">
        <v>93660640</v>
      </c>
      <c r="BW83">
        <v>5690398.5</v>
      </c>
      <c r="BX83">
        <v>2527155.7999999998</v>
      </c>
      <c r="BY83">
        <v>0</v>
      </c>
      <c r="BZ83">
        <v>0</v>
      </c>
      <c r="CA83">
        <v>6038583.5</v>
      </c>
      <c r="CB83">
        <v>0</v>
      </c>
      <c r="CC83">
        <v>0</v>
      </c>
      <c r="CD83">
        <v>16541214</v>
      </c>
      <c r="CE83">
        <v>125462890</v>
      </c>
      <c r="CF83">
        <v>0</v>
      </c>
      <c r="CG83">
        <v>385319.4</v>
      </c>
      <c r="CH83">
        <v>0</v>
      </c>
      <c r="CI83">
        <v>4455752.5</v>
      </c>
      <c r="CJ83">
        <v>97256880</v>
      </c>
      <c r="CK83">
        <v>210899.6</v>
      </c>
      <c r="CL83">
        <v>2532651.5</v>
      </c>
      <c r="CM83">
        <v>0</v>
      </c>
      <c r="CN83">
        <v>21101226</v>
      </c>
      <c r="CO83">
        <v>9317112</v>
      </c>
      <c r="CP83">
        <v>46701084</v>
      </c>
      <c r="CQ83">
        <v>4609.5</v>
      </c>
      <c r="CR83">
        <v>588.6</v>
      </c>
      <c r="CS83">
        <v>0</v>
      </c>
      <c r="CT83">
        <v>8032.5</v>
      </c>
      <c r="CU83">
        <v>0</v>
      </c>
      <c r="CV83">
        <v>0</v>
      </c>
      <c r="CW83">
        <v>12542.6</v>
      </c>
      <c r="CX83">
        <v>27819</v>
      </c>
      <c r="CY83">
        <v>0</v>
      </c>
      <c r="CZ83">
        <v>5710</v>
      </c>
      <c r="DA83">
        <v>0</v>
      </c>
      <c r="DB83">
        <v>1424.9</v>
      </c>
      <c r="DC83">
        <v>12467.7</v>
      </c>
      <c r="DD83">
        <v>6938.7</v>
      </c>
      <c r="DE83">
        <v>1992</v>
      </c>
      <c r="DF83">
        <v>0</v>
      </c>
      <c r="DG83">
        <v>11014.7</v>
      </c>
      <c r="DH83">
        <v>14205.1</v>
      </c>
      <c r="DI83">
        <v>2728.3</v>
      </c>
      <c r="DJ83">
        <v>16354.3</v>
      </c>
      <c r="DK83">
        <v>19920</v>
      </c>
      <c r="DL83">
        <v>0</v>
      </c>
      <c r="DM83">
        <v>0</v>
      </c>
    </row>
    <row r="84" spans="1:117" x14ac:dyDescent="0.3">
      <c r="A84" t="s">
        <v>163</v>
      </c>
      <c r="B84">
        <v>2040</v>
      </c>
      <c r="C84">
        <v>340668480</v>
      </c>
      <c r="D84">
        <v>9526714</v>
      </c>
      <c r="E84">
        <v>3374035.2</v>
      </c>
      <c r="F84">
        <v>2484797.2999999998</v>
      </c>
      <c r="G84">
        <v>356054017.39999998</v>
      </c>
      <c r="H84">
        <v>328419660</v>
      </c>
      <c r="I84">
        <v>260674052</v>
      </c>
      <c r="J84">
        <v>151343600</v>
      </c>
      <c r="K84">
        <v>131103220</v>
      </c>
      <c r="L84">
        <v>3.5900000000000001E-2</v>
      </c>
      <c r="M84">
        <v>5.3999999999999999E-2</v>
      </c>
      <c r="N84">
        <v>0.14599999999999999</v>
      </c>
      <c r="O84">
        <v>94087.27</v>
      </c>
      <c r="P84">
        <v>86550</v>
      </c>
      <c r="Q84">
        <v>0.62</v>
      </c>
      <c r="R84">
        <v>0.65</v>
      </c>
      <c r="S84">
        <v>150.69999999999999</v>
      </c>
      <c r="T84">
        <v>3.9</v>
      </c>
      <c r="U84">
        <v>0.46</v>
      </c>
      <c r="V84">
        <v>19.7</v>
      </c>
      <c r="W84">
        <v>757.5</v>
      </c>
      <c r="X84">
        <v>0.13</v>
      </c>
      <c r="Y84">
        <v>150.9</v>
      </c>
      <c r="Z84">
        <v>42.3</v>
      </c>
      <c r="AA84">
        <v>193.2</v>
      </c>
      <c r="AB84">
        <v>149.5</v>
      </c>
      <c r="AC84">
        <v>4.3</v>
      </c>
      <c r="AD84">
        <v>0.51</v>
      </c>
      <c r="AE84">
        <v>19.2</v>
      </c>
      <c r="AF84">
        <v>740.4</v>
      </c>
      <c r="AG84">
        <v>0.13</v>
      </c>
      <c r="AH84">
        <v>149.80000000000001</v>
      </c>
      <c r="AI84">
        <v>41.2</v>
      </c>
      <c r="AJ84">
        <v>191</v>
      </c>
      <c r="AK84">
        <v>290.2</v>
      </c>
      <c r="AL84">
        <v>13.5</v>
      </c>
      <c r="AM84">
        <v>1.79</v>
      </c>
      <c r="AN84">
        <v>27.2</v>
      </c>
      <c r="AO84">
        <v>1259.0999999999999</v>
      </c>
      <c r="AP84">
        <v>0.14000000000000001</v>
      </c>
      <c r="AQ84">
        <v>291.10000000000002</v>
      </c>
      <c r="AR84">
        <v>64.7</v>
      </c>
      <c r="AS84">
        <v>355.8</v>
      </c>
      <c r="AT84">
        <v>484.5</v>
      </c>
      <c r="AU84">
        <v>25.3</v>
      </c>
      <c r="AV84">
        <v>3.45</v>
      </c>
      <c r="AW84">
        <v>43.8</v>
      </c>
      <c r="AX84">
        <v>1979.5</v>
      </c>
      <c r="AY84">
        <v>0.27</v>
      </c>
      <c r="AZ84">
        <v>486.2</v>
      </c>
      <c r="BA84">
        <v>102.9</v>
      </c>
      <c r="BB84">
        <v>589.1</v>
      </c>
      <c r="BC84">
        <v>50209429.899999999</v>
      </c>
      <c r="BD84">
        <v>1316.7</v>
      </c>
      <c r="BE84">
        <v>152.6</v>
      </c>
      <c r="BF84">
        <v>6555687.4000000004</v>
      </c>
      <c r="BG84">
        <v>252396.7</v>
      </c>
      <c r="BH84">
        <v>42.4</v>
      </c>
      <c r="BI84">
        <v>50290319.299999997</v>
      </c>
      <c r="BJ84">
        <v>14088685.800000001</v>
      </c>
      <c r="BK84">
        <v>64379005.100000001</v>
      </c>
      <c r="BL84">
        <v>0</v>
      </c>
      <c r="BM84">
        <v>21.62</v>
      </c>
      <c r="BN84">
        <v>20.329999999999998</v>
      </c>
      <c r="BO84">
        <v>0</v>
      </c>
      <c r="BP84">
        <v>41.94</v>
      </c>
      <c r="BQ84">
        <v>23.29</v>
      </c>
      <c r="BR84">
        <v>22.86</v>
      </c>
      <c r="BS84">
        <v>0</v>
      </c>
      <c r="BT84">
        <v>46.16</v>
      </c>
      <c r="BU84">
        <v>335996320</v>
      </c>
      <c r="BV84">
        <v>95379970</v>
      </c>
      <c r="BW84">
        <v>8191985.5</v>
      </c>
      <c r="BX84">
        <v>2463737.2000000002</v>
      </c>
      <c r="BY84">
        <v>0</v>
      </c>
      <c r="BZ84">
        <v>0</v>
      </c>
      <c r="CA84">
        <v>3703305.5</v>
      </c>
      <c r="CB84">
        <v>0</v>
      </c>
      <c r="CC84">
        <v>0</v>
      </c>
      <c r="CD84">
        <v>16120506</v>
      </c>
      <c r="CE84">
        <v>121901976</v>
      </c>
      <c r="CF84">
        <v>0</v>
      </c>
      <c r="CG84">
        <v>661602.5</v>
      </c>
      <c r="CH84">
        <v>0</v>
      </c>
      <c r="CI84">
        <v>4308134.5</v>
      </c>
      <c r="CJ84">
        <v>96380410</v>
      </c>
      <c r="CK84">
        <v>260611.4</v>
      </c>
      <c r="CL84">
        <v>2744578.5</v>
      </c>
      <c r="CM84">
        <v>0</v>
      </c>
      <c r="CN84">
        <v>20398788</v>
      </c>
      <c r="CO84">
        <v>12675896</v>
      </c>
      <c r="CP84">
        <v>46184776</v>
      </c>
      <c r="CQ84">
        <v>5944.8</v>
      </c>
      <c r="CR84">
        <v>588.6</v>
      </c>
      <c r="CS84">
        <v>0</v>
      </c>
      <c r="CT84">
        <v>7950.1</v>
      </c>
      <c r="CU84">
        <v>0</v>
      </c>
      <c r="CV84">
        <v>0</v>
      </c>
      <c r="CW84">
        <v>12648.8</v>
      </c>
      <c r="CX84">
        <v>27804</v>
      </c>
      <c r="CY84">
        <v>0</v>
      </c>
      <c r="CZ84">
        <v>6323.1</v>
      </c>
      <c r="DA84">
        <v>0</v>
      </c>
      <c r="DB84">
        <v>1424.9</v>
      </c>
      <c r="DC84">
        <v>12467.7</v>
      </c>
      <c r="DD84">
        <v>6127.1</v>
      </c>
      <c r="DE84">
        <v>1992</v>
      </c>
      <c r="DF84">
        <v>0</v>
      </c>
      <c r="DG84">
        <v>11015.1</v>
      </c>
      <c r="DH84">
        <v>14205.1</v>
      </c>
      <c r="DI84">
        <v>3394.5</v>
      </c>
      <c r="DJ84">
        <v>23015</v>
      </c>
      <c r="DK84">
        <v>19920</v>
      </c>
      <c r="DL84">
        <v>0</v>
      </c>
      <c r="DM84">
        <v>0</v>
      </c>
    </row>
    <row r="85" spans="1:117" x14ac:dyDescent="0.3">
      <c r="A85" t="s">
        <v>163</v>
      </c>
      <c r="B85">
        <v>2045</v>
      </c>
      <c r="C85">
        <v>358293950</v>
      </c>
      <c r="D85">
        <v>14734630</v>
      </c>
      <c r="E85">
        <v>3123064.8</v>
      </c>
      <c r="F85">
        <v>2581879.9</v>
      </c>
      <c r="G85">
        <v>378733525.89999998</v>
      </c>
      <c r="H85">
        <v>345411150.69999999</v>
      </c>
      <c r="I85">
        <v>279177658.30000001</v>
      </c>
      <c r="J85">
        <v>157622140</v>
      </c>
      <c r="K85">
        <v>133906200</v>
      </c>
      <c r="L85">
        <v>3.5900000000000001E-2</v>
      </c>
      <c r="M85">
        <v>5.3999999999999999E-2</v>
      </c>
      <c r="N85">
        <v>0.14599999999999999</v>
      </c>
      <c r="O85">
        <v>94685.89</v>
      </c>
      <c r="P85">
        <v>91850.5</v>
      </c>
      <c r="Q85">
        <v>0.61</v>
      </c>
      <c r="R85">
        <v>0.64</v>
      </c>
      <c r="S85">
        <v>154.4</v>
      </c>
      <c r="T85">
        <v>3.8</v>
      </c>
      <c r="U85">
        <v>0.43</v>
      </c>
      <c r="V85">
        <v>20.2</v>
      </c>
      <c r="W85">
        <v>785.4</v>
      </c>
      <c r="X85">
        <v>0.12</v>
      </c>
      <c r="Y85">
        <v>154.6</v>
      </c>
      <c r="Z85">
        <v>43.6</v>
      </c>
      <c r="AA85">
        <v>198.2</v>
      </c>
      <c r="AB85">
        <v>152.69999999999999</v>
      </c>
      <c r="AC85">
        <v>4</v>
      </c>
      <c r="AD85">
        <v>0.46</v>
      </c>
      <c r="AE85">
        <v>19.7</v>
      </c>
      <c r="AF85">
        <v>768.6</v>
      </c>
      <c r="AG85">
        <v>0.12</v>
      </c>
      <c r="AH85">
        <v>153</v>
      </c>
      <c r="AI85">
        <v>42.7</v>
      </c>
      <c r="AJ85">
        <v>195.6</v>
      </c>
      <c r="AK85">
        <v>288.3</v>
      </c>
      <c r="AL85">
        <v>10.9</v>
      </c>
      <c r="AM85">
        <v>1.39</v>
      </c>
      <c r="AN85">
        <v>29.3</v>
      </c>
      <c r="AO85">
        <v>1331.6</v>
      </c>
      <c r="AP85">
        <v>0.14000000000000001</v>
      </c>
      <c r="AQ85">
        <v>289</v>
      </c>
      <c r="AR85">
        <v>69.099999999999994</v>
      </c>
      <c r="AS85">
        <v>358.1</v>
      </c>
      <c r="AT85">
        <v>491.5</v>
      </c>
      <c r="AU85">
        <v>24.6</v>
      </c>
      <c r="AV85">
        <v>3.33</v>
      </c>
      <c r="AW85">
        <v>46</v>
      </c>
      <c r="AX85">
        <v>2052.6</v>
      </c>
      <c r="AY85">
        <v>0.26</v>
      </c>
      <c r="AZ85">
        <v>493.1</v>
      </c>
      <c r="BA85">
        <v>107.2</v>
      </c>
      <c r="BB85">
        <v>600.4</v>
      </c>
      <c r="BC85">
        <v>54396996.700000003</v>
      </c>
      <c r="BD85">
        <v>1331</v>
      </c>
      <c r="BE85">
        <v>150.1</v>
      </c>
      <c r="BF85">
        <v>7110621.0999999996</v>
      </c>
      <c r="BG85">
        <v>276688.2</v>
      </c>
      <c r="BH85">
        <v>44.1</v>
      </c>
      <c r="BI85">
        <v>54477640.700000003</v>
      </c>
      <c r="BJ85">
        <v>15367958.6</v>
      </c>
      <c r="BK85">
        <v>69845599.299999997</v>
      </c>
      <c r="BL85">
        <v>0</v>
      </c>
      <c r="BM85">
        <v>21.4</v>
      </c>
      <c r="BN85">
        <v>20.149999999999999</v>
      </c>
      <c r="BO85">
        <v>0</v>
      </c>
      <c r="BP85">
        <v>41.55</v>
      </c>
      <c r="BQ85">
        <v>23.13</v>
      </c>
      <c r="BR85">
        <v>22.93</v>
      </c>
      <c r="BS85">
        <v>0</v>
      </c>
      <c r="BT85">
        <v>46.06</v>
      </c>
      <c r="BU85">
        <v>355156350</v>
      </c>
      <c r="BV85">
        <v>99555864</v>
      </c>
      <c r="BW85">
        <v>12558779</v>
      </c>
      <c r="BX85">
        <v>2498270</v>
      </c>
      <c r="BY85">
        <v>0</v>
      </c>
      <c r="BZ85">
        <v>0</v>
      </c>
      <c r="CA85">
        <v>2880144.8</v>
      </c>
      <c r="CB85">
        <v>0</v>
      </c>
      <c r="CC85">
        <v>0</v>
      </c>
      <c r="CD85">
        <v>15883600</v>
      </c>
      <c r="CE85">
        <v>130569704</v>
      </c>
      <c r="CF85">
        <v>0</v>
      </c>
      <c r="CG85">
        <v>3194315.2</v>
      </c>
      <c r="CH85">
        <v>0</v>
      </c>
      <c r="CI85">
        <v>4357410</v>
      </c>
      <c r="CJ85">
        <v>96930136</v>
      </c>
      <c r="CK85">
        <v>127804.6</v>
      </c>
      <c r="CL85">
        <v>2483916.7999999998</v>
      </c>
      <c r="CM85">
        <v>0</v>
      </c>
      <c r="CN85">
        <v>19493230</v>
      </c>
      <c r="CO85">
        <v>18380542</v>
      </c>
      <c r="CP85">
        <v>45798496</v>
      </c>
      <c r="CQ85">
        <v>8948.9</v>
      </c>
      <c r="CR85">
        <v>588.6</v>
      </c>
      <c r="CS85">
        <v>0</v>
      </c>
      <c r="CT85">
        <v>5599.1</v>
      </c>
      <c r="CU85">
        <v>0</v>
      </c>
      <c r="CV85">
        <v>0</v>
      </c>
      <c r="CW85">
        <v>12874.5</v>
      </c>
      <c r="CX85">
        <v>27357.5</v>
      </c>
      <c r="CY85">
        <v>0</v>
      </c>
      <c r="CZ85">
        <v>13144.4</v>
      </c>
      <c r="DA85">
        <v>0</v>
      </c>
      <c r="DB85">
        <v>1424.9</v>
      </c>
      <c r="DC85">
        <v>12467.7</v>
      </c>
      <c r="DD85">
        <v>5206.6000000000004</v>
      </c>
      <c r="DE85">
        <v>1992</v>
      </c>
      <c r="DF85">
        <v>0</v>
      </c>
      <c r="DG85">
        <v>10799.3</v>
      </c>
      <c r="DH85">
        <v>14205.1</v>
      </c>
      <c r="DI85">
        <v>4780.7</v>
      </c>
      <c r="DJ85">
        <v>36408.1</v>
      </c>
      <c r="DK85">
        <v>19920</v>
      </c>
      <c r="DL85">
        <v>0</v>
      </c>
      <c r="DM85">
        <v>0</v>
      </c>
    </row>
    <row r="86" spans="1:117" x14ac:dyDescent="0.3">
      <c r="A86" t="s">
        <v>163</v>
      </c>
      <c r="B86">
        <v>2050</v>
      </c>
      <c r="C86">
        <v>375389300</v>
      </c>
      <c r="D86">
        <v>14856365</v>
      </c>
      <c r="E86">
        <v>3620677.2</v>
      </c>
      <c r="F86">
        <v>2556883.1</v>
      </c>
      <c r="G86">
        <v>396423252.69999999</v>
      </c>
      <c r="H86">
        <v>361891274.60000002</v>
      </c>
      <c r="I86">
        <v>296506980.69999999</v>
      </c>
      <c r="J86">
        <v>160987230</v>
      </c>
      <c r="K86">
        <v>127051410</v>
      </c>
      <c r="L86">
        <v>3.5900000000000001E-2</v>
      </c>
      <c r="M86">
        <v>5.3999999999999999E-2</v>
      </c>
      <c r="N86">
        <v>0.14599999999999999</v>
      </c>
      <c r="O86">
        <v>93630.07</v>
      </c>
      <c r="P86">
        <v>96174</v>
      </c>
      <c r="Q86">
        <v>0.6</v>
      </c>
      <c r="R86">
        <v>0.63</v>
      </c>
      <c r="S86">
        <v>161</v>
      </c>
      <c r="T86">
        <v>3.3</v>
      </c>
      <c r="U86">
        <v>0.35</v>
      </c>
      <c r="V86">
        <v>21.4</v>
      </c>
      <c r="W86">
        <v>839.4</v>
      </c>
      <c r="X86">
        <v>0.13</v>
      </c>
      <c r="Y86">
        <v>161.19999999999999</v>
      </c>
      <c r="Z86">
        <v>46.5</v>
      </c>
      <c r="AA86">
        <v>207.7</v>
      </c>
      <c r="AB86">
        <v>159.6</v>
      </c>
      <c r="AC86">
        <v>3.4</v>
      </c>
      <c r="AD86">
        <v>0.36</v>
      </c>
      <c r="AE86">
        <v>21</v>
      </c>
      <c r="AF86">
        <v>827.8</v>
      </c>
      <c r="AG86">
        <v>0.12</v>
      </c>
      <c r="AH86">
        <v>159.80000000000001</v>
      </c>
      <c r="AI86">
        <v>45.7</v>
      </c>
      <c r="AJ86">
        <v>205.6</v>
      </c>
      <c r="AK86">
        <v>282.2</v>
      </c>
      <c r="AL86">
        <v>8.5</v>
      </c>
      <c r="AM86">
        <v>1.03</v>
      </c>
      <c r="AN86">
        <v>30.7</v>
      </c>
      <c r="AO86">
        <v>1371</v>
      </c>
      <c r="AP86">
        <v>0.13</v>
      </c>
      <c r="AQ86">
        <v>282.8</v>
      </c>
      <c r="AR86">
        <v>71.599999999999994</v>
      </c>
      <c r="AS86">
        <v>354.3</v>
      </c>
      <c r="AT86">
        <v>486.7</v>
      </c>
      <c r="AU86">
        <v>20.100000000000001</v>
      </c>
      <c r="AV86">
        <v>2.64</v>
      </c>
      <c r="AW86">
        <v>48.6</v>
      </c>
      <c r="AX86">
        <v>2176.6</v>
      </c>
      <c r="AY86">
        <v>0.25</v>
      </c>
      <c r="AZ86">
        <v>488</v>
      </c>
      <c r="BA86">
        <v>113.5</v>
      </c>
      <c r="BB86">
        <v>601.5</v>
      </c>
      <c r="BC86">
        <v>57892806.100000001</v>
      </c>
      <c r="BD86">
        <v>1187.5999999999999</v>
      </c>
      <c r="BE86">
        <v>124.2</v>
      </c>
      <c r="BF86">
        <v>7705393.7000000002</v>
      </c>
      <c r="BG86">
        <v>301728.7</v>
      </c>
      <c r="BH86">
        <v>45.2</v>
      </c>
      <c r="BI86">
        <v>57962111</v>
      </c>
      <c r="BJ86">
        <v>16709260.6</v>
      </c>
      <c r="BK86">
        <v>74671371.599999994</v>
      </c>
      <c r="BL86">
        <v>0</v>
      </c>
      <c r="BM86">
        <v>22.15</v>
      </c>
      <c r="BN86">
        <v>19.97</v>
      </c>
      <c r="BO86">
        <v>0.2</v>
      </c>
      <c r="BP86">
        <v>42.33</v>
      </c>
      <c r="BQ86">
        <v>23.95</v>
      </c>
      <c r="BR86">
        <v>22.72</v>
      </c>
      <c r="BS86">
        <v>0.22</v>
      </c>
      <c r="BT86">
        <v>46.89</v>
      </c>
      <c r="BU86">
        <v>362609570</v>
      </c>
      <c r="BV86">
        <v>99916270</v>
      </c>
      <c r="BW86">
        <v>12664554</v>
      </c>
      <c r="BX86">
        <v>2459965</v>
      </c>
      <c r="BY86">
        <v>0</v>
      </c>
      <c r="BZ86">
        <v>0</v>
      </c>
      <c r="CA86">
        <v>896330.1</v>
      </c>
      <c r="CB86">
        <v>0</v>
      </c>
      <c r="CC86">
        <v>0</v>
      </c>
      <c r="CD86">
        <v>15912382</v>
      </c>
      <c r="CE86">
        <v>127611220</v>
      </c>
      <c r="CF86">
        <v>0</v>
      </c>
      <c r="CG86">
        <v>15381054</v>
      </c>
      <c r="CH86">
        <v>0</v>
      </c>
      <c r="CI86">
        <v>4322455</v>
      </c>
      <c r="CJ86">
        <v>96415170</v>
      </c>
      <c r="CK86">
        <v>68743.899999999994</v>
      </c>
      <c r="CL86">
        <v>2873808.2</v>
      </c>
      <c r="CM86">
        <v>0</v>
      </c>
      <c r="CN86">
        <v>19541176</v>
      </c>
      <c r="CO86">
        <v>19126706</v>
      </c>
      <c r="CP86">
        <v>45336010</v>
      </c>
      <c r="CQ86">
        <v>9284.7000000000007</v>
      </c>
      <c r="CR86">
        <v>588.6</v>
      </c>
      <c r="CS86">
        <v>0</v>
      </c>
      <c r="CT86">
        <v>3327.5</v>
      </c>
      <c r="CU86">
        <v>0</v>
      </c>
      <c r="CV86">
        <v>0</v>
      </c>
      <c r="CW86">
        <v>13281.9</v>
      </c>
      <c r="CX86">
        <v>24724.2</v>
      </c>
      <c r="CY86">
        <v>0</v>
      </c>
      <c r="CZ86">
        <v>24333.200000000001</v>
      </c>
      <c r="DA86">
        <v>0</v>
      </c>
      <c r="DB86">
        <v>1424.9</v>
      </c>
      <c r="DC86">
        <v>12467.7</v>
      </c>
      <c r="DD86">
        <v>2186.3000000000002</v>
      </c>
      <c r="DE86">
        <v>1992</v>
      </c>
      <c r="DF86">
        <v>0</v>
      </c>
      <c r="DG86">
        <v>10816.5</v>
      </c>
      <c r="DH86">
        <v>14215.8</v>
      </c>
      <c r="DI86">
        <v>5049.5</v>
      </c>
      <c r="DJ86">
        <v>35513.300000000003</v>
      </c>
      <c r="DK86">
        <v>19920</v>
      </c>
      <c r="DL86">
        <v>0</v>
      </c>
      <c r="DM86">
        <v>0</v>
      </c>
    </row>
    <row r="87" spans="1:117" x14ac:dyDescent="0.3">
      <c r="A87" t="s">
        <v>164</v>
      </c>
      <c r="B87">
        <v>2024</v>
      </c>
      <c r="C87">
        <v>106842610</v>
      </c>
      <c r="D87">
        <v>806.2</v>
      </c>
      <c r="E87">
        <v>1502663</v>
      </c>
      <c r="F87">
        <v>310528.7</v>
      </c>
      <c r="G87">
        <v>108656608.2</v>
      </c>
      <c r="H87">
        <v>103002138.5</v>
      </c>
      <c r="I87">
        <v>95806898.5</v>
      </c>
      <c r="J87">
        <v>20500912</v>
      </c>
      <c r="K87">
        <v>25946414</v>
      </c>
      <c r="L87">
        <v>3.5900000000000001E-2</v>
      </c>
      <c r="M87">
        <v>5.3900000000000003E-2</v>
      </c>
      <c r="N87">
        <v>0.1797</v>
      </c>
      <c r="O87">
        <v>24681.48</v>
      </c>
      <c r="P87">
        <v>26253.5</v>
      </c>
      <c r="Q87">
        <v>0.39</v>
      </c>
      <c r="R87">
        <v>0.38</v>
      </c>
      <c r="S87">
        <v>445.6</v>
      </c>
      <c r="T87">
        <v>38.5</v>
      </c>
      <c r="U87">
        <v>5.53</v>
      </c>
      <c r="V87">
        <v>28.4</v>
      </c>
      <c r="W87">
        <v>1345.4</v>
      </c>
      <c r="X87">
        <v>0.28999999999999998</v>
      </c>
      <c r="Y87">
        <v>448.3</v>
      </c>
      <c r="Z87">
        <v>68.599999999999994</v>
      </c>
      <c r="AA87">
        <v>516.79999999999995</v>
      </c>
      <c r="AB87">
        <v>476.1</v>
      </c>
      <c r="AC87">
        <v>41.7</v>
      </c>
      <c r="AD87">
        <v>5.99</v>
      </c>
      <c r="AE87">
        <v>29.8</v>
      </c>
      <c r="AF87">
        <v>1422.5</v>
      </c>
      <c r="AG87">
        <v>0.3</v>
      </c>
      <c r="AH87">
        <v>479</v>
      </c>
      <c r="AI87">
        <v>72.3</v>
      </c>
      <c r="AJ87">
        <v>551.20000000000005</v>
      </c>
      <c r="AK87">
        <v>344.9</v>
      </c>
      <c r="AL87">
        <v>8.5</v>
      </c>
      <c r="AM87">
        <v>0.98</v>
      </c>
      <c r="AN87">
        <v>39.1</v>
      </c>
      <c r="AO87">
        <v>1724.3</v>
      </c>
      <c r="AP87">
        <v>0.16</v>
      </c>
      <c r="AQ87">
        <v>345.4</v>
      </c>
      <c r="AR87">
        <v>90.5</v>
      </c>
      <c r="AS87">
        <v>436</v>
      </c>
      <c r="AT87">
        <v>793.1</v>
      </c>
      <c r="AU87">
        <v>62.9</v>
      </c>
      <c r="AV87">
        <v>9.09</v>
      </c>
      <c r="AW87">
        <v>52.3</v>
      </c>
      <c r="AX87">
        <v>2463.4</v>
      </c>
      <c r="AY87">
        <v>0.49</v>
      </c>
      <c r="AZ87">
        <v>797.5</v>
      </c>
      <c r="BA87">
        <v>125.9</v>
      </c>
      <c r="BB87">
        <v>923.4</v>
      </c>
      <c r="BC87">
        <v>50557912.100000001</v>
      </c>
      <c r="BD87">
        <v>4372.3</v>
      </c>
      <c r="BE87">
        <v>627.70000000000005</v>
      </c>
      <c r="BF87">
        <v>3225223.7</v>
      </c>
      <c r="BG87">
        <v>152684.4</v>
      </c>
      <c r="BH87">
        <v>32.700000000000003</v>
      </c>
      <c r="BI87">
        <v>50859572</v>
      </c>
      <c r="BJ87">
        <v>7784137.2000000002</v>
      </c>
      <c r="BK87">
        <v>58643709.299999997</v>
      </c>
      <c r="BL87">
        <v>0</v>
      </c>
      <c r="BM87">
        <v>31.59</v>
      </c>
      <c r="BN87">
        <v>5.55</v>
      </c>
      <c r="BO87">
        <v>0</v>
      </c>
      <c r="BP87">
        <v>37.130000000000003</v>
      </c>
      <c r="BQ87">
        <v>33.520000000000003</v>
      </c>
      <c r="BR87">
        <v>6.1</v>
      </c>
      <c r="BS87">
        <v>0</v>
      </c>
      <c r="BT87">
        <v>39.619999999999997</v>
      </c>
      <c r="BU87">
        <v>114153256</v>
      </c>
      <c r="BV87">
        <v>12849710</v>
      </c>
      <c r="BW87">
        <v>678.8</v>
      </c>
      <c r="BX87">
        <v>1918568.8</v>
      </c>
      <c r="BY87">
        <v>0</v>
      </c>
      <c r="BZ87">
        <v>1680363.8</v>
      </c>
      <c r="CA87">
        <v>33172444</v>
      </c>
      <c r="CB87">
        <v>0</v>
      </c>
      <c r="CC87">
        <v>0</v>
      </c>
      <c r="CD87">
        <v>294164</v>
      </c>
      <c r="CE87">
        <v>32590598</v>
      </c>
      <c r="CF87">
        <v>0</v>
      </c>
      <c r="CG87">
        <v>1881272.2</v>
      </c>
      <c r="CH87">
        <v>0</v>
      </c>
      <c r="CI87">
        <v>629257.4</v>
      </c>
      <c r="CJ87">
        <v>26501848</v>
      </c>
      <c r="CK87">
        <v>1714456.4</v>
      </c>
      <c r="CL87">
        <v>1214052.8999999999</v>
      </c>
      <c r="CM87">
        <v>0</v>
      </c>
      <c r="CN87">
        <v>2450471</v>
      </c>
      <c r="CO87">
        <v>10105075</v>
      </c>
      <c r="CP87">
        <v>0</v>
      </c>
      <c r="CQ87">
        <v>1</v>
      </c>
      <c r="CR87">
        <v>315.60000000000002</v>
      </c>
      <c r="CS87">
        <v>0</v>
      </c>
      <c r="CT87">
        <v>5982.5</v>
      </c>
      <c r="CU87">
        <v>0</v>
      </c>
      <c r="CV87">
        <v>0</v>
      </c>
      <c r="CW87">
        <v>216</v>
      </c>
      <c r="CX87">
        <v>6810.4</v>
      </c>
      <c r="CY87">
        <v>0</v>
      </c>
      <c r="CZ87">
        <v>3906.5</v>
      </c>
      <c r="DA87">
        <v>0</v>
      </c>
      <c r="DB87">
        <v>161.30000000000001</v>
      </c>
      <c r="DC87">
        <v>3318</v>
      </c>
      <c r="DD87">
        <v>2374.4</v>
      </c>
      <c r="DE87">
        <v>2235</v>
      </c>
      <c r="DF87">
        <v>0</v>
      </c>
      <c r="DG87">
        <v>1165.5</v>
      </c>
      <c r="DH87">
        <v>0</v>
      </c>
      <c r="DI87">
        <v>3139.8</v>
      </c>
      <c r="DJ87">
        <v>2</v>
      </c>
      <c r="DK87">
        <v>22350</v>
      </c>
      <c r="DL87">
        <v>0</v>
      </c>
      <c r="DM87">
        <v>0</v>
      </c>
    </row>
    <row r="88" spans="1:117" x14ac:dyDescent="0.3">
      <c r="A88" t="s">
        <v>164</v>
      </c>
      <c r="B88">
        <v>2026</v>
      </c>
      <c r="C88">
        <v>108705050</v>
      </c>
      <c r="D88">
        <v>33585.5</v>
      </c>
      <c r="E88">
        <v>2116488</v>
      </c>
      <c r="F88">
        <v>287228.59999999998</v>
      </c>
      <c r="G88">
        <v>111142346.3</v>
      </c>
      <c r="H88">
        <v>104797626.90000001</v>
      </c>
      <c r="I88">
        <v>98107961</v>
      </c>
      <c r="J88">
        <v>17253078</v>
      </c>
      <c r="K88">
        <v>25983176</v>
      </c>
      <c r="L88">
        <v>3.5900000000000001E-2</v>
      </c>
      <c r="M88">
        <v>5.3900000000000003E-2</v>
      </c>
      <c r="N88">
        <v>0.1797</v>
      </c>
      <c r="O88">
        <v>50223.18</v>
      </c>
      <c r="P88">
        <v>26804</v>
      </c>
      <c r="Q88">
        <v>0.37</v>
      </c>
      <c r="R88">
        <v>0.36</v>
      </c>
      <c r="S88">
        <v>368.4</v>
      </c>
      <c r="T88">
        <v>25.7</v>
      </c>
      <c r="U88">
        <v>3.62</v>
      </c>
      <c r="V88">
        <v>29.4</v>
      </c>
      <c r="W88">
        <v>1312.3</v>
      </c>
      <c r="X88">
        <v>0.24</v>
      </c>
      <c r="Y88">
        <v>370.1</v>
      </c>
      <c r="Z88">
        <v>68.599999999999994</v>
      </c>
      <c r="AA88">
        <v>438.7</v>
      </c>
      <c r="AB88">
        <v>397.8</v>
      </c>
      <c r="AC88">
        <v>28.3</v>
      </c>
      <c r="AD88">
        <v>3.99</v>
      </c>
      <c r="AE88">
        <v>31.1</v>
      </c>
      <c r="AF88">
        <v>1398.9</v>
      </c>
      <c r="AG88">
        <v>0.25</v>
      </c>
      <c r="AH88">
        <v>399.8</v>
      </c>
      <c r="AI88">
        <v>72.8</v>
      </c>
      <c r="AJ88">
        <v>472.6</v>
      </c>
      <c r="AK88">
        <v>335.1</v>
      </c>
      <c r="AL88">
        <v>7.9</v>
      </c>
      <c r="AM88">
        <v>0.89</v>
      </c>
      <c r="AN88">
        <v>38.299999999999997</v>
      </c>
      <c r="AO88">
        <v>1691.1</v>
      </c>
      <c r="AP88">
        <v>0.15</v>
      </c>
      <c r="AQ88">
        <v>335.6</v>
      </c>
      <c r="AR88">
        <v>88.7</v>
      </c>
      <c r="AS88">
        <v>424.2</v>
      </c>
      <c r="AT88">
        <v>749.2</v>
      </c>
      <c r="AU88">
        <v>58.9</v>
      </c>
      <c r="AV88">
        <v>8.4499999999999993</v>
      </c>
      <c r="AW88">
        <v>49.4</v>
      </c>
      <c r="AX88">
        <v>2389.9</v>
      </c>
      <c r="AY88">
        <v>0.43</v>
      </c>
      <c r="AZ88">
        <v>753.3</v>
      </c>
      <c r="BA88">
        <v>120.8</v>
      </c>
      <c r="BB88">
        <v>874.1</v>
      </c>
      <c r="BC88">
        <v>43913287.100000001</v>
      </c>
      <c r="BD88">
        <v>3058.3</v>
      </c>
      <c r="BE88">
        <v>430.7</v>
      </c>
      <c r="BF88">
        <v>3506589.6</v>
      </c>
      <c r="BG88">
        <v>156472.20000000001</v>
      </c>
      <c r="BH88">
        <v>28.4</v>
      </c>
      <c r="BI88">
        <v>44122000.700000003</v>
      </c>
      <c r="BJ88">
        <v>8177211</v>
      </c>
      <c r="BK88">
        <v>52299211.700000003</v>
      </c>
      <c r="BL88">
        <v>0</v>
      </c>
      <c r="BM88">
        <v>29.72</v>
      </c>
      <c r="BN88">
        <v>11.27</v>
      </c>
      <c r="BO88">
        <v>0</v>
      </c>
      <c r="BP88">
        <v>40.99</v>
      </c>
      <c r="BQ88">
        <v>31.59</v>
      </c>
      <c r="BR88">
        <v>12.45</v>
      </c>
      <c r="BS88">
        <v>0</v>
      </c>
      <c r="BT88">
        <v>44.05</v>
      </c>
      <c r="BU88">
        <v>119962770</v>
      </c>
      <c r="BV88">
        <v>13034385</v>
      </c>
      <c r="BW88">
        <v>28254.400000000001</v>
      </c>
      <c r="BX88">
        <v>1918432.4</v>
      </c>
      <c r="BY88">
        <v>0</v>
      </c>
      <c r="BZ88">
        <v>586552.69999999995</v>
      </c>
      <c r="CA88">
        <v>21679692</v>
      </c>
      <c r="CB88">
        <v>0</v>
      </c>
      <c r="CC88">
        <v>0</v>
      </c>
      <c r="CD88">
        <v>567520.4</v>
      </c>
      <c r="CE88">
        <v>51384716</v>
      </c>
      <c r="CF88">
        <v>0</v>
      </c>
      <c r="CG88">
        <v>1120950.3999999999</v>
      </c>
      <c r="CH88">
        <v>0</v>
      </c>
      <c r="CI88">
        <v>629187.80000000005</v>
      </c>
      <c r="CJ88">
        <v>26494382</v>
      </c>
      <c r="CK88">
        <v>1349593.2</v>
      </c>
      <c r="CL88">
        <v>1736614.4</v>
      </c>
      <c r="CM88">
        <v>0</v>
      </c>
      <c r="CN88">
        <v>2416285</v>
      </c>
      <c r="CO88">
        <v>10050580</v>
      </c>
      <c r="CP88">
        <v>0</v>
      </c>
      <c r="CQ88">
        <v>42.6</v>
      </c>
      <c r="CR88">
        <v>315.60000000000002</v>
      </c>
      <c r="CS88">
        <v>0</v>
      </c>
      <c r="CT88">
        <v>4437</v>
      </c>
      <c r="CU88">
        <v>0</v>
      </c>
      <c r="CV88">
        <v>0</v>
      </c>
      <c r="CW88">
        <v>416.2</v>
      </c>
      <c r="CX88">
        <v>9690.7999999999993</v>
      </c>
      <c r="CY88">
        <v>0</v>
      </c>
      <c r="CZ88">
        <v>3851.5</v>
      </c>
      <c r="DA88">
        <v>0</v>
      </c>
      <c r="DB88">
        <v>161.30000000000001</v>
      </c>
      <c r="DC88">
        <v>3318</v>
      </c>
      <c r="DD88">
        <v>2371.9</v>
      </c>
      <c r="DE88">
        <v>2235</v>
      </c>
      <c r="DF88">
        <v>0</v>
      </c>
      <c r="DG88">
        <v>1165.5</v>
      </c>
      <c r="DH88">
        <v>0</v>
      </c>
      <c r="DI88">
        <v>3139.8</v>
      </c>
      <c r="DJ88">
        <v>85.3</v>
      </c>
      <c r="DK88">
        <v>22350</v>
      </c>
      <c r="DL88">
        <v>0</v>
      </c>
      <c r="DM88">
        <v>0</v>
      </c>
    </row>
    <row r="89" spans="1:117" x14ac:dyDescent="0.3">
      <c r="A89" t="s">
        <v>164</v>
      </c>
      <c r="B89">
        <v>2028</v>
      </c>
      <c r="C89">
        <v>111161140</v>
      </c>
      <c r="D89">
        <v>120199.6</v>
      </c>
      <c r="E89">
        <v>2928642.8</v>
      </c>
      <c r="F89">
        <v>358872.8</v>
      </c>
      <c r="G89">
        <v>114568857.40000001</v>
      </c>
      <c r="H89">
        <v>107165448.8</v>
      </c>
      <c r="I89">
        <v>100926157.90000001</v>
      </c>
      <c r="J89">
        <v>21588820</v>
      </c>
      <c r="K89">
        <v>29687484</v>
      </c>
      <c r="L89">
        <v>3.5900000000000001E-2</v>
      </c>
      <c r="M89">
        <v>5.3900000000000003E-2</v>
      </c>
      <c r="N89">
        <v>0.1797</v>
      </c>
      <c r="O89">
        <v>61086.98</v>
      </c>
      <c r="P89">
        <v>27183.599999999999</v>
      </c>
      <c r="Q89">
        <v>0.39</v>
      </c>
      <c r="R89">
        <v>0.4</v>
      </c>
      <c r="S89">
        <v>323.89999999999998</v>
      </c>
      <c r="T89">
        <v>19.8</v>
      </c>
      <c r="U89">
        <v>2.75</v>
      </c>
      <c r="V89">
        <v>28.6</v>
      </c>
      <c r="W89">
        <v>1241.4000000000001</v>
      </c>
      <c r="X89">
        <v>0.21</v>
      </c>
      <c r="Y89">
        <v>325.2</v>
      </c>
      <c r="Z89">
        <v>65.7</v>
      </c>
      <c r="AA89">
        <v>390.9</v>
      </c>
      <c r="AB89">
        <v>338.7</v>
      </c>
      <c r="AC89">
        <v>21</v>
      </c>
      <c r="AD89">
        <v>2.92</v>
      </c>
      <c r="AE89">
        <v>29.6</v>
      </c>
      <c r="AF89">
        <v>1288</v>
      </c>
      <c r="AG89">
        <v>0.22</v>
      </c>
      <c r="AH89">
        <v>340.1</v>
      </c>
      <c r="AI89">
        <v>68</v>
      </c>
      <c r="AJ89">
        <v>408.2</v>
      </c>
      <c r="AK89">
        <v>328.4</v>
      </c>
      <c r="AL89">
        <v>6.2</v>
      </c>
      <c r="AM89">
        <v>0.62</v>
      </c>
      <c r="AN89">
        <v>38.799999999999997</v>
      </c>
      <c r="AO89">
        <v>1715.7</v>
      </c>
      <c r="AP89">
        <v>0.14000000000000001</v>
      </c>
      <c r="AQ89">
        <v>328.8</v>
      </c>
      <c r="AR89">
        <v>89.9</v>
      </c>
      <c r="AS89">
        <v>418.7</v>
      </c>
      <c r="AT89">
        <v>669.1</v>
      </c>
      <c r="AU89">
        <v>48.6</v>
      </c>
      <c r="AV89">
        <v>6.93</v>
      </c>
      <c r="AW89">
        <v>48</v>
      </c>
      <c r="AX89">
        <v>2259.6</v>
      </c>
      <c r="AY89">
        <v>0.39</v>
      </c>
      <c r="AZ89">
        <v>672.5</v>
      </c>
      <c r="BA89">
        <v>115.4</v>
      </c>
      <c r="BB89">
        <v>787.9</v>
      </c>
      <c r="BC89">
        <v>39495071.700000003</v>
      </c>
      <c r="BD89">
        <v>2410.3000000000002</v>
      </c>
      <c r="BE89">
        <v>335</v>
      </c>
      <c r="BF89">
        <v>3492816</v>
      </c>
      <c r="BG89">
        <v>151442</v>
      </c>
      <c r="BH89">
        <v>25.9</v>
      </c>
      <c r="BI89">
        <v>39658346.700000003</v>
      </c>
      <c r="BJ89">
        <v>8012871.4000000004</v>
      </c>
      <c r="BK89">
        <v>47671218.100000001</v>
      </c>
      <c r="BL89">
        <v>0</v>
      </c>
      <c r="BM89">
        <v>26.14</v>
      </c>
      <c r="BN89">
        <v>13.3</v>
      </c>
      <c r="BO89">
        <v>0</v>
      </c>
      <c r="BP89">
        <v>39.450000000000003</v>
      </c>
      <c r="BQ89">
        <v>27.92</v>
      </c>
      <c r="BR89">
        <v>14.8</v>
      </c>
      <c r="BS89">
        <v>0</v>
      </c>
      <c r="BT89">
        <v>42.72</v>
      </c>
      <c r="BU89">
        <v>122795220</v>
      </c>
      <c r="BV89">
        <v>13642701</v>
      </c>
      <c r="BW89">
        <v>102156.8</v>
      </c>
      <c r="BX89">
        <v>1909904.2</v>
      </c>
      <c r="BY89">
        <v>0</v>
      </c>
      <c r="BZ89">
        <v>3221663.8</v>
      </c>
      <c r="CA89">
        <v>16185565</v>
      </c>
      <c r="CB89">
        <v>0</v>
      </c>
      <c r="CC89">
        <v>0</v>
      </c>
      <c r="CD89">
        <v>1122784.1000000001</v>
      </c>
      <c r="CE89">
        <v>56054056</v>
      </c>
      <c r="CF89">
        <v>0</v>
      </c>
      <c r="CG89">
        <v>977623.3</v>
      </c>
      <c r="CH89">
        <v>0</v>
      </c>
      <c r="CI89">
        <v>624602.9</v>
      </c>
      <c r="CJ89">
        <v>26386752</v>
      </c>
      <c r="CK89">
        <v>1268740.6000000001</v>
      </c>
      <c r="CL89">
        <v>2421449.7999999998</v>
      </c>
      <c r="CM89">
        <v>0</v>
      </c>
      <c r="CN89">
        <v>2523530.5</v>
      </c>
      <c r="CO89">
        <v>9996385</v>
      </c>
      <c r="CP89">
        <v>0</v>
      </c>
      <c r="CQ89">
        <v>95.2</v>
      </c>
      <c r="CR89">
        <v>315.60000000000002</v>
      </c>
      <c r="CS89">
        <v>0</v>
      </c>
      <c r="CT89">
        <v>4437</v>
      </c>
      <c r="CU89">
        <v>0</v>
      </c>
      <c r="CV89">
        <v>0</v>
      </c>
      <c r="CW89">
        <v>822.8</v>
      </c>
      <c r="CX89">
        <v>10672.9</v>
      </c>
      <c r="CY89">
        <v>0</v>
      </c>
      <c r="CZ89">
        <v>3825.5</v>
      </c>
      <c r="DA89">
        <v>0</v>
      </c>
      <c r="DB89">
        <v>161.30000000000001</v>
      </c>
      <c r="DC89">
        <v>3318</v>
      </c>
      <c r="DD89">
        <v>2371.9</v>
      </c>
      <c r="DE89">
        <v>2235</v>
      </c>
      <c r="DF89">
        <v>0</v>
      </c>
      <c r="DG89">
        <v>1228.9000000000001</v>
      </c>
      <c r="DH89">
        <v>0</v>
      </c>
      <c r="DI89">
        <v>3139.8</v>
      </c>
      <c r="DJ89">
        <v>295.5</v>
      </c>
      <c r="DK89">
        <v>22350</v>
      </c>
      <c r="DL89">
        <v>0</v>
      </c>
      <c r="DM89">
        <v>0</v>
      </c>
    </row>
    <row r="90" spans="1:117" x14ac:dyDescent="0.3">
      <c r="A90" t="s">
        <v>164</v>
      </c>
      <c r="B90">
        <v>2030</v>
      </c>
      <c r="C90">
        <v>114025920</v>
      </c>
      <c r="D90">
        <v>843582.6</v>
      </c>
      <c r="E90">
        <v>2779089</v>
      </c>
      <c r="F90">
        <v>431085.1</v>
      </c>
      <c r="G90">
        <v>118079677.3</v>
      </c>
      <c r="H90">
        <v>109927268.7</v>
      </c>
      <c r="I90">
        <v>100600517.2</v>
      </c>
      <c r="J90">
        <v>29196602</v>
      </c>
      <c r="K90">
        <v>31264544</v>
      </c>
      <c r="L90">
        <v>3.5900000000000001E-2</v>
      </c>
      <c r="M90">
        <v>5.3900000000000003E-2</v>
      </c>
      <c r="N90">
        <v>0.17960000000000001</v>
      </c>
      <c r="O90">
        <v>74758.009999999995</v>
      </c>
      <c r="P90">
        <v>28270.3</v>
      </c>
      <c r="Q90">
        <v>0.43</v>
      </c>
      <c r="R90">
        <v>0.46</v>
      </c>
      <c r="S90">
        <v>272</v>
      </c>
      <c r="T90">
        <v>14.2</v>
      </c>
      <c r="U90">
        <v>1.92</v>
      </c>
      <c r="V90">
        <v>26.6</v>
      </c>
      <c r="W90">
        <v>1128.5</v>
      </c>
      <c r="X90">
        <v>0.18</v>
      </c>
      <c r="Y90">
        <v>272.89999999999998</v>
      </c>
      <c r="Z90">
        <v>60.3</v>
      </c>
      <c r="AA90">
        <v>333.2</v>
      </c>
      <c r="AB90">
        <v>274.3</v>
      </c>
      <c r="AC90">
        <v>14.5</v>
      </c>
      <c r="AD90">
        <v>1.97</v>
      </c>
      <c r="AE90">
        <v>26.7</v>
      </c>
      <c r="AF90">
        <v>1132.4000000000001</v>
      </c>
      <c r="AG90">
        <v>0.18</v>
      </c>
      <c r="AH90">
        <v>275.3</v>
      </c>
      <c r="AI90">
        <v>60.5</v>
      </c>
      <c r="AJ90">
        <v>335.8</v>
      </c>
      <c r="AK90">
        <v>331.9</v>
      </c>
      <c r="AL90">
        <v>9</v>
      </c>
      <c r="AM90">
        <v>1.06</v>
      </c>
      <c r="AN90">
        <v>36.799999999999997</v>
      </c>
      <c r="AO90">
        <v>1641.7</v>
      </c>
      <c r="AP90">
        <v>0.15</v>
      </c>
      <c r="AQ90">
        <v>332.4</v>
      </c>
      <c r="AR90">
        <v>85.7</v>
      </c>
      <c r="AS90">
        <v>418.2</v>
      </c>
      <c r="AT90">
        <v>623.29999999999995</v>
      </c>
      <c r="AU90">
        <v>44.7</v>
      </c>
      <c r="AV90">
        <v>6.33</v>
      </c>
      <c r="AW90">
        <v>44.9</v>
      </c>
      <c r="AX90">
        <v>2158.9</v>
      </c>
      <c r="AY90">
        <v>0.34</v>
      </c>
      <c r="AZ90">
        <v>626.29999999999995</v>
      </c>
      <c r="BA90">
        <v>109.3</v>
      </c>
      <c r="BB90">
        <v>735.6</v>
      </c>
      <c r="BC90">
        <v>32462239.199999999</v>
      </c>
      <c r="BD90">
        <v>1687.4</v>
      </c>
      <c r="BE90">
        <v>229</v>
      </c>
      <c r="BF90">
        <v>3175338.2</v>
      </c>
      <c r="BG90">
        <v>134761.20000000001</v>
      </c>
      <c r="BH90">
        <v>21.5</v>
      </c>
      <c r="BI90">
        <v>32575042.899999999</v>
      </c>
      <c r="BJ90">
        <v>7197080.7000000002</v>
      </c>
      <c r="BK90">
        <v>39772123.600000001</v>
      </c>
      <c r="BL90">
        <v>0</v>
      </c>
      <c r="BM90">
        <v>24.8</v>
      </c>
      <c r="BN90">
        <v>15.69</v>
      </c>
      <c r="BO90">
        <v>0</v>
      </c>
      <c r="BP90">
        <v>40.49</v>
      </c>
      <c r="BQ90">
        <v>26.61</v>
      </c>
      <c r="BR90">
        <v>17.489999999999998</v>
      </c>
      <c r="BS90">
        <v>0</v>
      </c>
      <c r="BT90">
        <v>44.1</v>
      </c>
      <c r="BU90">
        <v>120252850</v>
      </c>
      <c r="BV90">
        <v>17479160</v>
      </c>
      <c r="BW90">
        <v>717587</v>
      </c>
      <c r="BX90">
        <v>1889525.2</v>
      </c>
      <c r="BY90">
        <v>0</v>
      </c>
      <c r="BZ90">
        <v>3146304.5</v>
      </c>
      <c r="CA90">
        <v>10532470</v>
      </c>
      <c r="CB90">
        <v>0</v>
      </c>
      <c r="CC90">
        <v>0</v>
      </c>
      <c r="CD90">
        <v>2054073</v>
      </c>
      <c r="CE90">
        <v>56346636</v>
      </c>
      <c r="CF90">
        <v>0</v>
      </c>
      <c r="CG90">
        <v>502152.6</v>
      </c>
      <c r="CH90">
        <v>0</v>
      </c>
      <c r="CI90">
        <v>614225.4</v>
      </c>
      <c r="CJ90">
        <v>26133804</v>
      </c>
      <c r="CK90">
        <v>667409.30000000005</v>
      </c>
      <c r="CL90">
        <v>2223583.5</v>
      </c>
      <c r="CM90">
        <v>0</v>
      </c>
      <c r="CN90">
        <v>2908140.8</v>
      </c>
      <c r="CO90">
        <v>12516946</v>
      </c>
      <c r="CP90">
        <v>0</v>
      </c>
      <c r="CQ90">
        <v>610.20000000000005</v>
      </c>
      <c r="CR90">
        <v>315.60000000000002</v>
      </c>
      <c r="CS90">
        <v>0</v>
      </c>
      <c r="CT90">
        <v>3167</v>
      </c>
      <c r="CU90">
        <v>0</v>
      </c>
      <c r="CV90">
        <v>0</v>
      </c>
      <c r="CW90">
        <v>1506.4</v>
      </c>
      <c r="CX90">
        <v>11322.3</v>
      </c>
      <c r="CY90">
        <v>0</v>
      </c>
      <c r="CZ90">
        <v>3733.3</v>
      </c>
      <c r="DA90">
        <v>0</v>
      </c>
      <c r="DB90">
        <v>161.30000000000001</v>
      </c>
      <c r="DC90">
        <v>3318</v>
      </c>
      <c r="DD90">
        <v>2063.1</v>
      </c>
      <c r="DE90">
        <v>2235</v>
      </c>
      <c r="DF90">
        <v>0</v>
      </c>
      <c r="DG90">
        <v>1414.1</v>
      </c>
      <c r="DH90">
        <v>0</v>
      </c>
      <c r="DI90">
        <v>3785.3</v>
      </c>
      <c r="DJ90">
        <v>2114.4</v>
      </c>
      <c r="DK90">
        <v>22350</v>
      </c>
      <c r="DL90">
        <v>0</v>
      </c>
      <c r="DM90">
        <v>0</v>
      </c>
    </row>
    <row r="91" spans="1:117" x14ac:dyDescent="0.3">
      <c r="A91" t="s">
        <v>164</v>
      </c>
      <c r="B91">
        <v>2035</v>
      </c>
      <c r="C91">
        <v>121595060</v>
      </c>
      <c r="D91">
        <v>1754619.2</v>
      </c>
      <c r="E91">
        <v>3037061</v>
      </c>
      <c r="F91">
        <v>449845.8</v>
      </c>
      <c r="G91">
        <v>126836583.5</v>
      </c>
      <c r="H91">
        <v>117224387.3</v>
      </c>
      <c r="I91">
        <v>101052845</v>
      </c>
      <c r="J91">
        <v>17330228</v>
      </c>
      <c r="K91">
        <v>44785690</v>
      </c>
      <c r="L91">
        <v>3.5900000000000001E-2</v>
      </c>
      <c r="M91">
        <v>5.3900000000000003E-2</v>
      </c>
      <c r="N91">
        <v>0.17960000000000001</v>
      </c>
      <c r="O91">
        <v>86627.12</v>
      </c>
      <c r="P91">
        <v>31244.2</v>
      </c>
      <c r="Q91">
        <v>0.4</v>
      </c>
      <c r="R91">
        <v>0.4</v>
      </c>
      <c r="S91">
        <v>247.6</v>
      </c>
      <c r="T91">
        <v>8.8000000000000007</v>
      </c>
      <c r="U91">
        <v>1.1100000000000001</v>
      </c>
      <c r="V91">
        <v>27.4</v>
      </c>
      <c r="W91">
        <v>1161.8</v>
      </c>
      <c r="X91">
        <v>0.15</v>
      </c>
      <c r="Y91">
        <v>248.2</v>
      </c>
      <c r="Z91">
        <v>62</v>
      </c>
      <c r="AA91">
        <v>310.2</v>
      </c>
      <c r="AB91">
        <v>256.60000000000002</v>
      </c>
      <c r="AC91">
        <v>9.3000000000000007</v>
      </c>
      <c r="AD91">
        <v>1.18</v>
      </c>
      <c r="AE91">
        <v>28.1</v>
      </c>
      <c r="AF91">
        <v>1196.9000000000001</v>
      </c>
      <c r="AG91">
        <v>0.15</v>
      </c>
      <c r="AH91">
        <v>257.2</v>
      </c>
      <c r="AI91">
        <v>63.8</v>
      </c>
      <c r="AJ91">
        <v>321</v>
      </c>
      <c r="AK91">
        <v>346.3</v>
      </c>
      <c r="AL91">
        <v>10.9</v>
      </c>
      <c r="AM91">
        <v>1.35</v>
      </c>
      <c r="AN91">
        <v>37.1</v>
      </c>
      <c r="AO91">
        <v>1660.9</v>
      </c>
      <c r="AP91">
        <v>0.16</v>
      </c>
      <c r="AQ91">
        <v>347</v>
      </c>
      <c r="AR91">
        <v>86.6</v>
      </c>
      <c r="AS91">
        <v>433.6</v>
      </c>
      <c r="AT91">
        <v>567.20000000000005</v>
      </c>
      <c r="AU91">
        <v>38.6</v>
      </c>
      <c r="AV91">
        <v>5.44</v>
      </c>
      <c r="AW91">
        <v>42.8</v>
      </c>
      <c r="AX91">
        <v>2027.8</v>
      </c>
      <c r="AY91">
        <v>0.31</v>
      </c>
      <c r="AZ91">
        <v>569.79999999999995</v>
      </c>
      <c r="BA91">
        <v>103.3</v>
      </c>
      <c r="BB91">
        <v>673.1</v>
      </c>
      <c r="BC91">
        <v>37968353</v>
      </c>
      <c r="BD91">
        <v>1346</v>
      </c>
      <c r="BE91">
        <v>169.9</v>
      </c>
      <c r="BF91">
        <v>4203962.8</v>
      </c>
      <c r="BG91">
        <v>178275.7</v>
      </c>
      <c r="BH91">
        <v>23</v>
      </c>
      <c r="BI91">
        <v>38054854.899999999</v>
      </c>
      <c r="BJ91">
        <v>9522857.1999999993</v>
      </c>
      <c r="BK91">
        <v>47577712.100000001</v>
      </c>
      <c r="BL91">
        <v>0</v>
      </c>
      <c r="BM91">
        <v>22.16</v>
      </c>
      <c r="BN91">
        <v>17.88</v>
      </c>
      <c r="BO91">
        <v>0</v>
      </c>
      <c r="BP91">
        <v>40.04</v>
      </c>
      <c r="BQ91">
        <v>23.88</v>
      </c>
      <c r="BR91">
        <v>20.079999999999998</v>
      </c>
      <c r="BS91">
        <v>0</v>
      </c>
      <c r="BT91">
        <v>43.95</v>
      </c>
      <c r="BU91">
        <v>154591630</v>
      </c>
      <c r="BV91">
        <v>25783738</v>
      </c>
      <c r="BW91">
        <v>1498277.8</v>
      </c>
      <c r="BX91">
        <v>1489418.5</v>
      </c>
      <c r="BY91">
        <v>0</v>
      </c>
      <c r="BZ91">
        <v>3549533.5</v>
      </c>
      <c r="CA91">
        <v>6210839.5</v>
      </c>
      <c r="CB91">
        <v>0</v>
      </c>
      <c r="CC91">
        <v>0</v>
      </c>
      <c r="CD91">
        <v>4387108.5</v>
      </c>
      <c r="CE91">
        <v>86450456</v>
      </c>
      <c r="CF91">
        <v>0</v>
      </c>
      <c r="CG91">
        <v>294433.40000000002</v>
      </c>
      <c r="CH91">
        <v>0</v>
      </c>
      <c r="CI91">
        <v>590138</v>
      </c>
      <c r="CJ91">
        <v>25852374</v>
      </c>
      <c r="CK91">
        <v>391363</v>
      </c>
      <c r="CL91">
        <v>2481067.2000000002</v>
      </c>
      <c r="CM91">
        <v>0</v>
      </c>
      <c r="CN91">
        <v>3221686.2</v>
      </c>
      <c r="CO91">
        <v>18174944</v>
      </c>
      <c r="CP91">
        <v>0</v>
      </c>
      <c r="CQ91">
        <v>1184</v>
      </c>
      <c r="CR91">
        <v>265.3</v>
      </c>
      <c r="CS91">
        <v>0</v>
      </c>
      <c r="CT91">
        <v>3167</v>
      </c>
      <c r="CU91">
        <v>0</v>
      </c>
      <c r="CV91">
        <v>0</v>
      </c>
      <c r="CW91">
        <v>3241.9</v>
      </c>
      <c r="CX91">
        <v>16794.599999999999</v>
      </c>
      <c r="CY91">
        <v>0</v>
      </c>
      <c r="CZ91">
        <v>3709.8</v>
      </c>
      <c r="DA91">
        <v>0</v>
      </c>
      <c r="DB91">
        <v>161.30000000000001</v>
      </c>
      <c r="DC91">
        <v>3318</v>
      </c>
      <c r="DD91">
        <v>2046.3</v>
      </c>
      <c r="DE91">
        <v>2235</v>
      </c>
      <c r="DF91">
        <v>0</v>
      </c>
      <c r="DG91">
        <v>1593.4</v>
      </c>
      <c r="DH91">
        <v>0</v>
      </c>
      <c r="DI91">
        <v>5308.4</v>
      </c>
      <c r="DJ91">
        <v>4727.1000000000004</v>
      </c>
      <c r="DK91">
        <v>22350</v>
      </c>
      <c r="DL91">
        <v>0</v>
      </c>
      <c r="DM91">
        <v>0</v>
      </c>
    </row>
    <row r="92" spans="1:117" x14ac:dyDescent="0.3">
      <c r="A92" t="s">
        <v>164</v>
      </c>
      <c r="B92">
        <v>2040</v>
      </c>
      <c r="C92">
        <v>130096660</v>
      </c>
      <c r="D92">
        <v>3078206</v>
      </c>
      <c r="E92">
        <v>3780289.2</v>
      </c>
      <c r="F92">
        <v>520388.3</v>
      </c>
      <c r="G92">
        <v>137475538.09999999</v>
      </c>
      <c r="H92">
        <v>125420432.5</v>
      </c>
      <c r="I92">
        <v>104756649.7</v>
      </c>
      <c r="J92">
        <v>24954800</v>
      </c>
      <c r="K92">
        <v>46872916</v>
      </c>
      <c r="L92">
        <v>3.5900000000000001E-2</v>
      </c>
      <c r="M92">
        <v>5.3900000000000003E-2</v>
      </c>
      <c r="N92">
        <v>0.17960000000000001</v>
      </c>
      <c r="O92">
        <v>85092.31</v>
      </c>
      <c r="P92">
        <v>34326.1</v>
      </c>
      <c r="Q92">
        <v>0.43</v>
      </c>
      <c r="R92">
        <v>0.45</v>
      </c>
      <c r="S92">
        <v>230.3</v>
      </c>
      <c r="T92">
        <v>7.5</v>
      </c>
      <c r="U92">
        <v>0.93</v>
      </c>
      <c r="V92">
        <v>26</v>
      </c>
      <c r="W92">
        <v>1100.2</v>
      </c>
      <c r="X92">
        <v>0.14000000000000001</v>
      </c>
      <c r="Y92">
        <v>230.8</v>
      </c>
      <c r="Z92">
        <v>58.8</v>
      </c>
      <c r="AA92">
        <v>289.60000000000002</v>
      </c>
      <c r="AB92">
        <v>233.4</v>
      </c>
      <c r="AC92">
        <v>7.8</v>
      </c>
      <c r="AD92">
        <v>0.97</v>
      </c>
      <c r="AE92">
        <v>26.1</v>
      </c>
      <c r="AF92">
        <v>1108.9000000000001</v>
      </c>
      <c r="AG92">
        <v>0.14000000000000001</v>
      </c>
      <c r="AH92">
        <v>233.9</v>
      </c>
      <c r="AI92">
        <v>59.2</v>
      </c>
      <c r="AJ92">
        <v>293.10000000000002</v>
      </c>
      <c r="AK92">
        <v>354</v>
      </c>
      <c r="AL92">
        <v>14.9</v>
      </c>
      <c r="AM92">
        <v>1.97</v>
      </c>
      <c r="AN92">
        <v>34.700000000000003</v>
      </c>
      <c r="AO92">
        <v>1566.5</v>
      </c>
      <c r="AP92">
        <v>0.18</v>
      </c>
      <c r="AQ92">
        <v>355</v>
      </c>
      <c r="AR92">
        <v>81.400000000000006</v>
      </c>
      <c r="AS92">
        <v>436.4</v>
      </c>
      <c r="AT92">
        <v>496.8</v>
      </c>
      <c r="AU92">
        <v>29.8</v>
      </c>
      <c r="AV92">
        <v>4.1500000000000004</v>
      </c>
      <c r="AW92">
        <v>41.2</v>
      </c>
      <c r="AX92">
        <v>1902.9</v>
      </c>
      <c r="AY92">
        <v>0.27</v>
      </c>
      <c r="AZ92">
        <v>498.8</v>
      </c>
      <c r="BA92">
        <v>98</v>
      </c>
      <c r="BB92">
        <v>596.79999999999995</v>
      </c>
      <c r="BC92">
        <v>36457539.299999997</v>
      </c>
      <c r="BD92">
        <v>1185.3</v>
      </c>
      <c r="BE92">
        <v>146.9</v>
      </c>
      <c r="BF92">
        <v>4118666.6</v>
      </c>
      <c r="BG92">
        <v>174303.1</v>
      </c>
      <c r="BH92">
        <v>22.2</v>
      </c>
      <c r="BI92">
        <v>36532968.700000003</v>
      </c>
      <c r="BJ92">
        <v>9318956.1999999993</v>
      </c>
      <c r="BK92">
        <v>45851924.899999999</v>
      </c>
      <c r="BL92">
        <v>0</v>
      </c>
      <c r="BM92">
        <v>19.649999999999999</v>
      </c>
      <c r="BN92">
        <v>16.75</v>
      </c>
      <c r="BO92">
        <v>0</v>
      </c>
      <c r="BP92">
        <v>36.4</v>
      </c>
      <c r="BQ92">
        <v>21.4</v>
      </c>
      <c r="BR92">
        <v>19.010000000000002</v>
      </c>
      <c r="BS92">
        <v>0</v>
      </c>
      <c r="BT92">
        <v>40.409999999999997</v>
      </c>
      <c r="BU92">
        <v>159688590</v>
      </c>
      <c r="BV92">
        <v>32718886</v>
      </c>
      <c r="BW92">
        <v>2637274.7999999998</v>
      </c>
      <c r="BX92">
        <v>890805.8</v>
      </c>
      <c r="BY92">
        <v>0</v>
      </c>
      <c r="BZ92">
        <v>3187669.2</v>
      </c>
      <c r="CA92">
        <v>4898216.5</v>
      </c>
      <c r="CB92">
        <v>0</v>
      </c>
      <c r="CC92">
        <v>0</v>
      </c>
      <c r="CD92">
        <v>4866289.5</v>
      </c>
      <c r="CE92">
        <v>85309980</v>
      </c>
      <c r="CF92">
        <v>0</v>
      </c>
      <c r="CG92">
        <v>606822.9</v>
      </c>
      <c r="CH92">
        <v>0</v>
      </c>
      <c r="CI92">
        <v>552524.9</v>
      </c>
      <c r="CJ92">
        <v>25337036</v>
      </c>
      <c r="CK92">
        <v>485925.2</v>
      </c>
      <c r="CL92">
        <v>3063443.5</v>
      </c>
      <c r="CM92">
        <v>0</v>
      </c>
      <c r="CN92">
        <v>4724549.5</v>
      </c>
      <c r="CO92">
        <v>23128048</v>
      </c>
      <c r="CP92">
        <v>0</v>
      </c>
      <c r="CQ92">
        <v>1869.9</v>
      </c>
      <c r="CR92">
        <v>192.3</v>
      </c>
      <c r="CS92">
        <v>0</v>
      </c>
      <c r="CT92">
        <v>3167</v>
      </c>
      <c r="CU92">
        <v>0</v>
      </c>
      <c r="CV92">
        <v>0</v>
      </c>
      <c r="CW92">
        <v>3697.1</v>
      </c>
      <c r="CX92">
        <v>16794.599999999999</v>
      </c>
      <c r="CY92">
        <v>0</v>
      </c>
      <c r="CZ92">
        <v>4432.8999999999996</v>
      </c>
      <c r="DA92">
        <v>0</v>
      </c>
      <c r="DB92">
        <v>161.30000000000001</v>
      </c>
      <c r="DC92">
        <v>3318</v>
      </c>
      <c r="DD92">
        <v>2003.6</v>
      </c>
      <c r="DE92">
        <v>2235</v>
      </c>
      <c r="DF92">
        <v>0</v>
      </c>
      <c r="DG92">
        <v>2280.5</v>
      </c>
      <c r="DH92">
        <v>0</v>
      </c>
      <c r="DI92">
        <v>6578.1</v>
      </c>
      <c r="DJ92">
        <v>8248</v>
      </c>
      <c r="DK92">
        <v>22350</v>
      </c>
      <c r="DL92">
        <v>0</v>
      </c>
      <c r="DM92">
        <v>0</v>
      </c>
    </row>
    <row r="93" spans="1:117" x14ac:dyDescent="0.3">
      <c r="A93" t="s">
        <v>164</v>
      </c>
      <c r="B93">
        <v>2045</v>
      </c>
      <c r="C93">
        <v>137354060</v>
      </c>
      <c r="D93">
        <v>5796037.5</v>
      </c>
      <c r="E93">
        <v>4010700.5</v>
      </c>
      <c r="F93">
        <v>604062.80000000005</v>
      </c>
      <c r="G93">
        <v>147764870.19999999</v>
      </c>
      <c r="H93">
        <v>132416959.3</v>
      </c>
      <c r="I93">
        <v>99638668.299999997</v>
      </c>
      <c r="J93">
        <v>26091826</v>
      </c>
      <c r="K93">
        <v>58275510</v>
      </c>
      <c r="L93">
        <v>3.5900000000000001E-2</v>
      </c>
      <c r="M93">
        <v>5.3900000000000003E-2</v>
      </c>
      <c r="N93">
        <v>0.17960000000000001</v>
      </c>
      <c r="O93">
        <v>85977.97</v>
      </c>
      <c r="P93">
        <v>36721.5</v>
      </c>
      <c r="Q93">
        <v>0.48</v>
      </c>
      <c r="R93">
        <v>0.48</v>
      </c>
      <c r="S93">
        <v>216.3</v>
      </c>
      <c r="T93">
        <v>7.2</v>
      </c>
      <c r="U93">
        <v>0.9</v>
      </c>
      <c r="V93">
        <v>24.3</v>
      </c>
      <c r="W93">
        <v>1023.7</v>
      </c>
      <c r="X93">
        <v>0.13</v>
      </c>
      <c r="Y93">
        <v>216.7</v>
      </c>
      <c r="Z93">
        <v>54.8</v>
      </c>
      <c r="AA93">
        <v>271.60000000000002</v>
      </c>
      <c r="AB93">
        <v>224.6</v>
      </c>
      <c r="AC93">
        <v>7.6</v>
      </c>
      <c r="AD93">
        <v>0.95</v>
      </c>
      <c r="AE93">
        <v>25</v>
      </c>
      <c r="AF93">
        <v>1058.0999999999999</v>
      </c>
      <c r="AG93">
        <v>0.14000000000000001</v>
      </c>
      <c r="AH93">
        <v>225.1</v>
      </c>
      <c r="AI93">
        <v>56.6</v>
      </c>
      <c r="AJ93">
        <v>281.7</v>
      </c>
      <c r="AK93">
        <v>348.2</v>
      </c>
      <c r="AL93">
        <v>12.5</v>
      </c>
      <c r="AM93">
        <v>1.61</v>
      </c>
      <c r="AN93">
        <v>36.299999999999997</v>
      </c>
      <c r="AO93">
        <v>1604.8</v>
      </c>
      <c r="AP93">
        <v>0.18</v>
      </c>
      <c r="AQ93">
        <v>349</v>
      </c>
      <c r="AR93">
        <v>84.1</v>
      </c>
      <c r="AS93">
        <v>433.1</v>
      </c>
      <c r="AT93">
        <v>504.2</v>
      </c>
      <c r="AU93">
        <v>30.3</v>
      </c>
      <c r="AV93">
        <v>4.21</v>
      </c>
      <c r="AW93">
        <v>42</v>
      </c>
      <c r="AX93">
        <v>1933.6</v>
      </c>
      <c r="AY93">
        <v>0.27</v>
      </c>
      <c r="AZ93">
        <v>506.2</v>
      </c>
      <c r="BA93">
        <v>99.7</v>
      </c>
      <c r="BB93">
        <v>606</v>
      </c>
      <c r="BC93">
        <v>38593718.5</v>
      </c>
      <c r="BD93">
        <v>1273</v>
      </c>
      <c r="BE93">
        <v>159.5</v>
      </c>
      <c r="BF93">
        <v>4341733.4000000004</v>
      </c>
      <c r="BG93">
        <v>182883.1</v>
      </c>
      <c r="BH93">
        <v>23.9</v>
      </c>
      <c r="BI93">
        <v>38675192.899999999</v>
      </c>
      <c r="BJ93">
        <v>9798175.6999999993</v>
      </c>
      <c r="BK93">
        <v>48473368.600000001</v>
      </c>
      <c r="BL93">
        <v>0</v>
      </c>
      <c r="BM93">
        <v>18.77</v>
      </c>
      <c r="BN93">
        <v>16.690000000000001</v>
      </c>
      <c r="BO93">
        <v>0</v>
      </c>
      <c r="BP93">
        <v>35.46</v>
      </c>
      <c r="BQ93">
        <v>20.58</v>
      </c>
      <c r="BR93">
        <v>19.27</v>
      </c>
      <c r="BS93">
        <v>0</v>
      </c>
      <c r="BT93">
        <v>39.85</v>
      </c>
      <c r="BU93">
        <v>180373800</v>
      </c>
      <c r="BV93">
        <v>48126200</v>
      </c>
      <c r="BW93">
        <v>4938408.5</v>
      </c>
      <c r="BX93">
        <v>889429.2</v>
      </c>
      <c r="BY93">
        <v>0</v>
      </c>
      <c r="BZ93">
        <v>3191491.8</v>
      </c>
      <c r="CA93">
        <v>5282825</v>
      </c>
      <c r="CB93">
        <v>0</v>
      </c>
      <c r="CC93">
        <v>0</v>
      </c>
      <c r="CD93">
        <v>5387100</v>
      </c>
      <c r="CE93">
        <v>84250136</v>
      </c>
      <c r="CF93">
        <v>0</v>
      </c>
      <c r="CG93">
        <v>3701085.5</v>
      </c>
      <c r="CH93">
        <v>0</v>
      </c>
      <c r="CI93">
        <v>548776.4</v>
      </c>
      <c r="CJ93">
        <v>25266572</v>
      </c>
      <c r="CK93">
        <v>981656.8</v>
      </c>
      <c r="CL93">
        <v>3197202.8</v>
      </c>
      <c r="CM93">
        <v>0</v>
      </c>
      <c r="CN93">
        <v>7691953</v>
      </c>
      <c r="CO93">
        <v>35047148</v>
      </c>
      <c r="CP93">
        <v>0</v>
      </c>
      <c r="CQ93">
        <v>3316.5</v>
      </c>
      <c r="CR93">
        <v>192.3</v>
      </c>
      <c r="CS93">
        <v>0</v>
      </c>
      <c r="CT93">
        <v>3167</v>
      </c>
      <c r="CU93">
        <v>0</v>
      </c>
      <c r="CV93">
        <v>0</v>
      </c>
      <c r="CW93">
        <v>4194.2</v>
      </c>
      <c r="CX93">
        <v>14918.6</v>
      </c>
      <c r="CY93">
        <v>0</v>
      </c>
      <c r="CZ93">
        <v>8257.4</v>
      </c>
      <c r="DA93">
        <v>0</v>
      </c>
      <c r="DB93">
        <v>161.30000000000001</v>
      </c>
      <c r="DC93">
        <v>3318</v>
      </c>
      <c r="DD93">
        <v>2002.6</v>
      </c>
      <c r="DE93">
        <v>2235</v>
      </c>
      <c r="DF93">
        <v>0</v>
      </c>
      <c r="DG93">
        <v>3590.2</v>
      </c>
      <c r="DH93">
        <v>0</v>
      </c>
      <c r="DI93">
        <v>9288.7000000000007</v>
      </c>
      <c r="DJ93">
        <v>15935.8</v>
      </c>
      <c r="DK93">
        <v>22350</v>
      </c>
      <c r="DL93">
        <v>0</v>
      </c>
      <c r="DM93">
        <v>0</v>
      </c>
    </row>
    <row r="94" spans="1:117" x14ac:dyDescent="0.3">
      <c r="A94" t="s">
        <v>164</v>
      </c>
      <c r="B94">
        <v>2050</v>
      </c>
      <c r="C94">
        <v>143949730</v>
      </c>
      <c r="D94">
        <v>5789145</v>
      </c>
      <c r="E94">
        <v>4631043.5</v>
      </c>
      <c r="F94">
        <v>636984.80000000005</v>
      </c>
      <c r="G94">
        <v>155006902.40000001</v>
      </c>
      <c r="H94">
        <v>138775450.69999999</v>
      </c>
      <c r="I94">
        <v>102233549</v>
      </c>
      <c r="J94">
        <v>28294932</v>
      </c>
      <c r="K94">
        <v>60080040</v>
      </c>
      <c r="L94">
        <v>3.5900000000000001E-2</v>
      </c>
      <c r="M94">
        <v>5.3900000000000003E-2</v>
      </c>
      <c r="N94">
        <v>0.17949999999999999</v>
      </c>
      <c r="O94">
        <v>84766.5</v>
      </c>
      <c r="P94">
        <v>38615.300000000003</v>
      </c>
      <c r="Q94">
        <v>0.49</v>
      </c>
      <c r="R94">
        <v>0.49</v>
      </c>
      <c r="S94">
        <v>202.7</v>
      </c>
      <c r="T94">
        <v>3.9</v>
      </c>
      <c r="U94">
        <v>0.41</v>
      </c>
      <c r="V94">
        <v>25.3</v>
      </c>
      <c r="W94">
        <v>1051.4000000000001</v>
      </c>
      <c r="X94">
        <v>0.12</v>
      </c>
      <c r="Y94">
        <v>202.9</v>
      </c>
      <c r="Z94">
        <v>56.7</v>
      </c>
      <c r="AA94">
        <v>259.60000000000002</v>
      </c>
      <c r="AB94">
        <v>209.5</v>
      </c>
      <c r="AC94">
        <v>4</v>
      </c>
      <c r="AD94">
        <v>0.42</v>
      </c>
      <c r="AE94">
        <v>26</v>
      </c>
      <c r="AF94">
        <v>1085.8</v>
      </c>
      <c r="AG94">
        <v>0.12</v>
      </c>
      <c r="AH94">
        <v>209.7</v>
      </c>
      <c r="AI94">
        <v>58.4</v>
      </c>
      <c r="AJ94">
        <v>268.10000000000002</v>
      </c>
      <c r="AK94">
        <v>337.1</v>
      </c>
      <c r="AL94">
        <v>12.9</v>
      </c>
      <c r="AM94">
        <v>1.68</v>
      </c>
      <c r="AN94">
        <v>34.6</v>
      </c>
      <c r="AO94">
        <v>1523.6</v>
      </c>
      <c r="AP94">
        <v>0.18</v>
      </c>
      <c r="AQ94">
        <v>338</v>
      </c>
      <c r="AR94">
        <v>80.099999999999994</v>
      </c>
      <c r="AS94">
        <v>418</v>
      </c>
      <c r="AT94">
        <v>466.2</v>
      </c>
      <c r="AU94">
        <v>21.1</v>
      </c>
      <c r="AV94">
        <v>2.84</v>
      </c>
      <c r="AW94">
        <v>45.2</v>
      </c>
      <c r="AX94">
        <v>1990.1</v>
      </c>
      <c r="AY94">
        <v>0.26</v>
      </c>
      <c r="AZ94">
        <v>467.6</v>
      </c>
      <c r="BA94">
        <v>104.6</v>
      </c>
      <c r="BB94">
        <v>572.1</v>
      </c>
      <c r="BC94">
        <v>37545014.600000001</v>
      </c>
      <c r="BD94">
        <v>722.9</v>
      </c>
      <c r="BE94">
        <v>75</v>
      </c>
      <c r="BF94">
        <v>4689373.0999999996</v>
      </c>
      <c r="BG94">
        <v>194753.2</v>
      </c>
      <c r="BH94">
        <v>22.7</v>
      </c>
      <c r="BI94">
        <v>37587035.600000001</v>
      </c>
      <c r="BJ94">
        <v>10499210</v>
      </c>
      <c r="BK94">
        <v>48086245.600000001</v>
      </c>
      <c r="BL94">
        <v>0</v>
      </c>
      <c r="BM94">
        <v>18.649999999999999</v>
      </c>
      <c r="BN94">
        <v>16.41</v>
      </c>
      <c r="BO94">
        <v>0</v>
      </c>
      <c r="BP94">
        <v>35.06</v>
      </c>
      <c r="BQ94">
        <v>20.49</v>
      </c>
      <c r="BR94">
        <v>18.95</v>
      </c>
      <c r="BS94">
        <v>0</v>
      </c>
      <c r="BT94">
        <v>39.44</v>
      </c>
      <c r="BU94">
        <v>187273780</v>
      </c>
      <c r="BV94">
        <v>52773350</v>
      </c>
      <c r="BW94">
        <v>4937727</v>
      </c>
      <c r="BX94">
        <v>871743.7</v>
      </c>
      <c r="BY94">
        <v>0</v>
      </c>
      <c r="BZ94">
        <v>3191438</v>
      </c>
      <c r="CA94">
        <v>10763.3</v>
      </c>
      <c r="CB94">
        <v>0</v>
      </c>
      <c r="CC94">
        <v>0</v>
      </c>
      <c r="CD94">
        <v>6018477</v>
      </c>
      <c r="CE94">
        <v>83381530</v>
      </c>
      <c r="CF94">
        <v>0</v>
      </c>
      <c r="CG94">
        <v>12065832</v>
      </c>
      <c r="CH94">
        <v>0</v>
      </c>
      <c r="CI94">
        <v>536280.6</v>
      </c>
      <c r="CJ94">
        <v>25096020</v>
      </c>
      <c r="CK94">
        <v>708516</v>
      </c>
      <c r="CL94">
        <v>3700586.8</v>
      </c>
      <c r="CM94">
        <v>0</v>
      </c>
      <c r="CN94">
        <v>14103422</v>
      </c>
      <c r="CO94">
        <v>32651452</v>
      </c>
      <c r="CP94">
        <v>0</v>
      </c>
      <c r="CQ94">
        <v>3222.4</v>
      </c>
      <c r="CR94">
        <v>192.3</v>
      </c>
      <c r="CS94">
        <v>0</v>
      </c>
      <c r="CT94">
        <v>101</v>
      </c>
      <c r="CU94">
        <v>0</v>
      </c>
      <c r="CV94">
        <v>0</v>
      </c>
      <c r="CW94">
        <v>4784.1000000000004</v>
      </c>
      <c r="CX94">
        <v>14790.6</v>
      </c>
      <c r="CY94">
        <v>0</v>
      </c>
      <c r="CZ94">
        <v>13374.4</v>
      </c>
      <c r="DA94">
        <v>0</v>
      </c>
      <c r="DB94">
        <v>161.30000000000001</v>
      </c>
      <c r="DC94">
        <v>3318</v>
      </c>
      <c r="DD94">
        <v>1424.8</v>
      </c>
      <c r="DE94">
        <v>2235</v>
      </c>
      <c r="DF94">
        <v>0</v>
      </c>
      <c r="DG94">
        <v>6270.6</v>
      </c>
      <c r="DH94">
        <v>0</v>
      </c>
      <c r="DI94">
        <v>8554.9</v>
      </c>
      <c r="DJ94">
        <v>15244.1</v>
      </c>
      <c r="DK94">
        <v>22350</v>
      </c>
      <c r="DL94">
        <v>0</v>
      </c>
      <c r="DM94">
        <v>0</v>
      </c>
    </row>
    <row r="95" spans="1:117" x14ac:dyDescent="0.3">
      <c r="A95" t="s">
        <v>165</v>
      </c>
      <c r="B95">
        <v>2024</v>
      </c>
      <c r="C95">
        <v>506502850</v>
      </c>
      <c r="D95">
        <v>292639.2</v>
      </c>
      <c r="E95">
        <v>0</v>
      </c>
      <c r="F95">
        <v>4487332.3</v>
      </c>
      <c r="G95">
        <v>511282835.5</v>
      </c>
      <c r="H95">
        <v>488292920.30000001</v>
      </c>
      <c r="I95">
        <v>477423611</v>
      </c>
      <c r="J95">
        <v>329967460</v>
      </c>
      <c r="K95">
        <v>243871700</v>
      </c>
      <c r="L95">
        <v>3.5900000000000001E-2</v>
      </c>
      <c r="M95">
        <v>5.3999999999999999E-2</v>
      </c>
      <c r="N95">
        <v>0.15629999999999999</v>
      </c>
      <c r="O95">
        <v>18669.79</v>
      </c>
      <c r="P95">
        <v>111618.6</v>
      </c>
      <c r="Q95">
        <v>0.33</v>
      </c>
      <c r="R95">
        <v>0.39</v>
      </c>
      <c r="S95">
        <v>447.1</v>
      </c>
      <c r="T95">
        <v>37.5</v>
      </c>
      <c r="U95">
        <v>5.33</v>
      </c>
      <c r="V95">
        <v>28.7</v>
      </c>
      <c r="W95">
        <v>1420.7</v>
      </c>
      <c r="X95">
        <v>0.26</v>
      </c>
      <c r="Y95">
        <v>449.7</v>
      </c>
      <c r="Z95">
        <v>71.099999999999994</v>
      </c>
      <c r="AA95">
        <v>520.79999999999995</v>
      </c>
      <c r="AB95">
        <v>412.4</v>
      </c>
      <c r="AC95">
        <v>33.9</v>
      </c>
      <c r="AD95">
        <v>4.8099999999999996</v>
      </c>
      <c r="AE95">
        <v>27.5</v>
      </c>
      <c r="AF95">
        <v>1333</v>
      </c>
      <c r="AG95">
        <v>0.25</v>
      </c>
      <c r="AH95">
        <v>414.7</v>
      </c>
      <c r="AI95">
        <v>67.3</v>
      </c>
      <c r="AJ95">
        <v>482</v>
      </c>
      <c r="AK95">
        <v>377.7</v>
      </c>
      <c r="AL95">
        <v>25.2</v>
      </c>
      <c r="AM95">
        <v>3.53</v>
      </c>
      <c r="AN95">
        <v>28.4</v>
      </c>
      <c r="AO95">
        <v>1385.6</v>
      </c>
      <c r="AP95">
        <v>0.19</v>
      </c>
      <c r="AQ95">
        <v>379.4</v>
      </c>
      <c r="AR95">
        <v>69.7</v>
      </c>
      <c r="AS95">
        <v>449.1</v>
      </c>
      <c r="AT95">
        <v>786.9</v>
      </c>
      <c r="AU95">
        <v>62.7</v>
      </c>
      <c r="AV95">
        <v>9.0399999999999991</v>
      </c>
      <c r="AW95">
        <v>51.6</v>
      </c>
      <c r="AX95">
        <v>2448.6999999999998</v>
      </c>
      <c r="AY95">
        <v>0.48</v>
      </c>
      <c r="AZ95">
        <v>791.3</v>
      </c>
      <c r="BA95">
        <v>124.7</v>
      </c>
      <c r="BB95">
        <v>916</v>
      </c>
      <c r="BC95">
        <v>188587163.80000001</v>
      </c>
      <c r="BD95">
        <v>15800.7</v>
      </c>
      <c r="BE95">
        <v>2247.1</v>
      </c>
      <c r="BF95">
        <v>12123326.1</v>
      </c>
      <c r="BG95">
        <v>599470.1</v>
      </c>
      <c r="BH95">
        <v>111.3</v>
      </c>
      <c r="BI95">
        <v>189671489.09999999</v>
      </c>
      <c r="BJ95">
        <v>30017921.300000001</v>
      </c>
      <c r="BK95">
        <v>219689410.40000001</v>
      </c>
      <c r="BL95">
        <v>0</v>
      </c>
      <c r="BM95">
        <v>31.44</v>
      </c>
      <c r="BN95">
        <v>3.9</v>
      </c>
      <c r="BO95">
        <v>0.01</v>
      </c>
      <c r="BP95">
        <v>35.35</v>
      </c>
      <c r="BQ95">
        <v>33.299999999999997</v>
      </c>
      <c r="BR95">
        <v>4.2300000000000004</v>
      </c>
      <c r="BS95">
        <v>0.01</v>
      </c>
      <c r="BT95">
        <v>37.53</v>
      </c>
      <c r="BU95">
        <v>424803400</v>
      </c>
      <c r="BV95">
        <v>33859224</v>
      </c>
      <c r="BW95">
        <v>251462</v>
      </c>
      <c r="BX95">
        <v>1419620.6</v>
      </c>
      <c r="BY95">
        <v>0</v>
      </c>
      <c r="BZ95">
        <v>0</v>
      </c>
      <c r="CA95">
        <v>123103090</v>
      </c>
      <c r="CB95">
        <v>0</v>
      </c>
      <c r="CC95">
        <v>0</v>
      </c>
      <c r="CD95">
        <v>2249480.2000000002</v>
      </c>
      <c r="CE95">
        <v>158898640</v>
      </c>
      <c r="CF95">
        <v>0</v>
      </c>
      <c r="CG95">
        <v>2752566</v>
      </c>
      <c r="CH95">
        <v>0</v>
      </c>
      <c r="CI95">
        <v>3054887.5</v>
      </c>
      <c r="CJ95">
        <v>100921600</v>
      </c>
      <c r="CK95">
        <v>542310.6</v>
      </c>
      <c r="CL95">
        <v>0</v>
      </c>
      <c r="CM95">
        <v>0</v>
      </c>
      <c r="CN95">
        <v>8665660</v>
      </c>
      <c r="CO95">
        <v>22875294</v>
      </c>
      <c r="CP95">
        <v>68789.7</v>
      </c>
      <c r="CQ95">
        <v>337.9</v>
      </c>
      <c r="CR95">
        <v>312</v>
      </c>
      <c r="CS95">
        <v>0</v>
      </c>
      <c r="CT95">
        <v>37949.199999999997</v>
      </c>
      <c r="CU95">
        <v>0</v>
      </c>
      <c r="CV95">
        <v>0</v>
      </c>
      <c r="CW95">
        <v>1623.7</v>
      </c>
      <c r="CX95">
        <v>24301.4</v>
      </c>
      <c r="CY95">
        <v>0</v>
      </c>
      <c r="CZ95">
        <v>20087.400000000001</v>
      </c>
      <c r="DA95">
        <v>0</v>
      </c>
      <c r="DB95">
        <v>861.4</v>
      </c>
      <c r="DC95">
        <v>12640.4</v>
      </c>
      <c r="DD95">
        <v>2757.9</v>
      </c>
      <c r="DE95">
        <v>0</v>
      </c>
      <c r="DF95">
        <v>0</v>
      </c>
      <c r="DG95">
        <v>4139.5</v>
      </c>
      <c r="DH95">
        <v>21</v>
      </c>
      <c r="DI95">
        <v>7820</v>
      </c>
      <c r="DJ95">
        <v>709.2</v>
      </c>
      <c r="DK95">
        <v>0</v>
      </c>
      <c r="DL95">
        <v>0</v>
      </c>
      <c r="DM95">
        <v>0</v>
      </c>
    </row>
    <row r="96" spans="1:117" x14ac:dyDescent="0.3">
      <c r="A96" t="s">
        <v>165</v>
      </c>
      <c r="B96">
        <v>2026</v>
      </c>
      <c r="C96">
        <v>514998270</v>
      </c>
      <c r="D96">
        <v>1052049.1000000001</v>
      </c>
      <c r="E96">
        <v>0</v>
      </c>
      <c r="F96">
        <v>4666667.5999999996</v>
      </c>
      <c r="G96">
        <v>520716976</v>
      </c>
      <c r="H96">
        <v>496482858.10000002</v>
      </c>
      <c r="I96">
        <v>483905016.5</v>
      </c>
      <c r="J96">
        <v>356168480</v>
      </c>
      <c r="K96">
        <v>241723400</v>
      </c>
      <c r="L96">
        <v>3.5900000000000001E-2</v>
      </c>
      <c r="M96">
        <v>5.3999999999999999E-2</v>
      </c>
      <c r="N96">
        <v>0.15629999999999999</v>
      </c>
      <c r="O96">
        <v>49170.75</v>
      </c>
      <c r="P96">
        <v>113967</v>
      </c>
      <c r="Q96">
        <v>0.35</v>
      </c>
      <c r="R96">
        <v>0.43</v>
      </c>
      <c r="S96">
        <v>415.3</v>
      </c>
      <c r="T96">
        <v>33.700000000000003</v>
      </c>
      <c r="U96">
        <v>4.78</v>
      </c>
      <c r="V96">
        <v>27.9</v>
      </c>
      <c r="W96">
        <v>1356.2</v>
      </c>
      <c r="X96">
        <v>0.25</v>
      </c>
      <c r="Y96">
        <v>417.6</v>
      </c>
      <c r="Z96">
        <v>68.400000000000006</v>
      </c>
      <c r="AA96">
        <v>486.1</v>
      </c>
      <c r="AB96">
        <v>366.3</v>
      </c>
      <c r="AC96">
        <v>28.7</v>
      </c>
      <c r="AD96">
        <v>4.05</v>
      </c>
      <c r="AE96">
        <v>26</v>
      </c>
      <c r="AF96">
        <v>1229.5999999999999</v>
      </c>
      <c r="AG96">
        <v>0.23</v>
      </c>
      <c r="AH96">
        <v>368.2</v>
      </c>
      <c r="AI96">
        <v>62.7</v>
      </c>
      <c r="AJ96">
        <v>430.9</v>
      </c>
      <c r="AK96">
        <v>346</v>
      </c>
      <c r="AL96">
        <v>17.3</v>
      </c>
      <c r="AM96">
        <v>2.3199999999999998</v>
      </c>
      <c r="AN96">
        <v>31.3</v>
      </c>
      <c r="AO96">
        <v>1459.5</v>
      </c>
      <c r="AP96">
        <v>0.16</v>
      </c>
      <c r="AQ96">
        <v>347.2</v>
      </c>
      <c r="AR96">
        <v>74.8</v>
      </c>
      <c r="AS96">
        <v>422</v>
      </c>
      <c r="AT96">
        <v>745.1</v>
      </c>
      <c r="AU96">
        <v>58.5</v>
      </c>
      <c r="AV96">
        <v>8.39</v>
      </c>
      <c r="AW96">
        <v>49.1</v>
      </c>
      <c r="AX96">
        <v>2382.6</v>
      </c>
      <c r="AY96">
        <v>0.43</v>
      </c>
      <c r="AZ96">
        <v>749.1</v>
      </c>
      <c r="BA96">
        <v>120.3</v>
      </c>
      <c r="BB96">
        <v>869.4</v>
      </c>
      <c r="BC96">
        <v>167247118.80000001</v>
      </c>
      <c r="BD96">
        <v>13564.7</v>
      </c>
      <c r="BE96">
        <v>1923.3</v>
      </c>
      <c r="BF96">
        <v>11257790.699999999</v>
      </c>
      <c r="BG96">
        <v>546447.30000000005</v>
      </c>
      <c r="BH96">
        <v>100.5</v>
      </c>
      <c r="BI96">
        <v>168176395.80000001</v>
      </c>
      <c r="BJ96">
        <v>27569351.600000001</v>
      </c>
      <c r="BK96">
        <v>195745747.30000001</v>
      </c>
      <c r="BL96">
        <v>0</v>
      </c>
      <c r="BM96">
        <v>29.72</v>
      </c>
      <c r="BN96">
        <v>10.210000000000001</v>
      </c>
      <c r="BO96">
        <v>0.01</v>
      </c>
      <c r="BP96">
        <v>39.94</v>
      </c>
      <c r="BQ96">
        <v>31.48</v>
      </c>
      <c r="BR96">
        <v>11.07</v>
      </c>
      <c r="BS96">
        <v>0.01</v>
      </c>
      <c r="BT96">
        <v>42.57</v>
      </c>
      <c r="BU96">
        <v>405766460</v>
      </c>
      <c r="BV96">
        <v>36811960</v>
      </c>
      <c r="BW96">
        <v>894780.2</v>
      </c>
      <c r="BX96">
        <v>1418475.2</v>
      </c>
      <c r="BY96">
        <v>0</v>
      </c>
      <c r="BZ96">
        <v>0</v>
      </c>
      <c r="CA96">
        <v>104935060</v>
      </c>
      <c r="CB96">
        <v>0</v>
      </c>
      <c r="CC96">
        <v>0</v>
      </c>
      <c r="CD96">
        <v>3699378</v>
      </c>
      <c r="CE96">
        <v>155893730</v>
      </c>
      <c r="CF96">
        <v>0</v>
      </c>
      <c r="CG96">
        <v>1591476</v>
      </c>
      <c r="CH96">
        <v>0</v>
      </c>
      <c r="CI96">
        <v>3054170</v>
      </c>
      <c r="CJ96">
        <v>100841920</v>
      </c>
      <c r="CK96">
        <v>324897.3</v>
      </c>
      <c r="CL96">
        <v>0</v>
      </c>
      <c r="CM96">
        <v>0</v>
      </c>
      <c r="CN96">
        <v>10295901</v>
      </c>
      <c r="CO96">
        <v>22748262</v>
      </c>
      <c r="CP96">
        <v>68418.8</v>
      </c>
      <c r="CQ96">
        <v>1181.5</v>
      </c>
      <c r="CR96">
        <v>312</v>
      </c>
      <c r="CS96">
        <v>0</v>
      </c>
      <c r="CT96">
        <v>37929.199999999997</v>
      </c>
      <c r="CU96">
        <v>0</v>
      </c>
      <c r="CV96">
        <v>0</v>
      </c>
      <c r="CW96">
        <v>2662.8</v>
      </c>
      <c r="CX96">
        <v>24876</v>
      </c>
      <c r="CY96">
        <v>0</v>
      </c>
      <c r="CZ96">
        <v>19959.7</v>
      </c>
      <c r="DA96">
        <v>0</v>
      </c>
      <c r="DB96">
        <v>861.4</v>
      </c>
      <c r="DC96">
        <v>12640.4</v>
      </c>
      <c r="DD96">
        <v>2757.9</v>
      </c>
      <c r="DE96">
        <v>0</v>
      </c>
      <c r="DF96">
        <v>0</v>
      </c>
      <c r="DG96">
        <v>4927.1000000000004</v>
      </c>
      <c r="DH96">
        <v>21</v>
      </c>
      <c r="DI96">
        <v>7820</v>
      </c>
      <c r="DJ96">
        <v>2574.9</v>
      </c>
      <c r="DK96">
        <v>0</v>
      </c>
      <c r="DL96">
        <v>0</v>
      </c>
      <c r="DM96">
        <v>0</v>
      </c>
    </row>
    <row r="97" spans="1:117" x14ac:dyDescent="0.3">
      <c r="A97" t="s">
        <v>165</v>
      </c>
      <c r="B97">
        <v>2028</v>
      </c>
      <c r="C97">
        <v>526195260</v>
      </c>
      <c r="D97">
        <v>4792700</v>
      </c>
      <c r="E97">
        <v>0</v>
      </c>
      <c r="F97">
        <v>6076922.4000000004</v>
      </c>
      <c r="G97">
        <v>537064884.70000005</v>
      </c>
      <c r="H97">
        <v>507277322.69999999</v>
      </c>
      <c r="I97">
        <v>487616548.39999998</v>
      </c>
      <c r="J97">
        <v>463205900</v>
      </c>
      <c r="K97">
        <v>289946370</v>
      </c>
      <c r="L97">
        <v>3.5900000000000001E-2</v>
      </c>
      <c r="M97">
        <v>5.3999999999999999E-2</v>
      </c>
      <c r="N97">
        <v>0.15629999999999999</v>
      </c>
      <c r="O97">
        <v>60531.45</v>
      </c>
      <c r="P97">
        <v>117543.5</v>
      </c>
      <c r="Q97">
        <v>0.43</v>
      </c>
      <c r="R97">
        <v>0.55000000000000004</v>
      </c>
      <c r="S97">
        <v>312.60000000000002</v>
      </c>
      <c r="T97">
        <v>20.7</v>
      </c>
      <c r="U97">
        <v>2.88</v>
      </c>
      <c r="V97">
        <v>26</v>
      </c>
      <c r="W97">
        <v>1170.4000000000001</v>
      </c>
      <c r="X97">
        <v>0.2</v>
      </c>
      <c r="Y97">
        <v>314</v>
      </c>
      <c r="Z97">
        <v>60.9</v>
      </c>
      <c r="AA97">
        <v>374.9</v>
      </c>
      <c r="AB97">
        <v>248.3</v>
      </c>
      <c r="AC97">
        <v>15.9</v>
      </c>
      <c r="AD97">
        <v>2.2000000000000002</v>
      </c>
      <c r="AE97">
        <v>21.6</v>
      </c>
      <c r="AF97">
        <v>948.4</v>
      </c>
      <c r="AG97">
        <v>0.17</v>
      </c>
      <c r="AH97">
        <v>249.4</v>
      </c>
      <c r="AI97">
        <v>49.9</v>
      </c>
      <c r="AJ97">
        <v>299.3</v>
      </c>
      <c r="AK97">
        <v>292</v>
      </c>
      <c r="AL97">
        <v>5.8</v>
      </c>
      <c r="AM97">
        <v>0.59</v>
      </c>
      <c r="AN97">
        <v>34.299999999999997</v>
      </c>
      <c r="AO97">
        <v>1517.5</v>
      </c>
      <c r="AP97">
        <v>0.13</v>
      </c>
      <c r="AQ97">
        <v>292.3</v>
      </c>
      <c r="AR97">
        <v>79.5</v>
      </c>
      <c r="AS97">
        <v>371.9</v>
      </c>
      <c r="AT97">
        <v>641.70000000000005</v>
      </c>
      <c r="AU97">
        <v>46.9</v>
      </c>
      <c r="AV97">
        <v>6.69</v>
      </c>
      <c r="AW97">
        <v>45.9</v>
      </c>
      <c r="AX97">
        <v>2166</v>
      </c>
      <c r="AY97">
        <v>0.37</v>
      </c>
      <c r="AZ97">
        <v>644.9</v>
      </c>
      <c r="BA97">
        <v>110.5</v>
      </c>
      <c r="BB97">
        <v>755.5</v>
      </c>
      <c r="BC97">
        <v>112498294.90000001</v>
      </c>
      <c r="BD97">
        <v>7443.5</v>
      </c>
      <c r="BE97">
        <v>1034.0999999999999</v>
      </c>
      <c r="BF97">
        <v>9366278.9000000004</v>
      </c>
      <c r="BG97">
        <v>421589.6</v>
      </c>
      <c r="BH97">
        <v>72.5</v>
      </c>
      <c r="BI97">
        <v>113002418.5</v>
      </c>
      <c r="BJ97">
        <v>21949432.899999999</v>
      </c>
      <c r="BK97">
        <v>134951851.5</v>
      </c>
      <c r="BL97">
        <v>0</v>
      </c>
      <c r="BM97">
        <v>25.46</v>
      </c>
      <c r="BN97">
        <v>12.27</v>
      </c>
      <c r="BO97">
        <v>0.01</v>
      </c>
      <c r="BP97">
        <v>37.74</v>
      </c>
      <c r="BQ97">
        <v>27.03</v>
      </c>
      <c r="BR97">
        <v>13.4</v>
      </c>
      <c r="BS97">
        <v>0.01</v>
      </c>
      <c r="BT97">
        <v>40.43</v>
      </c>
      <c r="BU97">
        <v>362992770</v>
      </c>
      <c r="BV97">
        <v>49448336</v>
      </c>
      <c r="BW97">
        <v>4085871.2</v>
      </c>
      <c r="BX97">
        <v>1327731.2</v>
      </c>
      <c r="BY97">
        <v>0</v>
      </c>
      <c r="BZ97">
        <v>0</v>
      </c>
      <c r="CA97">
        <v>53565172</v>
      </c>
      <c r="CB97">
        <v>0</v>
      </c>
      <c r="CC97">
        <v>0</v>
      </c>
      <c r="CD97">
        <v>5854171.5</v>
      </c>
      <c r="CE97">
        <v>152626580</v>
      </c>
      <c r="CF97">
        <v>0</v>
      </c>
      <c r="CG97">
        <v>1252653</v>
      </c>
      <c r="CH97">
        <v>0</v>
      </c>
      <c r="CI97">
        <v>3065929.5</v>
      </c>
      <c r="CJ97">
        <v>97477816</v>
      </c>
      <c r="CK97">
        <v>142679.20000000001</v>
      </c>
      <c r="CL97">
        <v>0</v>
      </c>
      <c r="CM97">
        <v>0</v>
      </c>
      <c r="CN97">
        <v>20386574</v>
      </c>
      <c r="CO97">
        <v>23139540</v>
      </c>
      <c r="CP97">
        <v>68049.8</v>
      </c>
      <c r="CQ97">
        <v>3536.4</v>
      </c>
      <c r="CR97">
        <v>312</v>
      </c>
      <c r="CS97">
        <v>0</v>
      </c>
      <c r="CT97">
        <v>32549.200000000001</v>
      </c>
      <c r="CU97">
        <v>0</v>
      </c>
      <c r="CV97">
        <v>0</v>
      </c>
      <c r="CW97">
        <v>4209.3</v>
      </c>
      <c r="CX97">
        <v>26140.2</v>
      </c>
      <c r="CY97">
        <v>0</v>
      </c>
      <c r="CZ97">
        <v>19959.7</v>
      </c>
      <c r="DA97">
        <v>0</v>
      </c>
      <c r="DB97">
        <v>871.4</v>
      </c>
      <c r="DC97">
        <v>12640.4</v>
      </c>
      <c r="DD97">
        <v>2570.6</v>
      </c>
      <c r="DE97">
        <v>0</v>
      </c>
      <c r="DF97">
        <v>0</v>
      </c>
      <c r="DG97">
        <v>9516.1</v>
      </c>
      <c r="DH97">
        <v>21</v>
      </c>
      <c r="DI97">
        <v>7974.8</v>
      </c>
      <c r="DJ97">
        <v>11233.4</v>
      </c>
      <c r="DK97">
        <v>0</v>
      </c>
      <c r="DL97">
        <v>0</v>
      </c>
      <c r="DM97">
        <v>0</v>
      </c>
    </row>
    <row r="98" spans="1:117" x14ac:dyDescent="0.3">
      <c r="A98" t="s">
        <v>165</v>
      </c>
      <c r="B98">
        <v>2030</v>
      </c>
      <c r="C98">
        <v>539220800</v>
      </c>
      <c r="D98">
        <v>15355006</v>
      </c>
      <c r="E98">
        <v>0</v>
      </c>
      <c r="F98">
        <v>7002318.2999999998</v>
      </c>
      <c r="G98">
        <v>561578117</v>
      </c>
      <c r="H98">
        <v>519834619.80000001</v>
      </c>
      <c r="I98">
        <v>469473666.5</v>
      </c>
      <c r="J98">
        <v>516235460</v>
      </c>
      <c r="K98">
        <v>337745000</v>
      </c>
      <c r="L98">
        <v>3.5900000000000001E-2</v>
      </c>
      <c r="M98">
        <v>5.3999999999999999E-2</v>
      </c>
      <c r="N98">
        <v>0.15620000000000001</v>
      </c>
      <c r="O98">
        <v>70716.88</v>
      </c>
      <c r="P98">
        <v>121844.8</v>
      </c>
      <c r="Q98">
        <v>0.53</v>
      </c>
      <c r="R98">
        <v>0.63</v>
      </c>
      <c r="S98">
        <v>243</v>
      </c>
      <c r="T98">
        <v>15</v>
      </c>
      <c r="U98">
        <v>2.0699999999999998</v>
      </c>
      <c r="V98">
        <v>21.5</v>
      </c>
      <c r="W98">
        <v>945.2</v>
      </c>
      <c r="X98">
        <v>0.16</v>
      </c>
      <c r="Y98">
        <v>244</v>
      </c>
      <c r="Z98">
        <v>49.7</v>
      </c>
      <c r="AA98">
        <v>293.8</v>
      </c>
      <c r="AB98">
        <v>197.7</v>
      </c>
      <c r="AC98">
        <v>12.2</v>
      </c>
      <c r="AD98">
        <v>1.67</v>
      </c>
      <c r="AE98">
        <v>17.8</v>
      </c>
      <c r="AF98">
        <v>771.6</v>
      </c>
      <c r="AG98">
        <v>0.14000000000000001</v>
      </c>
      <c r="AH98">
        <v>198.5</v>
      </c>
      <c r="AI98">
        <v>40.9</v>
      </c>
      <c r="AJ98">
        <v>239.4</v>
      </c>
      <c r="AK98">
        <v>294.2</v>
      </c>
      <c r="AL98">
        <v>9.6</v>
      </c>
      <c r="AM98">
        <v>1.18</v>
      </c>
      <c r="AN98">
        <v>31.2</v>
      </c>
      <c r="AO98">
        <v>1410.4</v>
      </c>
      <c r="AP98">
        <v>0.13</v>
      </c>
      <c r="AQ98">
        <v>294.8</v>
      </c>
      <c r="AR98">
        <v>73.2</v>
      </c>
      <c r="AS98">
        <v>368.1</v>
      </c>
      <c r="AT98">
        <v>585.1</v>
      </c>
      <c r="AU98">
        <v>42.4</v>
      </c>
      <c r="AV98">
        <v>6</v>
      </c>
      <c r="AW98">
        <v>41.8</v>
      </c>
      <c r="AX98">
        <v>2021.5</v>
      </c>
      <c r="AY98">
        <v>0.32</v>
      </c>
      <c r="AZ98">
        <v>588</v>
      </c>
      <c r="BA98">
        <v>102.1</v>
      </c>
      <c r="BB98">
        <v>690.1</v>
      </c>
      <c r="BC98">
        <v>91981525.599999994</v>
      </c>
      <c r="BD98">
        <v>5676.7</v>
      </c>
      <c r="BE98">
        <v>782.1</v>
      </c>
      <c r="BF98">
        <v>8160673.2000000002</v>
      </c>
      <c r="BG98">
        <v>358154.3</v>
      </c>
      <c r="BH98">
        <v>61.9</v>
      </c>
      <c r="BI98">
        <v>92364209.799999997</v>
      </c>
      <c r="BJ98">
        <v>18850556.5</v>
      </c>
      <c r="BK98">
        <v>111214766.40000001</v>
      </c>
      <c r="BL98">
        <v>0</v>
      </c>
      <c r="BM98">
        <v>23.54</v>
      </c>
      <c r="BN98">
        <v>13.73</v>
      </c>
      <c r="BO98">
        <v>0.01</v>
      </c>
      <c r="BP98">
        <v>37.28</v>
      </c>
      <c r="BQ98">
        <v>25.17</v>
      </c>
      <c r="BR98">
        <v>15.25</v>
      </c>
      <c r="BS98">
        <v>0.01</v>
      </c>
      <c r="BT98">
        <v>40.44</v>
      </c>
      <c r="BU98">
        <v>382234620</v>
      </c>
      <c r="BV98">
        <v>92104450</v>
      </c>
      <c r="BW98">
        <v>13080060</v>
      </c>
      <c r="BX98">
        <v>1242780.2</v>
      </c>
      <c r="BY98">
        <v>0</v>
      </c>
      <c r="BZ98">
        <v>0</v>
      </c>
      <c r="CA98">
        <v>40018790</v>
      </c>
      <c r="CB98">
        <v>0</v>
      </c>
      <c r="CC98">
        <v>0</v>
      </c>
      <c r="CD98">
        <v>9042149</v>
      </c>
      <c r="CE98">
        <v>137664620</v>
      </c>
      <c r="CF98">
        <v>0</v>
      </c>
      <c r="CG98">
        <v>728215.2</v>
      </c>
      <c r="CH98">
        <v>0</v>
      </c>
      <c r="CI98">
        <v>3001034.5</v>
      </c>
      <c r="CJ98">
        <v>94346100</v>
      </c>
      <c r="CK98">
        <v>48560.2</v>
      </c>
      <c r="CL98">
        <v>0</v>
      </c>
      <c r="CM98">
        <v>0</v>
      </c>
      <c r="CN98">
        <v>45543572</v>
      </c>
      <c r="CO98">
        <v>37451050</v>
      </c>
      <c r="CP98">
        <v>67682.8</v>
      </c>
      <c r="CQ98">
        <v>10593.7</v>
      </c>
      <c r="CR98">
        <v>312</v>
      </c>
      <c r="CS98">
        <v>0</v>
      </c>
      <c r="CT98">
        <v>29350.400000000001</v>
      </c>
      <c r="CU98">
        <v>0</v>
      </c>
      <c r="CV98">
        <v>0</v>
      </c>
      <c r="CW98">
        <v>6499.4</v>
      </c>
      <c r="CX98">
        <v>25952.2</v>
      </c>
      <c r="CY98">
        <v>0</v>
      </c>
      <c r="CZ98">
        <v>19829.5</v>
      </c>
      <c r="DA98">
        <v>0</v>
      </c>
      <c r="DB98">
        <v>871.4</v>
      </c>
      <c r="DC98">
        <v>12640.4</v>
      </c>
      <c r="DD98">
        <v>1636</v>
      </c>
      <c r="DE98">
        <v>0</v>
      </c>
      <c r="DF98">
        <v>0</v>
      </c>
      <c r="DG98">
        <v>20585.400000000001</v>
      </c>
      <c r="DH98">
        <v>21</v>
      </c>
      <c r="DI98">
        <v>11743.5</v>
      </c>
      <c r="DJ98">
        <v>37944.800000000003</v>
      </c>
      <c r="DK98">
        <v>0</v>
      </c>
      <c r="DL98">
        <v>0</v>
      </c>
      <c r="DM98">
        <v>0</v>
      </c>
    </row>
    <row r="99" spans="1:117" x14ac:dyDescent="0.3">
      <c r="A99" t="s">
        <v>165</v>
      </c>
      <c r="B99">
        <v>2035</v>
      </c>
      <c r="C99">
        <v>573607940</v>
      </c>
      <c r="D99">
        <v>25703174</v>
      </c>
      <c r="E99">
        <v>0</v>
      </c>
      <c r="F99">
        <v>8401923.0999999996</v>
      </c>
      <c r="G99">
        <v>607713047.60000002</v>
      </c>
      <c r="H99">
        <v>552985737.20000005</v>
      </c>
      <c r="I99">
        <v>465085917.60000002</v>
      </c>
      <c r="J99">
        <v>573760400</v>
      </c>
      <c r="K99">
        <v>412437570</v>
      </c>
      <c r="L99">
        <v>3.5900000000000001E-2</v>
      </c>
      <c r="M99">
        <v>5.3999999999999999E-2</v>
      </c>
      <c r="N99">
        <v>0.15629999999999999</v>
      </c>
      <c r="O99">
        <v>88292.58</v>
      </c>
      <c r="P99">
        <v>133633.20000000001</v>
      </c>
      <c r="Q99">
        <v>0.59</v>
      </c>
      <c r="R99">
        <v>0.65</v>
      </c>
      <c r="S99">
        <v>190.6</v>
      </c>
      <c r="T99">
        <v>9.4</v>
      </c>
      <c r="U99">
        <v>1.25</v>
      </c>
      <c r="V99">
        <v>19.2</v>
      </c>
      <c r="W99">
        <v>817.7</v>
      </c>
      <c r="X99">
        <v>0.13</v>
      </c>
      <c r="Y99">
        <v>191.2</v>
      </c>
      <c r="Z99">
        <v>43.6</v>
      </c>
      <c r="AA99">
        <v>234.8</v>
      </c>
      <c r="AB99">
        <v>166.4</v>
      </c>
      <c r="AC99">
        <v>8.1</v>
      </c>
      <c r="AD99">
        <v>1.0900000000000001</v>
      </c>
      <c r="AE99">
        <v>17</v>
      </c>
      <c r="AF99">
        <v>716.5</v>
      </c>
      <c r="AG99">
        <v>0.12</v>
      </c>
      <c r="AH99">
        <v>167</v>
      </c>
      <c r="AI99">
        <v>38.4</v>
      </c>
      <c r="AJ99">
        <v>205.4</v>
      </c>
      <c r="AK99">
        <v>308</v>
      </c>
      <c r="AL99">
        <v>15</v>
      </c>
      <c r="AM99">
        <v>2.0099999999999998</v>
      </c>
      <c r="AN99">
        <v>28.1</v>
      </c>
      <c r="AO99">
        <v>1316.8</v>
      </c>
      <c r="AP99">
        <v>0.14000000000000001</v>
      </c>
      <c r="AQ99">
        <v>309</v>
      </c>
      <c r="AR99">
        <v>67.400000000000006</v>
      </c>
      <c r="AS99">
        <v>376.4</v>
      </c>
      <c r="AT99">
        <v>533</v>
      </c>
      <c r="AU99">
        <v>36.700000000000003</v>
      </c>
      <c r="AV99">
        <v>5.17</v>
      </c>
      <c r="AW99">
        <v>40</v>
      </c>
      <c r="AX99">
        <v>1897.1</v>
      </c>
      <c r="AY99">
        <v>0.3</v>
      </c>
      <c r="AZ99">
        <v>535.5</v>
      </c>
      <c r="BA99">
        <v>96.6</v>
      </c>
      <c r="BB99">
        <v>632.1</v>
      </c>
      <c r="BC99">
        <v>84068647.5</v>
      </c>
      <c r="BD99">
        <v>4129</v>
      </c>
      <c r="BE99">
        <v>551.20000000000005</v>
      </c>
      <c r="BF99">
        <v>8480721.4000000004</v>
      </c>
      <c r="BG99">
        <v>361118.3</v>
      </c>
      <c r="BH99">
        <v>57.2</v>
      </c>
      <c r="BI99">
        <v>84342180.799999997</v>
      </c>
      <c r="BJ99">
        <v>19257664.199999999</v>
      </c>
      <c r="BK99">
        <v>103599845</v>
      </c>
      <c r="BL99">
        <v>0</v>
      </c>
      <c r="BM99">
        <v>21.28</v>
      </c>
      <c r="BN99">
        <v>16.79</v>
      </c>
      <c r="BO99">
        <v>0</v>
      </c>
      <c r="BP99">
        <v>38.07</v>
      </c>
      <c r="BQ99">
        <v>22.89</v>
      </c>
      <c r="BR99">
        <v>18.96</v>
      </c>
      <c r="BS99">
        <v>0</v>
      </c>
      <c r="BT99">
        <v>41.85</v>
      </c>
      <c r="BU99">
        <v>445515700</v>
      </c>
      <c r="BV99">
        <v>142627140</v>
      </c>
      <c r="BW99">
        <v>21914142</v>
      </c>
      <c r="BX99">
        <v>1192581.8</v>
      </c>
      <c r="BY99">
        <v>0</v>
      </c>
      <c r="BZ99">
        <v>0</v>
      </c>
      <c r="CA99">
        <v>26011304</v>
      </c>
      <c r="CB99">
        <v>0</v>
      </c>
      <c r="CC99">
        <v>0</v>
      </c>
      <c r="CD99">
        <v>14449515</v>
      </c>
      <c r="CE99">
        <v>156273630</v>
      </c>
      <c r="CF99">
        <v>0</v>
      </c>
      <c r="CG99">
        <v>1394751.9</v>
      </c>
      <c r="CH99">
        <v>0</v>
      </c>
      <c r="CI99">
        <v>2938283.2</v>
      </c>
      <c r="CJ99">
        <v>93155496</v>
      </c>
      <c r="CK99">
        <v>8425.6</v>
      </c>
      <c r="CL99">
        <v>0</v>
      </c>
      <c r="CM99">
        <v>0</v>
      </c>
      <c r="CN99">
        <v>79442610</v>
      </c>
      <c r="CO99">
        <v>48668228</v>
      </c>
      <c r="CP99">
        <v>66774.100000000006</v>
      </c>
      <c r="CQ99">
        <v>15607.1</v>
      </c>
      <c r="CR99">
        <v>312</v>
      </c>
      <c r="CS99">
        <v>0</v>
      </c>
      <c r="CT99">
        <v>28690</v>
      </c>
      <c r="CU99">
        <v>0</v>
      </c>
      <c r="CV99">
        <v>0</v>
      </c>
      <c r="CW99">
        <v>10505</v>
      </c>
      <c r="CX99">
        <v>30999.200000000001</v>
      </c>
      <c r="CY99">
        <v>0</v>
      </c>
      <c r="CZ99">
        <v>26121.3</v>
      </c>
      <c r="DA99">
        <v>0</v>
      </c>
      <c r="DB99">
        <v>901.4</v>
      </c>
      <c r="DC99">
        <v>12640.4</v>
      </c>
      <c r="DD99">
        <v>758.6</v>
      </c>
      <c r="DE99">
        <v>0</v>
      </c>
      <c r="DF99">
        <v>0</v>
      </c>
      <c r="DG99">
        <v>35705.4</v>
      </c>
      <c r="DH99">
        <v>21</v>
      </c>
      <c r="DI99">
        <v>14721.8</v>
      </c>
      <c r="DJ99">
        <v>67034.5</v>
      </c>
      <c r="DK99">
        <v>0</v>
      </c>
      <c r="DL99">
        <v>0</v>
      </c>
      <c r="DM99">
        <v>0</v>
      </c>
    </row>
    <row r="100" spans="1:117" x14ac:dyDescent="0.3">
      <c r="A100" t="s">
        <v>165</v>
      </c>
      <c r="B100">
        <v>2040</v>
      </c>
      <c r="C100">
        <v>612946100</v>
      </c>
      <c r="D100">
        <v>57893388</v>
      </c>
      <c r="E100">
        <v>0</v>
      </c>
      <c r="F100">
        <v>10605606.1</v>
      </c>
      <c r="G100">
        <v>681445100.79999995</v>
      </c>
      <c r="H100">
        <v>590909795.20000005</v>
      </c>
      <c r="I100">
        <v>420874885.80000001</v>
      </c>
      <c r="J100">
        <v>679089600</v>
      </c>
      <c r="K100">
        <v>573576400</v>
      </c>
      <c r="L100">
        <v>3.5900000000000001E-2</v>
      </c>
      <c r="M100">
        <v>5.3999999999999999E-2</v>
      </c>
      <c r="N100">
        <v>0.15579999999999999</v>
      </c>
      <c r="O100">
        <v>84641.88</v>
      </c>
      <c r="P100">
        <v>146130.79999999999</v>
      </c>
      <c r="Q100">
        <v>0.7</v>
      </c>
      <c r="R100">
        <v>0.72</v>
      </c>
      <c r="S100">
        <v>126.7</v>
      </c>
      <c r="T100">
        <v>5.0999999999999996</v>
      </c>
      <c r="U100">
        <v>0.65</v>
      </c>
      <c r="V100">
        <v>14</v>
      </c>
      <c r="W100">
        <v>580.9</v>
      </c>
      <c r="X100">
        <v>0.09</v>
      </c>
      <c r="Y100">
        <v>127</v>
      </c>
      <c r="Z100">
        <v>31.3</v>
      </c>
      <c r="AA100">
        <v>158.30000000000001</v>
      </c>
      <c r="AB100">
        <v>126.3</v>
      </c>
      <c r="AC100">
        <v>5.2</v>
      </c>
      <c r="AD100">
        <v>0.67</v>
      </c>
      <c r="AE100">
        <v>14</v>
      </c>
      <c r="AF100">
        <v>575.6</v>
      </c>
      <c r="AG100">
        <v>0.09</v>
      </c>
      <c r="AH100">
        <v>126.7</v>
      </c>
      <c r="AI100">
        <v>31.2</v>
      </c>
      <c r="AJ100">
        <v>157.80000000000001</v>
      </c>
      <c r="AK100">
        <v>309.3</v>
      </c>
      <c r="AL100">
        <v>17.2</v>
      </c>
      <c r="AM100">
        <v>2.33</v>
      </c>
      <c r="AN100">
        <v>26.4</v>
      </c>
      <c r="AO100">
        <v>1257.3</v>
      </c>
      <c r="AP100">
        <v>0.15</v>
      </c>
      <c r="AQ100">
        <v>310.5</v>
      </c>
      <c r="AR100">
        <v>63.9</v>
      </c>
      <c r="AS100">
        <v>374.4</v>
      </c>
      <c r="AT100">
        <v>470.1</v>
      </c>
      <c r="AU100">
        <v>29.4</v>
      </c>
      <c r="AV100">
        <v>4.09</v>
      </c>
      <c r="AW100">
        <v>37.9</v>
      </c>
      <c r="AX100">
        <v>1776</v>
      </c>
      <c r="AY100">
        <v>0.25</v>
      </c>
      <c r="AZ100">
        <v>472.1</v>
      </c>
      <c r="BA100">
        <v>90.9</v>
      </c>
      <c r="BB100">
        <v>563</v>
      </c>
      <c r="BC100">
        <v>72008900.400000006</v>
      </c>
      <c r="BD100">
        <v>2863.6</v>
      </c>
      <c r="BE100">
        <v>368.3</v>
      </c>
      <c r="BF100">
        <v>7974950.0999999996</v>
      </c>
      <c r="BG100">
        <v>330868.59999999998</v>
      </c>
      <c r="BH100">
        <v>50.9</v>
      </c>
      <c r="BI100">
        <v>72194778.099999994</v>
      </c>
      <c r="BJ100">
        <v>17848739.199999999</v>
      </c>
      <c r="BK100">
        <v>90043517.299999997</v>
      </c>
      <c r="BL100">
        <v>0</v>
      </c>
      <c r="BM100">
        <v>18.54</v>
      </c>
      <c r="BN100">
        <v>15.23</v>
      </c>
      <c r="BO100">
        <v>0</v>
      </c>
      <c r="BP100">
        <v>33.770000000000003</v>
      </c>
      <c r="BQ100">
        <v>20.46</v>
      </c>
      <c r="BR100">
        <v>17.989999999999998</v>
      </c>
      <c r="BS100">
        <v>0</v>
      </c>
      <c r="BT100">
        <v>38.450000000000003</v>
      </c>
      <c r="BU100">
        <v>575107000</v>
      </c>
      <c r="BV100">
        <v>260570200</v>
      </c>
      <c r="BW100">
        <v>49491244</v>
      </c>
      <c r="BX100">
        <v>1055101.1000000001</v>
      </c>
      <c r="BY100">
        <v>0</v>
      </c>
      <c r="BZ100">
        <v>0</v>
      </c>
      <c r="CA100">
        <v>15635395</v>
      </c>
      <c r="CB100">
        <v>0</v>
      </c>
      <c r="CC100">
        <v>0</v>
      </c>
      <c r="CD100">
        <v>16928448</v>
      </c>
      <c r="CE100">
        <v>152435600</v>
      </c>
      <c r="CF100">
        <v>0</v>
      </c>
      <c r="CG100">
        <v>1699745.2</v>
      </c>
      <c r="CH100">
        <v>0</v>
      </c>
      <c r="CI100">
        <v>2769008.2</v>
      </c>
      <c r="CJ100">
        <v>91441060</v>
      </c>
      <c r="CK100">
        <v>9611.9</v>
      </c>
      <c r="CL100">
        <v>0</v>
      </c>
      <c r="CM100">
        <v>0</v>
      </c>
      <c r="CN100">
        <v>188630640</v>
      </c>
      <c r="CO100">
        <v>54945336</v>
      </c>
      <c r="CP100">
        <v>65792.800000000003</v>
      </c>
      <c r="CQ100">
        <v>28322.799999999999</v>
      </c>
      <c r="CR100">
        <v>304.8</v>
      </c>
      <c r="CS100">
        <v>0</v>
      </c>
      <c r="CT100">
        <v>27253.200000000001</v>
      </c>
      <c r="CU100">
        <v>0</v>
      </c>
      <c r="CV100">
        <v>0</v>
      </c>
      <c r="CW100">
        <v>12739.9</v>
      </c>
      <c r="CX100">
        <v>30999.200000000001</v>
      </c>
      <c r="CY100">
        <v>0</v>
      </c>
      <c r="CZ100">
        <v>26335.9</v>
      </c>
      <c r="DA100">
        <v>0</v>
      </c>
      <c r="DB100">
        <v>901.4</v>
      </c>
      <c r="DC100">
        <v>12640.4</v>
      </c>
      <c r="DD100">
        <v>742.1</v>
      </c>
      <c r="DE100">
        <v>0</v>
      </c>
      <c r="DF100">
        <v>0</v>
      </c>
      <c r="DG100">
        <v>85053.2</v>
      </c>
      <c r="DH100">
        <v>21</v>
      </c>
      <c r="DI100">
        <v>15447</v>
      </c>
      <c r="DJ100">
        <v>156338</v>
      </c>
      <c r="DK100">
        <v>0</v>
      </c>
      <c r="DL100">
        <v>0</v>
      </c>
      <c r="DM100">
        <v>0</v>
      </c>
    </row>
    <row r="101" spans="1:117" x14ac:dyDescent="0.3">
      <c r="A101" t="s">
        <v>165</v>
      </c>
      <c r="B101">
        <v>2045</v>
      </c>
      <c r="C101">
        <v>647368060</v>
      </c>
      <c r="D101">
        <v>55726988</v>
      </c>
      <c r="E101">
        <v>0</v>
      </c>
      <c r="F101">
        <v>11634205.800000001</v>
      </c>
      <c r="G101">
        <v>714729230</v>
      </c>
      <c r="H101">
        <v>624094048.5</v>
      </c>
      <c r="I101">
        <v>431014624.89999998</v>
      </c>
      <c r="J101">
        <v>730779000</v>
      </c>
      <c r="K101">
        <v>611181630</v>
      </c>
      <c r="L101">
        <v>3.5900000000000001E-2</v>
      </c>
      <c r="M101">
        <v>5.3999999999999999E-2</v>
      </c>
      <c r="N101">
        <v>0.15590000000000001</v>
      </c>
      <c r="O101">
        <v>86608.3</v>
      </c>
      <c r="P101">
        <v>156049.5</v>
      </c>
      <c r="Q101">
        <v>0.72</v>
      </c>
      <c r="R101">
        <v>0.74</v>
      </c>
      <c r="S101">
        <v>124</v>
      </c>
      <c r="T101">
        <v>4.9000000000000004</v>
      </c>
      <c r="U101">
        <v>0.64</v>
      </c>
      <c r="V101">
        <v>13.7</v>
      </c>
      <c r="W101">
        <v>569</v>
      </c>
      <c r="X101">
        <v>0.09</v>
      </c>
      <c r="Y101">
        <v>124.3</v>
      </c>
      <c r="Z101">
        <v>30.7</v>
      </c>
      <c r="AA101">
        <v>154.9</v>
      </c>
      <c r="AB101">
        <v>120.3</v>
      </c>
      <c r="AC101">
        <v>4.9000000000000004</v>
      </c>
      <c r="AD101">
        <v>0.63</v>
      </c>
      <c r="AE101">
        <v>13.3</v>
      </c>
      <c r="AF101">
        <v>549.1</v>
      </c>
      <c r="AG101">
        <v>0.09</v>
      </c>
      <c r="AH101">
        <v>120.6</v>
      </c>
      <c r="AI101">
        <v>29.7</v>
      </c>
      <c r="AJ101">
        <v>150.30000000000001</v>
      </c>
      <c r="AK101">
        <v>281.60000000000002</v>
      </c>
      <c r="AL101">
        <v>13.6</v>
      </c>
      <c r="AM101">
        <v>1.81</v>
      </c>
      <c r="AN101">
        <v>26.2</v>
      </c>
      <c r="AO101">
        <v>1209.8</v>
      </c>
      <c r="AP101">
        <v>0.14000000000000001</v>
      </c>
      <c r="AQ101">
        <v>282.5</v>
      </c>
      <c r="AR101">
        <v>62.3</v>
      </c>
      <c r="AS101">
        <v>344.8</v>
      </c>
      <c r="AT101">
        <v>466.1</v>
      </c>
      <c r="AU101">
        <v>28.6</v>
      </c>
      <c r="AV101">
        <v>3.97</v>
      </c>
      <c r="AW101">
        <v>38.299999999999997</v>
      </c>
      <c r="AX101">
        <v>1781.4</v>
      </c>
      <c r="AY101">
        <v>0.25</v>
      </c>
      <c r="AZ101">
        <v>468</v>
      </c>
      <c r="BA101">
        <v>91.5</v>
      </c>
      <c r="BB101">
        <v>559.5</v>
      </c>
      <c r="BC101">
        <v>72655838.099999994</v>
      </c>
      <c r="BD101">
        <v>2882.2</v>
      </c>
      <c r="BE101">
        <v>370.5</v>
      </c>
      <c r="BF101">
        <v>8042608.2000000002</v>
      </c>
      <c r="BG101">
        <v>334047.59999999998</v>
      </c>
      <c r="BH101">
        <v>51.2</v>
      </c>
      <c r="BI101">
        <v>72842873.599999994</v>
      </c>
      <c r="BJ101">
        <v>18011193.100000001</v>
      </c>
      <c r="BK101">
        <v>90854066.799999997</v>
      </c>
      <c r="BL101">
        <v>0</v>
      </c>
      <c r="BM101">
        <v>18.170000000000002</v>
      </c>
      <c r="BN101">
        <v>15.74</v>
      </c>
      <c r="BO101">
        <v>0.06</v>
      </c>
      <c r="BP101">
        <v>33.97</v>
      </c>
      <c r="BQ101">
        <v>19.97</v>
      </c>
      <c r="BR101">
        <v>18.48</v>
      </c>
      <c r="BS101">
        <v>0.06</v>
      </c>
      <c r="BT101">
        <v>38.51</v>
      </c>
      <c r="BU101">
        <v>594416830</v>
      </c>
      <c r="BV101">
        <v>283714600</v>
      </c>
      <c r="BW101">
        <v>47596612</v>
      </c>
      <c r="BX101">
        <v>1038482.8</v>
      </c>
      <c r="BY101">
        <v>0</v>
      </c>
      <c r="BZ101">
        <v>0</v>
      </c>
      <c r="CA101">
        <v>15849923</v>
      </c>
      <c r="CB101">
        <v>0</v>
      </c>
      <c r="CC101">
        <v>0</v>
      </c>
      <c r="CD101">
        <v>18500606</v>
      </c>
      <c r="CE101">
        <v>145165550</v>
      </c>
      <c r="CF101">
        <v>0</v>
      </c>
      <c r="CG101">
        <v>7120481</v>
      </c>
      <c r="CH101">
        <v>0</v>
      </c>
      <c r="CI101">
        <v>2743768.5</v>
      </c>
      <c r="CJ101">
        <v>91180296</v>
      </c>
      <c r="CK101">
        <v>7125.7</v>
      </c>
      <c r="CL101">
        <v>0</v>
      </c>
      <c r="CM101">
        <v>0</v>
      </c>
      <c r="CN101">
        <v>195671760</v>
      </c>
      <c r="CO101">
        <v>69477260</v>
      </c>
      <c r="CP101">
        <v>64975.5</v>
      </c>
      <c r="CQ101">
        <v>24070.1</v>
      </c>
      <c r="CR101">
        <v>304.8</v>
      </c>
      <c r="CS101">
        <v>0</v>
      </c>
      <c r="CT101">
        <v>21382.400000000001</v>
      </c>
      <c r="CU101">
        <v>0</v>
      </c>
      <c r="CV101">
        <v>0</v>
      </c>
      <c r="CW101">
        <v>14282.2</v>
      </c>
      <c r="CX101">
        <v>26665.200000000001</v>
      </c>
      <c r="CY101">
        <v>0</v>
      </c>
      <c r="CZ101">
        <v>41952.7</v>
      </c>
      <c r="DA101">
        <v>0</v>
      </c>
      <c r="DB101">
        <v>901.4</v>
      </c>
      <c r="DC101">
        <v>12640.4</v>
      </c>
      <c r="DD101">
        <v>673.3</v>
      </c>
      <c r="DE101">
        <v>0</v>
      </c>
      <c r="DF101">
        <v>0</v>
      </c>
      <c r="DG101">
        <v>90841.9</v>
      </c>
      <c r="DH101">
        <v>21</v>
      </c>
      <c r="DI101">
        <v>19215.2</v>
      </c>
      <c r="DJ101">
        <v>150115.29999999999</v>
      </c>
      <c r="DK101">
        <v>0</v>
      </c>
      <c r="DL101">
        <v>0</v>
      </c>
      <c r="DM101">
        <v>0</v>
      </c>
    </row>
    <row r="102" spans="1:117" x14ac:dyDescent="0.3">
      <c r="A102" t="s">
        <v>165</v>
      </c>
      <c r="B102">
        <v>2050</v>
      </c>
      <c r="C102">
        <v>678988600</v>
      </c>
      <c r="D102">
        <v>58893376</v>
      </c>
      <c r="E102">
        <v>0</v>
      </c>
      <c r="F102">
        <v>12364260.199999999</v>
      </c>
      <c r="G102">
        <v>750246255</v>
      </c>
      <c r="H102">
        <v>654577276.60000002</v>
      </c>
      <c r="I102">
        <v>441225266.5</v>
      </c>
      <c r="J102">
        <v>763483260</v>
      </c>
      <c r="K102">
        <v>650322240</v>
      </c>
      <c r="L102">
        <v>3.5900000000000001E-2</v>
      </c>
      <c r="M102">
        <v>5.3999999999999999E-2</v>
      </c>
      <c r="N102">
        <v>0.156</v>
      </c>
      <c r="O102">
        <v>86236.69</v>
      </c>
      <c r="P102">
        <v>164051.29999999999</v>
      </c>
      <c r="Q102">
        <v>0.68</v>
      </c>
      <c r="R102">
        <v>0.72</v>
      </c>
      <c r="S102">
        <v>138.9</v>
      </c>
      <c r="T102">
        <v>4.5999999999999996</v>
      </c>
      <c r="U102">
        <v>0.56000000000000005</v>
      </c>
      <c r="V102">
        <v>15.6</v>
      </c>
      <c r="W102">
        <v>666.9</v>
      </c>
      <c r="X102">
        <v>0.08</v>
      </c>
      <c r="Y102">
        <v>139.19999999999999</v>
      </c>
      <c r="Z102">
        <v>35.5</v>
      </c>
      <c r="AA102">
        <v>174.7</v>
      </c>
      <c r="AB102">
        <v>125.8</v>
      </c>
      <c r="AC102">
        <v>4</v>
      </c>
      <c r="AD102">
        <v>0.49</v>
      </c>
      <c r="AE102">
        <v>13.9</v>
      </c>
      <c r="AF102">
        <v>607.4</v>
      </c>
      <c r="AG102">
        <v>7.0000000000000007E-2</v>
      </c>
      <c r="AH102">
        <v>126.1</v>
      </c>
      <c r="AI102">
        <v>32.1</v>
      </c>
      <c r="AJ102">
        <v>158.1</v>
      </c>
      <c r="AK102">
        <v>256.60000000000002</v>
      </c>
      <c r="AL102">
        <v>9.4</v>
      </c>
      <c r="AM102">
        <v>1.2</v>
      </c>
      <c r="AN102">
        <v>26.8</v>
      </c>
      <c r="AO102">
        <v>1196.0999999999999</v>
      </c>
      <c r="AP102">
        <v>0.13</v>
      </c>
      <c r="AQ102">
        <v>257.2</v>
      </c>
      <c r="AR102">
        <v>62.5</v>
      </c>
      <c r="AS102">
        <v>319.7</v>
      </c>
      <c r="AT102">
        <v>455.8</v>
      </c>
      <c r="AU102">
        <v>24</v>
      </c>
      <c r="AV102">
        <v>3.27</v>
      </c>
      <c r="AW102">
        <v>40.700000000000003</v>
      </c>
      <c r="AX102">
        <v>1869.6</v>
      </c>
      <c r="AY102">
        <v>0.24</v>
      </c>
      <c r="AZ102">
        <v>457.4</v>
      </c>
      <c r="BA102">
        <v>96.5</v>
      </c>
      <c r="BB102">
        <v>553.9</v>
      </c>
      <c r="BC102">
        <v>87209456.5</v>
      </c>
      <c r="BD102">
        <v>2865.9</v>
      </c>
      <c r="BE102">
        <v>353.1</v>
      </c>
      <c r="BF102">
        <v>9823147.1999999993</v>
      </c>
      <c r="BG102">
        <v>418850.9</v>
      </c>
      <c r="BH102">
        <v>52.7</v>
      </c>
      <c r="BI102">
        <v>87391243.400000006</v>
      </c>
      <c r="BJ102">
        <v>22319282.5</v>
      </c>
      <c r="BK102">
        <v>109710525.90000001</v>
      </c>
      <c r="BL102">
        <v>0</v>
      </c>
      <c r="BM102">
        <v>18.489999999999998</v>
      </c>
      <c r="BN102">
        <v>15.68</v>
      </c>
      <c r="BO102">
        <v>7.0000000000000007E-2</v>
      </c>
      <c r="BP102">
        <v>34.229999999999997</v>
      </c>
      <c r="BQ102">
        <v>20.39</v>
      </c>
      <c r="BR102">
        <v>18.43</v>
      </c>
      <c r="BS102">
        <v>7.0000000000000007E-2</v>
      </c>
      <c r="BT102">
        <v>38.89</v>
      </c>
      <c r="BU102">
        <v>636549800</v>
      </c>
      <c r="BV102">
        <v>309021000</v>
      </c>
      <c r="BW102">
        <v>50232028</v>
      </c>
      <c r="BX102">
        <v>1023978.1</v>
      </c>
      <c r="BY102">
        <v>0</v>
      </c>
      <c r="BZ102">
        <v>0</v>
      </c>
      <c r="CA102">
        <v>12590691</v>
      </c>
      <c r="CB102">
        <v>0</v>
      </c>
      <c r="CC102">
        <v>0</v>
      </c>
      <c r="CD102">
        <v>20063226</v>
      </c>
      <c r="CE102">
        <v>171353740</v>
      </c>
      <c r="CF102">
        <v>0</v>
      </c>
      <c r="CG102">
        <v>21307080</v>
      </c>
      <c r="CH102">
        <v>0</v>
      </c>
      <c r="CI102">
        <v>2717223.5</v>
      </c>
      <c r="CJ102">
        <v>68299540</v>
      </c>
      <c r="CK102">
        <v>4560.6000000000004</v>
      </c>
      <c r="CL102">
        <v>0</v>
      </c>
      <c r="CM102">
        <v>0</v>
      </c>
      <c r="CN102">
        <v>210810930</v>
      </c>
      <c r="CO102">
        <v>78082750</v>
      </c>
      <c r="CP102">
        <v>64085.5</v>
      </c>
      <c r="CQ102">
        <v>26994.6</v>
      </c>
      <c r="CR102">
        <v>304.8</v>
      </c>
      <c r="CS102">
        <v>0</v>
      </c>
      <c r="CT102">
        <v>9773.4</v>
      </c>
      <c r="CU102">
        <v>0</v>
      </c>
      <c r="CV102">
        <v>0</v>
      </c>
      <c r="CW102">
        <v>15912.5</v>
      </c>
      <c r="CX102">
        <v>29865.3</v>
      </c>
      <c r="CY102">
        <v>0</v>
      </c>
      <c r="CZ102">
        <v>55902.5</v>
      </c>
      <c r="DA102">
        <v>0</v>
      </c>
      <c r="DB102">
        <v>901.4</v>
      </c>
      <c r="DC102">
        <v>9604.4</v>
      </c>
      <c r="DD102">
        <v>162.30000000000001</v>
      </c>
      <c r="DE102">
        <v>0</v>
      </c>
      <c r="DF102">
        <v>0</v>
      </c>
      <c r="DG102">
        <v>100405.7</v>
      </c>
      <c r="DH102">
        <v>21</v>
      </c>
      <c r="DI102">
        <v>21215.8</v>
      </c>
      <c r="DJ102">
        <v>153884.9</v>
      </c>
      <c r="DK102">
        <v>0</v>
      </c>
      <c r="DL102">
        <v>0</v>
      </c>
      <c r="DM102">
        <v>0</v>
      </c>
    </row>
    <row r="103" spans="1:117" x14ac:dyDescent="0.3">
      <c r="A103" t="s">
        <v>166</v>
      </c>
      <c r="B103">
        <v>2024</v>
      </c>
      <c r="C103">
        <v>80027190</v>
      </c>
      <c r="D103">
        <v>2840.5</v>
      </c>
      <c r="E103">
        <v>488534.4</v>
      </c>
      <c r="F103">
        <v>848365.3</v>
      </c>
      <c r="G103">
        <v>81366929.200000003</v>
      </c>
      <c r="H103">
        <v>77149262</v>
      </c>
      <c r="I103">
        <v>50055169.100000001</v>
      </c>
      <c r="J103">
        <v>45622524</v>
      </c>
      <c r="K103">
        <v>47435296</v>
      </c>
      <c r="L103">
        <v>3.5999999999999997E-2</v>
      </c>
      <c r="M103">
        <v>5.3999999999999999E-2</v>
      </c>
      <c r="N103">
        <v>0.1439</v>
      </c>
      <c r="O103">
        <v>345.08</v>
      </c>
      <c r="P103">
        <v>14192.3</v>
      </c>
      <c r="Q103">
        <v>0.41</v>
      </c>
      <c r="R103">
        <v>0.47</v>
      </c>
      <c r="S103">
        <v>525.20000000000005</v>
      </c>
      <c r="T103">
        <v>55.3</v>
      </c>
      <c r="U103">
        <v>7.99</v>
      </c>
      <c r="V103">
        <v>21</v>
      </c>
      <c r="W103">
        <v>1310.5999999999999</v>
      </c>
      <c r="X103">
        <v>0.26</v>
      </c>
      <c r="Y103">
        <v>529</v>
      </c>
      <c r="Z103">
        <v>60.1</v>
      </c>
      <c r="AA103">
        <v>589.1</v>
      </c>
      <c r="AB103">
        <v>497.7</v>
      </c>
      <c r="AC103">
        <v>52.3</v>
      </c>
      <c r="AD103">
        <v>7.56</v>
      </c>
      <c r="AE103">
        <v>20</v>
      </c>
      <c r="AF103">
        <v>1244.5999999999999</v>
      </c>
      <c r="AG103">
        <v>0.24</v>
      </c>
      <c r="AH103">
        <v>501.3</v>
      </c>
      <c r="AI103">
        <v>57.2</v>
      </c>
      <c r="AJ103">
        <v>558.5</v>
      </c>
      <c r="AK103">
        <v>323.89999999999998</v>
      </c>
      <c r="AL103">
        <v>17.100000000000001</v>
      </c>
      <c r="AM103">
        <v>2.31</v>
      </c>
      <c r="AN103">
        <v>28.3</v>
      </c>
      <c r="AO103">
        <v>1345.1</v>
      </c>
      <c r="AP103">
        <v>0.15</v>
      </c>
      <c r="AQ103">
        <v>325</v>
      </c>
      <c r="AR103">
        <v>68.5</v>
      </c>
      <c r="AS103">
        <v>393.5</v>
      </c>
      <c r="AT103">
        <v>758.1</v>
      </c>
      <c r="AU103">
        <v>64.8</v>
      </c>
      <c r="AV103">
        <v>9.26</v>
      </c>
      <c r="AW103">
        <v>44.5</v>
      </c>
      <c r="AX103">
        <v>2333.8000000000002</v>
      </c>
      <c r="AY103">
        <v>0.39</v>
      </c>
      <c r="AZ103">
        <v>762.6</v>
      </c>
      <c r="BA103">
        <v>114.1</v>
      </c>
      <c r="BB103">
        <v>876.7</v>
      </c>
      <c r="BC103">
        <v>43392271.299999997</v>
      </c>
      <c r="BD103">
        <v>4565.8999999999996</v>
      </c>
      <c r="BE103">
        <v>660.3</v>
      </c>
      <c r="BF103">
        <v>1734149.6</v>
      </c>
      <c r="BG103">
        <v>108259.8</v>
      </c>
      <c r="BH103">
        <v>21.3</v>
      </c>
      <c r="BI103">
        <v>43708598.399999999</v>
      </c>
      <c r="BJ103">
        <v>4966102.0999999996</v>
      </c>
      <c r="BK103">
        <v>48674700.5</v>
      </c>
      <c r="BL103">
        <v>0</v>
      </c>
      <c r="BM103">
        <v>27.66</v>
      </c>
      <c r="BN103">
        <v>0.06</v>
      </c>
      <c r="BO103">
        <v>0</v>
      </c>
      <c r="BP103">
        <v>27.71</v>
      </c>
      <c r="BQ103">
        <v>29.36</v>
      </c>
      <c r="BR103">
        <v>0.06</v>
      </c>
      <c r="BS103">
        <v>0</v>
      </c>
      <c r="BT103">
        <v>29.42</v>
      </c>
      <c r="BU103">
        <v>83213736</v>
      </c>
      <c r="BV103">
        <v>31311760</v>
      </c>
      <c r="BW103">
        <v>2403.9</v>
      </c>
      <c r="BX103">
        <v>190174</v>
      </c>
      <c r="BY103">
        <v>0</v>
      </c>
      <c r="BZ103">
        <v>0</v>
      </c>
      <c r="CA103">
        <v>37376744</v>
      </c>
      <c r="CB103">
        <v>0</v>
      </c>
      <c r="CC103">
        <v>0</v>
      </c>
      <c r="CD103">
        <v>1469627</v>
      </c>
      <c r="CE103">
        <v>11313681</v>
      </c>
      <c r="CF103">
        <v>0</v>
      </c>
      <c r="CG103">
        <v>1825</v>
      </c>
      <c r="CH103">
        <v>0</v>
      </c>
      <c r="CI103">
        <v>2623418</v>
      </c>
      <c r="CJ103">
        <v>0</v>
      </c>
      <c r="CK103">
        <v>258.3</v>
      </c>
      <c r="CL103">
        <v>393470.5</v>
      </c>
      <c r="CM103">
        <v>0</v>
      </c>
      <c r="CN103">
        <v>4391109</v>
      </c>
      <c r="CO103">
        <v>25451024</v>
      </c>
      <c r="CP103">
        <v>0</v>
      </c>
      <c r="CQ103">
        <v>4</v>
      </c>
      <c r="CR103">
        <v>28.7</v>
      </c>
      <c r="CS103">
        <v>0</v>
      </c>
      <c r="CT103">
        <v>6802.3</v>
      </c>
      <c r="CU103">
        <v>0</v>
      </c>
      <c r="CV103">
        <v>0</v>
      </c>
      <c r="CW103">
        <v>893.8</v>
      </c>
      <c r="CX103">
        <v>3315.6</v>
      </c>
      <c r="CY103">
        <v>0</v>
      </c>
      <c r="CZ103">
        <v>1347.5</v>
      </c>
      <c r="DA103">
        <v>0</v>
      </c>
      <c r="DB103">
        <v>980.4</v>
      </c>
      <c r="DC103">
        <v>0</v>
      </c>
      <c r="DD103">
        <v>5</v>
      </c>
      <c r="DE103">
        <v>580.79999999999995</v>
      </c>
      <c r="DF103">
        <v>0</v>
      </c>
      <c r="DG103">
        <v>1719.3</v>
      </c>
      <c r="DH103">
        <v>0</v>
      </c>
      <c r="DI103">
        <v>7771.4</v>
      </c>
      <c r="DJ103">
        <v>8</v>
      </c>
      <c r="DK103">
        <v>5808</v>
      </c>
      <c r="DL103">
        <v>0</v>
      </c>
      <c r="DM103">
        <v>0</v>
      </c>
    </row>
    <row r="104" spans="1:117" x14ac:dyDescent="0.3">
      <c r="A104" t="s">
        <v>166</v>
      </c>
      <c r="B104">
        <v>2026</v>
      </c>
      <c r="C104">
        <v>82103080</v>
      </c>
      <c r="D104">
        <v>6991.8</v>
      </c>
      <c r="E104">
        <v>716117.1</v>
      </c>
      <c r="F104">
        <v>1129934.8</v>
      </c>
      <c r="G104">
        <v>83956123.099999994</v>
      </c>
      <c r="H104">
        <v>79150507</v>
      </c>
      <c r="I104">
        <v>38725861.299999997</v>
      </c>
      <c r="J104">
        <v>57376564</v>
      </c>
      <c r="K104">
        <v>63316180</v>
      </c>
      <c r="L104">
        <v>3.5999999999999997E-2</v>
      </c>
      <c r="M104">
        <v>5.3999999999999999E-2</v>
      </c>
      <c r="N104">
        <v>0.1439</v>
      </c>
      <c r="O104">
        <v>36418.44</v>
      </c>
      <c r="P104">
        <v>14632.4</v>
      </c>
      <c r="Q104">
        <v>0.54</v>
      </c>
      <c r="R104">
        <v>0.6</v>
      </c>
      <c r="S104">
        <v>403.4</v>
      </c>
      <c r="T104">
        <v>42.1</v>
      </c>
      <c r="U104">
        <v>6.09</v>
      </c>
      <c r="V104">
        <v>16.399999999999999</v>
      </c>
      <c r="W104">
        <v>1017.1</v>
      </c>
      <c r="X104">
        <v>0.2</v>
      </c>
      <c r="Y104">
        <v>406.3</v>
      </c>
      <c r="Z104">
        <v>46.8</v>
      </c>
      <c r="AA104">
        <v>453.1</v>
      </c>
      <c r="AB104">
        <v>365.2</v>
      </c>
      <c r="AC104">
        <v>37.9</v>
      </c>
      <c r="AD104">
        <v>5.48</v>
      </c>
      <c r="AE104">
        <v>15.1</v>
      </c>
      <c r="AF104">
        <v>927.6</v>
      </c>
      <c r="AG104">
        <v>0.18</v>
      </c>
      <c r="AH104">
        <v>367.9</v>
      </c>
      <c r="AI104">
        <v>42.8</v>
      </c>
      <c r="AJ104">
        <v>410.7</v>
      </c>
      <c r="AK104">
        <v>260.8</v>
      </c>
      <c r="AL104">
        <v>17.8</v>
      </c>
      <c r="AM104">
        <v>2.48</v>
      </c>
      <c r="AN104">
        <v>19.100000000000001</v>
      </c>
      <c r="AO104">
        <v>954.7</v>
      </c>
      <c r="AP104">
        <v>0.12</v>
      </c>
      <c r="AQ104">
        <v>262</v>
      </c>
      <c r="AR104">
        <v>47.6</v>
      </c>
      <c r="AS104">
        <v>309.7</v>
      </c>
      <c r="AT104">
        <v>666.7</v>
      </c>
      <c r="AU104">
        <v>53.6</v>
      </c>
      <c r="AV104">
        <v>7.61</v>
      </c>
      <c r="AW104">
        <v>42.3</v>
      </c>
      <c r="AX104">
        <v>2166.6</v>
      </c>
      <c r="AY104">
        <v>0.34</v>
      </c>
      <c r="AZ104">
        <v>670.4</v>
      </c>
      <c r="BA104">
        <v>107</v>
      </c>
      <c r="BB104">
        <v>777.4</v>
      </c>
      <c r="BC104">
        <v>36016508.700000003</v>
      </c>
      <c r="BD104">
        <v>3760.9</v>
      </c>
      <c r="BE104">
        <v>543.6</v>
      </c>
      <c r="BF104">
        <v>1466669.2</v>
      </c>
      <c r="BG104">
        <v>90776.3</v>
      </c>
      <c r="BH104">
        <v>17.600000000000001</v>
      </c>
      <c r="BI104">
        <v>36276983.299999997</v>
      </c>
      <c r="BJ104">
        <v>4176621.9</v>
      </c>
      <c r="BK104">
        <v>40453605.200000003</v>
      </c>
      <c r="BL104">
        <v>0</v>
      </c>
      <c r="BM104">
        <v>25.57</v>
      </c>
      <c r="BN104">
        <v>6.25</v>
      </c>
      <c r="BO104">
        <v>0</v>
      </c>
      <c r="BP104">
        <v>31.82</v>
      </c>
      <c r="BQ104">
        <v>27.2</v>
      </c>
      <c r="BR104">
        <v>6.79</v>
      </c>
      <c r="BS104">
        <v>0</v>
      </c>
      <c r="BT104">
        <v>33.979999999999997</v>
      </c>
      <c r="BU104">
        <v>89963400</v>
      </c>
      <c r="BV104">
        <v>45230260</v>
      </c>
      <c r="BW104">
        <v>5921.1</v>
      </c>
      <c r="BX104">
        <v>185117.8</v>
      </c>
      <c r="BY104">
        <v>0</v>
      </c>
      <c r="BZ104">
        <v>0</v>
      </c>
      <c r="CA104">
        <v>31105344</v>
      </c>
      <c r="CB104">
        <v>0</v>
      </c>
      <c r="CC104">
        <v>0</v>
      </c>
      <c r="CD104">
        <v>1841646.4</v>
      </c>
      <c r="CE104">
        <v>10277343</v>
      </c>
      <c r="CF104">
        <v>0</v>
      </c>
      <c r="CG104">
        <v>558.4</v>
      </c>
      <c r="CH104">
        <v>0</v>
      </c>
      <c r="CI104">
        <v>2590111.7999999998</v>
      </c>
      <c r="CJ104">
        <v>0</v>
      </c>
      <c r="CK104">
        <v>88.3</v>
      </c>
      <c r="CL104">
        <v>568656.4</v>
      </c>
      <c r="CM104">
        <v>0</v>
      </c>
      <c r="CN104">
        <v>4330341</v>
      </c>
      <c r="CO104">
        <v>39058276</v>
      </c>
      <c r="CP104">
        <v>0</v>
      </c>
      <c r="CQ104">
        <v>6.8</v>
      </c>
      <c r="CR104">
        <v>28.7</v>
      </c>
      <c r="CS104">
        <v>0</v>
      </c>
      <c r="CT104">
        <v>5929.8</v>
      </c>
      <c r="CU104">
        <v>0</v>
      </c>
      <c r="CV104">
        <v>0</v>
      </c>
      <c r="CW104">
        <v>1123.9000000000001</v>
      </c>
      <c r="CX104">
        <v>3315.6</v>
      </c>
      <c r="CY104">
        <v>0</v>
      </c>
      <c r="CZ104">
        <v>1347.5</v>
      </c>
      <c r="DA104">
        <v>0</v>
      </c>
      <c r="DB104">
        <v>980.4</v>
      </c>
      <c r="DC104">
        <v>0</v>
      </c>
      <c r="DD104">
        <v>5</v>
      </c>
      <c r="DE104">
        <v>580.79999999999995</v>
      </c>
      <c r="DF104">
        <v>0</v>
      </c>
      <c r="DG104">
        <v>1719.5</v>
      </c>
      <c r="DH104">
        <v>0</v>
      </c>
      <c r="DI104">
        <v>11061.1</v>
      </c>
      <c r="DJ104">
        <v>19.399999999999999</v>
      </c>
      <c r="DK104">
        <v>5808</v>
      </c>
      <c r="DL104">
        <v>0</v>
      </c>
      <c r="DM104">
        <v>0</v>
      </c>
    </row>
    <row r="105" spans="1:117" x14ac:dyDescent="0.3">
      <c r="A105" t="s">
        <v>166</v>
      </c>
      <c r="B105">
        <v>2028</v>
      </c>
      <c r="C105">
        <v>84587790</v>
      </c>
      <c r="D105">
        <v>92491.9</v>
      </c>
      <c r="E105">
        <v>1072024.5</v>
      </c>
      <c r="F105">
        <v>1876120.4</v>
      </c>
      <c r="G105">
        <v>87628429.299999997</v>
      </c>
      <c r="H105">
        <v>81545889.700000003</v>
      </c>
      <c r="I105">
        <v>13936803.5</v>
      </c>
      <c r="J105">
        <v>98409624</v>
      </c>
      <c r="K105">
        <v>109305660</v>
      </c>
      <c r="L105">
        <v>3.5999999999999997E-2</v>
      </c>
      <c r="M105">
        <v>5.3999999999999999E-2</v>
      </c>
      <c r="N105">
        <v>0.14399999999999999</v>
      </c>
      <c r="O105">
        <v>56528.95</v>
      </c>
      <c r="P105">
        <v>15222.7</v>
      </c>
      <c r="Q105">
        <v>0.78</v>
      </c>
      <c r="R105">
        <v>0.83</v>
      </c>
      <c r="S105">
        <v>190.1</v>
      </c>
      <c r="T105">
        <v>20</v>
      </c>
      <c r="U105">
        <v>2.89</v>
      </c>
      <c r="V105">
        <v>7.7</v>
      </c>
      <c r="W105">
        <v>475.2</v>
      </c>
      <c r="X105">
        <v>0.09</v>
      </c>
      <c r="Y105">
        <v>191.5</v>
      </c>
      <c r="Z105">
        <v>21.8</v>
      </c>
      <c r="AA105">
        <v>213.3</v>
      </c>
      <c r="AB105">
        <v>153.6</v>
      </c>
      <c r="AC105">
        <v>15.9</v>
      </c>
      <c r="AD105">
        <v>2.29</v>
      </c>
      <c r="AE105">
        <v>6.5</v>
      </c>
      <c r="AF105">
        <v>392</v>
      </c>
      <c r="AG105">
        <v>0.08</v>
      </c>
      <c r="AH105">
        <v>154.69999999999999</v>
      </c>
      <c r="AI105">
        <v>18.2</v>
      </c>
      <c r="AJ105">
        <v>172.8</v>
      </c>
      <c r="AK105">
        <v>184.1</v>
      </c>
      <c r="AL105">
        <v>14.9</v>
      </c>
      <c r="AM105">
        <v>2.11</v>
      </c>
      <c r="AN105">
        <v>11.4</v>
      </c>
      <c r="AO105">
        <v>601.29999999999995</v>
      </c>
      <c r="AP105">
        <v>0.09</v>
      </c>
      <c r="AQ105">
        <v>185.1</v>
      </c>
      <c r="AR105">
        <v>29.4</v>
      </c>
      <c r="AS105">
        <v>214.5</v>
      </c>
      <c r="AT105">
        <v>588.79999999999995</v>
      </c>
      <c r="AU105">
        <v>51.2</v>
      </c>
      <c r="AV105">
        <v>7.32</v>
      </c>
      <c r="AW105">
        <v>34</v>
      </c>
      <c r="AX105">
        <v>1791.1</v>
      </c>
      <c r="AY105">
        <v>0.3</v>
      </c>
      <c r="AZ105">
        <v>592.29999999999995</v>
      </c>
      <c r="BA105">
        <v>87.5</v>
      </c>
      <c r="BB105">
        <v>679.8</v>
      </c>
      <c r="BC105">
        <v>18538084.300000001</v>
      </c>
      <c r="BD105">
        <v>1949</v>
      </c>
      <c r="BE105">
        <v>281.8</v>
      </c>
      <c r="BF105">
        <v>745494.2</v>
      </c>
      <c r="BG105">
        <v>46306.1</v>
      </c>
      <c r="BH105">
        <v>9.1</v>
      </c>
      <c r="BI105">
        <v>18673109.399999999</v>
      </c>
      <c r="BJ105">
        <v>2127901.2999999998</v>
      </c>
      <c r="BK105">
        <v>20801010.699999999</v>
      </c>
      <c r="BL105">
        <v>0</v>
      </c>
      <c r="BM105">
        <v>19.41</v>
      </c>
      <c r="BN105">
        <v>8.7799999999999994</v>
      </c>
      <c r="BO105">
        <v>0</v>
      </c>
      <c r="BP105">
        <v>28.19</v>
      </c>
      <c r="BQ105">
        <v>20.75</v>
      </c>
      <c r="BR105">
        <v>9.57</v>
      </c>
      <c r="BS105">
        <v>0</v>
      </c>
      <c r="BT105">
        <v>30.32</v>
      </c>
      <c r="BU105">
        <v>98631010</v>
      </c>
      <c r="BV105">
        <v>73691624</v>
      </c>
      <c r="BW105">
        <v>78781.2</v>
      </c>
      <c r="BX105">
        <v>172774.6</v>
      </c>
      <c r="BY105">
        <v>0</v>
      </c>
      <c r="BZ105">
        <v>0</v>
      </c>
      <c r="CA105">
        <v>16236067</v>
      </c>
      <c r="CB105">
        <v>0</v>
      </c>
      <c r="CC105">
        <v>0</v>
      </c>
      <c r="CD105">
        <v>2283432.2000000002</v>
      </c>
      <c r="CE105">
        <v>5148881.5</v>
      </c>
      <c r="CF105">
        <v>0</v>
      </c>
      <c r="CG105">
        <v>0</v>
      </c>
      <c r="CH105">
        <v>0</v>
      </c>
      <c r="CI105">
        <v>2428877</v>
      </c>
      <c r="CJ105">
        <v>0</v>
      </c>
      <c r="CK105">
        <v>2.4</v>
      </c>
      <c r="CL105">
        <v>873998.4</v>
      </c>
      <c r="CM105">
        <v>0</v>
      </c>
      <c r="CN105">
        <v>7356133.5</v>
      </c>
      <c r="CO105">
        <v>64052056</v>
      </c>
      <c r="CP105">
        <v>0</v>
      </c>
      <c r="CQ105">
        <v>66.599999999999994</v>
      </c>
      <c r="CR105">
        <v>28.7</v>
      </c>
      <c r="CS105">
        <v>0</v>
      </c>
      <c r="CT105">
        <v>4858.8</v>
      </c>
      <c r="CU105">
        <v>0</v>
      </c>
      <c r="CV105">
        <v>0</v>
      </c>
      <c r="CW105">
        <v>1416.5</v>
      </c>
      <c r="CX105">
        <v>3315.6</v>
      </c>
      <c r="CY105">
        <v>0</v>
      </c>
      <c r="CZ105">
        <v>1347.5</v>
      </c>
      <c r="DA105">
        <v>0</v>
      </c>
      <c r="DB105">
        <v>980.4</v>
      </c>
      <c r="DC105">
        <v>0</v>
      </c>
      <c r="DD105">
        <v>5</v>
      </c>
      <c r="DE105">
        <v>580.79999999999995</v>
      </c>
      <c r="DF105">
        <v>0</v>
      </c>
      <c r="DG105">
        <v>2865.6</v>
      </c>
      <c r="DH105">
        <v>0</v>
      </c>
      <c r="DI105">
        <v>17300.8</v>
      </c>
      <c r="DJ105">
        <v>268.89999999999998</v>
      </c>
      <c r="DK105">
        <v>5808</v>
      </c>
      <c r="DL105">
        <v>0</v>
      </c>
      <c r="DM105">
        <v>0</v>
      </c>
    </row>
    <row r="106" spans="1:117" x14ac:dyDescent="0.3">
      <c r="A106" t="s">
        <v>166</v>
      </c>
      <c r="B106">
        <v>2030</v>
      </c>
      <c r="C106">
        <v>87458930</v>
      </c>
      <c r="D106">
        <v>532500.4</v>
      </c>
      <c r="E106">
        <v>1249274.8</v>
      </c>
      <c r="F106">
        <v>2020529.1</v>
      </c>
      <c r="G106">
        <v>91261234</v>
      </c>
      <c r="H106">
        <v>84313816.5</v>
      </c>
      <c r="I106">
        <v>-14395170.4</v>
      </c>
      <c r="J106">
        <v>100202320</v>
      </c>
      <c r="K106">
        <v>128736560</v>
      </c>
      <c r="L106">
        <v>3.5999999999999997E-2</v>
      </c>
      <c r="M106">
        <v>5.3999999999999999E-2</v>
      </c>
      <c r="N106">
        <v>0.14399999999999999</v>
      </c>
      <c r="O106">
        <v>61633.17</v>
      </c>
      <c r="P106">
        <v>15969</v>
      </c>
      <c r="Q106">
        <v>0.91</v>
      </c>
      <c r="R106">
        <v>0.92</v>
      </c>
      <c r="S106">
        <v>77.3</v>
      </c>
      <c r="T106">
        <v>8.1999999999999993</v>
      </c>
      <c r="U106">
        <v>1.19</v>
      </c>
      <c r="V106">
        <v>3</v>
      </c>
      <c r="W106">
        <v>189.7</v>
      </c>
      <c r="X106">
        <v>0.04</v>
      </c>
      <c r="Y106">
        <v>77.900000000000006</v>
      </c>
      <c r="Z106">
        <v>8.6999999999999993</v>
      </c>
      <c r="AA106">
        <v>86.6</v>
      </c>
      <c r="AB106">
        <v>68.900000000000006</v>
      </c>
      <c r="AC106">
        <v>7.2</v>
      </c>
      <c r="AD106">
        <v>1.04</v>
      </c>
      <c r="AE106">
        <v>2.8</v>
      </c>
      <c r="AF106">
        <v>173.3</v>
      </c>
      <c r="AG106">
        <v>0.03</v>
      </c>
      <c r="AH106">
        <v>69.400000000000006</v>
      </c>
      <c r="AI106">
        <v>8</v>
      </c>
      <c r="AJ106">
        <v>77.400000000000006</v>
      </c>
      <c r="AK106">
        <v>130</v>
      </c>
      <c r="AL106">
        <v>9.1</v>
      </c>
      <c r="AM106">
        <v>1.27</v>
      </c>
      <c r="AN106">
        <v>9.4</v>
      </c>
      <c r="AO106">
        <v>468.8</v>
      </c>
      <c r="AP106">
        <v>0.06</v>
      </c>
      <c r="AQ106">
        <v>130.6</v>
      </c>
      <c r="AR106">
        <v>23.4</v>
      </c>
      <c r="AS106">
        <v>154</v>
      </c>
      <c r="AT106">
        <v>440.6</v>
      </c>
      <c r="AU106">
        <v>39.5</v>
      </c>
      <c r="AV106">
        <v>5.65</v>
      </c>
      <c r="AW106">
        <v>24.6</v>
      </c>
      <c r="AX106">
        <v>1309.4000000000001</v>
      </c>
      <c r="AY106">
        <v>0.23</v>
      </c>
      <c r="AZ106">
        <v>443.3</v>
      </c>
      <c r="BA106">
        <v>63.7</v>
      </c>
      <c r="BB106">
        <v>507</v>
      </c>
      <c r="BC106">
        <v>9124417.6999999993</v>
      </c>
      <c r="BD106">
        <v>972.4</v>
      </c>
      <c r="BE106">
        <v>140.69999999999999</v>
      </c>
      <c r="BF106">
        <v>355770.1</v>
      </c>
      <c r="BG106">
        <v>22378.9</v>
      </c>
      <c r="BH106">
        <v>4.5</v>
      </c>
      <c r="BI106">
        <v>9191817.1999999993</v>
      </c>
      <c r="BJ106">
        <v>1023886.5</v>
      </c>
      <c r="BK106">
        <v>10215703.699999999</v>
      </c>
      <c r="BL106">
        <v>0</v>
      </c>
      <c r="BM106">
        <v>14.34</v>
      </c>
      <c r="BN106">
        <v>8.83</v>
      </c>
      <c r="BO106">
        <v>0</v>
      </c>
      <c r="BP106">
        <v>23.18</v>
      </c>
      <c r="BQ106">
        <v>15.43</v>
      </c>
      <c r="BR106">
        <v>9.64</v>
      </c>
      <c r="BS106">
        <v>0</v>
      </c>
      <c r="BT106">
        <v>25.07</v>
      </c>
      <c r="BU106">
        <v>119986320</v>
      </c>
      <c r="BV106">
        <v>105656410</v>
      </c>
      <c r="BW106">
        <v>454503</v>
      </c>
      <c r="BX106">
        <v>111322.8</v>
      </c>
      <c r="BY106">
        <v>0</v>
      </c>
      <c r="BZ106">
        <v>0</v>
      </c>
      <c r="CA106">
        <v>8265769.5</v>
      </c>
      <c r="CB106">
        <v>0</v>
      </c>
      <c r="CC106">
        <v>0</v>
      </c>
      <c r="CD106">
        <v>2837223.8</v>
      </c>
      <c r="CE106">
        <v>2229094.2000000002</v>
      </c>
      <c r="CF106">
        <v>0</v>
      </c>
      <c r="CG106">
        <v>269.39999999999998</v>
      </c>
      <c r="CH106">
        <v>0</v>
      </c>
      <c r="CI106">
        <v>2260124.7999999998</v>
      </c>
      <c r="CJ106">
        <v>0</v>
      </c>
      <c r="CK106">
        <v>0</v>
      </c>
      <c r="CL106">
        <v>1008831.9</v>
      </c>
      <c r="CM106">
        <v>0</v>
      </c>
      <c r="CN106">
        <v>12516185</v>
      </c>
      <c r="CO106">
        <v>90302990</v>
      </c>
      <c r="CP106">
        <v>0</v>
      </c>
      <c r="CQ106">
        <v>309.39999999999998</v>
      </c>
      <c r="CR106">
        <v>23.9</v>
      </c>
      <c r="CS106">
        <v>0</v>
      </c>
      <c r="CT106">
        <v>3922.7</v>
      </c>
      <c r="CU106">
        <v>0</v>
      </c>
      <c r="CV106">
        <v>0</v>
      </c>
      <c r="CW106">
        <v>1790.1</v>
      </c>
      <c r="CX106">
        <v>3315.6</v>
      </c>
      <c r="CY106">
        <v>0</v>
      </c>
      <c r="CZ106">
        <v>1344</v>
      </c>
      <c r="DA106">
        <v>0</v>
      </c>
      <c r="DB106">
        <v>980.4</v>
      </c>
      <c r="DC106">
        <v>0</v>
      </c>
      <c r="DD106">
        <v>1</v>
      </c>
      <c r="DE106">
        <v>580.79999999999995</v>
      </c>
      <c r="DF106">
        <v>0</v>
      </c>
      <c r="DG106">
        <v>4912.6000000000004</v>
      </c>
      <c r="DH106">
        <v>0</v>
      </c>
      <c r="DI106">
        <v>24759.200000000001</v>
      </c>
      <c r="DJ106">
        <v>1241.5</v>
      </c>
      <c r="DK106">
        <v>5808</v>
      </c>
      <c r="DL106">
        <v>0</v>
      </c>
      <c r="DM106">
        <v>0</v>
      </c>
    </row>
    <row r="107" spans="1:117" x14ac:dyDescent="0.3">
      <c r="A107" t="s">
        <v>166</v>
      </c>
      <c r="B107">
        <v>2035</v>
      </c>
      <c r="C107">
        <v>95403540</v>
      </c>
      <c r="D107">
        <v>1045486.1</v>
      </c>
      <c r="E107">
        <v>1149054.3999999999</v>
      </c>
      <c r="F107">
        <v>1926167.2</v>
      </c>
      <c r="G107">
        <v>99524247</v>
      </c>
      <c r="H107">
        <v>91972860.299999997</v>
      </c>
      <c r="I107">
        <v>-21521487.699999999</v>
      </c>
      <c r="J107">
        <v>89648870</v>
      </c>
      <c r="K107">
        <v>123951630</v>
      </c>
      <c r="L107">
        <v>3.5900000000000001E-2</v>
      </c>
      <c r="M107">
        <v>5.3999999999999999E-2</v>
      </c>
      <c r="N107">
        <v>0.1439</v>
      </c>
      <c r="O107">
        <v>87375.2</v>
      </c>
      <c r="P107">
        <v>18213.099999999999</v>
      </c>
      <c r="Q107">
        <v>0.93</v>
      </c>
      <c r="R107">
        <v>0.94</v>
      </c>
      <c r="S107">
        <v>63.6</v>
      </c>
      <c r="T107">
        <v>7</v>
      </c>
      <c r="U107">
        <v>1.02</v>
      </c>
      <c r="V107">
        <v>2.2000000000000002</v>
      </c>
      <c r="W107">
        <v>147.4</v>
      </c>
      <c r="X107">
        <v>0.03</v>
      </c>
      <c r="Y107">
        <v>64.099999999999994</v>
      </c>
      <c r="Z107">
        <v>6.6</v>
      </c>
      <c r="AA107">
        <v>70.7</v>
      </c>
      <c r="AB107">
        <v>57.2</v>
      </c>
      <c r="AC107">
        <v>6.3</v>
      </c>
      <c r="AD107">
        <v>0.91</v>
      </c>
      <c r="AE107">
        <v>2.1</v>
      </c>
      <c r="AF107">
        <v>135.1</v>
      </c>
      <c r="AG107">
        <v>0.03</v>
      </c>
      <c r="AH107">
        <v>57.7</v>
      </c>
      <c r="AI107">
        <v>6.1</v>
      </c>
      <c r="AJ107">
        <v>63.8</v>
      </c>
      <c r="AK107">
        <v>118.8</v>
      </c>
      <c r="AL107">
        <v>6.3</v>
      </c>
      <c r="AM107">
        <v>0.85</v>
      </c>
      <c r="AN107">
        <v>10.4</v>
      </c>
      <c r="AO107">
        <v>492.9</v>
      </c>
      <c r="AP107">
        <v>0.06</v>
      </c>
      <c r="AQ107">
        <v>119.3</v>
      </c>
      <c r="AR107">
        <v>25.1</v>
      </c>
      <c r="AS107">
        <v>144.4</v>
      </c>
      <c r="AT107">
        <v>352.9</v>
      </c>
      <c r="AU107">
        <v>31.9</v>
      </c>
      <c r="AV107">
        <v>4.57</v>
      </c>
      <c r="AW107">
        <v>19.5</v>
      </c>
      <c r="AX107">
        <v>1041.3</v>
      </c>
      <c r="AY107">
        <v>0.18</v>
      </c>
      <c r="AZ107">
        <v>355.1</v>
      </c>
      <c r="BA107">
        <v>50.6</v>
      </c>
      <c r="BB107">
        <v>405.7</v>
      </c>
      <c r="BC107">
        <v>8367080.5</v>
      </c>
      <c r="BD107">
        <v>927.9</v>
      </c>
      <c r="BE107">
        <v>134.69999999999999</v>
      </c>
      <c r="BF107">
        <v>293150.8</v>
      </c>
      <c r="BG107">
        <v>19374</v>
      </c>
      <c r="BH107">
        <v>4.0999999999999996</v>
      </c>
      <c r="BI107">
        <v>8431492.5999999996</v>
      </c>
      <c r="BJ107">
        <v>871625.6</v>
      </c>
      <c r="BK107">
        <v>9303118.1999999993</v>
      </c>
      <c r="BL107">
        <v>0</v>
      </c>
      <c r="BM107">
        <v>11.07</v>
      </c>
      <c r="BN107">
        <v>12.93</v>
      </c>
      <c r="BO107">
        <v>0</v>
      </c>
      <c r="BP107">
        <v>24.01</v>
      </c>
      <c r="BQ107">
        <v>11.91</v>
      </c>
      <c r="BR107">
        <v>14.15</v>
      </c>
      <c r="BS107">
        <v>0</v>
      </c>
      <c r="BT107">
        <v>26.06</v>
      </c>
      <c r="BU107">
        <v>134076264</v>
      </c>
      <c r="BV107">
        <v>121045736</v>
      </c>
      <c r="BW107">
        <v>896967</v>
      </c>
      <c r="BX107">
        <v>94662.2</v>
      </c>
      <c r="BY107">
        <v>0</v>
      </c>
      <c r="BZ107">
        <v>0</v>
      </c>
      <c r="CA107">
        <v>7947613.5</v>
      </c>
      <c r="CB107">
        <v>0</v>
      </c>
      <c r="CC107">
        <v>0</v>
      </c>
      <c r="CD107">
        <v>3734357.5</v>
      </c>
      <c r="CE107">
        <v>1046983.2</v>
      </c>
      <c r="CF107">
        <v>0</v>
      </c>
      <c r="CG107">
        <v>1981.2</v>
      </c>
      <c r="CH107">
        <v>0</v>
      </c>
      <c r="CI107">
        <v>2122998.7999999998</v>
      </c>
      <c r="CJ107">
        <v>0</v>
      </c>
      <c r="CK107">
        <v>0</v>
      </c>
      <c r="CL107">
        <v>919324.1</v>
      </c>
      <c r="CM107">
        <v>0</v>
      </c>
      <c r="CN107">
        <v>14111186</v>
      </c>
      <c r="CO107">
        <v>103200190</v>
      </c>
      <c r="CP107">
        <v>0</v>
      </c>
      <c r="CQ107">
        <v>614.29999999999995</v>
      </c>
      <c r="CR107">
        <v>23.9</v>
      </c>
      <c r="CS107">
        <v>0</v>
      </c>
      <c r="CT107">
        <v>3922.7</v>
      </c>
      <c r="CU107">
        <v>0</v>
      </c>
      <c r="CV107">
        <v>0</v>
      </c>
      <c r="CW107">
        <v>2425.1</v>
      </c>
      <c r="CX107">
        <v>3315.6</v>
      </c>
      <c r="CY107">
        <v>0</v>
      </c>
      <c r="CZ107">
        <v>1381.7</v>
      </c>
      <c r="DA107">
        <v>0</v>
      </c>
      <c r="DB107">
        <v>980.4</v>
      </c>
      <c r="DC107">
        <v>0</v>
      </c>
      <c r="DD107">
        <v>0</v>
      </c>
      <c r="DE107">
        <v>580.79999999999995</v>
      </c>
      <c r="DF107">
        <v>0</v>
      </c>
      <c r="DG107">
        <v>5763.5</v>
      </c>
      <c r="DH107">
        <v>0</v>
      </c>
      <c r="DI107">
        <v>29615.5</v>
      </c>
      <c r="DJ107">
        <v>2502</v>
      </c>
      <c r="DK107">
        <v>5808</v>
      </c>
      <c r="DL107">
        <v>0</v>
      </c>
      <c r="DM107">
        <v>0</v>
      </c>
    </row>
    <row r="108" spans="1:117" x14ac:dyDescent="0.3">
      <c r="A108" t="s">
        <v>166</v>
      </c>
      <c r="B108">
        <v>2040</v>
      </c>
      <c r="C108">
        <v>104843496</v>
      </c>
      <c r="D108">
        <v>1457397.2</v>
      </c>
      <c r="E108">
        <v>1014108.7</v>
      </c>
      <c r="F108">
        <v>2017018.5</v>
      </c>
      <c r="G108">
        <v>109332019.8</v>
      </c>
      <c r="H108">
        <v>101073466.09999999</v>
      </c>
      <c r="I108">
        <v>-20333817</v>
      </c>
      <c r="J108">
        <v>96005000</v>
      </c>
      <c r="K108">
        <v>126794820</v>
      </c>
      <c r="L108">
        <v>3.5900000000000001E-2</v>
      </c>
      <c r="M108">
        <v>5.3999999999999999E-2</v>
      </c>
      <c r="N108">
        <v>0.1439</v>
      </c>
      <c r="O108">
        <v>86158.03</v>
      </c>
      <c r="P108">
        <v>20779.2</v>
      </c>
      <c r="Q108">
        <v>0.95</v>
      </c>
      <c r="R108">
        <v>0.96</v>
      </c>
      <c r="S108">
        <v>44.2</v>
      </c>
      <c r="T108">
        <v>4.9000000000000004</v>
      </c>
      <c r="U108">
        <v>0.71</v>
      </c>
      <c r="V108">
        <v>1.6</v>
      </c>
      <c r="W108">
        <v>103</v>
      </c>
      <c r="X108">
        <v>0.02</v>
      </c>
      <c r="Y108">
        <v>44.5</v>
      </c>
      <c r="Z108">
        <v>4.5999999999999996</v>
      </c>
      <c r="AA108">
        <v>49.2</v>
      </c>
      <c r="AB108">
        <v>39.200000000000003</v>
      </c>
      <c r="AC108">
        <v>4.3</v>
      </c>
      <c r="AD108">
        <v>0.62</v>
      </c>
      <c r="AE108">
        <v>1.5</v>
      </c>
      <c r="AF108">
        <v>93.2</v>
      </c>
      <c r="AG108">
        <v>0.02</v>
      </c>
      <c r="AH108">
        <v>39.5</v>
      </c>
      <c r="AI108">
        <v>4.2</v>
      </c>
      <c r="AJ108">
        <v>43.8</v>
      </c>
      <c r="AK108">
        <v>130.80000000000001</v>
      </c>
      <c r="AL108">
        <v>6.4</v>
      </c>
      <c r="AM108">
        <v>0.85</v>
      </c>
      <c r="AN108">
        <v>12</v>
      </c>
      <c r="AO108">
        <v>560.6</v>
      </c>
      <c r="AP108">
        <v>0.06</v>
      </c>
      <c r="AQ108">
        <v>131.19999999999999</v>
      </c>
      <c r="AR108">
        <v>28.8</v>
      </c>
      <c r="AS108">
        <v>160</v>
      </c>
      <c r="AT108">
        <v>301.5</v>
      </c>
      <c r="AU108">
        <v>27.2</v>
      </c>
      <c r="AV108">
        <v>3.89</v>
      </c>
      <c r="AW108">
        <v>16.7</v>
      </c>
      <c r="AX108">
        <v>891.3</v>
      </c>
      <c r="AY108">
        <v>0.16</v>
      </c>
      <c r="AZ108">
        <v>303.39999999999998</v>
      </c>
      <c r="BA108">
        <v>43.3</v>
      </c>
      <c r="BB108">
        <v>346.7</v>
      </c>
      <c r="BC108">
        <v>6062193.7999999998</v>
      </c>
      <c r="BD108">
        <v>670.4</v>
      </c>
      <c r="BE108">
        <v>97.3</v>
      </c>
      <c r="BF108">
        <v>214646.1</v>
      </c>
      <c r="BG108">
        <v>14098.3</v>
      </c>
      <c r="BH108">
        <v>3</v>
      </c>
      <c r="BI108">
        <v>6108724.2999999998</v>
      </c>
      <c r="BJ108">
        <v>635596.1</v>
      </c>
      <c r="BK108">
        <v>6744320.4000000004</v>
      </c>
      <c r="BL108">
        <v>0</v>
      </c>
      <c r="BM108">
        <v>9.15</v>
      </c>
      <c r="BN108">
        <v>13.45</v>
      </c>
      <c r="BO108">
        <v>0</v>
      </c>
      <c r="BP108">
        <v>22.59</v>
      </c>
      <c r="BQ108">
        <v>9.84</v>
      </c>
      <c r="BR108">
        <v>14.72</v>
      </c>
      <c r="BS108">
        <v>0</v>
      </c>
      <c r="BT108">
        <v>24.55</v>
      </c>
      <c r="BU108">
        <v>140371260</v>
      </c>
      <c r="BV108">
        <v>129665840</v>
      </c>
      <c r="BW108">
        <v>1246382.1000000001</v>
      </c>
      <c r="BX108">
        <v>83933.4</v>
      </c>
      <c r="BY108">
        <v>0</v>
      </c>
      <c r="BZ108">
        <v>0</v>
      </c>
      <c r="CA108">
        <v>5814429.5</v>
      </c>
      <c r="CB108">
        <v>0</v>
      </c>
      <c r="CC108">
        <v>0</v>
      </c>
      <c r="CD108">
        <v>3995823.5</v>
      </c>
      <c r="CE108">
        <v>818411.9</v>
      </c>
      <c r="CF108">
        <v>0</v>
      </c>
      <c r="CG108">
        <v>2535.8000000000002</v>
      </c>
      <c r="CH108">
        <v>0</v>
      </c>
      <c r="CI108">
        <v>1927136.4</v>
      </c>
      <c r="CJ108">
        <v>0</v>
      </c>
      <c r="CK108">
        <v>0</v>
      </c>
      <c r="CL108">
        <v>812592.7</v>
      </c>
      <c r="CM108">
        <v>0</v>
      </c>
      <c r="CN108">
        <v>13695864</v>
      </c>
      <c r="CO108">
        <v>111974160</v>
      </c>
      <c r="CP108">
        <v>0</v>
      </c>
      <c r="CQ108">
        <v>1053.7</v>
      </c>
      <c r="CR108">
        <v>23.9</v>
      </c>
      <c r="CS108">
        <v>0</v>
      </c>
      <c r="CT108">
        <v>3820.7</v>
      </c>
      <c r="CU108">
        <v>0</v>
      </c>
      <c r="CV108">
        <v>0</v>
      </c>
      <c r="CW108">
        <v>2644.9</v>
      </c>
      <c r="CX108">
        <v>3315.6</v>
      </c>
      <c r="CY108">
        <v>0</v>
      </c>
      <c r="CZ108">
        <v>1381.7</v>
      </c>
      <c r="DA108">
        <v>0</v>
      </c>
      <c r="DB108">
        <v>980.4</v>
      </c>
      <c r="DC108">
        <v>0</v>
      </c>
      <c r="DD108">
        <v>0</v>
      </c>
      <c r="DE108">
        <v>580.79999999999995</v>
      </c>
      <c r="DF108">
        <v>0</v>
      </c>
      <c r="DG108">
        <v>5743.7</v>
      </c>
      <c r="DH108">
        <v>0</v>
      </c>
      <c r="DI108">
        <v>32296.799999999999</v>
      </c>
      <c r="DJ108">
        <v>3538.3</v>
      </c>
      <c r="DK108">
        <v>5808</v>
      </c>
      <c r="DL108">
        <v>0</v>
      </c>
      <c r="DM108">
        <v>0</v>
      </c>
    </row>
    <row r="109" spans="1:117" x14ac:dyDescent="0.3">
      <c r="A109" t="s">
        <v>166</v>
      </c>
      <c r="B109">
        <v>2045</v>
      </c>
      <c r="C109">
        <v>114049860</v>
      </c>
      <c r="D109">
        <v>3788590.5</v>
      </c>
      <c r="E109">
        <v>752552.4</v>
      </c>
      <c r="F109">
        <v>2200390.2999999998</v>
      </c>
      <c r="G109">
        <v>120791391.2</v>
      </c>
      <c r="H109">
        <v>109948796.7</v>
      </c>
      <c r="I109">
        <v>-43826985.200000003</v>
      </c>
      <c r="J109">
        <v>97097064</v>
      </c>
      <c r="K109">
        <v>149311760</v>
      </c>
      <c r="L109">
        <v>3.5900000000000001E-2</v>
      </c>
      <c r="M109">
        <v>5.3999999999999999E-2</v>
      </c>
      <c r="N109">
        <v>0.1439</v>
      </c>
      <c r="O109">
        <v>87204.72</v>
      </c>
      <c r="P109">
        <v>23034.5</v>
      </c>
      <c r="Q109">
        <v>0.98</v>
      </c>
      <c r="R109">
        <v>0.98</v>
      </c>
      <c r="S109">
        <v>17.600000000000001</v>
      </c>
      <c r="T109">
        <v>2</v>
      </c>
      <c r="U109">
        <v>0.28000000000000003</v>
      </c>
      <c r="V109">
        <v>0.6</v>
      </c>
      <c r="W109">
        <v>40.6</v>
      </c>
      <c r="X109">
        <v>0.01</v>
      </c>
      <c r="Y109">
        <v>17.7</v>
      </c>
      <c r="Z109">
        <v>1.8</v>
      </c>
      <c r="AA109">
        <v>19.5</v>
      </c>
      <c r="AB109">
        <v>17.899999999999999</v>
      </c>
      <c r="AC109">
        <v>2</v>
      </c>
      <c r="AD109">
        <v>0.28999999999999998</v>
      </c>
      <c r="AE109">
        <v>0.6</v>
      </c>
      <c r="AF109">
        <v>42.1</v>
      </c>
      <c r="AG109">
        <v>0.01</v>
      </c>
      <c r="AH109">
        <v>18</v>
      </c>
      <c r="AI109">
        <v>1.9</v>
      </c>
      <c r="AJ109">
        <v>19.899999999999999</v>
      </c>
      <c r="AK109">
        <v>129.30000000000001</v>
      </c>
      <c r="AL109">
        <v>6.8</v>
      </c>
      <c r="AM109">
        <v>0.92</v>
      </c>
      <c r="AN109">
        <v>11.4</v>
      </c>
      <c r="AO109">
        <v>536.79999999999995</v>
      </c>
      <c r="AP109">
        <v>0.06</v>
      </c>
      <c r="AQ109">
        <v>129.69999999999999</v>
      </c>
      <c r="AR109">
        <v>27.4</v>
      </c>
      <c r="AS109">
        <v>157.19999999999999</v>
      </c>
      <c r="AT109">
        <v>193.6</v>
      </c>
      <c r="AU109">
        <v>17.3</v>
      </c>
      <c r="AV109">
        <v>2.48</v>
      </c>
      <c r="AW109">
        <v>11</v>
      </c>
      <c r="AX109">
        <v>575.9</v>
      </c>
      <c r="AY109">
        <v>0.1</v>
      </c>
      <c r="AZ109">
        <v>194.8</v>
      </c>
      <c r="BA109">
        <v>28.2</v>
      </c>
      <c r="BB109">
        <v>223</v>
      </c>
      <c r="BC109">
        <v>2959628.1</v>
      </c>
      <c r="BD109">
        <v>328.9</v>
      </c>
      <c r="BE109">
        <v>47.7</v>
      </c>
      <c r="BF109">
        <v>102884.4</v>
      </c>
      <c r="BG109">
        <v>6831.3</v>
      </c>
      <c r="BH109">
        <v>1.5</v>
      </c>
      <c r="BI109">
        <v>2982460.9</v>
      </c>
      <c r="BJ109">
        <v>306857.59999999998</v>
      </c>
      <c r="BK109">
        <v>3289318.5</v>
      </c>
      <c r="BL109">
        <v>0</v>
      </c>
      <c r="BM109">
        <v>5.58</v>
      </c>
      <c r="BN109">
        <v>13.23</v>
      </c>
      <c r="BO109">
        <v>0</v>
      </c>
      <c r="BP109">
        <v>18.82</v>
      </c>
      <c r="BQ109">
        <v>6.05</v>
      </c>
      <c r="BR109">
        <v>14.69</v>
      </c>
      <c r="BS109">
        <v>0</v>
      </c>
      <c r="BT109">
        <v>20.74</v>
      </c>
      <c r="BU109">
        <v>173456770</v>
      </c>
      <c r="BV109">
        <v>164618380</v>
      </c>
      <c r="BW109">
        <v>3210915.8</v>
      </c>
      <c r="BX109">
        <v>28235.1</v>
      </c>
      <c r="BY109">
        <v>0</v>
      </c>
      <c r="BZ109">
        <v>0</v>
      </c>
      <c r="CA109">
        <v>2928431</v>
      </c>
      <c r="CB109">
        <v>0</v>
      </c>
      <c r="CC109">
        <v>0</v>
      </c>
      <c r="CD109">
        <v>4242076</v>
      </c>
      <c r="CE109">
        <v>345427.9</v>
      </c>
      <c r="CF109">
        <v>0</v>
      </c>
      <c r="CG109">
        <v>2275.9</v>
      </c>
      <c r="CH109">
        <v>0</v>
      </c>
      <c r="CI109">
        <v>1707011.8</v>
      </c>
      <c r="CJ109">
        <v>0</v>
      </c>
      <c r="CK109">
        <v>0</v>
      </c>
      <c r="CL109">
        <v>616102</v>
      </c>
      <c r="CM109">
        <v>0</v>
      </c>
      <c r="CN109">
        <v>16788436</v>
      </c>
      <c r="CO109">
        <v>143587860</v>
      </c>
      <c r="CP109">
        <v>0</v>
      </c>
      <c r="CQ109">
        <v>2516.8000000000002</v>
      </c>
      <c r="CR109">
        <v>18.899999999999999</v>
      </c>
      <c r="CS109">
        <v>0</v>
      </c>
      <c r="CT109">
        <v>3820.7</v>
      </c>
      <c r="CU109">
        <v>0</v>
      </c>
      <c r="CV109">
        <v>0</v>
      </c>
      <c r="CW109">
        <v>2892.8</v>
      </c>
      <c r="CX109">
        <v>3187.6</v>
      </c>
      <c r="CY109">
        <v>0</v>
      </c>
      <c r="CZ109">
        <v>1381.7</v>
      </c>
      <c r="DA109">
        <v>0</v>
      </c>
      <c r="DB109">
        <v>980.4</v>
      </c>
      <c r="DC109">
        <v>0</v>
      </c>
      <c r="DD109">
        <v>0</v>
      </c>
      <c r="DE109">
        <v>580.79999999999995</v>
      </c>
      <c r="DF109">
        <v>0</v>
      </c>
      <c r="DG109">
        <v>7145</v>
      </c>
      <c r="DH109">
        <v>0</v>
      </c>
      <c r="DI109">
        <v>48326.9</v>
      </c>
      <c r="DJ109">
        <v>8714.2000000000007</v>
      </c>
      <c r="DK109">
        <v>5808</v>
      </c>
      <c r="DL109">
        <v>0</v>
      </c>
      <c r="DM109">
        <v>0</v>
      </c>
    </row>
    <row r="110" spans="1:117" x14ac:dyDescent="0.3">
      <c r="A110" t="s">
        <v>166</v>
      </c>
      <c r="B110">
        <v>2050</v>
      </c>
      <c r="C110">
        <v>123293580</v>
      </c>
      <c r="D110">
        <v>3733802</v>
      </c>
      <c r="E110">
        <v>859559.4</v>
      </c>
      <c r="F110">
        <v>2260386.4</v>
      </c>
      <c r="G110">
        <v>130147328.3</v>
      </c>
      <c r="H110">
        <v>118860043.7</v>
      </c>
      <c r="I110">
        <v>-35774061.200000003</v>
      </c>
      <c r="J110">
        <v>106203370</v>
      </c>
      <c r="K110">
        <v>151251000</v>
      </c>
      <c r="L110">
        <v>3.5900000000000001E-2</v>
      </c>
      <c r="M110">
        <v>5.3999999999999999E-2</v>
      </c>
      <c r="N110">
        <v>0.1439</v>
      </c>
      <c r="O110">
        <v>89913.73</v>
      </c>
      <c r="P110">
        <v>24515.599999999999</v>
      </c>
      <c r="Q110">
        <v>0.98</v>
      </c>
      <c r="R110">
        <v>0.98</v>
      </c>
      <c r="S110">
        <v>20.5</v>
      </c>
      <c r="T110">
        <v>2.2000000000000002</v>
      </c>
      <c r="U110">
        <v>0.33</v>
      </c>
      <c r="V110">
        <v>0.7</v>
      </c>
      <c r="W110">
        <v>48.5</v>
      </c>
      <c r="X110">
        <v>0.01</v>
      </c>
      <c r="Y110">
        <v>20.7</v>
      </c>
      <c r="Z110">
        <v>2.2000000000000002</v>
      </c>
      <c r="AA110">
        <v>22.9</v>
      </c>
      <c r="AB110">
        <v>20</v>
      </c>
      <c r="AC110">
        <v>2.2000000000000002</v>
      </c>
      <c r="AD110">
        <v>0.31</v>
      </c>
      <c r="AE110">
        <v>0.8</v>
      </c>
      <c r="AF110">
        <v>48.1</v>
      </c>
      <c r="AG110">
        <v>0.01</v>
      </c>
      <c r="AH110">
        <v>20.100000000000001</v>
      </c>
      <c r="AI110">
        <v>2.2000000000000002</v>
      </c>
      <c r="AJ110">
        <v>22.3</v>
      </c>
      <c r="AK110">
        <v>142.1</v>
      </c>
      <c r="AL110">
        <v>8.1999999999999993</v>
      </c>
      <c r="AM110">
        <v>1.1200000000000001</v>
      </c>
      <c r="AN110">
        <v>12</v>
      </c>
      <c r="AO110">
        <v>568.70000000000005</v>
      </c>
      <c r="AP110">
        <v>7.0000000000000007E-2</v>
      </c>
      <c r="AQ110">
        <v>142.69999999999999</v>
      </c>
      <c r="AR110">
        <v>29</v>
      </c>
      <c r="AS110">
        <v>171.6</v>
      </c>
      <c r="AT110">
        <v>193.3</v>
      </c>
      <c r="AU110">
        <v>15.4</v>
      </c>
      <c r="AV110">
        <v>2.1800000000000002</v>
      </c>
      <c r="AW110">
        <v>12.5</v>
      </c>
      <c r="AX110">
        <v>636.4</v>
      </c>
      <c r="AY110">
        <v>0.1</v>
      </c>
      <c r="AZ110">
        <v>194.3</v>
      </c>
      <c r="BA110">
        <v>31.5</v>
      </c>
      <c r="BB110">
        <v>225.8</v>
      </c>
      <c r="BC110">
        <v>3516182.8</v>
      </c>
      <c r="BD110">
        <v>385</v>
      </c>
      <c r="BE110">
        <v>55.8</v>
      </c>
      <c r="BF110">
        <v>127350.9</v>
      </c>
      <c r="BG110">
        <v>8297.7000000000007</v>
      </c>
      <c r="BH110">
        <v>1.7</v>
      </c>
      <c r="BI110">
        <v>3542896</v>
      </c>
      <c r="BJ110">
        <v>375096.3</v>
      </c>
      <c r="BK110">
        <v>3917992.3</v>
      </c>
      <c r="BL110">
        <v>0</v>
      </c>
      <c r="BM110">
        <v>6.37</v>
      </c>
      <c r="BN110">
        <v>14.06</v>
      </c>
      <c r="BO110">
        <v>0</v>
      </c>
      <c r="BP110">
        <v>20.420000000000002</v>
      </c>
      <c r="BQ110">
        <v>6.89</v>
      </c>
      <c r="BR110">
        <v>15.59</v>
      </c>
      <c r="BS110">
        <v>0</v>
      </c>
      <c r="BT110">
        <v>22.48</v>
      </c>
      <c r="BU110">
        <v>175580860</v>
      </c>
      <c r="BV110">
        <v>165921390</v>
      </c>
      <c r="BW110">
        <v>3182578.5</v>
      </c>
      <c r="BX110">
        <v>30917.3</v>
      </c>
      <c r="BY110">
        <v>0</v>
      </c>
      <c r="BZ110">
        <v>0</v>
      </c>
      <c r="CA110">
        <v>3453226.5</v>
      </c>
      <c r="CB110">
        <v>0</v>
      </c>
      <c r="CC110">
        <v>0</v>
      </c>
      <c r="CD110">
        <v>4577755.5</v>
      </c>
      <c r="CE110">
        <v>562049.30000000005</v>
      </c>
      <c r="CF110">
        <v>0</v>
      </c>
      <c r="CG110">
        <v>5404.1</v>
      </c>
      <c r="CH110">
        <v>0</v>
      </c>
      <c r="CI110">
        <v>1746087.4</v>
      </c>
      <c r="CJ110">
        <v>0</v>
      </c>
      <c r="CK110">
        <v>0</v>
      </c>
      <c r="CL110">
        <v>679217</v>
      </c>
      <c r="CM110">
        <v>0</v>
      </c>
      <c r="CN110">
        <v>17097906</v>
      </c>
      <c r="CO110">
        <v>144245730</v>
      </c>
      <c r="CP110">
        <v>0</v>
      </c>
      <c r="CQ110">
        <v>2494.6999999999998</v>
      </c>
      <c r="CR110">
        <v>18.899999999999999</v>
      </c>
      <c r="CS110">
        <v>0</v>
      </c>
      <c r="CT110">
        <v>3346.8</v>
      </c>
      <c r="CU110">
        <v>0</v>
      </c>
      <c r="CV110">
        <v>0</v>
      </c>
      <c r="CW110">
        <v>3171.5</v>
      </c>
      <c r="CX110">
        <v>2843.5</v>
      </c>
      <c r="CY110">
        <v>0</v>
      </c>
      <c r="CZ110">
        <v>1595.5</v>
      </c>
      <c r="DA110">
        <v>0</v>
      </c>
      <c r="DB110">
        <v>980.4</v>
      </c>
      <c r="DC110">
        <v>0</v>
      </c>
      <c r="DD110">
        <v>0</v>
      </c>
      <c r="DE110">
        <v>580.79999999999995</v>
      </c>
      <c r="DF110">
        <v>0</v>
      </c>
      <c r="DG110">
        <v>7151.7</v>
      </c>
      <c r="DH110">
        <v>0</v>
      </c>
      <c r="DI110">
        <v>46923.5</v>
      </c>
      <c r="DJ110">
        <v>8415.7000000000007</v>
      </c>
      <c r="DK110">
        <v>5808</v>
      </c>
      <c r="DL110">
        <v>0</v>
      </c>
      <c r="DM110">
        <v>0</v>
      </c>
    </row>
    <row r="111" spans="1:117" x14ac:dyDescent="0.3">
      <c r="A111" t="s">
        <v>167</v>
      </c>
      <c r="B111">
        <v>2024</v>
      </c>
      <c r="C111">
        <v>78077760</v>
      </c>
      <c r="D111">
        <v>1577.8</v>
      </c>
      <c r="E111">
        <v>241341.4</v>
      </c>
      <c r="F111">
        <v>1334285.8999999999</v>
      </c>
      <c r="G111">
        <v>79654966.400000006</v>
      </c>
      <c r="H111">
        <v>75270689.700000003</v>
      </c>
      <c r="I111">
        <v>39709200.799999997</v>
      </c>
      <c r="J111">
        <v>69151224</v>
      </c>
      <c r="K111">
        <v>70861496</v>
      </c>
      <c r="L111">
        <v>3.5900000000000001E-2</v>
      </c>
      <c r="M111">
        <v>5.3900000000000003E-2</v>
      </c>
      <c r="N111">
        <v>0.16</v>
      </c>
      <c r="O111">
        <v>6192.42</v>
      </c>
      <c r="P111">
        <v>19862.099999999999</v>
      </c>
      <c r="Q111">
        <v>0.61</v>
      </c>
      <c r="R111">
        <v>0.68</v>
      </c>
      <c r="S111">
        <v>373.1</v>
      </c>
      <c r="T111">
        <v>40.799999999999997</v>
      </c>
      <c r="U111">
        <v>5.92</v>
      </c>
      <c r="V111">
        <v>14.4</v>
      </c>
      <c r="W111">
        <v>883.2</v>
      </c>
      <c r="X111">
        <v>0.21</v>
      </c>
      <c r="Y111">
        <v>375.9</v>
      </c>
      <c r="Z111">
        <v>40.799999999999997</v>
      </c>
      <c r="AA111">
        <v>416.8</v>
      </c>
      <c r="AB111">
        <v>317.39999999999998</v>
      </c>
      <c r="AC111">
        <v>34.200000000000003</v>
      </c>
      <c r="AD111">
        <v>4.96</v>
      </c>
      <c r="AE111">
        <v>12.8</v>
      </c>
      <c r="AF111">
        <v>768.1</v>
      </c>
      <c r="AG111">
        <v>0.18</v>
      </c>
      <c r="AH111">
        <v>319.8</v>
      </c>
      <c r="AI111">
        <v>35.799999999999997</v>
      </c>
      <c r="AJ111">
        <v>355.5</v>
      </c>
      <c r="AK111">
        <v>306.7</v>
      </c>
      <c r="AL111">
        <v>26.5</v>
      </c>
      <c r="AM111">
        <v>3.8</v>
      </c>
      <c r="AN111">
        <v>17.899999999999999</v>
      </c>
      <c r="AO111">
        <v>920.8</v>
      </c>
      <c r="AP111">
        <v>0.17</v>
      </c>
      <c r="AQ111">
        <v>308.5</v>
      </c>
      <c r="AR111">
        <v>45.4</v>
      </c>
      <c r="AS111">
        <v>353.9</v>
      </c>
      <c r="AT111">
        <v>710.2</v>
      </c>
      <c r="AU111">
        <v>59.8</v>
      </c>
      <c r="AV111">
        <v>8.66</v>
      </c>
      <c r="AW111">
        <v>43.9</v>
      </c>
      <c r="AX111">
        <v>2103.6999999999998</v>
      </c>
      <c r="AY111">
        <v>0.44</v>
      </c>
      <c r="AZ111">
        <v>714.4</v>
      </c>
      <c r="BA111">
        <v>106.7</v>
      </c>
      <c r="BB111">
        <v>821.1</v>
      </c>
      <c r="BC111">
        <v>30098527.399999999</v>
      </c>
      <c r="BD111">
        <v>3295.4</v>
      </c>
      <c r="BE111">
        <v>477.8</v>
      </c>
      <c r="BF111">
        <v>1163799.5</v>
      </c>
      <c r="BG111">
        <v>71229.399999999994</v>
      </c>
      <c r="BH111">
        <v>16.7</v>
      </c>
      <c r="BI111">
        <v>30327171.100000001</v>
      </c>
      <c r="BJ111">
        <v>3290987.6</v>
      </c>
      <c r="BK111">
        <v>33618158.700000003</v>
      </c>
      <c r="BL111">
        <v>0</v>
      </c>
      <c r="BM111">
        <v>24.86</v>
      </c>
      <c r="BN111">
        <v>1.34</v>
      </c>
      <c r="BO111">
        <v>0</v>
      </c>
      <c r="BP111">
        <v>26.2</v>
      </c>
      <c r="BQ111">
        <v>26.46</v>
      </c>
      <c r="BR111">
        <v>1.47</v>
      </c>
      <c r="BS111">
        <v>0</v>
      </c>
      <c r="BT111">
        <v>27.92</v>
      </c>
      <c r="BU111">
        <v>81459380</v>
      </c>
      <c r="BV111">
        <v>39945764</v>
      </c>
      <c r="BW111">
        <v>1355.5</v>
      </c>
      <c r="BX111">
        <v>52775</v>
      </c>
      <c r="BY111">
        <v>0</v>
      </c>
      <c r="BZ111">
        <v>0</v>
      </c>
      <c r="CA111">
        <v>27300052</v>
      </c>
      <c r="CB111">
        <v>0</v>
      </c>
      <c r="CC111">
        <v>0</v>
      </c>
      <c r="CD111">
        <v>303214.59999999998</v>
      </c>
      <c r="CE111">
        <v>4247383</v>
      </c>
      <c r="CF111">
        <v>0</v>
      </c>
      <c r="CG111">
        <v>27945.5</v>
      </c>
      <c r="CH111">
        <v>0</v>
      </c>
      <c r="CI111">
        <v>581274</v>
      </c>
      <c r="CJ111">
        <v>9105591</v>
      </c>
      <c r="CK111">
        <v>392.8</v>
      </c>
      <c r="CL111">
        <v>196843.3</v>
      </c>
      <c r="CM111">
        <v>0</v>
      </c>
      <c r="CN111">
        <v>3629506</v>
      </c>
      <c r="CO111">
        <v>36013044</v>
      </c>
      <c r="CP111">
        <v>0</v>
      </c>
      <c r="CQ111">
        <v>2.2000000000000002</v>
      </c>
      <c r="CR111">
        <v>13.6</v>
      </c>
      <c r="CS111">
        <v>0</v>
      </c>
      <c r="CT111">
        <v>7400.3</v>
      </c>
      <c r="CU111">
        <v>0</v>
      </c>
      <c r="CV111">
        <v>0</v>
      </c>
      <c r="CW111">
        <v>199.4</v>
      </c>
      <c r="CX111">
        <v>1607.2</v>
      </c>
      <c r="CY111">
        <v>0</v>
      </c>
      <c r="CZ111">
        <v>4232.2</v>
      </c>
      <c r="DA111">
        <v>0</v>
      </c>
      <c r="DB111">
        <v>291.5</v>
      </c>
      <c r="DC111">
        <v>1225</v>
      </c>
      <c r="DD111">
        <v>606.9</v>
      </c>
      <c r="DE111">
        <v>186</v>
      </c>
      <c r="DF111">
        <v>0</v>
      </c>
      <c r="DG111">
        <v>1386.4</v>
      </c>
      <c r="DH111">
        <v>0</v>
      </c>
      <c r="DI111">
        <v>9868.4</v>
      </c>
      <c r="DJ111">
        <v>4.4000000000000004</v>
      </c>
      <c r="DK111">
        <v>1860</v>
      </c>
      <c r="DL111">
        <v>0</v>
      </c>
      <c r="DM111">
        <v>0</v>
      </c>
    </row>
    <row r="112" spans="1:117" x14ac:dyDescent="0.3">
      <c r="A112" t="s">
        <v>167</v>
      </c>
      <c r="B112">
        <v>2026</v>
      </c>
      <c r="C112">
        <v>79815370</v>
      </c>
      <c r="D112">
        <v>7634.9</v>
      </c>
      <c r="E112">
        <v>285899.59999999998</v>
      </c>
      <c r="F112">
        <v>1597591.3</v>
      </c>
      <c r="G112">
        <v>81706493.900000006</v>
      </c>
      <c r="H112">
        <v>76945800.299999997</v>
      </c>
      <c r="I112">
        <v>9930353.1999999993</v>
      </c>
      <c r="J112">
        <v>71386960</v>
      </c>
      <c r="K112">
        <v>92713300</v>
      </c>
      <c r="L112">
        <v>3.5900000000000001E-2</v>
      </c>
      <c r="M112">
        <v>5.3900000000000003E-2</v>
      </c>
      <c r="N112">
        <v>0.16</v>
      </c>
      <c r="O112">
        <v>42151.06</v>
      </c>
      <c r="P112">
        <v>20291.7</v>
      </c>
      <c r="Q112">
        <v>0.79</v>
      </c>
      <c r="R112">
        <v>0.79</v>
      </c>
      <c r="S112">
        <v>199.5</v>
      </c>
      <c r="T112">
        <v>21.6</v>
      </c>
      <c r="U112">
        <v>3.12</v>
      </c>
      <c r="V112">
        <v>8.1999999999999993</v>
      </c>
      <c r="W112">
        <v>481.4</v>
      </c>
      <c r="X112">
        <v>0.12</v>
      </c>
      <c r="Y112">
        <v>201</v>
      </c>
      <c r="Z112">
        <v>22.6</v>
      </c>
      <c r="AA112">
        <v>223.5</v>
      </c>
      <c r="AB112">
        <v>201.3</v>
      </c>
      <c r="AC112">
        <v>21.5</v>
      </c>
      <c r="AD112">
        <v>3.12</v>
      </c>
      <c r="AE112">
        <v>8.5</v>
      </c>
      <c r="AF112">
        <v>493</v>
      </c>
      <c r="AG112">
        <v>0.12</v>
      </c>
      <c r="AH112">
        <v>202.8</v>
      </c>
      <c r="AI112">
        <v>23.2</v>
      </c>
      <c r="AJ112">
        <v>226</v>
      </c>
      <c r="AK112">
        <v>188.6</v>
      </c>
      <c r="AL112">
        <v>15.4</v>
      </c>
      <c r="AM112">
        <v>2.19</v>
      </c>
      <c r="AN112">
        <v>11.8</v>
      </c>
      <c r="AO112">
        <v>597.6</v>
      </c>
      <c r="AP112">
        <v>0.1</v>
      </c>
      <c r="AQ112">
        <v>189.6</v>
      </c>
      <c r="AR112">
        <v>29.7</v>
      </c>
      <c r="AS112">
        <v>219.3</v>
      </c>
      <c r="AT112">
        <v>588.9</v>
      </c>
      <c r="AU112">
        <v>49.5</v>
      </c>
      <c r="AV112">
        <v>7.12</v>
      </c>
      <c r="AW112">
        <v>36.1</v>
      </c>
      <c r="AX112">
        <v>1787.1</v>
      </c>
      <c r="AY112">
        <v>0.34</v>
      </c>
      <c r="AZ112">
        <v>592.4</v>
      </c>
      <c r="BA112">
        <v>89.4</v>
      </c>
      <c r="BB112">
        <v>681.8</v>
      </c>
      <c r="BC112">
        <v>20329685.899999999</v>
      </c>
      <c r="BD112">
        <v>2198.1</v>
      </c>
      <c r="BE112">
        <v>318.5</v>
      </c>
      <c r="BF112">
        <v>834068.2</v>
      </c>
      <c r="BG112">
        <v>49046</v>
      </c>
      <c r="BH112">
        <v>11.8</v>
      </c>
      <c r="BI112">
        <v>20482126.199999999</v>
      </c>
      <c r="BJ112">
        <v>2298850.7999999998</v>
      </c>
      <c r="BK112">
        <v>22780977</v>
      </c>
      <c r="BL112">
        <v>0</v>
      </c>
      <c r="BM112">
        <v>20.309999999999999</v>
      </c>
      <c r="BN112">
        <v>8.69</v>
      </c>
      <c r="BO112">
        <v>0</v>
      </c>
      <c r="BP112">
        <v>29</v>
      </c>
      <c r="BQ112">
        <v>21.66</v>
      </c>
      <c r="BR112">
        <v>9.5</v>
      </c>
      <c r="BS112">
        <v>0</v>
      </c>
      <c r="BT112">
        <v>31.16</v>
      </c>
      <c r="BU112">
        <v>103265896</v>
      </c>
      <c r="BV112">
        <v>71776140</v>
      </c>
      <c r="BW112">
        <v>6417.5</v>
      </c>
      <c r="BX112">
        <v>45596.9</v>
      </c>
      <c r="BY112">
        <v>0</v>
      </c>
      <c r="BZ112">
        <v>0</v>
      </c>
      <c r="CA112">
        <v>18366208</v>
      </c>
      <c r="CB112">
        <v>0</v>
      </c>
      <c r="CC112">
        <v>0</v>
      </c>
      <c r="CD112">
        <v>390130.9</v>
      </c>
      <c r="CE112">
        <v>3592825.2</v>
      </c>
      <c r="CF112">
        <v>0</v>
      </c>
      <c r="CG112">
        <v>11852.8</v>
      </c>
      <c r="CH112">
        <v>0</v>
      </c>
      <c r="CI112">
        <v>526704.4</v>
      </c>
      <c r="CJ112">
        <v>8710807</v>
      </c>
      <c r="CK112">
        <v>53.6</v>
      </c>
      <c r="CL112">
        <v>229288</v>
      </c>
      <c r="CM112">
        <v>0</v>
      </c>
      <c r="CN112">
        <v>10998099</v>
      </c>
      <c r="CO112">
        <v>60387910</v>
      </c>
      <c r="CP112">
        <v>0</v>
      </c>
      <c r="CQ112">
        <v>6</v>
      </c>
      <c r="CR112">
        <v>13.6</v>
      </c>
      <c r="CS112">
        <v>0</v>
      </c>
      <c r="CT112">
        <v>7400.3</v>
      </c>
      <c r="CU112">
        <v>0</v>
      </c>
      <c r="CV112">
        <v>0</v>
      </c>
      <c r="CW112">
        <v>266.89999999999998</v>
      </c>
      <c r="CX112">
        <v>1607.2</v>
      </c>
      <c r="CY112">
        <v>0</v>
      </c>
      <c r="CZ112">
        <v>4031.7</v>
      </c>
      <c r="DA112">
        <v>0</v>
      </c>
      <c r="DB112">
        <v>291.5</v>
      </c>
      <c r="DC112">
        <v>1225</v>
      </c>
      <c r="DD112">
        <v>373.1</v>
      </c>
      <c r="DE112">
        <v>186</v>
      </c>
      <c r="DF112">
        <v>0</v>
      </c>
      <c r="DG112">
        <v>4271.3</v>
      </c>
      <c r="DH112">
        <v>0</v>
      </c>
      <c r="DI112">
        <v>16524.599999999999</v>
      </c>
      <c r="DJ112">
        <v>19.5</v>
      </c>
      <c r="DK112">
        <v>1860</v>
      </c>
      <c r="DL112">
        <v>0</v>
      </c>
      <c r="DM112">
        <v>0</v>
      </c>
    </row>
    <row r="113" spans="1:117" x14ac:dyDescent="0.3">
      <c r="A113" t="s">
        <v>167</v>
      </c>
      <c r="B113">
        <v>2028</v>
      </c>
      <c r="C113">
        <v>81859304</v>
      </c>
      <c r="D113">
        <v>545357.9</v>
      </c>
      <c r="E113">
        <v>320691.90000000002</v>
      </c>
      <c r="F113">
        <v>2026733.4</v>
      </c>
      <c r="G113">
        <v>84752088.099999994</v>
      </c>
      <c r="H113">
        <v>78916239.099999994</v>
      </c>
      <c r="I113">
        <v>-30765913.199999999</v>
      </c>
      <c r="J113">
        <v>76857944</v>
      </c>
      <c r="K113">
        <v>130821580</v>
      </c>
      <c r="L113">
        <v>3.5900000000000001E-2</v>
      </c>
      <c r="M113">
        <v>5.3900000000000003E-2</v>
      </c>
      <c r="N113">
        <v>0.16</v>
      </c>
      <c r="O113">
        <v>56006.06</v>
      </c>
      <c r="P113">
        <v>19777.7</v>
      </c>
      <c r="Q113">
        <v>0.9</v>
      </c>
      <c r="R113">
        <v>0.89</v>
      </c>
      <c r="S113">
        <v>92</v>
      </c>
      <c r="T113">
        <v>9.8000000000000007</v>
      </c>
      <c r="U113">
        <v>1.43</v>
      </c>
      <c r="V113">
        <v>4.0999999999999996</v>
      </c>
      <c r="W113">
        <v>225.3</v>
      </c>
      <c r="X113">
        <v>0.06</v>
      </c>
      <c r="Y113">
        <v>92.6</v>
      </c>
      <c r="Z113">
        <v>10.8</v>
      </c>
      <c r="AA113">
        <v>103.4</v>
      </c>
      <c r="AB113">
        <v>106.9</v>
      </c>
      <c r="AC113">
        <v>11.3</v>
      </c>
      <c r="AD113">
        <v>1.64</v>
      </c>
      <c r="AE113">
        <v>4.9000000000000004</v>
      </c>
      <c r="AF113">
        <v>265.8</v>
      </c>
      <c r="AG113">
        <v>7.0000000000000007E-2</v>
      </c>
      <c r="AH113">
        <v>107.7</v>
      </c>
      <c r="AI113">
        <v>12.8</v>
      </c>
      <c r="AJ113">
        <v>120.5</v>
      </c>
      <c r="AK113">
        <v>80.099999999999994</v>
      </c>
      <c r="AL113">
        <v>3.6</v>
      </c>
      <c r="AM113">
        <v>0.48</v>
      </c>
      <c r="AN113">
        <v>7.7</v>
      </c>
      <c r="AO113">
        <v>346.2</v>
      </c>
      <c r="AP113">
        <v>0.04</v>
      </c>
      <c r="AQ113">
        <v>80.400000000000006</v>
      </c>
      <c r="AR113">
        <v>18</v>
      </c>
      <c r="AS113">
        <v>98.4</v>
      </c>
      <c r="AT113">
        <v>466.2</v>
      </c>
      <c r="AU113">
        <v>36.799999999999997</v>
      </c>
      <c r="AV113">
        <v>5.28</v>
      </c>
      <c r="AW113">
        <v>31</v>
      </c>
      <c r="AX113">
        <v>1485.6</v>
      </c>
      <c r="AY113">
        <v>0.28000000000000003</v>
      </c>
      <c r="AZ113">
        <v>468.8</v>
      </c>
      <c r="BA113">
        <v>75.3</v>
      </c>
      <c r="BB113">
        <v>544.1</v>
      </c>
      <c r="BC113">
        <v>12585651.9</v>
      </c>
      <c r="BD113">
        <v>1348.2</v>
      </c>
      <c r="BE113">
        <v>195.2</v>
      </c>
      <c r="BF113">
        <v>555042.1</v>
      </c>
      <c r="BG113">
        <v>30829.1</v>
      </c>
      <c r="BH113">
        <v>7.9</v>
      </c>
      <c r="BI113">
        <v>12679120.1</v>
      </c>
      <c r="BJ113">
        <v>1475906.2</v>
      </c>
      <c r="BK113">
        <v>14155026.300000001</v>
      </c>
      <c r="BL113">
        <v>0</v>
      </c>
      <c r="BM113">
        <v>16.03</v>
      </c>
      <c r="BN113">
        <v>9.3800000000000008</v>
      </c>
      <c r="BO113">
        <v>0</v>
      </c>
      <c r="BP113">
        <v>25.41</v>
      </c>
      <c r="BQ113">
        <v>17.190000000000001</v>
      </c>
      <c r="BR113">
        <v>10.26</v>
      </c>
      <c r="BS113">
        <v>0</v>
      </c>
      <c r="BT113">
        <v>27.45</v>
      </c>
      <c r="BU113">
        <v>139078460</v>
      </c>
      <c r="BV113">
        <v>115518000</v>
      </c>
      <c r="BW113">
        <v>469283.5</v>
      </c>
      <c r="BX113">
        <v>39638.1</v>
      </c>
      <c r="BY113">
        <v>0</v>
      </c>
      <c r="BZ113">
        <v>0</v>
      </c>
      <c r="CA113">
        <v>11312891</v>
      </c>
      <c r="CB113">
        <v>0</v>
      </c>
      <c r="CC113">
        <v>0</v>
      </c>
      <c r="CD113">
        <v>556214.1</v>
      </c>
      <c r="CE113">
        <v>2564309.5</v>
      </c>
      <c r="CF113">
        <v>0</v>
      </c>
      <c r="CG113">
        <v>4751.2</v>
      </c>
      <c r="CH113">
        <v>0</v>
      </c>
      <c r="CI113">
        <v>457499</v>
      </c>
      <c r="CJ113">
        <v>8455493</v>
      </c>
      <c r="CK113">
        <v>0</v>
      </c>
      <c r="CL113">
        <v>256601.2</v>
      </c>
      <c r="CM113">
        <v>0</v>
      </c>
      <c r="CN113">
        <v>23664444</v>
      </c>
      <c r="CO113">
        <v>91297340</v>
      </c>
      <c r="CP113">
        <v>0</v>
      </c>
      <c r="CQ113">
        <v>338.7</v>
      </c>
      <c r="CR113">
        <v>13.6</v>
      </c>
      <c r="CS113">
        <v>0</v>
      </c>
      <c r="CT113">
        <v>7400.3</v>
      </c>
      <c r="CU113">
        <v>0</v>
      </c>
      <c r="CV113">
        <v>0</v>
      </c>
      <c r="CW113">
        <v>385.8</v>
      </c>
      <c r="CX113">
        <v>1607.2</v>
      </c>
      <c r="CY113">
        <v>0</v>
      </c>
      <c r="CZ113">
        <v>3942.4</v>
      </c>
      <c r="DA113">
        <v>0</v>
      </c>
      <c r="DB113">
        <v>291.5</v>
      </c>
      <c r="DC113">
        <v>1225</v>
      </c>
      <c r="DD113">
        <v>270.39999999999998</v>
      </c>
      <c r="DE113">
        <v>186</v>
      </c>
      <c r="DF113">
        <v>0</v>
      </c>
      <c r="DG113">
        <v>9746</v>
      </c>
      <c r="DH113">
        <v>0</v>
      </c>
      <c r="DI113">
        <v>25962.5</v>
      </c>
      <c r="DJ113">
        <v>1352.2</v>
      </c>
      <c r="DK113">
        <v>1860</v>
      </c>
      <c r="DL113">
        <v>0</v>
      </c>
      <c r="DM113">
        <v>0</v>
      </c>
    </row>
    <row r="114" spans="1:117" x14ac:dyDescent="0.3">
      <c r="A114" t="s">
        <v>167</v>
      </c>
      <c r="B114">
        <v>2030</v>
      </c>
      <c r="C114">
        <v>84175130</v>
      </c>
      <c r="D114">
        <v>2872494.5</v>
      </c>
      <c r="E114">
        <v>319628.59999999998</v>
      </c>
      <c r="F114">
        <v>2081670.3</v>
      </c>
      <c r="G114">
        <v>89448920.099999994</v>
      </c>
      <c r="H114">
        <v>81148800.099999994</v>
      </c>
      <c r="I114">
        <v>-41329223.899999999</v>
      </c>
      <c r="J114">
        <v>76013200</v>
      </c>
      <c r="K114">
        <v>138897710</v>
      </c>
      <c r="L114">
        <v>3.5900000000000001E-2</v>
      </c>
      <c r="M114">
        <v>5.3900000000000003E-2</v>
      </c>
      <c r="N114">
        <v>0.16</v>
      </c>
      <c r="O114">
        <v>62082.73</v>
      </c>
      <c r="P114">
        <v>20455.8</v>
      </c>
      <c r="Q114">
        <v>0.93</v>
      </c>
      <c r="R114">
        <v>0.92</v>
      </c>
      <c r="S114">
        <v>65.5</v>
      </c>
      <c r="T114">
        <v>7.1</v>
      </c>
      <c r="U114">
        <v>1.03</v>
      </c>
      <c r="V114">
        <v>2.9</v>
      </c>
      <c r="W114">
        <v>156.69999999999999</v>
      </c>
      <c r="X114">
        <v>0.04</v>
      </c>
      <c r="Y114">
        <v>66</v>
      </c>
      <c r="Z114">
        <v>7.6</v>
      </c>
      <c r="AA114">
        <v>73.5</v>
      </c>
      <c r="AB114">
        <v>78.3</v>
      </c>
      <c r="AC114">
        <v>8.5</v>
      </c>
      <c r="AD114">
        <v>1.23</v>
      </c>
      <c r="AE114">
        <v>3.5</v>
      </c>
      <c r="AF114">
        <v>188.4</v>
      </c>
      <c r="AG114">
        <v>0.05</v>
      </c>
      <c r="AH114">
        <v>78.900000000000006</v>
      </c>
      <c r="AI114">
        <v>9.1</v>
      </c>
      <c r="AJ114">
        <v>88</v>
      </c>
      <c r="AK114">
        <v>86.5</v>
      </c>
      <c r="AL114">
        <v>4.3</v>
      </c>
      <c r="AM114">
        <v>0.57999999999999996</v>
      </c>
      <c r="AN114">
        <v>8</v>
      </c>
      <c r="AO114">
        <v>362.3</v>
      </c>
      <c r="AP114">
        <v>0.04</v>
      </c>
      <c r="AQ114">
        <v>86.8</v>
      </c>
      <c r="AR114">
        <v>18.8</v>
      </c>
      <c r="AS114">
        <v>105.6</v>
      </c>
      <c r="AT114">
        <v>409.7</v>
      </c>
      <c r="AU114">
        <v>33.4</v>
      </c>
      <c r="AV114">
        <v>4.78</v>
      </c>
      <c r="AW114">
        <v>26.2</v>
      </c>
      <c r="AX114">
        <v>1294.7</v>
      </c>
      <c r="AY114">
        <v>0.23</v>
      </c>
      <c r="AZ114">
        <v>412</v>
      </c>
      <c r="BA114">
        <v>64.8</v>
      </c>
      <c r="BB114">
        <v>476.8</v>
      </c>
      <c r="BC114">
        <v>9810002.3000000007</v>
      </c>
      <c r="BD114">
        <v>1070.0999999999999</v>
      </c>
      <c r="BE114">
        <v>155.1</v>
      </c>
      <c r="BF114">
        <v>430247.8</v>
      </c>
      <c r="BG114">
        <v>23460.400000000001</v>
      </c>
      <c r="BH114">
        <v>6.5</v>
      </c>
      <c r="BI114">
        <v>9884236.5</v>
      </c>
      <c r="BJ114">
        <v>1131143.7</v>
      </c>
      <c r="BK114">
        <v>11015380.199999999</v>
      </c>
      <c r="BL114">
        <v>0</v>
      </c>
      <c r="BM114">
        <v>13.89</v>
      </c>
      <c r="BN114">
        <v>10.06</v>
      </c>
      <c r="BO114">
        <v>0</v>
      </c>
      <c r="BP114">
        <v>23.94</v>
      </c>
      <c r="BQ114">
        <v>15.14</v>
      </c>
      <c r="BR114">
        <v>11.26</v>
      </c>
      <c r="BS114">
        <v>0</v>
      </c>
      <c r="BT114">
        <v>26.4</v>
      </c>
      <c r="BU114">
        <v>152750240</v>
      </c>
      <c r="BV114">
        <v>130778136</v>
      </c>
      <c r="BW114">
        <v>2437960.2000000002</v>
      </c>
      <c r="BX114">
        <v>35264</v>
      </c>
      <c r="BY114">
        <v>0</v>
      </c>
      <c r="BZ114">
        <v>0</v>
      </c>
      <c r="CA114">
        <v>9005006</v>
      </c>
      <c r="CB114">
        <v>0</v>
      </c>
      <c r="CC114">
        <v>0</v>
      </c>
      <c r="CD114">
        <v>824040.4</v>
      </c>
      <c r="CE114">
        <v>1544627</v>
      </c>
      <c r="CF114">
        <v>0</v>
      </c>
      <c r="CG114">
        <v>2189</v>
      </c>
      <c r="CH114">
        <v>0</v>
      </c>
      <c r="CI114">
        <v>404448</v>
      </c>
      <c r="CJ114">
        <v>8281153</v>
      </c>
      <c r="CK114">
        <v>0</v>
      </c>
      <c r="CL114">
        <v>261441</v>
      </c>
      <c r="CM114">
        <v>0</v>
      </c>
      <c r="CN114">
        <v>27758300</v>
      </c>
      <c r="CO114">
        <v>102195810</v>
      </c>
      <c r="CP114">
        <v>0</v>
      </c>
      <c r="CQ114">
        <v>1656.5</v>
      </c>
      <c r="CR114">
        <v>13.6</v>
      </c>
      <c r="CS114">
        <v>0</v>
      </c>
      <c r="CT114">
        <v>7216.3</v>
      </c>
      <c r="CU114">
        <v>0</v>
      </c>
      <c r="CV114">
        <v>0</v>
      </c>
      <c r="CW114">
        <v>577.20000000000005</v>
      </c>
      <c r="CX114">
        <v>1607.2</v>
      </c>
      <c r="CY114">
        <v>0</v>
      </c>
      <c r="CZ114">
        <v>3716.6</v>
      </c>
      <c r="DA114">
        <v>0</v>
      </c>
      <c r="DB114">
        <v>291.5</v>
      </c>
      <c r="DC114">
        <v>1225</v>
      </c>
      <c r="DD114">
        <v>100.1</v>
      </c>
      <c r="DE114">
        <v>186</v>
      </c>
      <c r="DF114">
        <v>0</v>
      </c>
      <c r="DG114">
        <v>11983.8</v>
      </c>
      <c r="DH114">
        <v>0</v>
      </c>
      <c r="DI114">
        <v>30181.599999999999</v>
      </c>
      <c r="DJ114">
        <v>6623.6</v>
      </c>
      <c r="DK114">
        <v>1860</v>
      </c>
      <c r="DL114">
        <v>0</v>
      </c>
      <c r="DM114">
        <v>0</v>
      </c>
    </row>
    <row r="115" spans="1:117" x14ac:dyDescent="0.3">
      <c r="A115" t="s">
        <v>167</v>
      </c>
      <c r="B115">
        <v>2035</v>
      </c>
      <c r="C115">
        <v>89946170</v>
      </c>
      <c r="D115">
        <v>5665178.5</v>
      </c>
      <c r="E115">
        <v>315819.2</v>
      </c>
      <c r="F115">
        <v>2239022.7999999998</v>
      </c>
      <c r="G115">
        <v>98166185.599999994</v>
      </c>
      <c r="H115">
        <v>86712389.200000003</v>
      </c>
      <c r="I115">
        <v>-41071662.299999997</v>
      </c>
      <c r="J115">
        <v>83692090</v>
      </c>
      <c r="K115">
        <v>147134460</v>
      </c>
      <c r="L115">
        <v>3.5900000000000001E-2</v>
      </c>
      <c r="M115">
        <v>5.3900000000000003E-2</v>
      </c>
      <c r="N115">
        <v>0.16</v>
      </c>
      <c r="O115">
        <v>86723.78</v>
      </c>
      <c r="P115">
        <v>22224.9</v>
      </c>
      <c r="Q115">
        <v>0.94</v>
      </c>
      <c r="R115">
        <v>0.93</v>
      </c>
      <c r="S115">
        <v>53.6</v>
      </c>
      <c r="T115">
        <v>5.9</v>
      </c>
      <c r="U115">
        <v>0.85</v>
      </c>
      <c r="V115">
        <v>2.4</v>
      </c>
      <c r="W115">
        <v>127</v>
      </c>
      <c r="X115">
        <v>0.04</v>
      </c>
      <c r="Y115">
        <v>54</v>
      </c>
      <c r="Z115">
        <v>6.2</v>
      </c>
      <c r="AA115">
        <v>60.1</v>
      </c>
      <c r="AB115">
        <v>65</v>
      </c>
      <c r="AC115">
        <v>7.2</v>
      </c>
      <c r="AD115">
        <v>1.04</v>
      </c>
      <c r="AE115">
        <v>2.8</v>
      </c>
      <c r="AF115">
        <v>153.69999999999999</v>
      </c>
      <c r="AG115">
        <v>0.04</v>
      </c>
      <c r="AH115">
        <v>65.5</v>
      </c>
      <c r="AI115">
        <v>7.4</v>
      </c>
      <c r="AJ115">
        <v>72.900000000000006</v>
      </c>
      <c r="AK115">
        <v>118.4</v>
      </c>
      <c r="AL115">
        <v>6.8</v>
      </c>
      <c r="AM115">
        <v>0.94</v>
      </c>
      <c r="AN115">
        <v>9.9</v>
      </c>
      <c r="AO115">
        <v>467</v>
      </c>
      <c r="AP115">
        <v>0.06</v>
      </c>
      <c r="AQ115">
        <v>118.9</v>
      </c>
      <c r="AR115">
        <v>23.8</v>
      </c>
      <c r="AS115">
        <v>142.69999999999999</v>
      </c>
      <c r="AT115">
        <v>380</v>
      </c>
      <c r="AU115">
        <v>31.1</v>
      </c>
      <c r="AV115">
        <v>4.45</v>
      </c>
      <c r="AW115">
        <v>24.2</v>
      </c>
      <c r="AX115">
        <v>1195.9000000000001</v>
      </c>
      <c r="AY115">
        <v>0.22</v>
      </c>
      <c r="AZ115">
        <v>382.2</v>
      </c>
      <c r="BA115">
        <v>59.9</v>
      </c>
      <c r="BB115">
        <v>442.1</v>
      </c>
      <c r="BC115">
        <v>8492612.9000000004</v>
      </c>
      <c r="BD115">
        <v>933.2</v>
      </c>
      <c r="BE115">
        <v>135.30000000000001</v>
      </c>
      <c r="BF115">
        <v>375282</v>
      </c>
      <c r="BG115">
        <v>20115.400000000001</v>
      </c>
      <c r="BH115">
        <v>5.8</v>
      </c>
      <c r="BI115">
        <v>8557371.1999999993</v>
      </c>
      <c r="BJ115">
        <v>976316.8</v>
      </c>
      <c r="BK115">
        <v>9533688</v>
      </c>
      <c r="BL115">
        <v>0</v>
      </c>
      <c r="BM115">
        <v>12.46</v>
      </c>
      <c r="BN115">
        <v>13.79</v>
      </c>
      <c r="BO115">
        <v>0</v>
      </c>
      <c r="BP115">
        <v>26.25</v>
      </c>
      <c r="BQ115">
        <v>13.79</v>
      </c>
      <c r="BR115">
        <v>15.83</v>
      </c>
      <c r="BS115">
        <v>0</v>
      </c>
      <c r="BT115">
        <v>29.61</v>
      </c>
      <c r="BU115">
        <v>162047660</v>
      </c>
      <c r="BV115">
        <v>139237840</v>
      </c>
      <c r="BW115">
        <v>4834731.5</v>
      </c>
      <c r="BX115">
        <v>33218.400000000001</v>
      </c>
      <c r="BY115">
        <v>0</v>
      </c>
      <c r="BZ115">
        <v>0</v>
      </c>
      <c r="CA115">
        <v>7947599</v>
      </c>
      <c r="CB115">
        <v>0</v>
      </c>
      <c r="CC115">
        <v>0</v>
      </c>
      <c r="CD115">
        <v>1495340.1</v>
      </c>
      <c r="CE115">
        <v>1185408.3999999999</v>
      </c>
      <c r="CF115">
        <v>0</v>
      </c>
      <c r="CG115">
        <v>545.4</v>
      </c>
      <c r="CH115">
        <v>0</v>
      </c>
      <c r="CI115">
        <v>373841.8</v>
      </c>
      <c r="CJ115">
        <v>8185299</v>
      </c>
      <c r="CK115">
        <v>0</v>
      </c>
      <c r="CL115">
        <v>249167.2</v>
      </c>
      <c r="CM115">
        <v>0</v>
      </c>
      <c r="CN115">
        <v>30889370</v>
      </c>
      <c r="CO115">
        <v>106853140</v>
      </c>
      <c r="CP115">
        <v>0</v>
      </c>
      <c r="CQ115">
        <v>2869.1</v>
      </c>
      <c r="CR115">
        <v>13.6</v>
      </c>
      <c r="CS115">
        <v>0</v>
      </c>
      <c r="CT115">
        <v>7105</v>
      </c>
      <c r="CU115">
        <v>0</v>
      </c>
      <c r="CV115">
        <v>0</v>
      </c>
      <c r="CW115">
        <v>1086.3</v>
      </c>
      <c r="CX115">
        <v>1607.2</v>
      </c>
      <c r="CY115">
        <v>0</v>
      </c>
      <c r="CZ115">
        <v>3527.7</v>
      </c>
      <c r="DA115">
        <v>0</v>
      </c>
      <c r="DB115">
        <v>291.5</v>
      </c>
      <c r="DC115">
        <v>1225</v>
      </c>
      <c r="DD115">
        <v>94</v>
      </c>
      <c r="DE115">
        <v>186</v>
      </c>
      <c r="DF115">
        <v>0</v>
      </c>
      <c r="DG115">
        <v>14013.1</v>
      </c>
      <c r="DH115">
        <v>0</v>
      </c>
      <c r="DI115">
        <v>31888.400000000001</v>
      </c>
      <c r="DJ115">
        <v>14191.5</v>
      </c>
      <c r="DK115">
        <v>1860</v>
      </c>
      <c r="DL115">
        <v>0</v>
      </c>
      <c r="DM115">
        <v>0</v>
      </c>
    </row>
    <row r="116" spans="1:117" x14ac:dyDescent="0.3">
      <c r="A116" t="s">
        <v>167</v>
      </c>
      <c r="B116">
        <v>2040</v>
      </c>
      <c r="C116">
        <v>96421930</v>
      </c>
      <c r="D116">
        <v>6566811.5</v>
      </c>
      <c r="E116">
        <v>326684.2</v>
      </c>
      <c r="F116">
        <v>2350610.2000000002</v>
      </c>
      <c r="G116">
        <v>105666037.8</v>
      </c>
      <c r="H116">
        <v>92955376</v>
      </c>
      <c r="I116">
        <v>-41247768.899999999</v>
      </c>
      <c r="J116">
        <v>88541740</v>
      </c>
      <c r="K116">
        <v>150366450</v>
      </c>
      <c r="L116">
        <v>3.5900000000000001E-2</v>
      </c>
      <c r="M116">
        <v>5.3900000000000003E-2</v>
      </c>
      <c r="N116">
        <v>0.16</v>
      </c>
      <c r="O116">
        <v>85859.31</v>
      </c>
      <c r="P116">
        <v>24276</v>
      </c>
      <c r="Q116">
        <v>0.96</v>
      </c>
      <c r="R116">
        <v>0.95</v>
      </c>
      <c r="S116">
        <v>37.9</v>
      </c>
      <c r="T116">
        <v>4.0999999999999996</v>
      </c>
      <c r="U116">
        <v>0.6</v>
      </c>
      <c r="V116">
        <v>1.8</v>
      </c>
      <c r="W116">
        <v>91.1</v>
      </c>
      <c r="X116">
        <v>0.03</v>
      </c>
      <c r="Y116">
        <v>38.200000000000003</v>
      </c>
      <c r="Z116">
        <v>4.5</v>
      </c>
      <c r="AA116">
        <v>42.8</v>
      </c>
      <c r="AB116">
        <v>44.6</v>
      </c>
      <c r="AC116">
        <v>4.9000000000000004</v>
      </c>
      <c r="AD116">
        <v>0.71</v>
      </c>
      <c r="AE116">
        <v>2.1</v>
      </c>
      <c r="AF116">
        <v>106.5</v>
      </c>
      <c r="AG116">
        <v>0.03</v>
      </c>
      <c r="AH116">
        <v>44.9</v>
      </c>
      <c r="AI116">
        <v>5.3</v>
      </c>
      <c r="AJ116">
        <v>50.2</v>
      </c>
      <c r="AK116">
        <v>145.5</v>
      </c>
      <c r="AL116">
        <v>9</v>
      </c>
      <c r="AM116">
        <v>1.24</v>
      </c>
      <c r="AN116">
        <v>11.7</v>
      </c>
      <c r="AO116">
        <v>560.20000000000005</v>
      </c>
      <c r="AP116">
        <v>7.0000000000000007E-2</v>
      </c>
      <c r="AQ116">
        <v>146.1</v>
      </c>
      <c r="AR116">
        <v>28.5</v>
      </c>
      <c r="AS116">
        <v>174.5</v>
      </c>
      <c r="AT116">
        <v>327.7</v>
      </c>
      <c r="AU116">
        <v>25.8</v>
      </c>
      <c r="AV116">
        <v>3.67</v>
      </c>
      <c r="AW116">
        <v>21.9</v>
      </c>
      <c r="AX116">
        <v>1070</v>
      </c>
      <c r="AY116">
        <v>0.19</v>
      </c>
      <c r="AZ116">
        <v>329.5</v>
      </c>
      <c r="BA116">
        <v>53.8</v>
      </c>
      <c r="BB116">
        <v>383.3</v>
      </c>
      <c r="BC116">
        <v>6207621.4000000004</v>
      </c>
      <c r="BD116">
        <v>678.2</v>
      </c>
      <c r="BE116">
        <v>98.3</v>
      </c>
      <c r="BF116">
        <v>296069.40000000002</v>
      </c>
      <c r="BG116">
        <v>14872.6</v>
      </c>
      <c r="BH116">
        <v>4.7</v>
      </c>
      <c r="BI116">
        <v>6254674.2000000002</v>
      </c>
      <c r="BJ116">
        <v>740552.1</v>
      </c>
      <c r="BK116">
        <v>6995226.2999999998</v>
      </c>
      <c r="BL116">
        <v>0</v>
      </c>
      <c r="BM116">
        <v>10.8</v>
      </c>
      <c r="BN116">
        <v>13.33</v>
      </c>
      <c r="BO116">
        <v>0</v>
      </c>
      <c r="BP116">
        <v>24.13</v>
      </c>
      <c r="BQ116">
        <v>12</v>
      </c>
      <c r="BR116">
        <v>15.32</v>
      </c>
      <c r="BS116">
        <v>0</v>
      </c>
      <c r="BT116">
        <v>27.32</v>
      </c>
      <c r="BU116">
        <v>167943120</v>
      </c>
      <c r="BV116">
        <v>146913810</v>
      </c>
      <c r="BW116">
        <v>5593400.5</v>
      </c>
      <c r="BX116">
        <v>29922.3</v>
      </c>
      <c r="BY116">
        <v>0</v>
      </c>
      <c r="BZ116">
        <v>0</v>
      </c>
      <c r="CA116">
        <v>5790506.5</v>
      </c>
      <c r="CB116">
        <v>0</v>
      </c>
      <c r="CC116">
        <v>0</v>
      </c>
      <c r="CD116">
        <v>2206599.7999999998</v>
      </c>
      <c r="CE116">
        <v>979299.4</v>
      </c>
      <c r="CF116">
        <v>0</v>
      </c>
      <c r="CG116">
        <v>419.6</v>
      </c>
      <c r="CH116">
        <v>0</v>
      </c>
      <c r="CI116">
        <v>345274.3</v>
      </c>
      <c r="CJ116">
        <v>8030335</v>
      </c>
      <c r="CK116">
        <v>0</v>
      </c>
      <c r="CL116">
        <v>260148.4</v>
      </c>
      <c r="CM116">
        <v>0</v>
      </c>
      <c r="CN116">
        <v>31277926</v>
      </c>
      <c r="CO116">
        <v>113429270</v>
      </c>
      <c r="CP116">
        <v>0</v>
      </c>
      <c r="CQ116">
        <v>3256.4</v>
      </c>
      <c r="CR116">
        <v>13.6</v>
      </c>
      <c r="CS116">
        <v>0</v>
      </c>
      <c r="CT116">
        <v>7105</v>
      </c>
      <c r="CU116">
        <v>0</v>
      </c>
      <c r="CV116">
        <v>0</v>
      </c>
      <c r="CW116">
        <v>1601.4</v>
      </c>
      <c r="CX116">
        <v>1607.2</v>
      </c>
      <c r="CY116">
        <v>0</v>
      </c>
      <c r="CZ116">
        <v>3336.6</v>
      </c>
      <c r="DA116">
        <v>0</v>
      </c>
      <c r="DB116">
        <v>291.5</v>
      </c>
      <c r="DC116">
        <v>1225</v>
      </c>
      <c r="DD116">
        <v>45.3</v>
      </c>
      <c r="DE116">
        <v>186</v>
      </c>
      <c r="DF116">
        <v>0</v>
      </c>
      <c r="DG116">
        <v>14968.4</v>
      </c>
      <c r="DH116">
        <v>0</v>
      </c>
      <c r="DI116">
        <v>35161</v>
      </c>
      <c r="DJ116">
        <v>15897.3</v>
      </c>
      <c r="DK116">
        <v>1860</v>
      </c>
      <c r="DL116">
        <v>0</v>
      </c>
      <c r="DM116">
        <v>0</v>
      </c>
    </row>
    <row r="117" spans="1:117" x14ac:dyDescent="0.3">
      <c r="A117" t="s">
        <v>167</v>
      </c>
      <c r="B117">
        <v>2045</v>
      </c>
      <c r="C117">
        <v>102026090</v>
      </c>
      <c r="D117">
        <v>15052624</v>
      </c>
      <c r="E117">
        <v>348312.2</v>
      </c>
      <c r="F117">
        <v>2561772.1</v>
      </c>
      <c r="G117">
        <v>119988800.2</v>
      </c>
      <c r="H117">
        <v>98358021</v>
      </c>
      <c r="I117">
        <v>-46190077.299999997</v>
      </c>
      <c r="J117">
        <v>98115490</v>
      </c>
      <c r="K117">
        <v>162083310</v>
      </c>
      <c r="L117">
        <v>3.5900000000000001E-2</v>
      </c>
      <c r="M117">
        <v>5.3900000000000003E-2</v>
      </c>
      <c r="N117">
        <v>0.16</v>
      </c>
      <c r="O117">
        <v>86148.9</v>
      </c>
      <c r="P117">
        <v>25899.1</v>
      </c>
      <c r="Q117">
        <v>0.97</v>
      </c>
      <c r="R117">
        <v>0.97</v>
      </c>
      <c r="S117">
        <v>22.6</v>
      </c>
      <c r="T117">
        <v>2.4</v>
      </c>
      <c r="U117">
        <v>0.34</v>
      </c>
      <c r="V117">
        <v>0.9</v>
      </c>
      <c r="W117">
        <v>57.3</v>
      </c>
      <c r="X117">
        <v>0.01</v>
      </c>
      <c r="Y117">
        <v>22.8</v>
      </c>
      <c r="Z117">
        <v>2.6</v>
      </c>
      <c r="AA117">
        <v>25.5</v>
      </c>
      <c r="AB117">
        <v>25.8</v>
      </c>
      <c r="AC117">
        <v>2.7</v>
      </c>
      <c r="AD117">
        <v>0.39</v>
      </c>
      <c r="AE117">
        <v>1.1000000000000001</v>
      </c>
      <c r="AF117">
        <v>65.099999999999994</v>
      </c>
      <c r="AG117">
        <v>0.01</v>
      </c>
      <c r="AH117">
        <v>26</v>
      </c>
      <c r="AI117">
        <v>3</v>
      </c>
      <c r="AJ117">
        <v>29</v>
      </c>
      <c r="AK117">
        <v>155.1</v>
      </c>
      <c r="AL117">
        <v>8.6999999999999993</v>
      </c>
      <c r="AM117">
        <v>1.19</v>
      </c>
      <c r="AN117">
        <v>13.5</v>
      </c>
      <c r="AO117">
        <v>626.4</v>
      </c>
      <c r="AP117">
        <v>0.08</v>
      </c>
      <c r="AQ117">
        <v>155.69999999999999</v>
      </c>
      <c r="AR117">
        <v>32.200000000000003</v>
      </c>
      <c r="AS117">
        <v>187.9</v>
      </c>
      <c r="AT117">
        <v>276.7</v>
      </c>
      <c r="AU117">
        <v>20.6</v>
      </c>
      <c r="AV117">
        <v>2.91</v>
      </c>
      <c r="AW117">
        <v>19.5</v>
      </c>
      <c r="AX117">
        <v>948.5</v>
      </c>
      <c r="AY117">
        <v>0.15</v>
      </c>
      <c r="AZ117">
        <v>278.10000000000002</v>
      </c>
      <c r="BA117">
        <v>47.8</v>
      </c>
      <c r="BB117">
        <v>326</v>
      </c>
      <c r="BC117">
        <v>4038023.6</v>
      </c>
      <c r="BD117">
        <v>421</v>
      </c>
      <c r="BE117">
        <v>60.9</v>
      </c>
      <c r="BF117">
        <v>164902.9</v>
      </c>
      <c r="BG117">
        <v>10196.9</v>
      </c>
      <c r="BH117">
        <v>2</v>
      </c>
      <c r="BI117">
        <v>4067182.7</v>
      </c>
      <c r="BJ117">
        <v>469309</v>
      </c>
      <c r="BK117">
        <v>4536491.7</v>
      </c>
      <c r="BL117">
        <v>0</v>
      </c>
      <c r="BM117">
        <v>8.9700000000000006</v>
      </c>
      <c r="BN117">
        <v>12.4</v>
      </c>
      <c r="BO117">
        <v>0</v>
      </c>
      <c r="BP117">
        <v>21.38</v>
      </c>
      <c r="BQ117">
        <v>10.44</v>
      </c>
      <c r="BR117">
        <v>15.23</v>
      </c>
      <c r="BS117">
        <v>0</v>
      </c>
      <c r="BT117">
        <v>25.68</v>
      </c>
      <c r="BU117">
        <v>184405360</v>
      </c>
      <c r="BV117">
        <v>166178880</v>
      </c>
      <c r="BW117">
        <v>12867255</v>
      </c>
      <c r="BX117">
        <v>26514.2</v>
      </c>
      <c r="BY117">
        <v>0</v>
      </c>
      <c r="BZ117">
        <v>0</v>
      </c>
      <c r="CA117">
        <v>3592008.8</v>
      </c>
      <c r="CB117">
        <v>0</v>
      </c>
      <c r="CC117">
        <v>0</v>
      </c>
      <c r="CD117">
        <v>2820658.2</v>
      </c>
      <c r="CE117">
        <v>1155707.1000000001</v>
      </c>
      <c r="CF117">
        <v>0</v>
      </c>
      <c r="CG117">
        <v>428.7</v>
      </c>
      <c r="CH117">
        <v>0</v>
      </c>
      <c r="CI117">
        <v>308702.59999999998</v>
      </c>
      <c r="CJ117">
        <v>0</v>
      </c>
      <c r="CK117">
        <v>0</v>
      </c>
      <c r="CL117">
        <v>275866</v>
      </c>
      <c r="CM117">
        <v>0</v>
      </c>
      <c r="CN117">
        <v>45961796</v>
      </c>
      <c r="CO117">
        <v>117396430</v>
      </c>
      <c r="CP117">
        <v>0</v>
      </c>
      <c r="CQ117">
        <v>7110.6</v>
      </c>
      <c r="CR117">
        <v>13.6</v>
      </c>
      <c r="CS117">
        <v>0</v>
      </c>
      <c r="CT117">
        <v>6349.3</v>
      </c>
      <c r="CU117">
        <v>0</v>
      </c>
      <c r="CV117">
        <v>0</v>
      </c>
      <c r="CW117">
        <v>2162</v>
      </c>
      <c r="CX117">
        <v>1607.2</v>
      </c>
      <c r="CY117">
        <v>0</v>
      </c>
      <c r="CZ117">
        <v>3113.5</v>
      </c>
      <c r="DA117">
        <v>0</v>
      </c>
      <c r="DB117">
        <v>291.5</v>
      </c>
      <c r="DC117">
        <v>0</v>
      </c>
      <c r="DD117">
        <v>36.5</v>
      </c>
      <c r="DE117">
        <v>186</v>
      </c>
      <c r="DF117">
        <v>0</v>
      </c>
      <c r="DG117">
        <v>22570.9</v>
      </c>
      <c r="DH117">
        <v>0</v>
      </c>
      <c r="DI117">
        <v>37433</v>
      </c>
      <c r="DJ117">
        <v>36920.300000000003</v>
      </c>
      <c r="DK117">
        <v>1860</v>
      </c>
      <c r="DL117">
        <v>0</v>
      </c>
      <c r="DM117">
        <v>0</v>
      </c>
    </row>
    <row r="118" spans="1:117" x14ac:dyDescent="0.3">
      <c r="A118" t="s">
        <v>167</v>
      </c>
      <c r="B118">
        <v>2050</v>
      </c>
      <c r="C118">
        <v>106955200</v>
      </c>
      <c r="D118">
        <v>15932069</v>
      </c>
      <c r="E118">
        <v>354557</v>
      </c>
      <c r="F118">
        <v>2602003.7999999998</v>
      </c>
      <c r="G118">
        <v>125843827.3</v>
      </c>
      <c r="H118">
        <v>103109787.3</v>
      </c>
      <c r="I118">
        <v>-53230132.799999997</v>
      </c>
      <c r="J118">
        <v>96047680</v>
      </c>
      <c r="K118">
        <v>167656900</v>
      </c>
      <c r="L118">
        <v>3.5900000000000001E-2</v>
      </c>
      <c r="M118">
        <v>5.3900000000000003E-2</v>
      </c>
      <c r="N118">
        <v>0.16</v>
      </c>
      <c r="O118">
        <v>86212.75</v>
      </c>
      <c r="P118">
        <v>27154.3</v>
      </c>
      <c r="Q118">
        <v>0.98</v>
      </c>
      <c r="R118">
        <v>0.97</v>
      </c>
      <c r="S118">
        <v>19.2</v>
      </c>
      <c r="T118">
        <v>1.9</v>
      </c>
      <c r="U118">
        <v>0.27</v>
      </c>
      <c r="V118">
        <v>0.9</v>
      </c>
      <c r="W118">
        <v>51.3</v>
      </c>
      <c r="X118">
        <v>0.01</v>
      </c>
      <c r="Y118">
        <v>19.3</v>
      </c>
      <c r="Z118">
        <v>2.4</v>
      </c>
      <c r="AA118">
        <v>21.7</v>
      </c>
      <c r="AB118">
        <v>21.9</v>
      </c>
      <c r="AC118">
        <v>2.2000000000000002</v>
      </c>
      <c r="AD118">
        <v>0.31</v>
      </c>
      <c r="AE118">
        <v>1</v>
      </c>
      <c r="AF118">
        <v>58.7</v>
      </c>
      <c r="AG118">
        <v>0.01</v>
      </c>
      <c r="AH118">
        <v>22</v>
      </c>
      <c r="AI118">
        <v>2.7</v>
      </c>
      <c r="AJ118">
        <v>24.8</v>
      </c>
      <c r="AK118">
        <v>159.69999999999999</v>
      </c>
      <c r="AL118">
        <v>8.5</v>
      </c>
      <c r="AM118">
        <v>1.1499999999999999</v>
      </c>
      <c r="AN118">
        <v>14.5</v>
      </c>
      <c r="AO118">
        <v>661.2</v>
      </c>
      <c r="AP118">
        <v>0.09</v>
      </c>
      <c r="AQ118">
        <v>160.30000000000001</v>
      </c>
      <c r="AR118">
        <v>34.200000000000003</v>
      </c>
      <c r="AS118">
        <v>194.5</v>
      </c>
      <c r="AT118">
        <v>256.60000000000002</v>
      </c>
      <c r="AU118">
        <v>16.5</v>
      </c>
      <c r="AV118">
        <v>2.2999999999999998</v>
      </c>
      <c r="AW118">
        <v>20.2</v>
      </c>
      <c r="AX118">
        <v>960</v>
      </c>
      <c r="AY118">
        <v>0.13</v>
      </c>
      <c r="AZ118">
        <v>257.8</v>
      </c>
      <c r="BA118">
        <v>48.9</v>
      </c>
      <c r="BB118">
        <v>306.60000000000002</v>
      </c>
      <c r="BC118">
        <v>3679617.1</v>
      </c>
      <c r="BD118">
        <v>366.2</v>
      </c>
      <c r="BE118">
        <v>52.8</v>
      </c>
      <c r="BF118">
        <v>166133.5</v>
      </c>
      <c r="BG118">
        <v>9844.5</v>
      </c>
      <c r="BH118">
        <v>1.8</v>
      </c>
      <c r="BI118">
        <v>3704932.3</v>
      </c>
      <c r="BJ118">
        <v>459987.20000000001</v>
      </c>
      <c r="BK118">
        <v>4164919.5</v>
      </c>
      <c r="BL118">
        <v>0</v>
      </c>
      <c r="BM118">
        <v>8.8000000000000007</v>
      </c>
      <c r="BN118">
        <v>12.18</v>
      </c>
      <c r="BO118">
        <v>0</v>
      </c>
      <c r="BP118">
        <v>20.98</v>
      </c>
      <c r="BQ118">
        <v>10.31</v>
      </c>
      <c r="BR118">
        <v>14.94</v>
      </c>
      <c r="BS118">
        <v>0</v>
      </c>
      <c r="BT118">
        <v>25.26</v>
      </c>
      <c r="BU118">
        <v>197935330</v>
      </c>
      <c r="BV118">
        <v>179073970</v>
      </c>
      <c r="BW118">
        <v>13616893</v>
      </c>
      <c r="BX118">
        <v>25421.599999999999</v>
      </c>
      <c r="BY118">
        <v>0</v>
      </c>
      <c r="BZ118">
        <v>0</v>
      </c>
      <c r="CA118">
        <v>3147941.2</v>
      </c>
      <c r="CB118">
        <v>0</v>
      </c>
      <c r="CC118">
        <v>0</v>
      </c>
      <c r="CD118">
        <v>3476038.8</v>
      </c>
      <c r="CE118">
        <v>1490927.5</v>
      </c>
      <c r="CF118">
        <v>0</v>
      </c>
      <c r="CG118">
        <v>59.9</v>
      </c>
      <c r="CH118">
        <v>0</v>
      </c>
      <c r="CI118">
        <v>294069.2</v>
      </c>
      <c r="CJ118">
        <v>0</v>
      </c>
      <c r="CK118">
        <v>0</v>
      </c>
      <c r="CL118">
        <v>286050.5</v>
      </c>
      <c r="CM118">
        <v>0</v>
      </c>
      <c r="CN118">
        <v>50433324</v>
      </c>
      <c r="CO118">
        <v>125164590</v>
      </c>
      <c r="CP118">
        <v>0</v>
      </c>
      <c r="CQ118">
        <v>7528.8</v>
      </c>
      <c r="CR118">
        <v>13.6</v>
      </c>
      <c r="CS118">
        <v>0</v>
      </c>
      <c r="CT118">
        <v>5164</v>
      </c>
      <c r="CU118">
        <v>0</v>
      </c>
      <c r="CV118">
        <v>0</v>
      </c>
      <c r="CW118">
        <v>2781</v>
      </c>
      <c r="CX118">
        <v>1607.2</v>
      </c>
      <c r="CY118">
        <v>0</v>
      </c>
      <c r="CZ118">
        <v>2920.5</v>
      </c>
      <c r="DA118">
        <v>0</v>
      </c>
      <c r="DB118">
        <v>291.5</v>
      </c>
      <c r="DC118">
        <v>0</v>
      </c>
      <c r="DD118">
        <v>29.3</v>
      </c>
      <c r="DE118">
        <v>186</v>
      </c>
      <c r="DF118">
        <v>0</v>
      </c>
      <c r="DG118">
        <v>26680.1</v>
      </c>
      <c r="DH118">
        <v>0</v>
      </c>
      <c r="DI118">
        <v>40112.400000000001</v>
      </c>
      <c r="DJ118">
        <v>35704.9</v>
      </c>
      <c r="DK118">
        <v>1860</v>
      </c>
      <c r="DL118">
        <v>0</v>
      </c>
      <c r="DM118">
        <v>0</v>
      </c>
    </row>
    <row r="119" spans="1:117" x14ac:dyDescent="0.3">
      <c r="A119" t="s">
        <v>168</v>
      </c>
      <c r="B119">
        <v>2024</v>
      </c>
      <c r="C119">
        <v>111129970</v>
      </c>
      <c r="D119">
        <v>11086.8</v>
      </c>
      <c r="E119">
        <v>443341.2</v>
      </c>
      <c r="F119">
        <v>1960746.6</v>
      </c>
      <c r="G119">
        <v>113545148.40000001</v>
      </c>
      <c r="H119">
        <v>107134614.3</v>
      </c>
      <c r="I119">
        <v>-16213325.5</v>
      </c>
      <c r="J119">
        <v>71704040</v>
      </c>
      <c r="K119">
        <v>118754480</v>
      </c>
      <c r="L119">
        <v>3.5900000000000001E-2</v>
      </c>
      <c r="M119">
        <v>5.3999999999999999E-2</v>
      </c>
      <c r="N119">
        <v>0.16</v>
      </c>
      <c r="O119">
        <v>6622.49</v>
      </c>
      <c r="P119">
        <v>25183.9</v>
      </c>
      <c r="Q119">
        <v>0.82</v>
      </c>
      <c r="R119">
        <v>0.8</v>
      </c>
      <c r="S119">
        <v>100.3</v>
      </c>
      <c r="T119">
        <v>6.1</v>
      </c>
      <c r="U119">
        <v>0.84</v>
      </c>
      <c r="V119">
        <v>8.1</v>
      </c>
      <c r="W119">
        <v>388.3</v>
      </c>
      <c r="X119">
        <v>0.05</v>
      </c>
      <c r="Y119">
        <v>100.7</v>
      </c>
      <c r="Z119">
        <v>19.7</v>
      </c>
      <c r="AA119">
        <v>120.4</v>
      </c>
      <c r="AB119">
        <v>125.3</v>
      </c>
      <c r="AC119">
        <v>8.4</v>
      </c>
      <c r="AD119">
        <v>1.17</v>
      </c>
      <c r="AE119">
        <v>9.4</v>
      </c>
      <c r="AF119">
        <v>460.4</v>
      </c>
      <c r="AG119">
        <v>0.06</v>
      </c>
      <c r="AH119">
        <v>125.8</v>
      </c>
      <c r="AI119">
        <v>23.2</v>
      </c>
      <c r="AJ119">
        <v>149</v>
      </c>
      <c r="AK119">
        <v>337.5</v>
      </c>
      <c r="AL119">
        <v>21.7</v>
      </c>
      <c r="AM119">
        <v>3.08</v>
      </c>
      <c r="AN119">
        <v>26.9</v>
      </c>
      <c r="AO119">
        <v>1208.8</v>
      </c>
      <c r="AP119">
        <v>0.21</v>
      </c>
      <c r="AQ119">
        <v>339</v>
      </c>
      <c r="AR119">
        <v>63</v>
      </c>
      <c r="AS119">
        <v>402</v>
      </c>
      <c r="AT119">
        <v>584.6</v>
      </c>
      <c r="AU119">
        <v>46.5</v>
      </c>
      <c r="AV119">
        <v>6.71</v>
      </c>
      <c r="AW119">
        <v>38.6</v>
      </c>
      <c r="AX119">
        <v>1819.9</v>
      </c>
      <c r="AY119">
        <v>0.36</v>
      </c>
      <c r="AZ119">
        <v>587.79999999999995</v>
      </c>
      <c r="BA119">
        <v>92.9</v>
      </c>
      <c r="BB119">
        <v>680.7</v>
      </c>
      <c r="BC119">
        <v>15955694.1</v>
      </c>
      <c r="BD119">
        <v>964.6</v>
      </c>
      <c r="BE119">
        <v>133.19999999999999</v>
      </c>
      <c r="BF119">
        <v>1291756.3</v>
      </c>
      <c r="BG119">
        <v>61799.6</v>
      </c>
      <c r="BH119">
        <v>7.8</v>
      </c>
      <c r="BI119">
        <v>16020815.6</v>
      </c>
      <c r="BJ119">
        <v>3135514</v>
      </c>
      <c r="BK119">
        <v>19156329.600000001</v>
      </c>
      <c r="BL119">
        <v>0</v>
      </c>
      <c r="BM119">
        <v>20.95</v>
      </c>
      <c r="BN119">
        <v>1.4</v>
      </c>
      <c r="BO119">
        <v>0</v>
      </c>
      <c r="BP119">
        <v>22.35</v>
      </c>
      <c r="BQ119">
        <v>22.3</v>
      </c>
      <c r="BR119">
        <v>1.53</v>
      </c>
      <c r="BS119">
        <v>0</v>
      </c>
      <c r="BT119">
        <v>23.83</v>
      </c>
      <c r="BU119">
        <v>160916690</v>
      </c>
      <c r="BV119">
        <v>129758480</v>
      </c>
      <c r="BW119">
        <v>9346.2999999999993</v>
      </c>
      <c r="BX119">
        <v>36560.300000000003</v>
      </c>
      <c r="BY119">
        <v>0</v>
      </c>
      <c r="BZ119">
        <v>0</v>
      </c>
      <c r="CA119">
        <v>6191877.5</v>
      </c>
      <c r="CB119">
        <v>0</v>
      </c>
      <c r="CC119">
        <v>0</v>
      </c>
      <c r="CD119">
        <v>534319.9</v>
      </c>
      <c r="CE119">
        <v>21617812</v>
      </c>
      <c r="CF119">
        <v>0</v>
      </c>
      <c r="CG119">
        <v>203273.3</v>
      </c>
      <c r="CH119">
        <v>0</v>
      </c>
      <c r="CI119">
        <v>2510041</v>
      </c>
      <c r="CJ119">
        <v>0</v>
      </c>
      <c r="CK119">
        <v>234790.8</v>
      </c>
      <c r="CL119">
        <v>354511.3</v>
      </c>
      <c r="CM119">
        <v>0</v>
      </c>
      <c r="CN119">
        <v>27115088</v>
      </c>
      <c r="CO119">
        <v>102109064</v>
      </c>
      <c r="CP119">
        <v>0</v>
      </c>
      <c r="CQ119">
        <v>10</v>
      </c>
      <c r="CR119">
        <v>9.6</v>
      </c>
      <c r="CS119">
        <v>0</v>
      </c>
      <c r="CT119">
        <v>6834</v>
      </c>
      <c r="CU119">
        <v>0</v>
      </c>
      <c r="CV119">
        <v>0</v>
      </c>
      <c r="CW119">
        <v>371.3</v>
      </c>
      <c r="CX119">
        <v>9539.7000000000007</v>
      </c>
      <c r="CY119">
        <v>0</v>
      </c>
      <c r="CZ119">
        <v>2000.1</v>
      </c>
      <c r="DA119">
        <v>0</v>
      </c>
      <c r="DB119">
        <v>1231</v>
      </c>
      <c r="DC119">
        <v>0</v>
      </c>
      <c r="DD119">
        <v>1307.5</v>
      </c>
      <c r="DE119">
        <v>258</v>
      </c>
      <c r="DF119">
        <v>0</v>
      </c>
      <c r="DG119">
        <v>11129</v>
      </c>
      <c r="DH119">
        <v>0</v>
      </c>
      <c r="DI119">
        <v>29682</v>
      </c>
      <c r="DJ119">
        <v>20</v>
      </c>
      <c r="DK119">
        <v>2580</v>
      </c>
      <c r="DL119">
        <v>0</v>
      </c>
      <c r="DM119">
        <v>0</v>
      </c>
    </row>
    <row r="120" spans="1:117" x14ac:dyDescent="0.3">
      <c r="A120" t="s">
        <v>168</v>
      </c>
      <c r="B120">
        <v>2026</v>
      </c>
      <c r="C120">
        <v>113478220</v>
      </c>
      <c r="D120">
        <v>805807.4</v>
      </c>
      <c r="E120">
        <v>442576.1</v>
      </c>
      <c r="F120">
        <v>2199034.5</v>
      </c>
      <c r="G120">
        <v>116925642.90000001</v>
      </c>
      <c r="H120">
        <v>109398446.2</v>
      </c>
      <c r="I120">
        <v>-35893749.5</v>
      </c>
      <c r="J120">
        <v>73334730</v>
      </c>
      <c r="K120">
        <v>134222340</v>
      </c>
      <c r="L120">
        <v>3.5900000000000001E-2</v>
      </c>
      <c r="M120">
        <v>5.3999999999999999E-2</v>
      </c>
      <c r="N120">
        <v>0.16</v>
      </c>
      <c r="O120">
        <v>45815.29</v>
      </c>
      <c r="P120">
        <v>25733.8</v>
      </c>
      <c r="Q120">
        <v>0.88</v>
      </c>
      <c r="R120">
        <v>0.85</v>
      </c>
      <c r="S120">
        <v>67.099999999999994</v>
      </c>
      <c r="T120">
        <v>3.8</v>
      </c>
      <c r="U120">
        <v>0.52</v>
      </c>
      <c r="V120">
        <v>5.7</v>
      </c>
      <c r="W120">
        <v>269.8</v>
      </c>
      <c r="X120">
        <v>0.03</v>
      </c>
      <c r="Y120">
        <v>67.400000000000006</v>
      </c>
      <c r="Z120">
        <v>13.7</v>
      </c>
      <c r="AA120">
        <v>81.099999999999994</v>
      </c>
      <c r="AB120">
        <v>89.2</v>
      </c>
      <c r="AC120">
        <v>5.7</v>
      </c>
      <c r="AD120">
        <v>0.79</v>
      </c>
      <c r="AE120">
        <v>7</v>
      </c>
      <c r="AF120">
        <v>339.1</v>
      </c>
      <c r="AG120">
        <v>0.04</v>
      </c>
      <c r="AH120">
        <v>89.6</v>
      </c>
      <c r="AI120">
        <v>17.2</v>
      </c>
      <c r="AJ120">
        <v>106.8</v>
      </c>
      <c r="AK120">
        <v>232.6</v>
      </c>
      <c r="AL120">
        <v>12.2</v>
      </c>
      <c r="AM120">
        <v>1.69</v>
      </c>
      <c r="AN120">
        <v>20.9</v>
      </c>
      <c r="AO120">
        <v>928.4</v>
      </c>
      <c r="AP120">
        <v>0.13</v>
      </c>
      <c r="AQ120">
        <v>233.4</v>
      </c>
      <c r="AR120">
        <v>48.6</v>
      </c>
      <c r="AS120">
        <v>282.10000000000002</v>
      </c>
      <c r="AT120">
        <v>504</v>
      </c>
      <c r="AU120">
        <v>39.700000000000003</v>
      </c>
      <c r="AV120">
        <v>5.68</v>
      </c>
      <c r="AW120">
        <v>33.299999999999997</v>
      </c>
      <c r="AX120">
        <v>1615.8</v>
      </c>
      <c r="AY120">
        <v>0.28999999999999998</v>
      </c>
      <c r="AZ120">
        <v>506.7</v>
      </c>
      <c r="BA120">
        <v>81.5</v>
      </c>
      <c r="BB120">
        <v>588.20000000000005</v>
      </c>
      <c r="BC120">
        <v>11830097.5</v>
      </c>
      <c r="BD120">
        <v>665.1</v>
      </c>
      <c r="BE120">
        <v>90.9</v>
      </c>
      <c r="BF120">
        <v>1001363.8</v>
      </c>
      <c r="BG120">
        <v>47555.5</v>
      </c>
      <c r="BH120">
        <v>5.7</v>
      </c>
      <c r="BI120">
        <v>11874729</v>
      </c>
      <c r="BJ120">
        <v>2420060.5</v>
      </c>
      <c r="BK120">
        <v>14294789.5</v>
      </c>
      <c r="BL120">
        <v>0</v>
      </c>
      <c r="BM120">
        <v>17.89</v>
      </c>
      <c r="BN120">
        <v>9.19</v>
      </c>
      <c r="BO120">
        <v>0</v>
      </c>
      <c r="BP120">
        <v>27.08</v>
      </c>
      <c r="BQ120">
        <v>19.170000000000002</v>
      </c>
      <c r="BR120">
        <v>10.09</v>
      </c>
      <c r="BS120">
        <v>0</v>
      </c>
      <c r="BT120">
        <v>29.26</v>
      </c>
      <c r="BU120">
        <v>178190900</v>
      </c>
      <c r="BV120">
        <v>152819400</v>
      </c>
      <c r="BW120">
        <v>679966.9</v>
      </c>
      <c r="BX120">
        <v>32133.9</v>
      </c>
      <c r="BY120">
        <v>0</v>
      </c>
      <c r="BZ120">
        <v>0</v>
      </c>
      <c r="CA120">
        <v>4134512</v>
      </c>
      <c r="CB120">
        <v>0</v>
      </c>
      <c r="CC120">
        <v>0</v>
      </c>
      <c r="CD120">
        <v>1084021.1000000001</v>
      </c>
      <c r="CE120">
        <v>17492966</v>
      </c>
      <c r="CF120">
        <v>0</v>
      </c>
      <c r="CG120">
        <v>164534.9</v>
      </c>
      <c r="CH120">
        <v>0</v>
      </c>
      <c r="CI120">
        <v>2390127.5</v>
      </c>
      <c r="CJ120">
        <v>0</v>
      </c>
      <c r="CK120">
        <v>116739.2</v>
      </c>
      <c r="CL120">
        <v>360530.4</v>
      </c>
      <c r="CM120">
        <v>0</v>
      </c>
      <c r="CN120">
        <v>32022924</v>
      </c>
      <c r="CO120">
        <v>119712450</v>
      </c>
      <c r="CP120">
        <v>0</v>
      </c>
      <c r="CQ120">
        <v>430.4</v>
      </c>
      <c r="CR120">
        <v>9.6</v>
      </c>
      <c r="CS120">
        <v>0</v>
      </c>
      <c r="CT120">
        <v>6365</v>
      </c>
      <c r="CU120">
        <v>0</v>
      </c>
      <c r="CV120">
        <v>0</v>
      </c>
      <c r="CW120">
        <v>728.5</v>
      </c>
      <c r="CX120">
        <v>9539.7000000000007</v>
      </c>
      <c r="CY120">
        <v>0</v>
      </c>
      <c r="CZ120">
        <v>1929.1</v>
      </c>
      <c r="DA120">
        <v>0</v>
      </c>
      <c r="DB120">
        <v>1231</v>
      </c>
      <c r="DC120">
        <v>0</v>
      </c>
      <c r="DD120">
        <v>1238.7</v>
      </c>
      <c r="DE120">
        <v>258</v>
      </c>
      <c r="DF120">
        <v>0</v>
      </c>
      <c r="DG120">
        <v>13313.9</v>
      </c>
      <c r="DH120">
        <v>0</v>
      </c>
      <c r="DI120">
        <v>36230.1</v>
      </c>
      <c r="DJ120">
        <v>1526.3</v>
      </c>
      <c r="DK120">
        <v>2580</v>
      </c>
      <c r="DL120">
        <v>0</v>
      </c>
      <c r="DM120">
        <v>0</v>
      </c>
    </row>
    <row r="121" spans="1:117" x14ac:dyDescent="0.3">
      <c r="A121" t="s">
        <v>168</v>
      </c>
      <c r="B121">
        <v>2028</v>
      </c>
      <c r="C121">
        <v>116249040</v>
      </c>
      <c r="D121">
        <v>1124643</v>
      </c>
      <c r="E121">
        <v>404667.2</v>
      </c>
      <c r="F121">
        <v>2984618.9</v>
      </c>
      <c r="G121">
        <v>120762965.40000001</v>
      </c>
      <c r="H121">
        <v>112069664.7</v>
      </c>
      <c r="I121">
        <v>-77133539.200000003</v>
      </c>
      <c r="J121">
        <v>85703600</v>
      </c>
      <c r="K121">
        <v>181047410</v>
      </c>
      <c r="L121">
        <v>3.5900000000000001E-2</v>
      </c>
      <c r="M121">
        <v>5.3999999999999999E-2</v>
      </c>
      <c r="N121">
        <v>0.16</v>
      </c>
      <c r="O121">
        <v>54727.58</v>
      </c>
      <c r="P121">
        <v>27673.3</v>
      </c>
      <c r="Q121">
        <v>0.93</v>
      </c>
      <c r="R121">
        <v>0.9</v>
      </c>
      <c r="S121">
        <v>34.4</v>
      </c>
      <c r="T121">
        <v>1.5</v>
      </c>
      <c r="U121">
        <v>0.2</v>
      </c>
      <c r="V121">
        <v>3.3</v>
      </c>
      <c r="W121">
        <v>151.6</v>
      </c>
      <c r="X121">
        <v>0.02</v>
      </c>
      <c r="Y121">
        <v>34.5</v>
      </c>
      <c r="Z121">
        <v>7.8</v>
      </c>
      <c r="AA121">
        <v>42.3</v>
      </c>
      <c r="AB121">
        <v>52.7</v>
      </c>
      <c r="AC121">
        <v>2.9</v>
      </c>
      <c r="AD121">
        <v>0.4</v>
      </c>
      <c r="AE121">
        <v>4.5999999999999996</v>
      </c>
      <c r="AF121">
        <v>213.2</v>
      </c>
      <c r="AG121">
        <v>0.03</v>
      </c>
      <c r="AH121">
        <v>52.9</v>
      </c>
      <c r="AI121">
        <v>10.9</v>
      </c>
      <c r="AJ121">
        <v>63.8</v>
      </c>
      <c r="AK121">
        <v>142.5</v>
      </c>
      <c r="AL121">
        <v>4.9000000000000004</v>
      </c>
      <c r="AM121">
        <v>0.63</v>
      </c>
      <c r="AN121">
        <v>14.9</v>
      </c>
      <c r="AO121">
        <v>664.5</v>
      </c>
      <c r="AP121">
        <v>7.0000000000000007E-2</v>
      </c>
      <c r="AQ121">
        <v>142.80000000000001</v>
      </c>
      <c r="AR121">
        <v>34.799999999999997</v>
      </c>
      <c r="AS121">
        <v>177.5</v>
      </c>
      <c r="AT121">
        <v>404.5</v>
      </c>
      <c r="AU121">
        <v>29.5</v>
      </c>
      <c r="AV121">
        <v>4.21</v>
      </c>
      <c r="AW121">
        <v>29</v>
      </c>
      <c r="AX121">
        <v>1369.7</v>
      </c>
      <c r="AY121">
        <v>0.24</v>
      </c>
      <c r="AZ121">
        <v>406.5</v>
      </c>
      <c r="BA121">
        <v>69.900000000000006</v>
      </c>
      <c r="BB121">
        <v>476.4</v>
      </c>
      <c r="BC121">
        <v>7351999.0999999996</v>
      </c>
      <c r="BD121">
        <v>322.39999999999998</v>
      </c>
      <c r="BE121">
        <v>42.5</v>
      </c>
      <c r="BF121">
        <v>705059.8</v>
      </c>
      <c r="BG121">
        <v>32420.2</v>
      </c>
      <c r="BH121">
        <v>3.5</v>
      </c>
      <c r="BI121">
        <v>7373200</v>
      </c>
      <c r="BJ121">
        <v>1672128.3</v>
      </c>
      <c r="BK121">
        <v>9045328.3000000007</v>
      </c>
      <c r="BL121">
        <v>0</v>
      </c>
      <c r="BM121">
        <v>14.48</v>
      </c>
      <c r="BN121">
        <v>8.9499999999999993</v>
      </c>
      <c r="BO121">
        <v>0</v>
      </c>
      <c r="BP121">
        <v>23.44</v>
      </c>
      <c r="BQ121">
        <v>15.55</v>
      </c>
      <c r="BR121">
        <v>9.82</v>
      </c>
      <c r="BS121">
        <v>0</v>
      </c>
      <c r="BT121">
        <v>25.37</v>
      </c>
      <c r="BU121">
        <v>216708530</v>
      </c>
      <c r="BV121">
        <v>197896510</v>
      </c>
      <c r="BW121">
        <v>947550.2</v>
      </c>
      <c r="BX121">
        <v>28569.9</v>
      </c>
      <c r="BY121">
        <v>0</v>
      </c>
      <c r="BZ121">
        <v>0</v>
      </c>
      <c r="CA121">
        <v>1750309.4</v>
      </c>
      <c r="CB121">
        <v>0</v>
      </c>
      <c r="CC121">
        <v>0</v>
      </c>
      <c r="CD121">
        <v>1824935.6</v>
      </c>
      <c r="CE121">
        <v>13223498</v>
      </c>
      <c r="CF121">
        <v>0</v>
      </c>
      <c r="CG121">
        <v>101658.5</v>
      </c>
      <c r="CH121">
        <v>0</v>
      </c>
      <c r="CI121">
        <v>2364779.2000000002</v>
      </c>
      <c r="CJ121">
        <v>0</v>
      </c>
      <c r="CK121">
        <v>76852</v>
      </c>
      <c r="CL121">
        <v>318812.40000000002</v>
      </c>
      <c r="CM121">
        <v>0</v>
      </c>
      <c r="CN121">
        <v>43887116</v>
      </c>
      <c r="CO121">
        <v>152184450</v>
      </c>
      <c r="CP121">
        <v>0</v>
      </c>
      <c r="CQ121">
        <v>600.9</v>
      </c>
      <c r="CR121">
        <v>9.6</v>
      </c>
      <c r="CS121">
        <v>0</v>
      </c>
      <c r="CT121">
        <v>5365</v>
      </c>
      <c r="CU121">
        <v>0</v>
      </c>
      <c r="CV121">
        <v>0</v>
      </c>
      <c r="CW121">
        <v>1250.5</v>
      </c>
      <c r="CX121">
        <v>9383.7000000000007</v>
      </c>
      <c r="CY121">
        <v>0</v>
      </c>
      <c r="CZ121">
        <v>1929.1</v>
      </c>
      <c r="DA121">
        <v>0</v>
      </c>
      <c r="DB121">
        <v>1270</v>
      </c>
      <c r="DC121">
        <v>0</v>
      </c>
      <c r="DD121">
        <v>1238.7</v>
      </c>
      <c r="DE121">
        <v>258</v>
      </c>
      <c r="DF121">
        <v>0</v>
      </c>
      <c r="DG121">
        <v>19159.099999999999</v>
      </c>
      <c r="DH121">
        <v>0</v>
      </c>
      <c r="DI121">
        <v>47231</v>
      </c>
      <c r="DJ121">
        <v>2214.1999999999998</v>
      </c>
      <c r="DK121">
        <v>2580</v>
      </c>
      <c r="DL121">
        <v>0</v>
      </c>
      <c r="DM121">
        <v>0</v>
      </c>
    </row>
    <row r="122" spans="1:117" x14ac:dyDescent="0.3">
      <c r="A122" t="s">
        <v>168</v>
      </c>
      <c r="B122">
        <v>2030</v>
      </c>
      <c r="C122">
        <v>119406616</v>
      </c>
      <c r="D122">
        <v>1757106.2</v>
      </c>
      <c r="E122">
        <v>395763.8</v>
      </c>
      <c r="F122">
        <v>3592414</v>
      </c>
      <c r="G122">
        <v>125151907.2</v>
      </c>
      <c r="H122">
        <v>115113770.40000001</v>
      </c>
      <c r="I122">
        <v>-78875793.900000006</v>
      </c>
      <c r="J122">
        <v>112373656</v>
      </c>
      <c r="K122">
        <v>205137400</v>
      </c>
      <c r="L122">
        <v>3.5900000000000001E-2</v>
      </c>
      <c r="M122">
        <v>5.3900000000000003E-2</v>
      </c>
      <c r="N122">
        <v>0.16</v>
      </c>
      <c r="O122">
        <v>59705.66</v>
      </c>
      <c r="P122">
        <v>28592</v>
      </c>
      <c r="Q122">
        <v>0.95</v>
      </c>
      <c r="R122">
        <v>0.93</v>
      </c>
      <c r="S122">
        <v>24.1</v>
      </c>
      <c r="T122">
        <v>1.2</v>
      </c>
      <c r="U122">
        <v>0.16</v>
      </c>
      <c r="V122">
        <v>2.2000000000000002</v>
      </c>
      <c r="W122">
        <v>102.2</v>
      </c>
      <c r="X122">
        <v>0.01</v>
      </c>
      <c r="Y122">
        <v>24.1</v>
      </c>
      <c r="Z122">
        <v>5.2</v>
      </c>
      <c r="AA122">
        <v>29.4</v>
      </c>
      <c r="AB122">
        <v>39.299999999999997</v>
      </c>
      <c r="AC122">
        <v>2.5</v>
      </c>
      <c r="AD122">
        <v>0.35</v>
      </c>
      <c r="AE122">
        <v>3.1</v>
      </c>
      <c r="AF122">
        <v>148.9</v>
      </c>
      <c r="AG122">
        <v>0.02</v>
      </c>
      <c r="AH122">
        <v>39.4</v>
      </c>
      <c r="AI122">
        <v>7.6</v>
      </c>
      <c r="AJ122">
        <v>47</v>
      </c>
      <c r="AK122">
        <v>96.9</v>
      </c>
      <c r="AL122">
        <v>3.3</v>
      </c>
      <c r="AM122">
        <v>0.42</v>
      </c>
      <c r="AN122">
        <v>10.199999999999999</v>
      </c>
      <c r="AO122">
        <v>451.8</v>
      </c>
      <c r="AP122">
        <v>0.05</v>
      </c>
      <c r="AQ122">
        <v>97.1</v>
      </c>
      <c r="AR122">
        <v>23.7</v>
      </c>
      <c r="AS122">
        <v>120.8</v>
      </c>
      <c r="AT122">
        <v>362.2</v>
      </c>
      <c r="AU122">
        <v>27.4</v>
      </c>
      <c r="AV122">
        <v>3.89</v>
      </c>
      <c r="AW122">
        <v>25.1</v>
      </c>
      <c r="AX122">
        <v>1211.0999999999999</v>
      </c>
      <c r="AY122">
        <v>0.21</v>
      </c>
      <c r="AZ122">
        <v>364.1</v>
      </c>
      <c r="BA122">
        <v>61.2</v>
      </c>
      <c r="BB122">
        <v>425.3</v>
      </c>
      <c r="BC122">
        <v>5182513.4000000004</v>
      </c>
      <c r="BD122">
        <v>255.4</v>
      </c>
      <c r="BE122">
        <v>34.200000000000003</v>
      </c>
      <c r="BF122">
        <v>471240.4</v>
      </c>
      <c r="BG122">
        <v>21996.1</v>
      </c>
      <c r="BH122">
        <v>2.4</v>
      </c>
      <c r="BI122">
        <v>5199469.7</v>
      </c>
      <c r="BJ122">
        <v>1127388.7</v>
      </c>
      <c r="BK122">
        <v>6326858.5</v>
      </c>
      <c r="BL122">
        <v>0</v>
      </c>
      <c r="BM122">
        <v>13.24</v>
      </c>
      <c r="BN122">
        <v>9.6300000000000008</v>
      </c>
      <c r="BO122">
        <v>0</v>
      </c>
      <c r="BP122">
        <v>22.87</v>
      </c>
      <c r="BQ122">
        <v>14.25</v>
      </c>
      <c r="BR122">
        <v>10.62</v>
      </c>
      <c r="BS122">
        <v>0</v>
      </c>
      <c r="BT122">
        <v>24.87</v>
      </c>
      <c r="BU122">
        <v>218504420</v>
      </c>
      <c r="BV122">
        <v>204027700</v>
      </c>
      <c r="BW122">
        <v>1490269.4</v>
      </c>
      <c r="BX122">
        <v>26257.5</v>
      </c>
      <c r="BY122">
        <v>0</v>
      </c>
      <c r="BZ122">
        <v>0</v>
      </c>
      <c r="CA122">
        <v>1507262.2</v>
      </c>
      <c r="CB122">
        <v>0</v>
      </c>
      <c r="CC122">
        <v>0</v>
      </c>
      <c r="CD122">
        <v>2905321.2</v>
      </c>
      <c r="CE122">
        <v>8734374</v>
      </c>
      <c r="CF122">
        <v>0</v>
      </c>
      <c r="CG122">
        <v>49385</v>
      </c>
      <c r="CH122">
        <v>0</v>
      </c>
      <c r="CI122">
        <v>2309894.2000000002</v>
      </c>
      <c r="CJ122">
        <v>0</v>
      </c>
      <c r="CK122">
        <v>42156.7</v>
      </c>
      <c r="CL122">
        <v>317124.7</v>
      </c>
      <c r="CM122">
        <v>0</v>
      </c>
      <c r="CN122">
        <v>42816004</v>
      </c>
      <c r="CO122">
        <v>158306370</v>
      </c>
      <c r="CP122">
        <v>0</v>
      </c>
      <c r="CQ122">
        <v>884.3</v>
      </c>
      <c r="CR122">
        <v>9.6</v>
      </c>
      <c r="CS122">
        <v>0</v>
      </c>
      <c r="CT122">
        <v>5365</v>
      </c>
      <c r="CU122">
        <v>0</v>
      </c>
      <c r="CV122">
        <v>0</v>
      </c>
      <c r="CW122">
        <v>1999</v>
      </c>
      <c r="CX122">
        <v>9017.9</v>
      </c>
      <c r="CY122">
        <v>0</v>
      </c>
      <c r="CZ122">
        <v>1929.1</v>
      </c>
      <c r="DA122">
        <v>0</v>
      </c>
      <c r="DB122">
        <v>1270</v>
      </c>
      <c r="DC122">
        <v>0</v>
      </c>
      <c r="DD122">
        <v>1238.7</v>
      </c>
      <c r="DE122">
        <v>258</v>
      </c>
      <c r="DF122">
        <v>0</v>
      </c>
      <c r="DG122">
        <v>19367.400000000001</v>
      </c>
      <c r="DH122">
        <v>0</v>
      </c>
      <c r="DI122">
        <v>49607</v>
      </c>
      <c r="DJ122">
        <v>3719.5</v>
      </c>
      <c r="DK122">
        <v>2580</v>
      </c>
      <c r="DL122">
        <v>0</v>
      </c>
      <c r="DM122">
        <v>0</v>
      </c>
    </row>
    <row r="123" spans="1:117" x14ac:dyDescent="0.3">
      <c r="A123" t="s">
        <v>168</v>
      </c>
      <c r="B123">
        <v>2035</v>
      </c>
      <c r="C123">
        <v>127408616</v>
      </c>
      <c r="D123">
        <v>4551333</v>
      </c>
      <c r="E123">
        <v>392547.3</v>
      </c>
      <c r="F123">
        <v>3879571.9</v>
      </c>
      <c r="G123">
        <v>136232056.30000001</v>
      </c>
      <c r="H123">
        <v>122828203.40000001</v>
      </c>
      <c r="I123">
        <v>-83602052.099999994</v>
      </c>
      <c r="J123">
        <v>122660590</v>
      </c>
      <c r="K123">
        <v>219536540</v>
      </c>
      <c r="L123">
        <v>3.5900000000000001E-2</v>
      </c>
      <c r="M123">
        <v>5.3900000000000003E-2</v>
      </c>
      <c r="N123">
        <v>0.16</v>
      </c>
      <c r="O123">
        <v>84339.78</v>
      </c>
      <c r="P123">
        <v>31094.799999999999</v>
      </c>
      <c r="Q123">
        <v>0.97</v>
      </c>
      <c r="R123">
        <v>0.95</v>
      </c>
      <c r="S123">
        <v>16.399999999999999</v>
      </c>
      <c r="T123">
        <v>0.9</v>
      </c>
      <c r="U123">
        <v>0.12</v>
      </c>
      <c r="V123">
        <v>1.4</v>
      </c>
      <c r="W123">
        <v>68.5</v>
      </c>
      <c r="X123">
        <v>0.01</v>
      </c>
      <c r="Y123">
        <v>16.5</v>
      </c>
      <c r="Z123">
        <v>3.5</v>
      </c>
      <c r="AA123">
        <v>20</v>
      </c>
      <c r="AB123">
        <v>28.1</v>
      </c>
      <c r="AC123">
        <v>1.9</v>
      </c>
      <c r="AD123">
        <v>0.27</v>
      </c>
      <c r="AE123">
        <v>2.1</v>
      </c>
      <c r="AF123">
        <v>102.5</v>
      </c>
      <c r="AG123">
        <v>0.02</v>
      </c>
      <c r="AH123">
        <v>28.2</v>
      </c>
      <c r="AI123">
        <v>5.2</v>
      </c>
      <c r="AJ123">
        <v>33.4</v>
      </c>
      <c r="AK123">
        <v>120.8</v>
      </c>
      <c r="AL123">
        <v>5.6</v>
      </c>
      <c r="AM123">
        <v>0.74</v>
      </c>
      <c r="AN123">
        <v>11.4</v>
      </c>
      <c r="AO123">
        <v>521.1</v>
      </c>
      <c r="AP123">
        <v>0.06</v>
      </c>
      <c r="AQ123">
        <v>121.2</v>
      </c>
      <c r="AR123">
        <v>26.9</v>
      </c>
      <c r="AS123">
        <v>148.19999999999999</v>
      </c>
      <c r="AT123">
        <v>326.10000000000002</v>
      </c>
      <c r="AU123">
        <v>24.3</v>
      </c>
      <c r="AV123">
        <v>3.45</v>
      </c>
      <c r="AW123">
        <v>22.9</v>
      </c>
      <c r="AX123">
        <v>1101.9000000000001</v>
      </c>
      <c r="AY123">
        <v>0.18</v>
      </c>
      <c r="AZ123">
        <v>327.8</v>
      </c>
      <c r="BA123">
        <v>55.8</v>
      </c>
      <c r="BB123">
        <v>383.6</v>
      </c>
      <c r="BC123">
        <v>3761944.8</v>
      </c>
      <c r="BD123">
        <v>195.5</v>
      </c>
      <c r="BE123">
        <v>26.4</v>
      </c>
      <c r="BF123">
        <v>332424.2</v>
      </c>
      <c r="BG123">
        <v>15693.4</v>
      </c>
      <c r="BH123">
        <v>1.7</v>
      </c>
      <c r="BI123">
        <v>3774965.3</v>
      </c>
      <c r="BJ123">
        <v>800563.5</v>
      </c>
      <c r="BK123">
        <v>4575528.9000000004</v>
      </c>
      <c r="BL123">
        <v>0</v>
      </c>
      <c r="BM123">
        <v>11.93</v>
      </c>
      <c r="BN123">
        <v>13.47</v>
      </c>
      <c r="BO123">
        <v>0</v>
      </c>
      <c r="BP123">
        <v>25.4</v>
      </c>
      <c r="BQ123">
        <v>13</v>
      </c>
      <c r="BR123">
        <v>15.12</v>
      </c>
      <c r="BS123">
        <v>0</v>
      </c>
      <c r="BT123">
        <v>28.12</v>
      </c>
      <c r="BU123">
        <v>233729800</v>
      </c>
      <c r="BV123">
        <v>219834110</v>
      </c>
      <c r="BW123">
        <v>3865037.5</v>
      </c>
      <c r="BX123">
        <v>24775.8</v>
      </c>
      <c r="BY123">
        <v>0</v>
      </c>
      <c r="BZ123">
        <v>0</v>
      </c>
      <c r="CA123">
        <v>1210587.3999999999</v>
      </c>
      <c r="CB123">
        <v>0</v>
      </c>
      <c r="CC123">
        <v>0</v>
      </c>
      <c r="CD123">
        <v>4824715</v>
      </c>
      <c r="CE123">
        <v>6079635.5</v>
      </c>
      <c r="CF123">
        <v>0</v>
      </c>
      <c r="CG123">
        <v>127336</v>
      </c>
      <c r="CH123">
        <v>0</v>
      </c>
      <c r="CI123">
        <v>2263501.2000000002</v>
      </c>
      <c r="CJ123">
        <v>0</v>
      </c>
      <c r="CK123">
        <v>13246.1</v>
      </c>
      <c r="CL123">
        <v>311558.40000000002</v>
      </c>
      <c r="CM123">
        <v>0</v>
      </c>
      <c r="CN123">
        <v>45756464</v>
      </c>
      <c r="CO123">
        <v>169252930</v>
      </c>
      <c r="CP123">
        <v>0</v>
      </c>
      <c r="CQ123">
        <v>1933.2</v>
      </c>
      <c r="CR123">
        <v>9.6</v>
      </c>
      <c r="CS123">
        <v>0</v>
      </c>
      <c r="CT123">
        <v>5365</v>
      </c>
      <c r="CU123">
        <v>0</v>
      </c>
      <c r="CV123">
        <v>0</v>
      </c>
      <c r="CW123">
        <v>3487.8</v>
      </c>
      <c r="CX123">
        <v>8735.9</v>
      </c>
      <c r="CY123">
        <v>0</v>
      </c>
      <c r="CZ123">
        <v>3094.1</v>
      </c>
      <c r="DA123">
        <v>0</v>
      </c>
      <c r="DB123">
        <v>1278</v>
      </c>
      <c r="DC123">
        <v>0</v>
      </c>
      <c r="DD123">
        <v>1238.7</v>
      </c>
      <c r="DE123">
        <v>258</v>
      </c>
      <c r="DF123">
        <v>0</v>
      </c>
      <c r="DG123">
        <v>21705</v>
      </c>
      <c r="DH123">
        <v>0</v>
      </c>
      <c r="DI123">
        <v>52828.3</v>
      </c>
      <c r="DJ123">
        <v>10883.9</v>
      </c>
      <c r="DK123">
        <v>2580</v>
      </c>
      <c r="DL123">
        <v>0</v>
      </c>
      <c r="DM123">
        <v>0</v>
      </c>
    </row>
    <row r="124" spans="1:117" x14ac:dyDescent="0.3">
      <c r="A124" t="s">
        <v>168</v>
      </c>
      <c r="B124">
        <v>2040</v>
      </c>
      <c r="C124">
        <v>136645060</v>
      </c>
      <c r="D124">
        <v>6822949</v>
      </c>
      <c r="E124">
        <v>401024.4</v>
      </c>
      <c r="F124">
        <v>4270835.3</v>
      </c>
      <c r="G124">
        <v>148139872.19999999</v>
      </c>
      <c r="H124">
        <v>131732735.59999999</v>
      </c>
      <c r="I124">
        <v>-101291167.90000001</v>
      </c>
      <c r="J124">
        <v>128765040</v>
      </c>
      <c r="K124">
        <v>243437180</v>
      </c>
      <c r="L124">
        <v>3.5900000000000001E-2</v>
      </c>
      <c r="M124">
        <v>5.3900000000000003E-2</v>
      </c>
      <c r="N124">
        <v>0.16</v>
      </c>
      <c r="O124">
        <v>85363.71</v>
      </c>
      <c r="P124">
        <v>33886</v>
      </c>
      <c r="Q124">
        <v>0.98</v>
      </c>
      <c r="R124">
        <v>0.97</v>
      </c>
      <c r="S124">
        <v>10.8</v>
      </c>
      <c r="T124">
        <v>0.5</v>
      </c>
      <c r="U124">
        <v>0.06</v>
      </c>
      <c r="V124">
        <v>1</v>
      </c>
      <c r="W124">
        <v>47.4</v>
      </c>
      <c r="X124">
        <v>0.01</v>
      </c>
      <c r="Y124">
        <v>10.9</v>
      </c>
      <c r="Z124">
        <v>2.4</v>
      </c>
      <c r="AA124">
        <v>13.3</v>
      </c>
      <c r="AB124">
        <v>18.899999999999999</v>
      </c>
      <c r="AC124">
        <v>1.2</v>
      </c>
      <c r="AD124">
        <v>0.17</v>
      </c>
      <c r="AE124">
        <v>1.5</v>
      </c>
      <c r="AF124">
        <v>71.400000000000006</v>
      </c>
      <c r="AG124">
        <v>0.01</v>
      </c>
      <c r="AH124">
        <v>19</v>
      </c>
      <c r="AI124">
        <v>3.7</v>
      </c>
      <c r="AJ124">
        <v>22.7</v>
      </c>
      <c r="AK124">
        <v>151</v>
      </c>
      <c r="AL124">
        <v>7.9</v>
      </c>
      <c r="AM124">
        <v>1.06</v>
      </c>
      <c r="AN124">
        <v>13.5</v>
      </c>
      <c r="AO124">
        <v>627.5</v>
      </c>
      <c r="AP124">
        <v>7.0000000000000007E-2</v>
      </c>
      <c r="AQ124">
        <v>151.5</v>
      </c>
      <c r="AR124">
        <v>32.200000000000003</v>
      </c>
      <c r="AS124">
        <v>183.7</v>
      </c>
      <c r="AT124">
        <v>284.60000000000002</v>
      </c>
      <c r="AU124">
        <v>20.3</v>
      </c>
      <c r="AV124">
        <v>2.86</v>
      </c>
      <c r="AW124">
        <v>20.9</v>
      </c>
      <c r="AX124">
        <v>997.8</v>
      </c>
      <c r="AY124">
        <v>0.16</v>
      </c>
      <c r="AZ124">
        <v>286</v>
      </c>
      <c r="BA124">
        <v>50.7</v>
      </c>
      <c r="BB124">
        <v>336.7</v>
      </c>
      <c r="BC124">
        <v>2787281.6</v>
      </c>
      <c r="BD124">
        <v>126.2</v>
      </c>
      <c r="BE124">
        <v>16.7</v>
      </c>
      <c r="BF124">
        <v>263509.3</v>
      </c>
      <c r="BG124">
        <v>12200.8</v>
      </c>
      <c r="BH124">
        <v>1.3</v>
      </c>
      <c r="BI124">
        <v>2795593.6</v>
      </c>
      <c r="BJ124">
        <v>627446.19999999995</v>
      </c>
      <c r="BK124">
        <v>3423039.8</v>
      </c>
      <c r="BL124">
        <v>0</v>
      </c>
      <c r="BM124">
        <v>10.37</v>
      </c>
      <c r="BN124">
        <v>13.19</v>
      </c>
      <c r="BO124">
        <v>0</v>
      </c>
      <c r="BP124">
        <v>23.57</v>
      </c>
      <c r="BQ124">
        <v>11.41</v>
      </c>
      <c r="BR124">
        <v>15.01</v>
      </c>
      <c r="BS124">
        <v>0</v>
      </c>
      <c r="BT124">
        <v>26.42</v>
      </c>
      <c r="BU124">
        <v>263556900</v>
      </c>
      <c r="BV124">
        <v>249431040</v>
      </c>
      <c r="BW124">
        <v>5782715.5</v>
      </c>
      <c r="BX124">
        <v>23167.4</v>
      </c>
      <c r="BY124">
        <v>0</v>
      </c>
      <c r="BZ124">
        <v>0</v>
      </c>
      <c r="CA124">
        <v>719641.9</v>
      </c>
      <c r="CB124">
        <v>0</v>
      </c>
      <c r="CC124">
        <v>0</v>
      </c>
      <c r="CD124">
        <v>5768395.5</v>
      </c>
      <c r="CE124">
        <v>4925827</v>
      </c>
      <c r="CF124">
        <v>0</v>
      </c>
      <c r="CG124">
        <v>146878.1</v>
      </c>
      <c r="CH124">
        <v>0</v>
      </c>
      <c r="CI124">
        <v>2187990.2000000002</v>
      </c>
      <c r="CJ124">
        <v>0</v>
      </c>
      <c r="CK124">
        <v>16005.1</v>
      </c>
      <c r="CL124">
        <v>323617.59999999998</v>
      </c>
      <c r="CM124">
        <v>0</v>
      </c>
      <c r="CN124">
        <v>57362732</v>
      </c>
      <c r="CO124">
        <v>186299920</v>
      </c>
      <c r="CP124">
        <v>0</v>
      </c>
      <c r="CQ124">
        <v>2901.2</v>
      </c>
      <c r="CR124">
        <v>9.6</v>
      </c>
      <c r="CS124">
        <v>0</v>
      </c>
      <c r="CT124">
        <v>3280</v>
      </c>
      <c r="CU124">
        <v>0</v>
      </c>
      <c r="CV124">
        <v>0</v>
      </c>
      <c r="CW124">
        <v>4294</v>
      </c>
      <c r="CX124">
        <v>8735.9</v>
      </c>
      <c r="CY124">
        <v>0</v>
      </c>
      <c r="CZ124">
        <v>3593.7</v>
      </c>
      <c r="DA124">
        <v>0</v>
      </c>
      <c r="DB124">
        <v>1278</v>
      </c>
      <c r="DC124">
        <v>0</v>
      </c>
      <c r="DD124">
        <v>1143</v>
      </c>
      <c r="DE124">
        <v>258</v>
      </c>
      <c r="DF124">
        <v>0</v>
      </c>
      <c r="DG124">
        <v>29061.8</v>
      </c>
      <c r="DH124">
        <v>0</v>
      </c>
      <c r="DI124">
        <v>59479.7</v>
      </c>
      <c r="DJ124">
        <v>15009.3</v>
      </c>
      <c r="DK124">
        <v>2580</v>
      </c>
      <c r="DL124">
        <v>0</v>
      </c>
      <c r="DM124">
        <v>0</v>
      </c>
    </row>
    <row r="125" spans="1:117" x14ac:dyDescent="0.3">
      <c r="A125" t="s">
        <v>168</v>
      </c>
      <c r="B125">
        <v>2045</v>
      </c>
      <c r="C125">
        <v>144701730</v>
      </c>
      <c r="D125">
        <v>9357069</v>
      </c>
      <c r="E125">
        <v>415913.5</v>
      </c>
      <c r="F125">
        <v>4169699.7</v>
      </c>
      <c r="G125">
        <v>158644413</v>
      </c>
      <c r="H125">
        <v>139499825.40000001</v>
      </c>
      <c r="I125">
        <v>-93642051.099999994</v>
      </c>
      <c r="J125">
        <v>128034180</v>
      </c>
      <c r="K125">
        <v>237437010</v>
      </c>
      <c r="L125">
        <v>3.5900000000000001E-2</v>
      </c>
      <c r="M125">
        <v>5.3900000000000003E-2</v>
      </c>
      <c r="N125">
        <v>0.16</v>
      </c>
      <c r="O125">
        <v>85436.97</v>
      </c>
      <c r="P125">
        <v>36129.4</v>
      </c>
      <c r="Q125">
        <v>0.98</v>
      </c>
      <c r="R125">
        <v>0.97</v>
      </c>
      <c r="S125">
        <v>10.7</v>
      </c>
      <c r="T125">
        <v>0.4</v>
      </c>
      <c r="U125">
        <v>0.06</v>
      </c>
      <c r="V125">
        <v>1.1000000000000001</v>
      </c>
      <c r="W125">
        <v>48.4</v>
      </c>
      <c r="X125">
        <v>0</v>
      </c>
      <c r="Y125">
        <v>10.7</v>
      </c>
      <c r="Z125">
        <v>2.5</v>
      </c>
      <c r="AA125">
        <v>13.2</v>
      </c>
      <c r="AB125">
        <v>16</v>
      </c>
      <c r="AC125">
        <v>0.9</v>
      </c>
      <c r="AD125">
        <v>0.12</v>
      </c>
      <c r="AE125">
        <v>1.4</v>
      </c>
      <c r="AF125">
        <v>64.900000000000006</v>
      </c>
      <c r="AG125">
        <v>0.01</v>
      </c>
      <c r="AH125">
        <v>16</v>
      </c>
      <c r="AI125">
        <v>3.3</v>
      </c>
      <c r="AJ125">
        <v>19.399999999999999</v>
      </c>
      <c r="AK125">
        <v>161.5</v>
      </c>
      <c r="AL125">
        <v>8</v>
      </c>
      <c r="AM125">
        <v>1.06</v>
      </c>
      <c r="AN125">
        <v>15.1</v>
      </c>
      <c r="AO125">
        <v>688.3</v>
      </c>
      <c r="AP125">
        <v>0.09</v>
      </c>
      <c r="AQ125">
        <v>162</v>
      </c>
      <c r="AR125">
        <v>35.700000000000003</v>
      </c>
      <c r="AS125">
        <v>197.7</v>
      </c>
      <c r="AT125">
        <v>229.8</v>
      </c>
      <c r="AU125">
        <v>14.6</v>
      </c>
      <c r="AV125">
        <v>2.04</v>
      </c>
      <c r="AW125">
        <v>18.5</v>
      </c>
      <c r="AX125">
        <v>862.8</v>
      </c>
      <c r="AY125">
        <v>0.12</v>
      </c>
      <c r="AZ125">
        <v>230.8</v>
      </c>
      <c r="BA125">
        <v>44.2</v>
      </c>
      <c r="BB125">
        <v>275</v>
      </c>
      <c r="BC125">
        <v>2800774.2</v>
      </c>
      <c r="BD125">
        <v>114.2</v>
      </c>
      <c r="BE125">
        <v>14.8</v>
      </c>
      <c r="BF125">
        <v>275783.40000000002</v>
      </c>
      <c r="BG125">
        <v>12693.3</v>
      </c>
      <c r="BH125">
        <v>1.3</v>
      </c>
      <c r="BI125">
        <v>2808206.1</v>
      </c>
      <c r="BJ125">
        <v>654388.30000000005</v>
      </c>
      <c r="BK125">
        <v>3462594.4</v>
      </c>
      <c r="BL125">
        <v>0</v>
      </c>
      <c r="BM125">
        <v>8.86</v>
      </c>
      <c r="BN125">
        <v>12.95</v>
      </c>
      <c r="BO125">
        <v>0</v>
      </c>
      <c r="BP125">
        <v>21.82</v>
      </c>
      <c r="BQ125">
        <v>9.86</v>
      </c>
      <c r="BR125">
        <v>14.86</v>
      </c>
      <c r="BS125">
        <v>0</v>
      </c>
      <c r="BT125">
        <v>24.72</v>
      </c>
      <c r="BU125">
        <v>268785950</v>
      </c>
      <c r="BV125">
        <v>252286460</v>
      </c>
      <c r="BW125">
        <v>7937841</v>
      </c>
      <c r="BX125">
        <v>21318.799999999999</v>
      </c>
      <c r="BY125">
        <v>0</v>
      </c>
      <c r="BZ125">
        <v>0</v>
      </c>
      <c r="CA125">
        <v>611646.4</v>
      </c>
      <c r="CB125">
        <v>0</v>
      </c>
      <c r="CC125">
        <v>0</v>
      </c>
      <c r="CD125">
        <v>6207740</v>
      </c>
      <c r="CE125">
        <v>5316621.5</v>
      </c>
      <c r="CF125">
        <v>0</v>
      </c>
      <c r="CG125">
        <v>185278.8</v>
      </c>
      <c r="CH125">
        <v>0</v>
      </c>
      <c r="CI125">
        <v>2089831.8</v>
      </c>
      <c r="CJ125">
        <v>0</v>
      </c>
      <c r="CK125">
        <v>3680.9</v>
      </c>
      <c r="CL125">
        <v>333266.40000000002</v>
      </c>
      <c r="CM125">
        <v>0</v>
      </c>
      <c r="CN125">
        <v>59430860</v>
      </c>
      <c r="CO125">
        <v>186647860</v>
      </c>
      <c r="CP125">
        <v>0</v>
      </c>
      <c r="CQ125">
        <v>3751.8</v>
      </c>
      <c r="CR125">
        <v>9.6</v>
      </c>
      <c r="CS125">
        <v>0</v>
      </c>
      <c r="CT125">
        <v>3280</v>
      </c>
      <c r="CU125">
        <v>0</v>
      </c>
      <c r="CV125">
        <v>0</v>
      </c>
      <c r="CW125">
        <v>4943.2</v>
      </c>
      <c r="CX125">
        <v>8615.9</v>
      </c>
      <c r="CY125">
        <v>0</v>
      </c>
      <c r="CZ125">
        <v>4227.3999999999996</v>
      </c>
      <c r="DA125">
        <v>0</v>
      </c>
      <c r="DB125">
        <v>1278</v>
      </c>
      <c r="DC125">
        <v>0</v>
      </c>
      <c r="DD125">
        <v>354</v>
      </c>
      <c r="DE125">
        <v>258</v>
      </c>
      <c r="DF125">
        <v>0</v>
      </c>
      <c r="DG125">
        <v>32262.400000000001</v>
      </c>
      <c r="DH125">
        <v>0</v>
      </c>
      <c r="DI125">
        <v>59890.3</v>
      </c>
      <c r="DJ125">
        <v>20861.099999999999</v>
      </c>
      <c r="DK125">
        <v>2580</v>
      </c>
      <c r="DL125">
        <v>0</v>
      </c>
      <c r="DM125">
        <v>0</v>
      </c>
    </row>
    <row r="126" spans="1:117" x14ac:dyDescent="0.3">
      <c r="A126" t="s">
        <v>168</v>
      </c>
      <c r="B126">
        <v>2050</v>
      </c>
      <c r="C126">
        <v>151735180</v>
      </c>
      <c r="D126">
        <v>10944963</v>
      </c>
      <c r="E126">
        <v>440551.6</v>
      </c>
      <c r="F126">
        <v>4573132.2</v>
      </c>
      <c r="G126">
        <v>167693825.09999999</v>
      </c>
      <c r="H126">
        <v>146280390.69999999</v>
      </c>
      <c r="I126">
        <v>-97791635.400000006</v>
      </c>
      <c r="J126">
        <v>141359620</v>
      </c>
      <c r="K126">
        <v>258603940</v>
      </c>
      <c r="L126">
        <v>3.5900000000000001E-2</v>
      </c>
      <c r="M126">
        <v>5.3900000000000003E-2</v>
      </c>
      <c r="N126">
        <v>0.16</v>
      </c>
      <c r="O126">
        <v>84945</v>
      </c>
      <c r="P126">
        <v>37908.699999999997</v>
      </c>
      <c r="Q126">
        <v>0.97</v>
      </c>
      <c r="R126">
        <v>0.97</v>
      </c>
      <c r="S126">
        <v>16.399999999999999</v>
      </c>
      <c r="T126">
        <v>1</v>
      </c>
      <c r="U126">
        <v>0.13</v>
      </c>
      <c r="V126">
        <v>1.4</v>
      </c>
      <c r="W126">
        <v>65.3</v>
      </c>
      <c r="X126">
        <v>0.01</v>
      </c>
      <c r="Y126">
        <v>16.5</v>
      </c>
      <c r="Z126">
        <v>3.3</v>
      </c>
      <c r="AA126">
        <v>19.8</v>
      </c>
      <c r="AB126">
        <v>20.399999999999999</v>
      </c>
      <c r="AC126">
        <v>1.4</v>
      </c>
      <c r="AD126">
        <v>0.19</v>
      </c>
      <c r="AE126">
        <v>1.5</v>
      </c>
      <c r="AF126">
        <v>74.900000000000006</v>
      </c>
      <c r="AG126">
        <v>0.01</v>
      </c>
      <c r="AH126">
        <v>20.5</v>
      </c>
      <c r="AI126">
        <v>3.7</v>
      </c>
      <c r="AJ126">
        <v>24.3</v>
      </c>
      <c r="AK126">
        <v>158.69999999999999</v>
      </c>
      <c r="AL126">
        <v>7.4</v>
      </c>
      <c r="AM126">
        <v>0.98</v>
      </c>
      <c r="AN126">
        <v>15.5</v>
      </c>
      <c r="AO126">
        <v>690</v>
      </c>
      <c r="AP126">
        <v>0.09</v>
      </c>
      <c r="AQ126">
        <v>159.19999999999999</v>
      </c>
      <c r="AR126">
        <v>36</v>
      </c>
      <c r="AS126">
        <v>195.2</v>
      </c>
      <c r="AT126">
        <v>213.1</v>
      </c>
      <c r="AU126">
        <v>11.8</v>
      </c>
      <c r="AV126">
        <v>1.61</v>
      </c>
      <c r="AW126">
        <v>18.600000000000001</v>
      </c>
      <c r="AX126">
        <v>860.4</v>
      </c>
      <c r="AY126">
        <v>0.11</v>
      </c>
      <c r="AZ126">
        <v>213.9</v>
      </c>
      <c r="BA126">
        <v>44.3</v>
      </c>
      <c r="BB126">
        <v>258.2</v>
      </c>
      <c r="BC126">
        <v>4588181.4000000004</v>
      </c>
      <c r="BD126">
        <v>267.8</v>
      </c>
      <c r="BE126">
        <v>36.6</v>
      </c>
      <c r="BF126">
        <v>378010.4</v>
      </c>
      <c r="BG126">
        <v>18252.400000000001</v>
      </c>
      <c r="BH126">
        <v>2.1</v>
      </c>
      <c r="BI126">
        <v>4606163</v>
      </c>
      <c r="BJ126">
        <v>922508.4</v>
      </c>
      <c r="BK126">
        <v>5528671.4000000004</v>
      </c>
      <c r="BL126">
        <v>0</v>
      </c>
      <c r="BM126">
        <v>8.58</v>
      </c>
      <c r="BN126">
        <v>12.58</v>
      </c>
      <c r="BO126">
        <v>0</v>
      </c>
      <c r="BP126">
        <v>21.16</v>
      </c>
      <c r="BQ126">
        <v>9.6</v>
      </c>
      <c r="BR126">
        <v>14.51</v>
      </c>
      <c r="BS126">
        <v>0</v>
      </c>
      <c r="BT126">
        <v>24.11</v>
      </c>
      <c r="BU126">
        <v>285764350</v>
      </c>
      <c r="BV126">
        <v>265485470</v>
      </c>
      <c r="BW126">
        <v>9320718</v>
      </c>
      <c r="BX126">
        <v>19998.8</v>
      </c>
      <c r="BY126">
        <v>0</v>
      </c>
      <c r="BZ126">
        <v>0</v>
      </c>
      <c r="CA126">
        <v>1762359.6</v>
      </c>
      <c r="CB126">
        <v>0</v>
      </c>
      <c r="CC126">
        <v>0</v>
      </c>
      <c r="CD126">
        <v>7155432</v>
      </c>
      <c r="CE126">
        <v>6480914</v>
      </c>
      <c r="CF126">
        <v>0</v>
      </c>
      <c r="CG126">
        <v>287205.90000000002</v>
      </c>
      <c r="CH126">
        <v>0</v>
      </c>
      <c r="CI126">
        <v>2055137.8</v>
      </c>
      <c r="CJ126">
        <v>0</v>
      </c>
      <c r="CK126">
        <v>0</v>
      </c>
      <c r="CL126">
        <v>352550.1</v>
      </c>
      <c r="CM126">
        <v>0</v>
      </c>
      <c r="CN126">
        <v>61810060</v>
      </c>
      <c r="CO126">
        <v>196519970</v>
      </c>
      <c r="CP126">
        <v>0</v>
      </c>
      <c r="CQ126">
        <v>4491.5</v>
      </c>
      <c r="CR126">
        <v>9.6</v>
      </c>
      <c r="CS126">
        <v>0</v>
      </c>
      <c r="CT126">
        <v>3280</v>
      </c>
      <c r="CU126">
        <v>0</v>
      </c>
      <c r="CV126">
        <v>0</v>
      </c>
      <c r="CW126">
        <v>5866.6</v>
      </c>
      <c r="CX126">
        <v>8571.7999999999993</v>
      </c>
      <c r="CY126">
        <v>0</v>
      </c>
      <c r="CZ126">
        <v>4980.1000000000004</v>
      </c>
      <c r="DA126">
        <v>0</v>
      </c>
      <c r="DB126">
        <v>1278</v>
      </c>
      <c r="DC126">
        <v>0</v>
      </c>
      <c r="DD126">
        <v>0</v>
      </c>
      <c r="DE126">
        <v>258</v>
      </c>
      <c r="DF126">
        <v>0</v>
      </c>
      <c r="DG126">
        <v>34848.800000000003</v>
      </c>
      <c r="DH126">
        <v>0</v>
      </c>
      <c r="DI126">
        <v>63470.6</v>
      </c>
      <c r="DJ126">
        <v>23583.599999999999</v>
      </c>
      <c r="DK126">
        <v>2580</v>
      </c>
      <c r="DL126">
        <v>0</v>
      </c>
      <c r="DM126">
        <v>0</v>
      </c>
    </row>
    <row r="127" spans="1:117" x14ac:dyDescent="0.3">
      <c r="A127" t="s">
        <v>169</v>
      </c>
      <c r="B127">
        <v>2024</v>
      </c>
      <c r="C127">
        <v>192723410</v>
      </c>
      <c r="D127">
        <v>0</v>
      </c>
      <c r="E127">
        <v>26004.400000000001</v>
      </c>
      <c r="F127">
        <v>1533462.6</v>
      </c>
      <c r="G127">
        <v>194282876.69999999</v>
      </c>
      <c r="H127">
        <v>185794875.69999999</v>
      </c>
      <c r="I127">
        <v>189350015</v>
      </c>
      <c r="J127">
        <v>77402190</v>
      </c>
      <c r="K127">
        <v>62721740</v>
      </c>
      <c r="L127">
        <v>3.5900000000000001E-2</v>
      </c>
      <c r="M127">
        <v>5.3999999999999999E-2</v>
      </c>
      <c r="N127">
        <v>0.183</v>
      </c>
      <c r="O127">
        <v>4316.0600000000004</v>
      </c>
      <c r="P127">
        <v>40819.5</v>
      </c>
      <c r="Q127">
        <v>0.28999999999999998</v>
      </c>
      <c r="R127">
        <v>0.34</v>
      </c>
      <c r="S127">
        <v>365.4</v>
      </c>
      <c r="T127">
        <v>17.2</v>
      </c>
      <c r="U127">
        <v>2.41</v>
      </c>
      <c r="V127">
        <v>37.6</v>
      </c>
      <c r="W127">
        <v>1475.8</v>
      </c>
      <c r="X127">
        <v>0.28999999999999998</v>
      </c>
      <c r="Y127">
        <v>366.5</v>
      </c>
      <c r="Z127">
        <v>81.7</v>
      </c>
      <c r="AA127">
        <v>448.2</v>
      </c>
      <c r="AB127">
        <v>368.3</v>
      </c>
      <c r="AC127">
        <v>19.2</v>
      </c>
      <c r="AD127">
        <v>2.71</v>
      </c>
      <c r="AE127">
        <v>35.799999999999997</v>
      </c>
      <c r="AF127">
        <v>1437.4</v>
      </c>
      <c r="AG127">
        <v>0.28000000000000003</v>
      </c>
      <c r="AH127">
        <v>369.6</v>
      </c>
      <c r="AI127">
        <v>78.7</v>
      </c>
      <c r="AJ127">
        <v>448.3</v>
      </c>
      <c r="AK127">
        <v>414.3</v>
      </c>
      <c r="AL127">
        <v>20.8</v>
      </c>
      <c r="AM127">
        <v>3.01</v>
      </c>
      <c r="AN127">
        <v>39.799999999999997</v>
      </c>
      <c r="AO127">
        <v>1557.9</v>
      </c>
      <c r="AP127">
        <v>0.33</v>
      </c>
      <c r="AQ127">
        <v>415.8</v>
      </c>
      <c r="AR127">
        <v>86.3</v>
      </c>
      <c r="AS127">
        <v>502.1</v>
      </c>
      <c r="AT127">
        <v>769.5</v>
      </c>
      <c r="AU127">
        <v>58.4</v>
      </c>
      <c r="AV127">
        <v>8.4499999999999993</v>
      </c>
      <c r="AW127">
        <v>53.7</v>
      </c>
      <c r="AX127">
        <v>2437.5</v>
      </c>
      <c r="AY127">
        <v>0.5</v>
      </c>
      <c r="AZ127">
        <v>773.5</v>
      </c>
      <c r="BA127">
        <v>126.4</v>
      </c>
      <c r="BB127">
        <v>900</v>
      </c>
      <c r="BC127">
        <v>65215896.899999999</v>
      </c>
      <c r="BD127">
        <v>3071.2</v>
      </c>
      <c r="BE127">
        <v>430.2</v>
      </c>
      <c r="BF127">
        <v>6716783.4000000004</v>
      </c>
      <c r="BG127">
        <v>263359.3</v>
      </c>
      <c r="BH127">
        <v>52.6</v>
      </c>
      <c r="BI127">
        <v>65424872.399999999</v>
      </c>
      <c r="BJ127">
        <v>14579255.800000001</v>
      </c>
      <c r="BK127">
        <v>80004128.200000003</v>
      </c>
      <c r="BL127">
        <v>0</v>
      </c>
      <c r="BM127">
        <v>30.95</v>
      </c>
      <c r="BN127">
        <v>0.94</v>
      </c>
      <c r="BO127">
        <v>0</v>
      </c>
      <c r="BP127">
        <v>31.89</v>
      </c>
      <c r="BQ127">
        <v>32.770000000000003</v>
      </c>
      <c r="BR127">
        <v>1.02</v>
      </c>
      <c r="BS127">
        <v>0</v>
      </c>
      <c r="BT127">
        <v>33.79</v>
      </c>
      <c r="BU127">
        <v>179502030</v>
      </c>
      <c r="BV127">
        <v>4932861.5</v>
      </c>
      <c r="BW127">
        <v>0</v>
      </c>
      <c r="BX127">
        <v>1257300.8999999999</v>
      </c>
      <c r="BY127">
        <v>0</v>
      </c>
      <c r="BZ127">
        <v>0</v>
      </c>
      <c r="CA127">
        <v>17421412</v>
      </c>
      <c r="CB127">
        <v>0</v>
      </c>
      <c r="CC127">
        <v>0</v>
      </c>
      <c r="CD127">
        <v>1963266.8</v>
      </c>
      <c r="CE127">
        <v>100081780</v>
      </c>
      <c r="CF127">
        <v>0</v>
      </c>
      <c r="CG127">
        <v>1206081.3999999999</v>
      </c>
      <c r="CH127">
        <v>0</v>
      </c>
      <c r="CI127">
        <v>3562735.2</v>
      </c>
      <c r="CJ127">
        <v>42739950</v>
      </c>
      <c r="CK127">
        <v>8278518.5</v>
      </c>
      <c r="CL127">
        <v>21389.1</v>
      </c>
      <c r="CM127">
        <v>0</v>
      </c>
      <c r="CN127">
        <v>2969594.8</v>
      </c>
      <c r="CO127">
        <v>0</v>
      </c>
      <c r="CP127">
        <v>0</v>
      </c>
      <c r="CQ127">
        <v>0</v>
      </c>
      <c r="CR127">
        <v>173.8</v>
      </c>
      <c r="CS127">
        <v>0</v>
      </c>
      <c r="CT127">
        <v>7775.3</v>
      </c>
      <c r="CU127">
        <v>0</v>
      </c>
      <c r="CV127">
        <v>0</v>
      </c>
      <c r="CW127">
        <v>1333.2</v>
      </c>
      <c r="CX127">
        <v>19231.099999999999</v>
      </c>
      <c r="CY127">
        <v>0</v>
      </c>
      <c r="CZ127">
        <v>1862.9</v>
      </c>
      <c r="DA127">
        <v>0</v>
      </c>
      <c r="DB127">
        <v>1242.7</v>
      </c>
      <c r="DC127">
        <v>5351.7</v>
      </c>
      <c r="DD127">
        <v>7256.2</v>
      </c>
      <c r="DE127">
        <v>30</v>
      </c>
      <c r="DF127">
        <v>0</v>
      </c>
      <c r="DG127">
        <v>1317.3</v>
      </c>
      <c r="DH127">
        <v>0</v>
      </c>
      <c r="DI127">
        <v>0</v>
      </c>
      <c r="DJ127">
        <v>0</v>
      </c>
      <c r="DK127">
        <v>300</v>
      </c>
      <c r="DL127">
        <v>0</v>
      </c>
      <c r="DM127">
        <v>0</v>
      </c>
    </row>
    <row r="128" spans="1:117" x14ac:dyDescent="0.3">
      <c r="A128" t="s">
        <v>169</v>
      </c>
      <c r="B128">
        <v>2026</v>
      </c>
      <c r="C128">
        <v>196739710</v>
      </c>
      <c r="D128">
        <v>182748.1</v>
      </c>
      <c r="E128">
        <v>28826.400000000001</v>
      </c>
      <c r="F128">
        <v>1834955.2</v>
      </c>
      <c r="G128">
        <v>198786243.90000001</v>
      </c>
      <c r="H128">
        <v>189666807.40000001</v>
      </c>
      <c r="I128">
        <v>191107178.80000001</v>
      </c>
      <c r="J128">
        <v>96269220</v>
      </c>
      <c r="K128">
        <v>69342460</v>
      </c>
      <c r="L128">
        <v>3.5900000000000001E-2</v>
      </c>
      <c r="M128">
        <v>5.3999999999999999E-2</v>
      </c>
      <c r="N128">
        <v>0.183</v>
      </c>
      <c r="O128">
        <v>40703.089999999997</v>
      </c>
      <c r="P128">
        <v>41731.599999999999</v>
      </c>
      <c r="Q128">
        <v>0.32</v>
      </c>
      <c r="R128">
        <v>0.41</v>
      </c>
      <c r="S128">
        <v>334.2</v>
      </c>
      <c r="T128">
        <v>14.9</v>
      </c>
      <c r="U128">
        <v>2.0499999999999998</v>
      </c>
      <c r="V128">
        <v>35.1</v>
      </c>
      <c r="W128">
        <v>1404.9</v>
      </c>
      <c r="X128">
        <v>0.25</v>
      </c>
      <c r="Y128">
        <v>335.2</v>
      </c>
      <c r="Z128">
        <v>77</v>
      </c>
      <c r="AA128">
        <v>412.2</v>
      </c>
      <c r="AB128">
        <v>313.5</v>
      </c>
      <c r="AC128">
        <v>15.2</v>
      </c>
      <c r="AD128">
        <v>2.1</v>
      </c>
      <c r="AE128">
        <v>31.5</v>
      </c>
      <c r="AF128">
        <v>1284.4000000000001</v>
      </c>
      <c r="AG128">
        <v>0.23</v>
      </c>
      <c r="AH128">
        <v>314.60000000000002</v>
      </c>
      <c r="AI128">
        <v>69.8</v>
      </c>
      <c r="AJ128">
        <v>384.4</v>
      </c>
      <c r="AK128">
        <v>374.6</v>
      </c>
      <c r="AL128">
        <v>14</v>
      </c>
      <c r="AM128">
        <v>1.93</v>
      </c>
      <c r="AN128">
        <v>39.700000000000003</v>
      </c>
      <c r="AO128">
        <v>1605.5</v>
      </c>
      <c r="AP128">
        <v>0.26</v>
      </c>
      <c r="AQ128">
        <v>375.5</v>
      </c>
      <c r="AR128">
        <v>87.6</v>
      </c>
      <c r="AS128">
        <v>463.1</v>
      </c>
      <c r="AT128">
        <v>725.3</v>
      </c>
      <c r="AU128">
        <v>54.4</v>
      </c>
      <c r="AV128">
        <v>7.79</v>
      </c>
      <c r="AW128">
        <v>50.5</v>
      </c>
      <c r="AX128">
        <v>2375.9</v>
      </c>
      <c r="AY128">
        <v>0.43</v>
      </c>
      <c r="AZ128">
        <v>729</v>
      </c>
      <c r="BA128">
        <v>121.4</v>
      </c>
      <c r="BB128">
        <v>850.4</v>
      </c>
      <c r="BC128">
        <v>57039353.899999999</v>
      </c>
      <c r="BD128">
        <v>2546.9</v>
      </c>
      <c r="BE128">
        <v>349.3</v>
      </c>
      <c r="BF128">
        <v>5988791.5999999996</v>
      </c>
      <c r="BG128">
        <v>239765.3</v>
      </c>
      <c r="BH128">
        <v>43.6</v>
      </c>
      <c r="BI128">
        <v>57210602.899999999</v>
      </c>
      <c r="BJ128">
        <v>13145693.6</v>
      </c>
      <c r="BK128">
        <v>70356296.5</v>
      </c>
      <c r="BL128">
        <v>0</v>
      </c>
      <c r="BM128">
        <v>29.08</v>
      </c>
      <c r="BN128">
        <v>8.7799999999999994</v>
      </c>
      <c r="BO128">
        <v>0</v>
      </c>
      <c r="BP128">
        <v>37.85</v>
      </c>
      <c r="BQ128">
        <v>30.8</v>
      </c>
      <c r="BR128">
        <v>9.52</v>
      </c>
      <c r="BS128">
        <v>0</v>
      </c>
      <c r="BT128">
        <v>40.32</v>
      </c>
      <c r="BU128">
        <v>171694110</v>
      </c>
      <c r="BV128">
        <v>7679065</v>
      </c>
      <c r="BW128">
        <v>156740.4</v>
      </c>
      <c r="BX128">
        <v>1257221.5</v>
      </c>
      <c r="BY128">
        <v>0</v>
      </c>
      <c r="BZ128">
        <v>0</v>
      </c>
      <c r="CA128">
        <v>14324112</v>
      </c>
      <c r="CB128">
        <v>0</v>
      </c>
      <c r="CC128">
        <v>0</v>
      </c>
      <c r="CD128">
        <v>3219074.5</v>
      </c>
      <c r="CE128">
        <v>95605580</v>
      </c>
      <c r="CF128">
        <v>0</v>
      </c>
      <c r="CG128">
        <v>1108319.8999999999</v>
      </c>
      <c r="CH128">
        <v>0</v>
      </c>
      <c r="CI128">
        <v>3565020</v>
      </c>
      <c r="CJ128">
        <v>42695656</v>
      </c>
      <c r="CK128">
        <v>5279232.5</v>
      </c>
      <c r="CL128">
        <v>23154.799999999999</v>
      </c>
      <c r="CM128">
        <v>0</v>
      </c>
      <c r="CN128">
        <v>4459990.5</v>
      </c>
      <c r="CO128">
        <v>0</v>
      </c>
      <c r="CP128">
        <v>0</v>
      </c>
      <c r="CQ128">
        <v>120.3</v>
      </c>
      <c r="CR128">
        <v>173.8</v>
      </c>
      <c r="CS128">
        <v>0</v>
      </c>
      <c r="CT128">
        <v>6957.6</v>
      </c>
      <c r="CU128">
        <v>0</v>
      </c>
      <c r="CV128">
        <v>0</v>
      </c>
      <c r="CW128">
        <v>2186.9</v>
      </c>
      <c r="CX128">
        <v>19623.400000000001</v>
      </c>
      <c r="CY128">
        <v>0</v>
      </c>
      <c r="CZ128">
        <v>1862.9</v>
      </c>
      <c r="DA128">
        <v>0</v>
      </c>
      <c r="DB128">
        <v>1242.7</v>
      </c>
      <c r="DC128">
        <v>5351.7</v>
      </c>
      <c r="DD128">
        <v>5619.1</v>
      </c>
      <c r="DE128">
        <v>30</v>
      </c>
      <c r="DF128">
        <v>0</v>
      </c>
      <c r="DG128">
        <v>1959.7</v>
      </c>
      <c r="DH128">
        <v>0</v>
      </c>
      <c r="DI128">
        <v>0</v>
      </c>
      <c r="DJ128">
        <v>481</v>
      </c>
      <c r="DK128">
        <v>300</v>
      </c>
      <c r="DL128">
        <v>0</v>
      </c>
      <c r="DM128">
        <v>0</v>
      </c>
    </row>
    <row r="129" spans="1:117" x14ac:dyDescent="0.3">
      <c r="A129" t="s">
        <v>169</v>
      </c>
      <c r="B129">
        <v>2028</v>
      </c>
      <c r="C129">
        <v>201763490</v>
      </c>
      <c r="D129">
        <v>1132616.8999999999</v>
      </c>
      <c r="E129">
        <v>55774</v>
      </c>
      <c r="F129">
        <v>3202365.5</v>
      </c>
      <c r="G129">
        <v>206154248.19999999</v>
      </c>
      <c r="H129">
        <v>194510018.40000001</v>
      </c>
      <c r="I129">
        <v>188981350</v>
      </c>
      <c r="J129">
        <v>167583900</v>
      </c>
      <c r="K129">
        <v>115376960</v>
      </c>
      <c r="L129">
        <v>3.5900000000000001E-2</v>
      </c>
      <c r="M129">
        <v>5.3999999999999999E-2</v>
      </c>
      <c r="N129">
        <v>0.183</v>
      </c>
      <c r="O129">
        <v>50222.02</v>
      </c>
      <c r="P129">
        <v>42435.199999999997</v>
      </c>
      <c r="Q129">
        <v>0.42</v>
      </c>
      <c r="R129">
        <v>0.57999999999999996</v>
      </c>
      <c r="S129">
        <v>262.3</v>
      </c>
      <c r="T129">
        <v>9.3000000000000007</v>
      </c>
      <c r="U129">
        <v>1.23</v>
      </c>
      <c r="V129">
        <v>30.3</v>
      </c>
      <c r="W129">
        <v>1186.5999999999999</v>
      </c>
      <c r="X129">
        <v>0.21</v>
      </c>
      <c r="Y129">
        <v>262.89999999999998</v>
      </c>
      <c r="Z129">
        <v>65.7</v>
      </c>
      <c r="AA129">
        <v>328.6</v>
      </c>
      <c r="AB129">
        <v>203.4</v>
      </c>
      <c r="AC129">
        <v>7.8</v>
      </c>
      <c r="AD129">
        <v>1.05</v>
      </c>
      <c r="AE129">
        <v>22.7</v>
      </c>
      <c r="AF129">
        <v>903</v>
      </c>
      <c r="AG129">
        <v>0.16</v>
      </c>
      <c r="AH129">
        <v>204</v>
      </c>
      <c r="AI129">
        <v>49.7</v>
      </c>
      <c r="AJ129">
        <v>253.7</v>
      </c>
      <c r="AK129">
        <v>317</v>
      </c>
      <c r="AL129">
        <v>6.3</v>
      </c>
      <c r="AM129">
        <v>0.65</v>
      </c>
      <c r="AN129">
        <v>37.299999999999997</v>
      </c>
      <c r="AO129">
        <v>1643.8</v>
      </c>
      <c r="AP129">
        <v>0.14000000000000001</v>
      </c>
      <c r="AQ129">
        <v>317.39999999999998</v>
      </c>
      <c r="AR129">
        <v>86.3</v>
      </c>
      <c r="AS129">
        <v>403.6</v>
      </c>
      <c r="AT129">
        <v>599.5</v>
      </c>
      <c r="AU129">
        <v>40.4</v>
      </c>
      <c r="AV129">
        <v>5.74</v>
      </c>
      <c r="AW129">
        <v>46.4</v>
      </c>
      <c r="AX129">
        <v>2116.1999999999998</v>
      </c>
      <c r="AY129">
        <v>0.36</v>
      </c>
      <c r="AZ129">
        <v>602.29999999999995</v>
      </c>
      <c r="BA129">
        <v>109.5</v>
      </c>
      <c r="BB129">
        <v>711.8</v>
      </c>
      <c r="BC129">
        <v>40015254.200000003</v>
      </c>
      <c r="BD129">
        <v>1423.6</v>
      </c>
      <c r="BE129">
        <v>187.7</v>
      </c>
      <c r="BF129">
        <v>4631677.7</v>
      </c>
      <c r="BG129">
        <v>181067.4</v>
      </c>
      <c r="BH129">
        <v>32</v>
      </c>
      <c r="BI129">
        <v>40108931.899999999</v>
      </c>
      <c r="BJ129">
        <v>10036212.5</v>
      </c>
      <c r="BK129">
        <v>50145144.399999999</v>
      </c>
      <c r="BL129">
        <v>0</v>
      </c>
      <c r="BM129">
        <v>24.6</v>
      </c>
      <c r="BN129">
        <v>10.42</v>
      </c>
      <c r="BO129">
        <v>0</v>
      </c>
      <c r="BP129">
        <v>35.020000000000003</v>
      </c>
      <c r="BQ129">
        <v>26.15</v>
      </c>
      <c r="BR129">
        <v>11.36</v>
      </c>
      <c r="BS129">
        <v>0</v>
      </c>
      <c r="BT129">
        <v>37.51</v>
      </c>
      <c r="BU129">
        <v>153709260</v>
      </c>
      <c r="BV129">
        <v>17172898</v>
      </c>
      <c r="BW129">
        <v>963033.7</v>
      </c>
      <c r="BX129">
        <v>1236358.5</v>
      </c>
      <c r="BY129">
        <v>0</v>
      </c>
      <c r="BZ129">
        <v>0</v>
      </c>
      <c r="CA129">
        <v>6317735</v>
      </c>
      <c r="CB129">
        <v>0</v>
      </c>
      <c r="CC129">
        <v>0</v>
      </c>
      <c r="CD129">
        <v>4743119</v>
      </c>
      <c r="CE129">
        <v>78948870</v>
      </c>
      <c r="CF129">
        <v>0</v>
      </c>
      <c r="CG129">
        <v>552443.80000000005</v>
      </c>
      <c r="CH129">
        <v>0</v>
      </c>
      <c r="CI129">
        <v>3489615.2</v>
      </c>
      <c r="CJ129">
        <v>41724764</v>
      </c>
      <c r="CK129">
        <v>3258982.5</v>
      </c>
      <c r="CL129">
        <v>44553.2</v>
      </c>
      <c r="CM129">
        <v>0</v>
      </c>
      <c r="CN129">
        <v>12429779</v>
      </c>
      <c r="CO129">
        <v>0</v>
      </c>
      <c r="CP129">
        <v>0</v>
      </c>
      <c r="CQ129">
        <v>666.2</v>
      </c>
      <c r="CR129">
        <v>173.8</v>
      </c>
      <c r="CS129">
        <v>0</v>
      </c>
      <c r="CT129">
        <v>6134.9</v>
      </c>
      <c r="CU129">
        <v>0</v>
      </c>
      <c r="CV129">
        <v>0</v>
      </c>
      <c r="CW129">
        <v>3231.9</v>
      </c>
      <c r="CX129">
        <v>19623.400000000001</v>
      </c>
      <c r="CY129">
        <v>0</v>
      </c>
      <c r="CZ129">
        <v>1862.9</v>
      </c>
      <c r="DA129">
        <v>0</v>
      </c>
      <c r="DB129">
        <v>1242.7</v>
      </c>
      <c r="DC129">
        <v>5351.7</v>
      </c>
      <c r="DD129">
        <v>5585.1</v>
      </c>
      <c r="DE129">
        <v>30</v>
      </c>
      <c r="DF129">
        <v>0</v>
      </c>
      <c r="DG129">
        <v>5297.6</v>
      </c>
      <c r="DH129">
        <v>0</v>
      </c>
      <c r="DI129">
        <v>0</v>
      </c>
      <c r="DJ129">
        <v>2664.6</v>
      </c>
      <c r="DK129">
        <v>300</v>
      </c>
      <c r="DL129">
        <v>0</v>
      </c>
      <c r="DM129">
        <v>0</v>
      </c>
    </row>
    <row r="130" spans="1:117" x14ac:dyDescent="0.3">
      <c r="A130" t="s">
        <v>169</v>
      </c>
      <c r="B130">
        <v>2030</v>
      </c>
      <c r="C130">
        <v>207672350</v>
      </c>
      <c r="D130">
        <v>1633218.1</v>
      </c>
      <c r="E130">
        <v>64602.9</v>
      </c>
      <c r="F130">
        <v>4448632.4000000004</v>
      </c>
      <c r="G130">
        <v>213818809.40000001</v>
      </c>
      <c r="H130">
        <v>200206519.09999999</v>
      </c>
      <c r="I130">
        <v>180935992</v>
      </c>
      <c r="J130">
        <v>227997390</v>
      </c>
      <c r="K130">
        <v>161632820</v>
      </c>
      <c r="L130">
        <v>3.5900000000000001E-2</v>
      </c>
      <c r="M130">
        <v>5.3999999999999999E-2</v>
      </c>
      <c r="N130">
        <v>0.183</v>
      </c>
      <c r="O130">
        <v>59907.97</v>
      </c>
      <c r="P130">
        <v>43945.3</v>
      </c>
      <c r="Q130">
        <v>0.54</v>
      </c>
      <c r="R130">
        <v>0.69</v>
      </c>
      <c r="S130">
        <v>201.2</v>
      </c>
      <c r="T130">
        <v>7.2</v>
      </c>
      <c r="U130">
        <v>0.93</v>
      </c>
      <c r="V130">
        <v>23.6</v>
      </c>
      <c r="W130">
        <v>932.1</v>
      </c>
      <c r="X130">
        <v>0.16</v>
      </c>
      <c r="Y130">
        <v>201.7</v>
      </c>
      <c r="Z130">
        <v>51.4</v>
      </c>
      <c r="AA130">
        <v>253.1</v>
      </c>
      <c r="AB130">
        <v>143.5</v>
      </c>
      <c r="AC130">
        <v>5.7</v>
      </c>
      <c r="AD130">
        <v>0.74</v>
      </c>
      <c r="AE130">
        <v>16.100000000000001</v>
      </c>
      <c r="AF130">
        <v>648.29999999999995</v>
      </c>
      <c r="AG130">
        <v>0.11</v>
      </c>
      <c r="AH130">
        <v>143.9</v>
      </c>
      <c r="AI130">
        <v>35.5</v>
      </c>
      <c r="AJ130">
        <v>179.4</v>
      </c>
      <c r="AK130">
        <v>315.60000000000002</v>
      </c>
      <c r="AL130">
        <v>10.3</v>
      </c>
      <c r="AM130">
        <v>1.27</v>
      </c>
      <c r="AN130">
        <v>33.5</v>
      </c>
      <c r="AO130">
        <v>1508.8</v>
      </c>
      <c r="AP130">
        <v>0.14000000000000001</v>
      </c>
      <c r="AQ130">
        <v>316.2</v>
      </c>
      <c r="AR130">
        <v>78.5</v>
      </c>
      <c r="AS130">
        <v>394.7</v>
      </c>
      <c r="AT130">
        <v>540.9</v>
      </c>
      <c r="AU130">
        <v>36.6</v>
      </c>
      <c r="AV130">
        <v>5.17</v>
      </c>
      <c r="AW130">
        <v>41.5</v>
      </c>
      <c r="AX130">
        <v>1933.8</v>
      </c>
      <c r="AY130">
        <v>0.31</v>
      </c>
      <c r="AZ130">
        <v>543.4</v>
      </c>
      <c r="BA130">
        <v>99.2</v>
      </c>
      <c r="BB130">
        <v>642.6</v>
      </c>
      <c r="BC130">
        <v>29339282</v>
      </c>
      <c r="BD130">
        <v>1049.8</v>
      </c>
      <c r="BE130">
        <v>134.9</v>
      </c>
      <c r="BF130">
        <v>3442343.3</v>
      </c>
      <c r="BG130">
        <v>136012.4</v>
      </c>
      <c r="BH130">
        <v>23.2</v>
      </c>
      <c r="BI130">
        <v>29407401.5</v>
      </c>
      <c r="BJ130">
        <v>7501853.4000000004</v>
      </c>
      <c r="BK130">
        <v>36909254.899999999</v>
      </c>
      <c r="BL130">
        <v>0</v>
      </c>
      <c r="BM130">
        <v>22.67</v>
      </c>
      <c r="BN130">
        <v>12.12</v>
      </c>
      <c r="BO130">
        <v>0</v>
      </c>
      <c r="BP130">
        <v>34.78</v>
      </c>
      <c r="BQ130">
        <v>24.15</v>
      </c>
      <c r="BR130">
        <v>13.27</v>
      </c>
      <c r="BS130">
        <v>0</v>
      </c>
      <c r="BT130">
        <v>37.42</v>
      </c>
      <c r="BU130">
        <v>147110900</v>
      </c>
      <c r="BV130">
        <v>32882820</v>
      </c>
      <c r="BW130">
        <v>1386516</v>
      </c>
      <c r="BX130">
        <v>1074333.8</v>
      </c>
      <c r="BY130">
        <v>0</v>
      </c>
      <c r="BZ130">
        <v>0</v>
      </c>
      <c r="CA130">
        <v>5025003</v>
      </c>
      <c r="CB130">
        <v>0</v>
      </c>
      <c r="CC130">
        <v>0</v>
      </c>
      <c r="CD130">
        <v>7006830.5</v>
      </c>
      <c r="CE130">
        <v>61290828</v>
      </c>
      <c r="CF130">
        <v>0</v>
      </c>
      <c r="CG130">
        <v>246640</v>
      </c>
      <c r="CH130">
        <v>0</v>
      </c>
      <c r="CI130">
        <v>3335918</v>
      </c>
      <c r="CJ130">
        <v>40748356</v>
      </c>
      <c r="CK130">
        <v>1069066.3999999999</v>
      </c>
      <c r="CL130">
        <v>51417.5</v>
      </c>
      <c r="CM130">
        <v>0</v>
      </c>
      <c r="CN130">
        <v>25875986</v>
      </c>
      <c r="CO130">
        <v>0</v>
      </c>
      <c r="CP130">
        <v>0</v>
      </c>
      <c r="CQ130">
        <v>945.4</v>
      </c>
      <c r="CR130">
        <v>162.69999999999999</v>
      </c>
      <c r="CS130">
        <v>0</v>
      </c>
      <c r="CT130">
        <v>6134.9</v>
      </c>
      <c r="CU130">
        <v>0</v>
      </c>
      <c r="CV130">
        <v>0</v>
      </c>
      <c r="CW130">
        <v>4789.3999999999996</v>
      </c>
      <c r="CX130">
        <v>19310.7</v>
      </c>
      <c r="CY130">
        <v>0</v>
      </c>
      <c r="CZ130">
        <v>1862.9</v>
      </c>
      <c r="DA130">
        <v>0</v>
      </c>
      <c r="DB130">
        <v>1242.7</v>
      </c>
      <c r="DC130">
        <v>5351.7</v>
      </c>
      <c r="DD130">
        <v>5002.3</v>
      </c>
      <c r="DE130">
        <v>30</v>
      </c>
      <c r="DF130">
        <v>0</v>
      </c>
      <c r="DG130">
        <v>10836.8</v>
      </c>
      <c r="DH130">
        <v>0</v>
      </c>
      <c r="DI130">
        <v>0</v>
      </c>
      <c r="DJ130">
        <v>3781.7</v>
      </c>
      <c r="DK130">
        <v>300</v>
      </c>
      <c r="DL130">
        <v>0</v>
      </c>
      <c r="DM130">
        <v>0</v>
      </c>
    </row>
    <row r="131" spans="1:117" x14ac:dyDescent="0.3">
      <c r="A131" t="s">
        <v>169</v>
      </c>
      <c r="B131">
        <v>2035</v>
      </c>
      <c r="C131">
        <v>223553000</v>
      </c>
      <c r="D131">
        <v>11544274</v>
      </c>
      <c r="E131">
        <v>69858.399999999994</v>
      </c>
      <c r="F131">
        <v>4566537.8</v>
      </c>
      <c r="G131">
        <v>239733672.09999999</v>
      </c>
      <c r="H131">
        <v>215516452.90000001</v>
      </c>
      <c r="I131">
        <v>185606242.09999999</v>
      </c>
      <c r="J131">
        <v>239526220</v>
      </c>
      <c r="K131">
        <v>158678140</v>
      </c>
      <c r="L131">
        <v>3.5900000000000001E-2</v>
      </c>
      <c r="M131">
        <v>5.3999999999999999E-2</v>
      </c>
      <c r="N131">
        <v>0.183</v>
      </c>
      <c r="O131">
        <v>86129.43</v>
      </c>
      <c r="P131">
        <v>48209.2</v>
      </c>
      <c r="Q131">
        <v>0.68</v>
      </c>
      <c r="R131">
        <v>0.78</v>
      </c>
      <c r="S131">
        <v>137.4</v>
      </c>
      <c r="T131">
        <v>5.2</v>
      </c>
      <c r="U131">
        <v>0.66</v>
      </c>
      <c r="V131">
        <v>16.399999999999999</v>
      </c>
      <c r="W131">
        <v>637.5</v>
      </c>
      <c r="X131">
        <v>0.12</v>
      </c>
      <c r="Y131">
        <v>137.80000000000001</v>
      </c>
      <c r="Z131">
        <v>35.4</v>
      </c>
      <c r="AA131">
        <v>173.2</v>
      </c>
      <c r="AB131">
        <v>103.1</v>
      </c>
      <c r="AC131">
        <v>4.4000000000000004</v>
      </c>
      <c r="AD131">
        <v>0.56999999999999995</v>
      </c>
      <c r="AE131">
        <v>11.6</v>
      </c>
      <c r="AF131">
        <v>462.9</v>
      </c>
      <c r="AG131">
        <v>0.08</v>
      </c>
      <c r="AH131">
        <v>103.4</v>
      </c>
      <c r="AI131">
        <v>25.4</v>
      </c>
      <c r="AJ131">
        <v>128.9</v>
      </c>
      <c r="AK131">
        <v>298.7</v>
      </c>
      <c r="AL131">
        <v>12.8</v>
      </c>
      <c r="AM131">
        <v>1.68</v>
      </c>
      <c r="AN131">
        <v>29</v>
      </c>
      <c r="AO131">
        <v>1330.6</v>
      </c>
      <c r="AP131">
        <v>0.14000000000000001</v>
      </c>
      <c r="AQ131">
        <v>299.60000000000002</v>
      </c>
      <c r="AR131">
        <v>68.599999999999994</v>
      </c>
      <c r="AS131">
        <v>368.2</v>
      </c>
      <c r="AT131">
        <v>488.7</v>
      </c>
      <c r="AU131">
        <v>32.4</v>
      </c>
      <c r="AV131">
        <v>4.5599999999999996</v>
      </c>
      <c r="AW131">
        <v>38</v>
      </c>
      <c r="AX131">
        <v>1777.4</v>
      </c>
      <c r="AY131">
        <v>0.27</v>
      </c>
      <c r="AZ131">
        <v>490.9</v>
      </c>
      <c r="BA131">
        <v>91</v>
      </c>
      <c r="BB131">
        <v>582</v>
      </c>
      <c r="BC131">
        <v>21524307.600000001</v>
      </c>
      <c r="BD131">
        <v>807.6</v>
      </c>
      <c r="BE131">
        <v>103.5</v>
      </c>
      <c r="BF131">
        <v>2573197.6</v>
      </c>
      <c r="BG131">
        <v>99976</v>
      </c>
      <c r="BH131">
        <v>18.3</v>
      </c>
      <c r="BI131">
        <v>21576622.600000001</v>
      </c>
      <c r="BJ131">
        <v>5557487.5999999996</v>
      </c>
      <c r="BK131">
        <v>27134110.199999999</v>
      </c>
      <c r="BL131">
        <v>0</v>
      </c>
      <c r="BM131">
        <v>20.28</v>
      </c>
      <c r="BN131">
        <v>16.79</v>
      </c>
      <c r="BO131">
        <v>0</v>
      </c>
      <c r="BP131">
        <v>37.07</v>
      </c>
      <c r="BQ131">
        <v>22.06</v>
      </c>
      <c r="BR131">
        <v>19.170000000000002</v>
      </c>
      <c r="BS131">
        <v>0</v>
      </c>
      <c r="BT131">
        <v>41.22</v>
      </c>
      <c r="BU131">
        <v>158464860</v>
      </c>
      <c r="BV131">
        <v>54127430</v>
      </c>
      <c r="BW131">
        <v>9823999</v>
      </c>
      <c r="BX131">
        <v>999862.9</v>
      </c>
      <c r="BY131">
        <v>0</v>
      </c>
      <c r="BZ131">
        <v>0</v>
      </c>
      <c r="CA131">
        <v>4229098.5</v>
      </c>
      <c r="CB131">
        <v>0</v>
      </c>
      <c r="CC131">
        <v>0</v>
      </c>
      <c r="CD131">
        <v>9392998</v>
      </c>
      <c r="CE131">
        <v>45401720</v>
      </c>
      <c r="CF131">
        <v>0</v>
      </c>
      <c r="CG131">
        <v>128464.3</v>
      </c>
      <c r="CH131">
        <v>0</v>
      </c>
      <c r="CI131">
        <v>3191800.2</v>
      </c>
      <c r="CJ131">
        <v>40189132</v>
      </c>
      <c r="CK131">
        <v>316699.8</v>
      </c>
      <c r="CL131">
        <v>56652.9</v>
      </c>
      <c r="CM131">
        <v>0</v>
      </c>
      <c r="CN131">
        <v>44734430</v>
      </c>
      <c r="CO131">
        <v>0</v>
      </c>
      <c r="CP131">
        <v>0</v>
      </c>
      <c r="CQ131">
        <v>5551.6</v>
      </c>
      <c r="CR131">
        <v>162.69999999999999</v>
      </c>
      <c r="CS131">
        <v>0</v>
      </c>
      <c r="CT131">
        <v>6134.9</v>
      </c>
      <c r="CU131">
        <v>0</v>
      </c>
      <c r="CV131">
        <v>0</v>
      </c>
      <c r="CW131">
        <v>6548.5</v>
      </c>
      <c r="CX131">
        <v>19310.7</v>
      </c>
      <c r="CY131">
        <v>0</v>
      </c>
      <c r="CZ131">
        <v>1862.9</v>
      </c>
      <c r="DA131">
        <v>0</v>
      </c>
      <c r="DB131">
        <v>1242.7</v>
      </c>
      <c r="DC131">
        <v>5351.7</v>
      </c>
      <c r="DD131">
        <v>2903.2</v>
      </c>
      <c r="DE131">
        <v>30</v>
      </c>
      <c r="DF131">
        <v>0</v>
      </c>
      <c r="DG131">
        <v>18856.8</v>
      </c>
      <c r="DH131">
        <v>0</v>
      </c>
      <c r="DI131">
        <v>0</v>
      </c>
      <c r="DJ131">
        <v>28303.7</v>
      </c>
      <c r="DK131">
        <v>300</v>
      </c>
      <c r="DL131">
        <v>0</v>
      </c>
      <c r="DM131">
        <v>0</v>
      </c>
    </row>
    <row r="132" spans="1:117" x14ac:dyDescent="0.3">
      <c r="A132" t="s">
        <v>169</v>
      </c>
      <c r="B132">
        <v>2040</v>
      </c>
      <c r="C132">
        <v>241748690</v>
      </c>
      <c r="D132">
        <v>13507731</v>
      </c>
      <c r="E132">
        <v>71534.3</v>
      </c>
      <c r="F132">
        <v>4920623.0999999996</v>
      </c>
      <c r="G132">
        <v>260248575.69999999</v>
      </c>
      <c r="H132">
        <v>233058200.90000001</v>
      </c>
      <c r="I132">
        <v>168413499.19999999</v>
      </c>
      <c r="J132">
        <v>254606560</v>
      </c>
      <c r="K132">
        <v>179049580</v>
      </c>
      <c r="L132">
        <v>3.5900000000000001E-2</v>
      </c>
      <c r="M132">
        <v>5.3900000000000003E-2</v>
      </c>
      <c r="N132">
        <v>0.183</v>
      </c>
      <c r="O132">
        <v>85209.05</v>
      </c>
      <c r="P132">
        <v>53101.9</v>
      </c>
      <c r="Q132">
        <v>0.79</v>
      </c>
      <c r="R132">
        <v>0.84</v>
      </c>
      <c r="S132">
        <v>89</v>
      </c>
      <c r="T132">
        <v>3.1</v>
      </c>
      <c r="U132">
        <v>0.39</v>
      </c>
      <c r="V132">
        <v>11.3</v>
      </c>
      <c r="W132">
        <v>423</v>
      </c>
      <c r="X132">
        <v>0.08</v>
      </c>
      <c r="Y132">
        <v>89.2</v>
      </c>
      <c r="Z132">
        <v>23.9</v>
      </c>
      <c r="AA132">
        <v>113.1</v>
      </c>
      <c r="AB132">
        <v>72</v>
      </c>
      <c r="AC132">
        <v>2.7</v>
      </c>
      <c r="AD132">
        <v>0.35</v>
      </c>
      <c r="AE132">
        <v>8.6999999999999993</v>
      </c>
      <c r="AF132">
        <v>333.7</v>
      </c>
      <c r="AG132">
        <v>0.06</v>
      </c>
      <c r="AH132">
        <v>72.2</v>
      </c>
      <c r="AI132">
        <v>18.600000000000001</v>
      </c>
      <c r="AJ132">
        <v>90.8</v>
      </c>
      <c r="AK132">
        <v>275.60000000000002</v>
      </c>
      <c r="AL132">
        <v>14.6</v>
      </c>
      <c r="AM132">
        <v>1.97</v>
      </c>
      <c r="AN132">
        <v>24.4</v>
      </c>
      <c r="AO132">
        <v>1142.3</v>
      </c>
      <c r="AP132">
        <v>0.13</v>
      </c>
      <c r="AQ132">
        <v>276.5</v>
      </c>
      <c r="AR132">
        <v>58.4</v>
      </c>
      <c r="AS132">
        <v>335</v>
      </c>
      <c r="AT132">
        <v>390.6</v>
      </c>
      <c r="AU132">
        <v>23.8</v>
      </c>
      <c r="AV132">
        <v>3.31</v>
      </c>
      <c r="AW132">
        <v>32.700000000000003</v>
      </c>
      <c r="AX132">
        <v>1491.4</v>
      </c>
      <c r="AY132">
        <v>0.22</v>
      </c>
      <c r="AZ132">
        <v>392.2</v>
      </c>
      <c r="BA132">
        <v>77.2</v>
      </c>
      <c r="BB132">
        <v>469.3</v>
      </c>
      <c r="BC132">
        <v>16159019.9</v>
      </c>
      <c r="BD132">
        <v>553.79999999999995</v>
      </c>
      <c r="BE132">
        <v>69.599999999999994</v>
      </c>
      <c r="BF132">
        <v>2057710.2</v>
      </c>
      <c r="BG132">
        <v>76921.600000000006</v>
      </c>
      <c r="BH132">
        <v>15.4</v>
      </c>
      <c r="BI132">
        <v>16194512.4</v>
      </c>
      <c r="BJ132">
        <v>4354183.5999999996</v>
      </c>
      <c r="BK132">
        <v>20548696.100000001</v>
      </c>
      <c r="BL132">
        <v>0</v>
      </c>
      <c r="BM132">
        <v>16.670000000000002</v>
      </c>
      <c r="BN132">
        <v>16.690000000000001</v>
      </c>
      <c r="BO132">
        <v>0</v>
      </c>
      <c r="BP132">
        <v>33.36</v>
      </c>
      <c r="BQ132">
        <v>18.25</v>
      </c>
      <c r="BR132">
        <v>19.14</v>
      </c>
      <c r="BS132">
        <v>0</v>
      </c>
      <c r="BT132">
        <v>37.39</v>
      </c>
      <c r="BU132">
        <v>184309920</v>
      </c>
      <c r="BV132">
        <v>91835080</v>
      </c>
      <c r="BW132">
        <v>11532590</v>
      </c>
      <c r="BX132">
        <v>888804.2</v>
      </c>
      <c r="BY132">
        <v>0</v>
      </c>
      <c r="BZ132">
        <v>0</v>
      </c>
      <c r="CA132">
        <v>2695899.2</v>
      </c>
      <c r="CB132">
        <v>0</v>
      </c>
      <c r="CC132">
        <v>0</v>
      </c>
      <c r="CD132">
        <v>9905564</v>
      </c>
      <c r="CE132">
        <v>34962332</v>
      </c>
      <c r="CF132">
        <v>0</v>
      </c>
      <c r="CG132">
        <v>578720.6</v>
      </c>
      <c r="CH132">
        <v>0</v>
      </c>
      <c r="CI132">
        <v>2937283.5</v>
      </c>
      <c r="CJ132">
        <v>38590244</v>
      </c>
      <c r="CK132">
        <v>230621.7</v>
      </c>
      <c r="CL132">
        <v>58351.4</v>
      </c>
      <c r="CM132">
        <v>0</v>
      </c>
      <c r="CN132">
        <v>52603844</v>
      </c>
      <c r="CO132">
        <v>29325670</v>
      </c>
      <c r="CP132">
        <v>0</v>
      </c>
      <c r="CQ132">
        <v>6238.8</v>
      </c>
      <c r="CR132">
        <v>162.69999999999999</v>
      </c>
      <c r="CS132">
        <v>0</v>
      </c>
      <c r="CT132">
        <v>6134.9</v>
      </c>
      <c r="CU132">
        <v>0</v>
      </c>
      <c r="CV132">
        <v>0</v>
      </c>
      <c r="CW132">
        <v>7129.6</v>
      </c>
      <c r="CX132">
        <v>19310.7</v>
      </c>
      <c r="CY132">
        <v>0</v>
      </c>
      <c r="CZ132">
        <v>4948.3999999999996</v>
      </c>
      <c r="DA132">
        <v>0</v>
      </c>
      <c r="DB132">
        <v>1242.7</v>
      </c>
      <c r="DC132">
        <v>5351.7</v>
      </c>
      <c r="DD132">
        <v>2903.2</v>
      </c>
      <c r="DE132">
        <v>30</v>
      </c>
      <c r="DF132">
        <v>0</v>
      </c>
      <c r="DG132">
        <v>22658.6</v>
      </c>
      <c r="DH132">
        <v>0</v>
      </c>
      <c r="DI132">
        <v>9012.6</v>
      </c>
      <c r="DJ132">
        <v>32268.7</v>
      </c>
      <c r="DK132">
        <v>300</v>
      </c>
      <c r="DL132">
        <v>0</v>
      </c>
      <c r="DM132">
        <v>0</v>
      </c>
    </row>
    <row r="133" spans="1:117" x14ac:dyDescent="0.3">
      <c r="A133" t="s">
        <v>169</v>
      </c>
      <c r="B133">
        <v>2045</v>
      </c>
      <c r="C133">
        <v>258230990</v>
      </c>
      <c r="D133">
        <v>17169444</v>
      </c>
      <c r="E133">
        <v>79707.899999999994</v>
      </c>
      <c r="F133">
        <v>4842292.4000000004</v>
      </c>
      <c r="G133">
        <v>280322417.10000002</v>
      </c>
      <c r="H133">
        <v>248948069.19999999</v>
      </c>
      <c r="I133">
        <v>181835483.80000001</v>
      </c>
      <c r="J133">
        <v>254841820</v>
      </c>
      <c r="K133">
        <v>171973630</v>
      </c>
      <c r="L133">
        <v>3.5900000000000001E-2</v>
      </c>
      <c r="M133">
        <v>5.3900000000000003E-2</v>
      </c>
      <c r="N133">
        <v>0.183</v>
      </c>
      <c r="O133">
        <v>83843.399999999994</v>
      </c>
      <c r="P133">
        <v>57242.7</v>
      </c>
      <c r="Q133">
        <v>0.78</v>
      </c>
      <c r="R133">
        <v>0.84</v>
      </c>
      <c r="S133">
        <v>88.6</v>
      </c>
      <c r="T133">
        <v>2.6</v>
      </c>
      <c r="U133">
        <v>0.31</v>
      </c>
      <c r="V133">
        <v>11.5</v>
      </c>
      <c r="W133">
        <v>437.1</v>
      </c>
      <c r="X133">
        <v>0.08</v>
      </c>
      <c r="Y133">
        <v>88.7</v>
      </c>
      <c r="Z133">
        <v>24.5</v>
      </c>
      <c r="AA133">
        <v>113.3</v>
      </c>
      <c r="AB133">
        <v>70.099999999999994</v>
      </c>
      <c r="AC133">
        <v>2.2000000000000002</v>
      </c>
      <c r="AD133">
        <v>0.27</v>
      </c>
      <c r="AE133">
        <v>8.8000000000000007</v>
      </c>
      <c r="AF133">
        <v>340.5</v>
      </c>
      <c r="AG133">
        <v>0.06</v>
      </c>
      <c r="AH133">
        <v>70.3</v>
      </c>
      <c r="AI133">
        <v>18.899999999999999</v>
      </c>
      <c r="AJ133">
        <v>89.2</v>
      </c>
      <c r="AK133">
        <v>218.6</v>
      </c>
      <c r="AL133">
        <v>10.5</v>
      </c>
      <c r="AM133">
        <v>1.41</v>
      </c>
      <c r="AN133">
        <v>21.9</v>
      </c>
      <c r="AO133">
        <v>941.8</v>
      </c>
      <c r="AP133">
        <v>0.14000000000000001</v>
      </c>
      <c r="AQ133">
        <v>219.3</v>
      </c>
      <c r="AR133">
        <v>50</v>
      </c>
      <c r="AS133">
        <v>269.3</v>
      </c>
      <c r="AT133">
        <v>338.6</v>
      </c>
      <c r="AU133">
        <v>18.2</v>
      </c>
      <c r="AV133">
        <v>2.48</v>
      </c>
      <c r="AW133">
        <v>30.5</v>
      </c>
      <c r="AX133">
        <v>1376.1</v>
      </c>
      <c r="AY133">
        <v>0.19</v>
      </c>
      <c r="AZ133">
        <v>339.8</v>
      </c>
      <c r="BA133">
        <v>71.599999999999994</v>
      </c>
      <c r="BB133">
        <v>411.4</v>
      </c>
      <c r="BC133">
        <v>17170098.5</v>
      </c>
      <c r="BD133">
        <v>492</v>
      </c>
      <c r="BE133">
        <v>58.8</v>
      </c>
      <c r="BF133">
        <v>2235527</v>
      </c>
      <c r="BG133">
        <v>84884.9</v>
      </c>
      <c r="BH133">
        <v>15.6</v>
      </c>
      <c r="BI133">
        <v>17200822</v>
      </c>
      <c r="BJ133">
        <v>4769342.7</v>
      </c>
      <c r="BK133">
        <v>21970164.699999999</v>
      </c>
      <c r="BL133">
        <v>0</v>
      </c>
      <c r="BM133">
        <v>15.01</v>
      </c>
      <c r="BN133">
        <v>16.399999999999999</v>
      </c>
      <c r="BO133">
        <v>0</v>
      </c>
      <c r="BP133">
        <v>31.41</v>
      </c>
      <c r="BQ133">
        <v>16.600000000000001</v>
      </c>
      <c r="BR133">
        <v>18.96</v>
      </c>
      <c r="BS133">
        <v>0</v>
      </c>
      <c r="BT133">
        <v>35.56</v>
      </c>
      <c r="BU133">
        <v>197095760</v>
      </c>
      <c r="BV133">
        <v>98486936</v>
      </c>
      <c r="BW133">
        <v>14612122</v>
      </c>
      <c r="BX133">
        <v>769774.8</v>
      </c>
      <c r="BY133">
        <v>0</v>
      </c>
      <c r="BZ133">
        <v>0</v>
      </c>
      <c r="CA133">
        <v>1867316.4</v>
      </c>
      <c r="CB133">
        <v>0</v>
      </c>
      <c r="CC133">
        <v>0</v>
      </c>
      <c r="CD133">
        <v>10295074</v>
      </c>
      <c r="CE133">
        <v>39406196</v>
      </c>
      <c r="CF133">
        <v>0</v>
      </c>
      <c r="CG133">
        <v>949876.4</v>
      </c>
      <c r="CH133">
        <v>0</v>
      </c>
      <c r="CI133">
        <v>2791347.5</v>
      </c>
      <c r="CJ133">
        <v>37975856</v>
      </c>
      <c r="CK133">
        <v>172748.79999999999</v>
      </c>
      <c r="CL133">
        <v>63586.9</v>
      </c>
      <c r="CM133">
        <v>0</v>
      </c>
      <c r="CN133">
        <v>59263508</v>
      </c>
      <c r="CO133">
        <v>28928352</v>
      </c>
      <c r="CP133">
        <v>0</v>
      </c>
      <c r="CQ133">
        <v>7715.4</v>
      </c>
      <c r="CR133">
        <v>154.69999999999999</v>
      </c>
      <c r="CS133">
        <v>0</v>
      </c>
      <c r="CT133">
        <v>6134.9</v>
      </c>
      <c r="CU133">
        <v>0</v>
      </c>
      <c r="CV133">
        <v>0</v>
      </c>
      <c r="CW133">
        <v>7669.5</v>
      </c>
      <c r="CX133">
        <v>19310.7</v>
      </c>
      <c r="CY133">
        <v>0</v>
      </c>
      <c r="CZ133">
        <v>9342.7999999999993</v>
      </c>
      <c r="DA133">
        <v>0</v>
      </c>
      <c r="DB133">
        <v>1242.7</v>
      </c>
      <c r="DC133">
        <v>5351.7</v>
      </c>
      <c r="DD133">
        <v>2521.1</v>
      </c>
      <c r="DE133">
        <v>30</v>
      </c>
      <c r="DF133">
        <v>0</v>
      </c>
      <c r="DG133">
        <v>26124.400000000001</v>
      </c>
      <c r="DH133">
        <v>0</v>
      </c>
      <c r="DI133">
        <v>9014.7000000000007</v>
      </c>
      <c r="DJ133">
        <v>41482.5</v>
      </c>
      <c r="DK133">
        <v>300</v>
      </c>
      <c r="DL133">
        <v>0</v>
      </c>
      <c r="DM133">
        <v>0</v>
      </c>
    </row>
    <row r="134" spans="1:117" x14ac:dyDescent="0.3">
      <c r="A134" t="s">
        <v>169</v>
      </c>
      <c r="B134">
        <v>2050</v>
      </c>
      <c r="C134">
        <v>273991500</v>
      </c>
      <c r="D134">
        <v>13830722</v>
      </c>
      <c r="E134">
        <v>80129.899999999994</v>
      </c>
      <c r="F134">
        <v>5472282.9000000004</v>
      </c>
      <c r="G134">
        <v>293374634.69999999</v>
      </c>
      <c r="H134">
        <v>264142020.59999999</v>
      </c>
      <c r="I134">
        <v>174656088.59999999</v>
      </c>
      <c r="J134">
        <v>292745200</v>
      </c>
      <c r="K134">
        <v>191336370</v>
      </c>
      <c r="L134">
        <v>3.5900000000000001E-2</v>
      </c>
      <c r="M134">
        <v>5.3900000000000003E-2</v>
      </c>
      <c r="N134">
        <v>0.183</v>
      </c>
      <c r="O134">
        <v>82811.66</v>
      </c>
      <c r="P134">
        <v>60911.1</v>
      </c>
      <c r="Q134">
        <v>0.73</v>
      </c>
      <c r="R134">
        <v>0.81</v>
      </c>
      <c r="S134">
        <v>121</v>
      </c>
      <c r="T134">
        <v>4.5</v>
      </c>
      <c r="U134">
        <v>0.56000000000000005</v>
      </c>
      <c r="V134">
        <v>12.7</v>
      </c>
      <c r="W134">
        <v>564.5</v>
      </c>
      <c r="X134">
        <v>0.06</v>
      </c>
      <c r="Y134">
        <v>121.3</v>
      </c>
      <c r="Z134">
        <v>29.5</v>
      </c>
      <c r="AA134">
        <v>150.80000000000001</v>
      </c>
      <c r="AB134">
        <v>87.1</v>
      </c>
      <c r="AC134">
        <v>3.3</v>
      </c>
      <c r="AD134">
        <v>0.41</v>
      </c>
      <c r="AE134">
        <v>9.1</v>
      </c>
      <c r="AF134">
        <v>404.5</v>
      </c>
      <c r="AG134">
        <v>0.04</v>
      </c>
      <c r="AH134">
        <v>87.3</v>
      </c>
      <c r="AI134">
        <v>21.1</v>
      </c>
      <c r="AJ134">
        <v>108.4</v>
      </c>
      <c r="AK134">
        <v>195.7</v>
      </c>
      <c r="AL134">
        <v>9</v>
      </c>
      <c r="AM134">
        <v>1.2</v>
      </c>
      <c r="AN134">
        <v>21.1</v>
      </c>
      <c r="AO134">
        <v>859</v>
      </c>
      <c r="AP134">
        <v>0.15</v>
      </c>
      <c r="AQ134">
        <v>196.3</v>
      </c>
      <c r="AR134">
        <v>46.7</v>
      </c>
      <c r="AS134">
        <v>243</v>
      </c>
      <c r="AT134">
        <v>337.5</v>
      </c>
      <c r="AU134">
        <v>16.8</v>
      </c>
      <c r="AV134">
        <v>2.2599999999999998</v>
      </c>
      <c r="AW134">
        <v>31.1</v>
      </c>
      <c r="AX134">
        <v>1420.9</v>
      </c>
      <c r="AY134">
        <v>0.17</v>
      </c>
      <c r="AZ134">
        <v>338.6</v>
      </c>
      <c r="BA134">
        <v>73.5</v>
      </c>
      <c r="BB134">
        <v>412.1</v>
      </c>
      <c r="BC134">
        <v>22810647.199999999</v>
      </c>
      <c r="BD134">
        <v>837</v>
      </c>
      <c r="BE134">
        <v>105.9</v>
      </c>
      <c r="BF134">
        <v>2397713.2000000002</v>
      </c>
      <c r="BG134">
        <v>106502.3</v>
      </c>
      <c r="BH134">
        <v>11.4</v>
      </c>
      <c r="BI134">
        <v>22864491.399999999</v>
      </c>
      <c r="BJ134">
        <v>5574605.5999999996</v>
      </c>
      <c r="BK134">
        <v>28439097</v>
      </c>
      <c r="BL134">
        <v>0</v>
      </c>
      <c r="BM134">
        <v>15.02</v>
      </c>
      <c r="BN134">
        <v>16.28</v>
      </c>
      <c r="BO134">
        <v>0</v>
      </c>
      <c r="BP134">
        <v>31.3</v>
      </c>
      <c r="BQ134">
        <v>16.489999999999998</v>
      </c>
      <c r="BR134">
        <v>18.57</v>
      </c>
      <c r="BS134">
        <v>0</v>
      </c>
      <c r="BT134">
        <v>35.06</v>
      </c>
      <c r="BU134">
        <v>191515040</v>
      </c>
      <c r="BV134">
        <v>118718540</v>
      </c>
      <c r="BW134">
        <v>11762512</v>
      </c>
      <c r="BX134">
        <v>712965.9</v>
      </c>
      <c r="BY134">
        <v>0</v>
      </c>
      <c r="BZ134">
        <v>0</v>
      </c>
      <c r="CA134">
        <v>4476564</v>
      </c>
      <c r="CB134">
        <v>0</v>
      </c>
      <c r="CC134">
        <v>0</v>
      </c>
      <c r="CD134">
        <v>11058710</v>
      </c>
      <c r="CE134">
        <v>44569390</v>
      </c>
      <c r="CF134">
        <v>0</v>
      </c>
      <c r="CG134">
        <v>3017475.2</v>
      </c>
      <c r="CH134">
        <v>0</v>
      </c>
      <c r="CI134">
        <v>2695592.2</v>
      </c>
      <c r="CJ134">
        <v>5481923.5</v>
      </c>
      <c r="CK134">
        <v>15765</v>
      </c>
      <c r="CL134">
        <v>64295.9</v>
      </c>
      <c r="CM134">
        <v>0</v>
      </c>
      <c r="CN134">
        <v>69368620</v>
      </c>
      <c r="CO134">
        <v>38291212</v>
      </c>
      <c r="CP134">
        <v>0</v>
      </c>
      <c r="CQ134">
        <v>6954.2</v>
      </c>
      <c r="CR134">
        <v>154.69999999999999</v>
      </c>
      <c r="CS134">
        <v>0</v>
      </c>
      <c r="CT134">
        <v>5719.6</v>
      </c>
      <c r="CU134">
        <v>0</v>
      </c>
      <c r="CV134">
        <v>0</v>
      </c>
      <c r="CW134">
        <v>8459.4</v>
      </c>
      <c r="CX134">
        <v>19310.7</v>
      </c>
      <c r="CY134">
        <v>0</v>
      </c>
      <c r="CZ134">
        <v>23990.1</v>
      </c>
      <c r="DA134">
        <v>0</v>
      </c>
      <c r="DB134">
        <v>1242.7</v>
      </c>
      <c r="DC134">
        <v>794.9</v>
      </c>
      <c r="DD134">
        <v>654.70000000000005</v>
      </c>
      <c r="DE134">
        <v>30</v>
      </c>
      <c r="DF134">
        <v>0</v>
      </c>
      <c r="DG134">
        <v>30728.5</v>
      </c>
      <c r="DH134">
        <v>0</v>
      </c>
      <c r="DI134">
        <v>11958.8</v>
      </c>
      <c r="DJ134">
        <v>32339.9</v>
      </c>
      <c r="DK134">
        <v>300</v>
      </c>
      <c r="DL134">
        <v>0</v>
      </c>
      <c r="DM134">
        <v>0</v>
      </c>
    </row>
    <row r="135" spans="1:117" x14ac:dyDescent="0.3">
      <c r="A135" t="s">
        <v>170</v>
      </c>
      <c r="B135">
        <v>2024</v>
      </c>
      <c r="C135">
        <v>105655860</v>
      </c>
      <c r="D135">
        <v>0</v>
      </c>
      <c r="E135">
        <v>436935.3</v>
      </c>
      <c r="F135">
        <v>2263208.2999999998</v>
      </c>
      <c r="G135">
        <v>108355999</v>
      </c>
      <c r="H135">
        <v>101857051.8</v>
      </c>
      <c r="I135">
        <v>80218743.900000006</v>
      </c>
      <c r="J135">
        <v>119123020</v>
      </c>
      <c r="K135">
        <v>148985400</v>
      </c>
      <c r="L135">
        <v>3.5900000000000001E-2</v>
      </c>
      <c r="M135">
        <v>5.3999999999999999E-2</v>
      </c>
      <c r="N135">
        <v>0.183</v>
      </c>
      <c r="O135">
        <v>19303.990000000002</v>
      </c>
      <c r="P135">
        <v>24352.6</v>
      </c>
      <c r="Q135">
        <v>0.45</v>
      </c>
      <c r="R135">
        <v>0.46</v>
      </c>
      <c r="S135">
        <v>539.70000000000005</v>
      </c>
      <c r="T135">
        <v>60.1</v>
      </c>
      <c r="U135">
        <v>8.73</v>
      </c>
      <c r="V135">
        <v>20.6</v>
      </c>
      <c r="W135">
        <v>1246</v>
      </c>
      <c r="X135">
        <v>0.31</v>
      </c>
      <c r="Y135">
        <v>543.9</v>
      </c>
      <c r="Z135">
        <v>57.8</v>
      </c>
      <c r="AA135">
        <v>601.70000000000005</v>
      </c>
      <c r="AB135">
        <v>549</v>
      </c>
      <c r="AC135">
        <v>61.2</v>
      </c>
      <c r="AD135">
        <v>8.89</v>
      </c>
      <c r="AE135">
        <v>20.399999999999999</v>
      </c>
      <c r="AF135">
        <v>1263.5</v>
      </c>
      <c r="AG135">
        <v>0.31</v>
      </c>
      <c r="AH135">
        <v>553.29999999999995</v>
      </c>
      <c r="AI135">
        <v>58.1</v>
      </c>
      <c r="AJ135">
        <v>611.4</v>
      </c>
      <c r="AK135">
        <v>367.4</v>
      </c>
      <c r="AL135">
        <v>28.6</v>
      </c>
      <c r="AM135">
        <v>4.0599999999999996</v>
      </c>
      <c r="AN135">
        <v>24.1</v>
      </c>
      <c r="AO135">
        <v>1209.9000000000001</v>
      </c>
      <c r="AP135">
        <v>0.19</v>
      </c>
      <c r="AQ135">
        <v>369.4</v>
      </c>
      <c r="AR135">
        <v>60.3</v>
      </c>
      <c r="AS135">
        <v>429.7</v>
      </c>
      <c r="AT135">
        <v>817.8</v>
      </c>
      <c r="AU135">
        <v>68.2</v>
      </c>
      <c r="AV135">
        <v>9.8699999999999992</v>
      </c>
      <c r="AW135">
        <v>50.9</v>
      </c>
      <c r="AX135">
        <v>2447.8000000000002</v>
      </c>
      <c r="AY135">
        <v>0.5</v>
      </c>
      <c r="AZ135">
        <v>822.6</v>
      </c>
      <c r="BA135">
        <v>124</v>
      </c>
      <c r="BB135">
        <v>946.5</v>
      </c>
      <c r="BC135">
        <v>74157068.099999994</v>
      </c>
      <c r="BD135">
        <v>8261.2000000000007</v>
      </c>
      <c r="BE135">
        <v>1199.2</v>
      </c>
      <c r="BF135">
        <v>2829518.7</v>
      </c>
      <c r="BG135">
        <v>171192.4</v>
      </c>
      <c r="BH135">
        <v>43.3</v>
      </c>
      <c r="BI135">
        <v>74730628.799999997</v>
      </c>
      <c r="BJ135">
        <v>7942867.4000000004</v>
      </c>
      <c r="BK135">
        <v>82673496.200000003</v>
      </c>
      <c r="BL135">
        <v>0</v>
      </c>
      <c r="BM135">
        <v>29.92</v>
      </c>
      <c r="BN135">
        <v>4.2699999999999996</v>
      </c>
      <c r="BO135">
        <v>0</v>
      </c>
      <c r="BP135">
        <v>34.18</v>
      </c>
      <c r="BQ135">
        <v>31.76</v>
      </c>
      <c r="BR135">
        <v>4.6900000000000004</v>
      </c>
      <c r="BS135">
        <v>0</v>
      </c>
      <c r="BT135">
        <v>36.46</v>
      </c>
      <c r="BU135">
        <v>138350560</v>
      </c>
      <c r="BV135">
        <v>28137254</v>
      </c>
      <c r="BW135">
        <v>0</v>
      </c>
      <c r="BX135">
        <v>86434</v>
      </c>
      <c r="BY135">
        <v>0</v>
      </c>
      <c r="BZ135">
        <v>0</v>
      </c>
      <c r="CA135">
        <v>69213544</v>
      </c>
      <c r="CB135">
        <v>0</v>
      </c>
      <c r="CC135">
        <v>0</v>
      </c>
      <c r="CD135">
        <v>253480</v>
      </c>
      <c r="CE135">
        <v>6280804</v>
      </c>
      <c r="CF135">
        <v>0</v>
      </c>
      <c r="CG135">
        <v>470421.4</v>
      </c>
      <c r="CH135">
        <v>0</v>
      </c>
      <c r="CI135">
        <v>835184.3</v>
      </c>
      <c r="CJ135">
        <v>32962404</v>
      </c>
      <c r="CK135">
        <v>15038</v>
      </c>
      <c r="CL135">
        <v>349477.4</v>
      </c>
      <c r="CM135">
        <v>0</v>
      </c>
      <c r="CN135">
        <v>8109447</v>
      </c>
      <c r="CO135">
        <v>19774328</v>
      </c>
      <c r="CP135">
        <v>0</v>
      </c>
      <c r="CQ135">
        <v>0</v>
      </c>
      <c r="CR135">
        <v>19.2</v>
      </c>
      <c r="CS135">
        <v>0</v>
      </c>
      <c r="CT135">
        <v>14900.5</v>
      </c>
      <c r="CU135">
        <v>0</v>
      </c>
      <c r="CV135">
        <v>0</v>
      </c>
      <c r="CW135">
        <v>172.4</v>
      </c>
      <c r="CX135">
        <v>2125</v>
      </c>
      <c r="CY135">
        <v>0</v>
      </c>
      <c r="CZ135">
        <v>4385.8</v>
      </c>
      <c r="DA135">
        <v>0</v>
      </c>
      <c r="DB135">
        <v>268.39999999999998</v>
      </c>
      <c r="DC135">
        <v>4131</v>
      </c>
      <c r="DD135">
        <v>520.5</v>
      </c>
      <c r="DE135">
        <v>471</v>
      </c>
      <c r="DF135">
        <v>0</v>
      </c>
      <c r="DG135">
        <v>3602.7</v>
      </c>
      <c r="DH135">
        <v>0</v>
      </c>
      <c r="DI135">
        <v>6065.7</v>
      </c>
      <c r="DJ135">
        <v>0</v>
      </c>
      <c r="DK135">
        <v>4710</v>
      </c>
      <c r="DL135">
        <v>0</v>
      </c>
      <c r="DM135">
        <v>0</v>
      </c>
    </row>
    <row r="136" spans="1:117" x14ac:dyDescent="0.3">
      <c r="A136" t="s">
        <v>170</v>
      </c>
      <c r="B136">
        <v>2026</v>
      </c>
      <c r="C136">
        <v>107446900</v>
      </c>
      <c r="D136">
        <v>176538</v>
      </c>
      <c r="E136">
        <v>396459.7</v>
      </c>
      <c r="F136">
        <v>2461605.1</v>
      </c>
      <c r="G136">
        <v>110481508.3</v>
      </c>
      <c r="H136">
        <v>103583681.90000001</v>
      </c>
      <c r="I136">
        <v>80688601.099999994</v>
      </c>
      <c r="J136">
        <v>137379460</v>
      </c>
      <c r="K136">
        <v>154550350</v>
      </c>
      <c r="L136">
        <v>3.5900000000000001E-2</v>
      </c>
      <c r="M136">
        <v>5.3999999999999999E-2</v>
      </c>
      <c r="N136">
        <v>0.183</v>
      </c>
      <c r="O136">
        <v>48923.32</v>
      </c>
      <c r="P136">
        <v>24785.599999999999</v>
      </c>
      <c r="Q136">
        <v>0.5</v>
      </c>
      <c r="R136">
        <v>0.53</v>
      </c>
      <c r="S136">
        <v>487.7</v>
      </c>
      <c r="T136">
        <v>54.3</v>
      </c>
      <c r="U136">
        <v>7.88</v>
      </c>
      <c r="V136">
        <v>19</v>
      </c>
      <c r="W136">
        <v>1127.3</v>
      </c>
      <c r="X136">
        <v>0.28999999999999998</v>
      </c>
      <c r="Y136">
        <v>491.5</v>
      </c>
      <c r="Z136">
        <v>52.7</v>
      </c>
      <c r="AA136">
        <v>544.1</v>
      </c>
      <c r="AB136">
        <v>478.7</v>
      </c>
      <c r="AC136">
        <v>53.3</v>
      </c>
      <c r="AD136">
        <v>7.74</v>
      </c>
      <c r="AE136">
        <v>18</v>
      </c>
      <c r="AF136">
        <v>1103.5999999999999</v>
      </c>
      <c r="AG136">
        <v>0.27</v>
      </c>
      <c r="AH136">
        <v>482.4</v>
      </c>
      <c r="AI136">
        <v>51</v>
      </c>
      <c r="AJ136">
        <v>533.4</v>
      </c>
      <c r="AK136">
        <v>278.10000000000002</v>
      </c>
      <c r="AL136">
        <v>17.8</v>
      </c>
      <c r="AM136">
        <v>2.48</v>
      </c>
      <c r="AN136">
        <v>21.7</v>
      </c>
      <c r="AO136">
        <v>1040</v>
      </c>
      <c r="AP136">
        <v>0.14000000000000001</v>
      </c>
      <c r="AQ136">
        <v>279.3</v>
      </c>
      <c r="AR136">
        <v>52.7</v>
      </c>
      <c r="AS136">
        <v>332</v>
      </c>
      <c r="AT136">
        <v>780.5</v>
      </c>
      <c r="AU136">
        <v>64.5</v>
      </c>
      <c r="AV136">
        <v>9.2799999999999994</v>
      </c>
      <c r="AW136">
        <v>48.6</v>
      </c>
      <c r="AX136">
        <v>2395.8000000000002</v>
      </c>
      <c r="AY136">
        <v>0.45</v>
      </c>
      <c r="AZ136">
        <v>785</v>
      </c>
      <c r="BA136">
        <v>120.1</v>
      </c>
      <c r="BB136">
        <v>905.1</v>
      </c>
      <c r="BC136">
        <v>61836343.200000003</v>
      </c>
      <c r="BD136">
        <v>6886.9</v>
      </c>
      <c r="BE136">
        <v>999.7</v>
      </c>
      <c r="BF136">
        <v>2409038.2000000002</v>
      </c>
      <c r="BG136">
        <v>142931.6</v>
      </c>
      <c r="BH136">
        <v>37.200000000000003</v>
      </c>
      <c r="BI136">
        <v>62314482.600000001</v>
      </c>
      <c r="BJ136">
        <v>6678550.5999999996</v>
      </c>
      <c r="BK136">
        <v>68993033.299999997</v>
      </c>
      <c r="BL136">
        <v>0</v>
      </c>
      <c r="BM136">
        <v>28.35</v>
      </c>
      <c r="BN136">
        <v>10.66</v>
      </c>
      <c r="BO136">
        <v>0</v>
      </c>
      <c r="BP136">
        <v>39</v>
      </c>
      <c r="BQ136">
        <v>30.1</v>
      </c>
      <c r="BR136">
        <v>11.69</v>
      </c>
      <c r="BS136">
        <v>0</v>
      </c>
      <c r="BT136">
        <v>41.79</v>
      </c>
      <c r="BU136">
        <v>127709230</v>
      </c>
      <c r="BV136">
        <v>29792908</v>
      </c>
      <c r="BW136">
        <v>151590.20000000001</v>
      </c>
      <c r="BX136">
        <v>85341.4</v>
      </c>
      <c r="BY136">
        <v>0</v>
      </c>
      <c r="BZ136">
        <v>0</v>
      </c>
      <c r="CA136">
        <v>57821972</v>
      </c>
      <c r="CB136">
        <v>0</v>
      </c>
      <c r="CC136">
        <v>0</v>
      </c>
      <c r="CD136">
        <v>400653.3</v>
      </c>
      <c r="CE136">
        <v>5497168.5</v>
      </c>
      <c r="CF136">
        <v>0</v>
      </c>
      <c r="CG136">
        <v>274054.7</v>
      </c>
      <c r="CH136">
        <v>0</v>
      </c>
      <c r="CI136">
        <v>835807.8</v>
      </c>
      <c r="CJ136">
        <v>32926858</v>
      </c>
      <c r="CK136">
        <v>10313.9</v>
      </c>
      <c r="CL136">
        <v>313225.2</v>
      </c>
      <c r="CM136">
        <v>0</v>
      </c>
      <c r="CN136">
        <v>9010284</v>
      </c>
      <c r="CO136">
        <v>20381970</v>
      </c>
      <c r="CP136">
        <v>0</v>
      </c>
      <c r="CQ136">
        <v>123.6</v>
      </c>
      <c r="CR136">
        <v>19.2</v>
      </c>
      <c r="CS136">
        <v>0</v>
      </c>
      <c r="CT136">
        <v>13743.5</v>
      </c>
      <c r="CU136">
        <v>0</v>
      </c>
      <c r="CV136">
        <v>0</v>
      </c>
      <c r="CW136">
        <v>271.89999999999998</v>
      </c>
      <c r="CX136">
        <v>2125</v>
      </c>
      <c r="CY136">
        <v>0</v>
      </c>
      <c r="CZ136">
        <v>4295.5</v>
      </c>
      <c r="DA136">
        <v>0</v>
      </c>
      <c r="DB136">
        <v>268.39999999999998</v>
      </c>
      <c r="DC136">
        <v>4131</v>
      </c>
      <c r="DD136">
        <v>520.5</v>
      </c>
      <c r="DE136">
        <v>471</v>
      </c>
      <c r="DF136">
        <v>0</v>
      </c>
      <c r="DG136">
        <v>4038.4</v>
      </c>
      <c r="DH136">
        <v>0</v>
      </c>
      <c r="DI136">
        <v>6250.7</v>
      </c>
      <c r="DJ136">
        <v>494.4</v>
      </c>
      <c r="DK136">
        <v>4710</v>
      </c>
      <c r="DL136">
        <v>0</v>
      </c>
      <c r="DM136">
        <v>0</v>
      </c>
    </row>
    <row r="137" spans="1:117" x14ac:dyDescent="0.3">
      <c r="A137" t="s">
        <v>170</v>
      </c>
      <c r="B137">
        <v>2028</v>
      </c>
      <c r="C137">
        <v>109767410</v>
      </c>
      <c r="D137">
        <v>1892724.6</v>
      </c>
      <c r="E137">
        <v>823453.1</v>
      </c>
      <c r="F137">
        <v>3515363.1</v>
      </c>
      <c r="G137">
        <v>115998948</v>
      </c>
      <c r="H137">
        <v>105820740.3</v>
      </c>
      <c r="I137">
        <v>16862836.199999999</v>
      </c>
      <c r="J137">
        <v>184242350</v>
      </c>
      <c r="K137">
        <v>236441890</v>
      </c>
      <c r="L137">
        <v>3.5900000000000001E-2</v>
      </c>
      <c r="M137">
        <v>5.3999999999999999E-2</v>
      </c>
      <c r="N137">
        <v>0.183</v>
      </c>
      <c r="O137">
        <v>59689.61</v>
      </c>
      <c r="P137">
        <v>26437.3</v>
      </c>
      <c r="Q137">
        <v>0.79</v>
      </c>
      <c r="R137">
        <v>0.73</v>
      </c>
      <c r="S137">
        <v>199.8</v>
      </c>
      <c r="T137">
        <v>22.2</v>
      </c>
      <c r="U137">
        <v>3.22</v>
      </c>
      <c r="V137">
        <v>8.5</v>
      </c>
      <c r="W137">
        <v>465.2</v>
      </c>
      <c r="X137">
        <v>0.14000000000000001</v>
      </c>
      <c r="Y137">
        <v>201.3</v>
      </c>
      <c r="Z137">
        <v>22.4</v>
      </c>
      <c r="AA137">
        <v>223.7</v>
      </c>
      <c r="AB137">
        <v>274</v>
      </c>
      <c r="AC137">
        <v>30.5</v>
      </c>
      <c r="AD137">
        <v>4.43</v>
      </c>
      <c r="AE137">
        <v>10.8</v>
      </c>
      <c r="AF137">
        <v>634</v>
      </c>
      <c r="AG137">
        <v>0.17</v>
      </c>
      <c r="AH137">
        <v>276.2</v>
      </c>
      <c r="AI137">
        <v>29.7</v>
      </c>
      <c r="AJ137">
        <v>305.89999999999998</v>
      </c>
      <c r="AK137">
        <v>198.3</v>
      </c>
      <c r="AL137">
        <v>7.2</v>
      </c>
      <c r="AM137">
        <v>0.91</v>
      </c>
      <c r="AN137">
        <v>20.399999999999999</v>
      </c>
      <c r="AO137">
        <v>925.5</v>
      </c>
      <c r="AP137">
        <v>0.09</v>
      </c>
      <c r="AQ137">
        <v>198.8</v>
      </c>
      <c r="AR137">
        <v>48</v>
      </c>
      <c r="AS137">
        <v>246.8</v>
      </c>
      <c r="AT137">
        <v>590.20000000000005</v>
      </c>
      <c r="AU137">
        <v>46.9</v>
      </c>
      <c r="AV137">
        <v>6.72</v>
      </c>
      <c r="AW137">
        <v>39.4</v>
      </c>
      <c r="AX137">
        <v>1878.2</v>
      </c>
      <c r="AY137">
        <v>0.36</v>
      </c>
      <c r="AZ137">
        <v>593.4</v>
      </c>
      <c r="BA137">
        <v>95.4</v>
      </c>
      <c r="BB137">
        <v>688.9</v>
      </c>
      <c r="BC137">
        <v>33270785.300000001</v>
      </c>
      <c r="BD137">
        <v>3697</v>
      </c>
      <c r="BE137">
        <v>536.6</v>
      </c>
      <c r="BF137">
        <v>1421369.1</v>
      </c>
      <c r="BG137">
        <v>77470.5</v>
      </c>
      <c r="BH137">
        <v>22.7</v>
      </c>
      <c r="BI137">
        <v>33527433.399999999</v>
      </c>
      <c r="BJ137">
        <v>3736181.3</v>
      </c>
      <c r="BK137">
        <v>37263614.600000001</v>
      </c>
      <c r="BL137">
        <v>0</v>
      </c>
      <c r="BM137">
        <v>21.26</v>
      </c>
      <c r="BN137">
        <v>12.32</v>
      </c>
      <c r="BO137">
        <v>0</v>
      </c>
      <c r="BP137">
        <v>33.58</v>
      </c>
      <c r="BQ137">
        <v>22.88</v>
      </c>
      <c r="BR137">
        <v>13.8</v>
      </c>
      <c r="BS137">
        <v>0</v>
      </c>
      <c r="BT137">
        <v>36.68</v>
      </c>
      <c r="BU137">
        <v>168247170</v>
      </c>
      <c r="BV137">
        <v>99136110</v>
      </c>
      <c r="BW137">
        <v>1624942.2</v>
      </c>
      <c r="BX137">
        <v>71293.5</v>
      </c>
      <c r="BY137">
        <v>0</v>
      </c>
      <c r="BZ137">
        <v>0</v>
      </c>
      <c r="CA137">
        <v>31497962</v>
      </c>
      <c r="CB137">
        <v>0</v>
      </c>
      <c r="CC137">
        <v>0</v>
      </c>
      <c r="CD137">
        <v>689844.4</v>
      </c>
      <c r="CE137">
        <v>3174471.5</v>
      </c>
      <c r="CF137">
        <v>0</v>
      </c>
      <c r="CG137">
        <v>163448.4</v>
      </c>
      <c r="CH137">
        <v>0</v>
      </c>
      <c r="CI137">
        <v>873433.59999999998</v>
      </c>
      <c r="CJ137">
        <v>31045956</v>
      </c>
      <c r="CK137">
        <v>3561.9</v>
      </c>
      <c r="CL137">
        <v>655982.30000000005</v>
      </c>
      <c r="CM137">
        <v>0</v>
      </c>
      <c r="CN137">
        <v>23616792</v>
      </c>
      <c r="CO137">
        <v>74829470</v>
      </c>
      <c r="CP137">
        <v>0</v>
      </c>
      <c r="CQ137">
        <v>1412.7</v>
      </c>
      <c r="CR137">
        <v>19.2</v>
      </c>
      <c r="CS137">
        <v>0</v>
      </c>
      <c r="CT137">
        <v>10876.5</v>
      </c>
      <c r="CU137">
        <v>0</v>
      </c>
      <c r="CV137">
        <v>0</v>
      </c>
      <c r="CW137">
        <v>466.5</v>
      </c>
      <c r="CX137">
        <v>2125</v>
      </c>
      <c r="CY137">
        <v>0</v>
      </c>
      <c r="CZ137">
        <v>4261.3999999999996</v>
      </c>
      <c r="DA137">
        <v>0</v>
      </c>
      <c r="DB137">
        <v>289.39999999999998</v>
      </c>
      <c r="DC137">
        <v>4131</v>
      </c>
      <c r="DD137">
        <v>356.1</v>
      </c>
      <c r="DE137">
        <v>471</v>
      </c>
      <c r="DF137">
        <v>0</v>
      </c>
      <c r="DG137">
        <v>10274.799999999999</v>
      </c>
      <c r="DH137">
        <v>0</v>
      </c>
      <c r="DI137">
        <v>20903.599999999999</v>
      </c>
      <c r="DJ137">
        <v>4385.8999999999996</v>
      </c>
      <c r="DK137">
        <v>4710</v>
      </c>
      <c r="DL137">
        <v>0</v>
      </c>
      <c r="DM137">
        <v>0</v>
      </c>
    </row>
    <row r="138" spans="1:117" x14ac:dyDescent="0.3">
      <c r="A138" t="s">
        <v>170</v>
      </c>
      <c r="B138">
        <v>2030</v>
      </c>
      <c r="C138">
        <v>112441870</v>
      </c>
      <c r="D138">
        <v>3691911.5</v>
      </c>
      <c r="E138">
        <v>825384.2</v>
      </c>
      <c r="F138">
        <v>4104512</v>
      </c>
      <c r="G138">
        <v>121063673.2</v>
      </c>
      <c r="H138">
        <v>108399042.3</v>
      </c>
      <c r="I138">
        <v>-16267052.4</v>
      </c>
      <c r="J138">
        <v>207369570</v>
      </c>
      <c r="K138">
        <v>283751330</v>
      </c>
      <c r="L138">
        <v>3.5900000000000001E-2</v>
      </c>
      <c r="M138">
        <v>5.3999999999999999E-2</v>
      </c>
      <c r="N138">
        <v>0.183</v>
      </c>
      <c r="O138">
        <v>67185.710000000006</v>
      </c>
      <c r="P138">
        <v>27276.6</v>
      </c>
      <c r="Q138">
        <v>0.87</v>
      </c>
      <c r="R138">
        <v>0.81</v>
      </c>
      <c r="S138">
        <v>128.80000000000001</v>
      </c>
      <c r="T138">
        <v>14.5</v>
      </c>
      <c r="U138">
        <v>2.11</v>
      </c>
      <c r="V138">
        <v>5.6</v>
      </c>
      <c r="W138">
        <v>293.7</v>
      </c>
      <c r="X138">
        <v>0.09</v>
      </c>
      <c r="Y138">
        <v>129.80000000000001</v>
      </c>
      <c r="Z138">
        <v>14.4</v>
      </c>
      <c r="AA138">
        <v>144.1</v>
      </c>
      <c r="AB138">
        <v>198.7</v>
      </c>
      <c r="AC138">
        <v>22.4</v>
      </c>
      <c r="AD138">
        <v>3.25</v>
      </c>
      <c r="AE138">
        <v>7.8</v>
      </c>
      <c r="AF138">
        <v>452</v>
      </c>
      <c r="AG138">
        <v>0.13</v>
      </c>
      <c r="AH138">
        <v>200.2</v>
      </c>
      <c r="AI138">
        <v>21.3</v>
      </c>
      <c r="AJ138">
        <v>221.5</v>
      </c>
      <c r="AK138">
        <v>165.9</v>
      </c>
      <c r="AL138">
        <v>8.1</v>
      </c>
      <c r="AM138">
        <v>1.0900000000000001</v>
      </c>
      <c r="AN138">
        <v>15.2</v>
      </c>
      <c r="AO138">
        <v>706.4</v>
      </c>
      <c r="AP138">
        <v>0.08</v>
      </c>
      <c r="AQ138">
        <v>166.4</v>
      </c>
      <c r="AR138">
        <v>36.200000000000003</v>
      </c>
      <c r="AS138">
        <v>202.7</v>
      </c>
      <c r="AT138">
        <v>499.1</v>
      </c>
      <c r="AU138">
        <v>40.700000000000003</v>
      </c>
      <c r="AV138">
        <v>5.81</v>
      </c>
      <c r="AW138">
        <v>32.1</v>
      </c>
      <c r="AX138">
        <v>1582.9</v>
      </c>
      <c r="AY138">
        <v>0.28999999999999998</v>
      </c>
      <c r="AZ138">
        <v>501.9</v>
      </c>
      <c r="BA138">
        <v>79.3</v>
      </c>
      <c r="BB138">
        <v>581.29999999999995</v>
      </c>
      <c r="BC138">
        <v>25129111.199999999</v>
      </c>
      <c r="BD138">
        <v>2834.7</v>
      </c>
      <c r="BE138">
        <v>411.8</v>
      </c>
      <c r="BF138">
        <v>1089824.7</v>
      </c>
      <c r="BG138">
        <v>57310.5</v>
      </c>
      <c r="BH138">
        <v>18.399999999999999</v>
      </c>
      <c r="BI138">
        <v>25326005.699999999</v>
      </c>
      <c r="BJ138">
        <v>2802702.7</v>
      </c>
      <c r="BK138">
        <v>28128708.399999999</v>
      </c>
      <c r="BL138">
        <v>0</v>
      </c>
      <c r="BM138">
        <v>17.64</v>
      </c>
      <c r="BN138">
        <v>13.1</v>
      </c>
      <c r="BO138">
        <v>0</v>
      </c>
      <c r="BP138">
        <v>30.73</v>
      </c>
      <c r="BQ138">
        <v>19.14</v>
      </c>
      <c r="BR138">
        <v>14.88</v>
      </c>
      <c r="BS138">
        <v>0</v>
      </c>
      <c r="BT138">
        <v>34.020000000000003</v>
      </c>
      <c r="BU138">
        <v>197507740</v>
      </c>
      <c r="BV138">
        <v>137330720</v>
      </c>
      <c r="BW138">
        <v>3157490</v>
      </c>
      <c r="BX138">
        <v>60011.7</v>
      </c>
      <c r="BY138">
        <v>0</v>
      </c>
      <c r="BZ138">
        <v>0</v>
      </c>
      <c r="CA138">
        <v>24308108</v>
      </c>
      <c r="CB138">
        <v>0</v>
      </c>
      <c r="CC138">
        <v>0</v>
      </c>
      <c r="CD138">
        <v>1191037.5</v>
      </c>
      <c r="CE138">
        <v>1376548</v>
      </c>
      <c r="CF138">
        <v>0</v>
      </c>
      <c r="CG138">
        <v>81047.199999999997</v>
      </c>
      <c r="CH138">
        <v>0</v>
      </c>
      <c r="CI138">
        <v>846437.6</v>
      </c>
      <c r="CJ138">
        <v>29685956</v>
      </c>
      <c r="CK138">
        <v>1131.8</v>
      </c>
      <c r="CL138">
        <v>660292.80000000005</v>
      </c>
      <c r="CM138">
        <v>0</v>
      </c>
      <c r="CN138">
        <v>31205236</v>
      </c>
      <c r="CO138">
        <v>104934450</v>
      </c>
      <c r="CP138">
        <v>0</v>
      </c>
      <c r="CQ138">
        <v>2622.1</v>
      </c>
      <c r="CR138">
        <v>19.2</v>
      </c>
      <c r="CS138">
        <v>0</v>
      </c>
      <c r="CT138">
        <v>9338.5</v>
      </c>
      <c r="CU138">
        <v>0</v>
      </c>
      <c r="CV138">
        <v>0</v>
      </c>
      <c r="CW138">
        <v>808.5</v>
      </c>
      <c r="CX138">
        <v>1934</v>
      </c>
      <c r="CY138">
        <v>0</v>
      </c>
      <c r="CZ138">
        <v>4187.8</v>
      </c>
      <c r="DA138">
        <v>0</v>
      </c>
      <c r="DB138">
        <v>289.39999999999998</v>
      </c>
      <c r="DC138">
        <v>4131</v>
      </c>
      <c r="DD138">
        <v>262.7</v>
      </c>
      <c r="DE138">
        <v>471</v>
      </c>
      <c r="DF138">
        <v>0</v>
      </c>
      <c r="DG138">
        <v>13703.2</v>
      </c>
      <c r="DH138">
        <v>0</v>
      </c>
      <c r="DI138">
        <v>29115.7</v>
      </c>
      <c r="DJ138">
        <v>9223</v>
      </c>
      <c r="DK138">
        <v>4710</v>
      </c>
      <c r="DL138">
        <v>0</v>
      </c>
      <c r="DM138">
        <v>0</v>
      </c>
    </row>
    <row r="139" spans="1:117" x14ac:dyDescent="0.3">
      <c r="A139" t="s">
        <v>170</v>
      </c>
      <c r="B139">
        <v>2035</v>
      </c>
      <c r="C139">
        <v>119437416</v>
      </c>
      <c r="D139">
        <v>4282288.5</v>
      </c>
      <c r="E139">
        <v>795936.2</v>
      </c>
      <c r="F139">
        <v>4217054.7</v>
      </c>
      <c r="G139">
        <v>128732695.8</v>
      </c>
      <c r="H139">
        <v>115143117</v>
      </c>
      <c r="I139">
        <v>-30322250.399999999</v>
      </c>
      <c r="J139">
        <v>205579550</v>
      </c>
      <c r="K139">
        <v>292887680</v>
      </c>
      <c r="L139">
        <v>3.5900000000000001E-2</v>
      </c>
      <c r="M139">
        <v>5.3999999999999999E-2</v>
      </c>
      <c r="N139">
        <v>0.183</v>
      </c>
      <c r="O139">
        <v>88580.18</v>
      </c>
      <c r="P139">
        <v>29547.7</v>
      </c>
      <c r="Q139">
        <v>0.9</v>
      </c>
      <c r="R139">
        <v>0.84</v>
      </c>
      <c r="S139">
        <v>103.6</v>
      </c>
      <c r="T139">
        <v>11.7</v>
      </c>
      <c r="U139">
        <v>1.7</v>
      </c>
      <c r="V139">
        <v>4.5999999999999996</v>
      </c>
      <c r="W139">
        <v>236</v>
      </c>
      <c r="X139">
        <v>0.08</v>
      </c>
      <c r="Y139">
        <v>104.4</v>
      </c>
      <c r="Z139">
        <v>11.7</v>
      </c>
      <c r="AA139">
        <v>116.1</v>
      </c>
      <c r="AB139">
        <v>164.4</v>
      </c>
      <c r="AC139">
        <v>18.600000000000001</v>
      </c>
      <c r="AD139">
        <v>2.7</v>
      </c>
      <c r="AE139">
        <v>6.6</v>
      </c>
      <c r="AF139">
        <v>373.3</v>
      </c>
      <c r="AG139">
        <v>0.11</v>
      </c>
      <c r="AH139">
        <v>165.7</v>
      </c>
      <c r="AI139">
        <v>17.7</v>
      </c>
      <c r="AJ139">
        <v>183.4</v>
      </c>
      <c r="AK139">
        <v>203.7</v>
      </c>
      <c r="AL139">
        <v>14.3</v>
      </c>
      <c r="AM139">
        <v>2</v>
      </c>
      <c r="AN139">
        <v>14.7</v>
      </c>
      <c r="AO139">
        <v>732.4</v>
      </c>
      <c r="AP139">
        <v>0.1</v>
      </c>
      <c r="AQ139">
        <v>204.7</v>
      </c>
      <c r="AR139">
        <v>36.6</v>
      </c>
      <c r="AS139">
        <v>241.3</v>
      </c>
      <c r="AT139">
        <v>461.2</v>
      </c>
      <c r="AU139">
        <v>37.299999999999997</v>
      </c>
      <c r="AV139">
        <v>5.34</v>
      </c>
      <c r="AW139">
        <v>29.9</v>
      </c>
      <c r="AX139">
        <v>1465.6</v>
      </c>
      <c r="AY139">
        <v>0.27</v>
      </c>
      <c r="AZ139">
        <v>463.7</v>
      </c>
      <c r="BA139">
        <v>73.599999999999994</v>
      </c>
      <c r="BB139">
        <v>537.4</v>
      </c>
      <c r="BC139">
        <v>22072139.699999999</v>
      </c>
      <c r="BD139">
        <v>2494.1</v>
      </c>
      <c r="BE139">
        <v>362.4</v>
      </c>
      <c r="BF139">
        <v>981934.3</v>
      </c>
      <c r="BG139">
        <v>50276.7</v>
      </c>
      <c r="BH139">
        <v>16.8</v>
      </c>
      <c r="BI139">
        <v>22245387.100000001</v>
      </c>
      <c r="BJ139">
        <v>2484772.2999999998</v>
      </c>
      <c r="BK139">
        <v>24730159.399999999</v>
      </c>
      <c r="BL139">
        <v>0</v>
      </c>
      <c r="BM139">
        <v>15.97</v>
      </c>
      <c r="BN139">
        <v>17.02</v>
      </c>
      <c r="BO139">
        <v>0</v>
      </c>
      <c r="BP139">
        <v>32.99</v>
      </c>
      <c r="BQ139">
        <v>17.36</v>
      </c>
      <c r="BR139">
        <v>19.43</v>
      </c>
      <c r="BS139">
        <v>0</v>
      </c>
      <c r="BT139">
        <v>36.78</v>
      </c>
      <c r="BU139">
        <v>216131550</v>
      </c>
      <c r="BV139">
        <v>159054940</v>
      </c>
      <c r="BW139">
        <v>3668142.5</v>
      </c>
      <c r="BX139">
        <v>56814.1</v>
      </c>
      <c r="BY139">
        <v>0</v>
      </c>
      <c r="BZ139">
        <v>0</v>
      </c>
      <c r="CA139">
        <v>21405384</v>
      </c>
      <c r="CB139">
        <v>0</v>
      </c>
      <c r="CC139">
        <v>0</v>
      </c>
      <c r="CD139">
        <v>1843955.8</v>
      </c>
      <c r="CE139">
        <v>983142.3</v>
      </c>
      <c r="CF139">
        <v>0</v>
      </c>
      <c r="CG139">
        <v>162460.4</v>
      </c>
      <c r="CH139">
        <v>0</v>
      </c>
      <c r="CI139">
        <v>836330.2</v>
      </c>
      <c r="CJ139">
        <v>29320780</v>
      </c>
      <c r="CK139">
        <v>431</v>
      </c>
      <c r="CL139">
        <v>643137.19999999995</v>
      </c>
      <c r="CM139">
        <v>0</v>
      </c>
      <c r="CN139">
        <v>38956028</v>
      </c>
      <c r="CO139">
        <v>118254960</v>
      </c>
      <c r="CP139">
        <v>0</v>
      </c>
      <c r="CQ139">
        <v>3169</v>
      </c>
      <c r="CR139">
        <v>19.2</v>
      </c>
      <c r="CS139">
        <v>0</v>
      </c>
      <c r="CT139">
        <v>9338.5</v>
      </c>
      <c r="CU139">
        <v>0</v>
      </c>
      <c r="CV139">
        <v>0</v>
      </c>
      <c r="CW139">
        <v>1268.5</v>
      </c>
      <c r="CX139">
        <v>1934</v>
      </c>
      <c r="CY139">
        <v>0</v>
      </c>
      <c r="CZ139">
        <v>6794.6</v>
      </c>
      <c r="DA139">
        <v>0</v>
      </c>
      <c r="DB139">
        <v>289.39999999999998</v>
      </c>
      <c r="DC139">
        <v>4131</v>
      </c>
      <c r="DD139">
        <v>248.6</v>
      </c>
      <c r="DE139">
        <v>471</v>
      </c>
      <c r="DF139">
        <v>0</v>
      </c>
      <c r="DG139">
        <v>17334.400000000001</v>
      </c>
      <c r="DH139">
        <v>0</v>
      </c>
      <c r="DI139">
        <v>33030.5</v>
      </c>
      <c r="DJ139">
        <v>10469.799999999999</v>
      </c>
      <c r="DK139">
        <v>4710</v>
      </c>
      <c r="DL139">
        <v>0</v>
      </c>
      <c r="DM139">
        <v>0</v>
      </c>
    </row>
    <row r="140" spans="1:117" x14ac:dyDescent="0.3">
      <c r="A140" t="s">
        <v>170</v>
      </c>
      <c r="B140">
        <v>2040</v>
      </c>
      <c r="C140">
        <v>127432580</v>
      </c>
      <c r="D140">
        <v>5169380.5</v>
      </c>
      <c r="E140">
        <v>838212.8</v>
      </c>
      <c r="F140">
        <v>4149888.5</v>
      </c>
      <c r="G140">
        <v>137590053.80000001</v>
      </c>
      <c r="H140">
        <v>122850858.7</v>
      </c>
      <c r="I140">
        <v>-23925897.899999999</v>
      </c>
      <c r="J140">
        <v>204937950</v>
      </c>
      <c r="K140">
        <v>278565860</v>
      </c>
      <c r="L140">
        <v>3.5900000000000001E-2</v>
      </c>
      <c r="M140">
        <v>5.3999999999999999E-2</v>
      </c>
      <c r="N140">
        <v>0.183</v>
      </c>
      <c r="O140">
        <v>86952.66</v>
      </c>
      <c r="P140">
        <v>31990.400000000001</v>
      </c>
      <c r="Q140">
        <v>0.93</v>
      </c>
      <c r="R140">
        <v>0.89</v>
      </c>
      <c r="S140">
        <v>69.099999999999994</v>
      </c>
      <c r="T140">
        <v>7.7</v>
      </c>
      <c r="U140">
        <v>1.1200000000000001</v>
      </c>
      <c r="V140">
        <v>3.6</v>
      </c>
      <c r="W140">
        <v>162</v>
      </c>
      <c r="X140">
        <v>0.06</v>
      </c>
      <c r="Y140">
        <v>69.599999999999994</v>
      </c>
      <c r="Z140">
        <v>8.4</v>
      </c>
      <c r="AA140">
        <v>78.099999999999994</v>
      </c>
      <c r="AB140">
        <v>107.1</v>
      </c>
      <c r="AC140">
        <v>12</v>
      </c>
      <c r="AD140">
        <v>1.74</v>
      </c>
      <c r="AE140">
        <v>4.8</v>
      </c>
      <c r="AF140">
        <v>248.4</v>
      </c>
      <c r="AG140">
        <v>0.08</v>
      </c>
      <c r="AH140">
        <v>108</v>
      </c>
      <c r="AI140">
        <v>12.2</v>
      </c>
      <c r="AJ140">
        <v>120.2</v>
      </c>
      <c r="AK140">
        <v>187.3</v>
      </c>
      <c r="AL140">
        <v>13.8</v>
      </c>
      <c r="AM140">
        <v>1.94</v>
      </c>
      <c r="AN140">
        <v>13.7</v>
      </c>
      <c r="AO140">
        <v>655.20000000000005</v>
      </c>
      <c r="AP140">
        <v>0.11</v>
      </c>
      <c r="AQ140">
        <v>188.3</v>
      </c>
      <c r="AR140">
        <v>33.299999999999997</v>
      </c>
      <c r="AS140">
        <v>221.5</v>
      </c>
      <c r="AT140">
        <v>402.8</v>
      </c>
      <c r="AU140">
        <v>30.5</v>
      </c>
      <c r="AV140">
        <v>4.33</v>
      </c>
      <c r="AW140">
        <v>28.1</v>
      </c>
      <c r="AX140">
        <v>1354.7</v>
      </c>
      <c r="AY140">
        <v>0.23</v>
      </c>
      <c r="AZ140">
        <v>404.9</v>
      </c>
      <c r="BA140">
        <v>68.599999999999994</v>
      </c>
      <c r="BB140">
        <v>473.4</v>
      </c>
      <c r="BC140">
        <v>14320805.199999999</v>
      </c>
      <c r="BD140">
        <v>1595.8</v>
      </c>
      <c r="BE140">
        <v>231.6</v>
      </c>
      <c r="BF140">
        <v>743780.3</v>
      </c>
      <c r="BG140">
        <v>33545.5</v>
      </c>
      <c r="BH140">
        <v>12.9</v>
      </c>
      <c r="BI140">
        <v>14431597.800000001</v>
      </c>
      <c r="BJ140">
        <v>1746952.4</v>
      </c>
      <c r="BK140">
        <v>16178550.1</v>
      </c>
      <c r="BL140">
        <v>0</v>
      </c>
      <c r="BM140">
        <v>14.2</v>
      </c>
      <c r="BN140">
        <v>16.63</v>
      </c>
      <c r="BO140">
        <v>0</v>
      </c>
      <c r="BP140">
        <v>30.84</v>
      </c>
      <c r="BQ140">
        <v>15.48</v>
      </c>
      <c r="BR140">
        <v>19.03</v>
      </c>
      <c r="BS140">
        <v>0</v>
      </c>
      <c r="BT140">
        <v>34.5</v>
      </c>
      <c r="BU140">
        <v>211242530</v>
      </c>
      <c r="BV140">
        <v>161515950</v>
      </c>
      <c r="BW140">
        <v>4402308.5</v>
      </c>
      <c r="BX140">
        <v>52189.3</v>
      </c>
      <c r="BY140">
        <v>0</v>
      </c>
      <c r="BZ140">
        <v>0</v>
      </c>
      <c r="CA140">
        <v>13655462</v>
      </c>
      <c r="CB140">
        <v>0</v>
      </c>
      <c r="CC140">
        <v>0</v>
      </c>
      <c r="CD140">
        <v>2238587.7999999998</v>
      </c>
      <c r="CE140">
        <v>1085276.2</v>
      </c>
      <c r="CF140">
        <v>0</v>
      </c>
      <c r="CG140">
        <v>200912.1</v>
      </c>
      <c r="CH140">
        <v>0</v>
      </c>
      <c r="CI140">
        <v>819711.6</v>
      </c>
      <c r="CJ140">
        <v>28827956</v>
      </c>
      <c r="CK140">
        <v>342.1</v>
      </c>
      <c r="CL140">
        <v>682417.8</v>
      </c>
      <c r="CM140">
        <v>0</v>
      </c>
      <c r="CN140">
        <v>36553420</v>
      </c>
      <c r="CO140">
        <v>122723944</v>
      </c>
      <c r="CP140">
        <v>0</v>
      </c>
      <c r="CQ140">
        <v>3972.3</v>
      </c>
      <c r="CR140">
        <v>19.2</v>
      </c>
      <c r="CS140">
        <v>0</v>
      </c>
      <c r="CT140">
        <v>8094.5</v>
      </c>
      <c r="CU140">
        <v>0</v>
      </c>
      <c r="CV140">
        <v>0</v>
      </c>
      <c r="CW140">
        <v>1581.8</v>
      </c>
      <c r="CX140">
        <v>1934</v>
      </c>
      <c r="CY140">
        <v>0</v>
      </c>
      <c r="CZ140">
        <v>7707.2</v>
      </c>
      <c r="DA140">
        <v>0</v>
      </c>
      <c r="DB140">
        <v>289.39999999999998</v>
      </c>
      <c r="DC140">
        <v>4131</v>
      </c>
      <c r="DD140">
        <v>236.2</v>
      </c>
      <c r="DE140">
        <v>471</v>
      </c>
      <c r="DF140">
        <v>0</v>
      </c>
      <c r="DG140">
        <v>17436.2</v>
      </c>
      <c r="DH140">
        <v>0</v>
      </c>
      <c r="DI140">
        <v>34755</v>
      </c>
      <c r="DJ140">
        <v>12240.8</v>
      </c>
      <c r="DK140">
        <v>4710</v>
      </c>
      <c r="DL140">
        <v>0</v>
      </c>
      <c r="DM140">
        <v>0</v>
      </c>
    </row>
    <row r="141" spans="1:117" x14ac:dyDescent="0.3">
      <c r="A141" t="s">
        <v>170</v>
      </c>
      <c r="B141">
        <v>2045</v>
      </c>
      <c r="C141">
        <v>134471470</v>
      </c>
      <c r="D141">
        <v>10335025</v>
      </c>
      <c r="E141">
        <v>857617.5</v>
      </c>
      <c r="F141">
        <v>4196794.7</v>
      </c>
      <c r="G141">
        <v>149860910.59999999</v>
      </c>
      <c r="H141">
        <v>129636646.2</v>
      </c>
      <c r="I141">
        <v>-29557331.5</v>
      </c>
      <c r="J141">
        <v>215344000</v>
      </c>
      <c r="K141">
        <v>280144930</v>
      </c>
      <c r="L141">
        <v>3.5900000000000001E-2</v>
      </c>
      <c r="M141">
        <v>5.3999999999999999E-2</v>
      </c>
      <c r="N141">
        <v>0.183</v>
      </c>
      <c r="O141">
        <v>87527.22</v>
      </c>
      <c r="P141">
        <v>33952.400000000001</v>
      </c>
      <c r="Q141">
        <v>0.94</v>
      </c>
      <c r="R141">
        <v>0.92</v>
      </c>
      <c r="S141">
        <v>51.7</v>
      </c>
      <c r="T141">
        <v>5.4</v>
      </c>
      <c r="U141">
        <v>0.79</v>
      </c>
      <c r="V141">
        <v>2.6</v>
      </c>
      <c r="W141">
        <v>129.69999999999999</v>
      </c>
      <c r="X141">
        <v>0.04</v>
      </c>
      <c r="Y141">
        <v>52</v>
      </c>
      <c r="Z141">
        <v>6.4</v>
      </c>
      <c r="AA141">
        <v>58.5</v>
      </c>
      <c r="AB141">
        <v>82.4</v>
      </c>
      <c r="AC141">
        <v>8.9</v>
      </c>
      <c r="AD141">
        <v>1.29</v>
      </c>
      <c r="AE141">
        <v>3.5</v>
      </c>
      <c r="AF141">
        <v>200.2</v>
      </c>
      <c r="AG141">
        <v>0.05</v>
      </c>
      <c r="AH141">
        <v>83</v>
      </c>
      <c r="AI141">
        <v>9.5</v>
      </c>
      <c r="AJ141">
        <v>92.6</v>
      </c>
      <c r="AK141">
        <v>161.4</v>
      </c>
      <c r="AL141">
        <v>10.7</v>
      </c>
      <c r="AM141">
        <v>1.49</v>
      </c>
      <c r="AN141">
        <v>13.1</v>
      </c>
      <c r="AO141">
        <v>602.20000000000005</v>
      </c>
      <c r="AP141">
        <v>0.1</v>
      </c>
      <c r="AQ141">
        <v>162.1</v>
      </c>
      <c r="AR141">
        <v>31.1</v>
      </c>
      <c r="AS141">
        <v>193.2</v>
      </c>
      <c r="AT141">
        <v>382.4</v>
      </c>
      <c r="AU141">
        <v>27.4</v>
      </c>
      <c r="AV141">
        <v>3.86</v>
      </c>
      <c r="AW141">
        <v>28.2</v>
      </c>
      <c r="AX141">
        <v>1339.3</v>
      </c>
      <c r="AY141">
        <v>0.21</v>
      </c>
      <c r="AZ141">
        <v>384.2</v>
      </c>
      <c r="BA141">
        <v>68.099999999999994</v>
      </c>
      <c r="BB141">
        <v>452.4</v>
      </c>
      <c r="BC141">
        <v>10884484</v>
      </c>
      <c r="BD141">
        <v>1150.2</v>
      </c>
      <c r="BE141">
        <v>166.4</v>
      </c>
      <c r="BF141">
        <v>540251.80000000005</v>
      </c>
      <c r="BG141">
        <v>27274.400000000001</v>
      </c>
      <c r="BH141">
        <v>7.9</v>
      </c>
      <c r="BI141">
        <v>10964185.699999999</v>
      </c>
      <c r="BJ141">
        <v>1355176.4</v>
      </c>
      <c r="BK141">
        <v>12319362</v>
      </c>
      <c r="BL141">
        <v>0</v>
      </c>
      <c r="BM141">
        <v>13.59</v>
      </c>
      <c r="BN141">
        <v>16.25</v>
      </c>
      <c r="BO141">
        <v>0</v>
      </c>
      <c r="BP141">
        <v>29.83</v>
      </c>
      <c r="BQ141">
        <v>15.03</v>
      </c>
      <c r="BR141">
        <v>19.18</v>
      </c>
      <c r="BS141">
        <v>0</v>
      </c>
      <c r="BT141">
        <v>34.22</v>
      </c>
      <c r="BU141">
        <v>214522030</v>
      </c>
      <c r="BV141">
        <v>179418240</v>
      </c>
      <c r="BW141">
        <v>8830119</v>
      </c>
      <c r="BX141">
        <v>50808.2</v>
      </c>
      <c r="BY141">
        <v>0</v>
      </c>
      <c r="BZ141">
        <v>0</v>
      </c>
      <c r="CA141">
        <v>9647365</v>
      </c>
      <c r="CB141">
        <v>0</v>
      </c>
      <c r="CC141">
        <v>0</v>
      </c>
      <c r="CD141">
        <v>2726558.8</v>
      </c>
      <c r="CE141">
        <v>1950861.6</v>
      </c>
      <c r="CF141">
        <v>0</v>
      </c>
      <c r="CG141">
        <v>511733.8</v>
      </c>
      <c r="CH141">
        <v>0</v>
      </c>
      <c r="CI141">
        <v>809068.4</v>
      </c>
      <c r="CJ141">
        <v>12615636</v>
      </c>
      <c r="CK141">
        <v>0</v>
      </c>
      <c r="CL141">
        <v>688198.2</v>
      </c>
      <c r="CM141">
        <v>0</v>
      </c>
      <c r="CN141">
        <v>41173864</v>
      </c>
      <c r="CO141">
        <v>135517820</v>
      </c>
      <c r="CP141">
        <v>0</v>
      </c>
      <c r="CQ141">
        <v>6746.7</v>
      </c>
      <c r="CR141">
        <v>19.2</v>
      </c>
      <c r="CS141">
        <v>0</v>
      </c>
      <c r="CT141">
        <v>4103.5</v>
      </c>
      <c r="CU141">
        <v>0</v>
      </c>
      <c r="CV141">
        <v>0</v>
      </c>
      <c r="CW141">
        <v>1962.4</v>
      </c>
      <c r="CX141">
        <v>1934</v>
      </c>
      <c r="CY141">
        <v>0</v>
      </c>
      <c r="CZ141">
        <v>11635.2</v>
      </c>
      <c r="DA141">
        <v>0</v>
      </c>
      <c r="DB141">
        <v>289.39999999999998</v>
      </c>
      <c r="DC141">
        <v>1819</v>
      </c>
      <c r="DD141">
        <v>92.6</v>
      </c>
      <c r="DE141">
        <v>471</v>
      </c>
      <c r="DF141">
        <v>0</v>
      </c>
      <c r="DG141">
        <v>19982.5</v>
      </c>
      <c r="DH141">
        <v>0</v>
      </c>
      <c r="DI141">
        <v>38557.599999999999</v>
      </c>
      <c r="DJ141">
        <v>25808.400000000001</v>
      </c>
      <c r="DK141">
        <v>4710</v>
      </c>
      <c r="DL141">
        <v>0</v>
      </c>
      <c r="DM141">
        <v>0</v>
      </c>
    </row>
    <row r="142" spans="1:117" x14ac:dyDescent="0.3">
      <c r="A142" t="s">
        <v>170</v>
      </c>
      <c r="B142">
        <v>2050</v>
      </c>
      <c r="C142">
        <v>140991520</v>
      </c>
      <c r="D142">
        <v>11824811</v>
      </c>
      <c r="E142">
        <v>895091.4</v>
      </c>
      <c r="F142">
        <v>4327973</v>
      </c>
      <c r="G142">
        <v>158039398.59999999</v>
      </c>
      <c r="H142">
        <v>135922130.69999999</v>
      </c>
      <c r="I142">
        <v>-57716530</v>
      </c>
      <c r="J142">
        <v>212706030</v>
      </c>
      <c r="K142">
        <v>289024860</v>
      </c>
      <c r="L142">
        <v>3.5900000000000001E-2</v>
      </c>
      <c r="M142">
        <v>5.3999999999999999E-2</v>
      </c>
      <c r="N142">
        <v>0.183</v>
      </c>
      <c r="O142">
        <v>86229.79</v>
      </c>
      <c r="P142">
        <v>35563.1</v>
      </c>
      <c r="Q142">
        <v>0.97</v>
      </c>
      <c r="R142">
        <v>0.97</v>
      </c>
      <c r="S142">
        <v>21.4</v>
      </c>
      <c r="T142">
        <v>1.7</v>
      </c>
      <c r="U142">
        <v>0.24</v>
      </c>
      <c r="V142">
        <v>1.4</v>
      </c>
      <c r="W142">
        <v>70.7</v>
      </c>
      <c r="X142">
        <v>0.01</v>
      </c>
      <c r="Y142">
        <v>21.5</v>
      </c>
      <c r="Z142">
        <v>3.5</v>
      </c>
      <c r="AA142">
        <v>25</v>
      </c>
      <c r="AB142">
        <v>30.6</v>
      </c>
      <c r="AC142">
        <v>3.1</v>
      </c>
      <c r="AD142">
        <v>0.44</v>
      </c>
      <c r="AE142">
        <v>1.4</v>
      </c>
      <c r="AF142">
        <v>81.5</v>
      </c>
      <c r="AG142">
        <v>0.02</v>
      </c>
      <c r="AH142">
        <v>30.8</v>
      </c>
      <c r="AI142">
        <v>3.8</v>
      </c>
      <c r="AJ142">
        <v>34.6</v>
      </c>
      <c r="AK142">
        <v>108.8</v>
      </c>
      <c r="AL142">
        <v>4.9000000000000004</v>
      </c>
      <c r="AM142">
        <v>0.65</v>
      </c>
      <c r="AN142">
        <v>11.6</v>
      </c>
      <c r="AO142">
        <v>480</v>
      </c>
      <c r="AP142">
        <v>0.08</v>
      </c>
      <c r="AQ142">
        <v>109.1</v>
      </c>
      <c r="AR142">
        <v>25.9</v>
      </c>
      <c r="AS142">
        <v>135</v>
      </c>
      <c r="AT142">
        <v>367.7</v>
      </c>
      <c r="AU142">
        <v>23</v>
      </c>
      <c r="AV142">
        <v>3.19</v>
      </c>
      <c r="AW142">
        <v>29.7</v>
      </c>
      <c r="AX142">
        <v>1393.8</v>
      </c>
      <c r="AY142">
        <v>0.19</v>
      </c>
      <c r="AZ142">
        <v>369.2</v>
      </c>
      <c r="BA142">
        <v>71.3</v>
      </c>
      <c r="BB142">
        <v>440.5</v>
      </c>
      <c r="BC142">
        <v>4804684.9000000004</v>
      </c>
      <c r="BD142">
        <v>390.3</v>
      </c>
      <c r="BE142">
        <v>55.3</v>
      </c>
      <c r="BF142">
        <v>297214.40000000002</v>
      </c>
      <c r="BG142">
        <v>15636</v>
      </c>
      <c r="BH142">
        <v>2.2999999999999998</v>
      </c>
      <c r="BI142">
        <v>4831420.9000000004</v>
      </c>
      <c r="BJ142">
        <v>763791.2</v>
      </c>
      <c r="BK142">
        <v>5595212.0999999996</v>
      </c>
      <c r="BL142">
        <v>0</v>
      </c>
      <c r="BM142">
        <v>13.52</v>
      </c>
      <c r="BN142">
        <v>15.85</v>
      </c>
      <c r="BO142">
        <v>0</v>
      </c>
      <c r="BP142">
        <v>29.37</v>
      </c>
      <c r="BQ142">
        <v>15.04</v>
      </c>
      <c r="BR142">
        <v>18.79</v>
      </c>
      <c r="BS142">
        <v>0</v>
      </c>
      <c r="BT142">
        <v>33.82</v>
      </c>
      <c r="BU142">
        <v>234316640</v>
      </c>
      <c r="BV142">
        <v>215755940</v>
      </c>
      <c r="BW142">
        <v>10070625</v>
      </c>
      <c r="BX142">
        <v>48333.5</v>
      </c>
      <c r="BY142">
        <v>0</v>
      </c>
      <c r="BZ142">
        <v>0</v>
      </c>
      <c r="CA142">
        <v>3070574.5</v>
      </c>
      <c r="CB142">
        <v>0</v>
      </c>
      <c r="CC142">
        <v>0</v>
      </c>
      <c r="CD142">
        <v>3354167</v>
      </c>
      <c r="CE142">
        <v>2444102.7999999998</v>
      </c>
      <c r="CF142">
        <v>0</v>
      </c>
      <c r="CG142">
        <v>1408726.9</v>
      </c>
      <c r="CH142">
        <v>0</v>
      </c>
      <c r="CI142">
        <v>804121.59999999998</v>
      </c>
      <c r="CJ142">
        <v>0</v>
      </c>
      <c r="CK142">
        <v>0</v>
      </c>
      <c r="CL142">
        <v>714249.6</v>
      </c>
      <c r="CM142">
        <v>0</v>
      </c>
      <c r="CN142">
        <v>39821970</v>
      </c>
      <c r="CO142">
        <v>172579790</v>
      </c>
      <c r="CP142">
        <v>0</v>
      </c>
      <c r="CQ142">
        <v>7531.1</v>
      </c>
      <c r="CR142">
        <v>19.2</v>
      </c>
      <c r="CS142">
        <v>0</v>
      </c>
      <c r="CT142">
        <v>1656.5</v>
      </c>
      <c r="CU142">
        <v>0</v>
      </c>
      <c r="CV142">
        <v>0</v>
      </c>
      <c r="CW142">
        <v>2455.5</v>
      </c>
      <c r="CX142">
        <v>1934</v>
      </c>
      <c r="CY142">
        <v>0</v>
      </c>
      <c r="CZ142">
        <v>15004.5</v>
      </c>
      <c r="DA142">
        <v>0</v>
      </c>
      <c r="DB142">
        <v>289.39999999999998</v>
      </c>
      <c r="DC142">
        <v>0</v>
      </c>
      <c r="DD142">
        <v>78.099999999999994</v>
      </c>
      <c r="DE142">
        <v>471</v>
      </c>
      <c r="DF142">
        <v>0</v>
      </c>
      <c r="DG142">
        <v>20596.099999999999</v>
      </c>
      <c r="DH142">
        <v>0</v>
      </c>
      <c r="DI142">
        <v>48438.2</v>
      </c>
      <c r="DJ142">
        <v>29887</v>
      </c>
      <c r="DK142">
        <v>4710</v>
      </c>
      <c r="DL142">
        <v>0</v>
      </c>
      <c r="DM142">
        <v>0</v>
      </c>
    </row>
    <row r="143" spans="1:117" x14ac:dyDescent="0.3">
      <c r="A143" t="s">
        <v>171</v>
      </c>
      <c r="B143">
        <v>2024</v>
      </c>
      <c r="C143">
        <v>264005730</v>
      </c>
      <c r="D143">
        <v>290124.7</v>
      </c>
      <c r="E143">
        <v>2242758</v>
      </c>
      <c r="F143">
        <v>2162157.7000000002</v>
      </c>
      <c r="G143">
        <v>268700784.19999999</v>
      </c>
      <c r="H143">
        <v>254513498.09999999</v>
      </c>
      <c r="I143">
        <v>258347572.19999999</v>
      </c>
      <c r="J143">
        <v>78800240</v>
      </c>
      <c r="K143">
        <v>83564456</v>
      </c>
      <c r="L143">
        <v>3.5900000000000001E-2</v>
      </c>
      <c r="M143">
        <v>5.3999999999999999E-2</v>
      </c>
      <c r="N143">
        <v>0.15</v>
      </c>
      <c r="O143">
        <v>7620.86</v>
      </c>
      <c r="P143">
        <v>59650.9</v>
      </c>
      <c r="Q143">
        <v>0.45</v>
      </c>
      <c r="R143">
        <v>0.45</v>
      </c>
      <c r="S143">
        <v>324.5</v>
      </c>
      <c r="T143">
        <v>22.7</v>
      </c>
      <c r="U143">
        <v>3.18</v>
      </c>
      <c r="V143">
        <v>26.6</v>
      </c>
      <c r="W143">
        <v>1177.4000000000001</v>
      </c>
      <c r="X143">
        <v>0.22</v>
      </c>
      <c r="Y143">
        <v>326.10000000000002</v>
      </c>
      <c r="Z143">
        <v>61.7</v>
      </c>
      <c r="AA143">
        <v>387.8</v>
      </c>
      <c r="AB143">
        <v>334.7</v>
      </c>
      <c r="AC143">
        <v>23.2</v>
      </c>
      <c r="AD143">
        <v>3.23</v>
      </c>
      <c r="AE143">
        <v>27.6</v>
      </c>
      <c r="AF143">
        <v>1221.8</v>
      </c>
      <c r="AG143">
        <v>0.23</v>
      </c>
      <c r="AH143">
        <v>336.2</v>
      </c>
      <c r="AI143">
        <v>64.099999999999994</v>
      </c>
      <c r="AJ143">
        <v>400.3</v>
      </c>
      <c r="AK143">
        <v>312.5</v>
      </c>
      <c r="AL143">
        <v>19.7</v>
      </c>
      <c r="AM143">
        <v>2.76</v>
      </c>
      <c r="AN143">
        <v>24.8</v>
      </c>
      <c r="AO143">
        <v>1161.3</v>
      </c>
      <c r="AP143">
        <v>0.17</v>
      </c>
      <c r="AQ143">
        <v>313.89999999999998</v>
      </c>
      <c r="AR143">
        <v>59.5</v>
      </c>
      <c r="AS143">
        <v>373.3</v>
      </c>
      <c r="AT143">
        <v>745.7</v>
      </c>
      <c r="AU143">
        <v>55.8</v>
      </c>
      <c r="AV143">
        <v>8.01</v>
      </c>
      <c r="AW143">
        <v>52.1</v>
      </c>
      <c r="AX143">
        <v>2432.9</v>
      </c>
      <c r="AY143">
        <v>0.45</v>
      </c>
      <c r="AZ143">
        <v>749.6</v>
      </c>
      <c r="BA143">
        <v>124.8</v>
      </c>
      <c r="BB143">
        <v>874.3</v>
      </c>
      <c r="BC143">
        <v>88191603.400000006</v>
      </c>
      <c r="BD143">
        <v>6178.4</v>
      </c>
      <c r="BE143">
        <v>863.7</v>
      </c>
      <c r="BF143">
        <v>7218067.4000000004</v>
      </c>
      <c r="BG143">
        <v>319999.90000000002</v>
      </c>
      <c r="BH143">
        <v>60.7</v>
      </c>
      <c r="BI143">
        <v>88611505.299999997</v>
      </c>
      <c r="BJ143">
        <v>16770627.9</v>
      </c>
      <c r="BK143">
        <v>105382133.2</v>
      </c>
      <c r="BL143">
        <v>0</v>
      </c>
      <c r="BM143">
        <v>32.04</v>
      </c>
      <c r="BN143">
        <v>1.64</v>
      </c>
      <c r="BO143">
        <v>0</v>
      </c>
      <c r="BP143">
        <v>33.68</v>
      </c>
      <c r="BQ143">
        <v>33.97</v>
      </c>
      <c r="BR143">
        <v>1.79</v>
      </c>
      <c r="BS143">
        <v>0</v>
      </c>
      <c r="BT143">
        <v>35.770000000000003</v>
      </c>
      <c r="BU143">
        <v>273504400</v>
      </c>
      <c r="BV143">
        <v>10353212</v>
      </c>
      <c r="BW143">
        <v>263296.59999999998</v>
      </c>
      <c r="BX143">
        <v>2102417.7999999998</v>
      </c>
      <c r="BY143">
        <v>0</v>
      </c>
      <c r="BZ143">
        <v>0</v>
      </c>
      <c r="CA143">
        <v>45666560</v>
      </c>
      <c r="CB143">
        <v>0</v>
      </c>
      <c r="CC143">
        <v>0</v>
      </c>
      <c r="CD143">
        <v>509204.1</v>
      </c>
      <c r="CE143">
        <v>104772100</v>
      </c>
      <c r="CF143">
        <v>0</v>
      </c>
      <c r="CG143">
        <v>674657</v>
      </c>
      <c r="CH143">
        <v>0</v>
      </c>
      <c r="CI143">
        <v>13192878</v>
      </c>
      <c r="CJ143">
        <v>94504664</v>
      </c>
      <c r="CK143">
        <v>142257.60000000001</v>
      </c>
      <c r="CL143">
        <v>1832352.4</v>
      </c>
      <c r="CM143">
        <v>0</v>
      </c>
      <c r="CN143">
        <v>9844008</v>
      </c>
      <c r="CO143">
        <v>0</v>
      </c>
      <c r="CP143">
        <v>0</v>
      </c>
      <c r="CQ143">
        <v>87</v>
      </c>
      <c r="CR143">
        <v>312.89999999999998</v>
      </c>
      <c r="CS143">
        <v>0</v>
      </c>
      <c r="CT143">
        <v>15055.7</v>
      </c>
      <c r="CU143">
        <v>0</v>
      </c>
      <c r="CV143">
        <v>0</v>
      </c>
      <c r="CW143">
        <v>342.6</v>
      </c>
      <c r="CX143">
        <v>19788.7</v>
      </c>
      <c r="CY143">
        <v>0</v>
      </c>
      <c r="CZ143">
        <v>8649</v>
      </c>
      <c r="DA143">
        <v>0</v>
      </c>
      <c r="DB143">
        <v>5317.1</v>
      </c>
      <c r="DC143">
        <v>11833.5</v>
      </c>
      <c r="DD143">
        <v>1302.2</v>
      </c>
      <c r="DE143">
        <v>1897.4</v>
      </c>
      <c r="DF143">
        <v>0</v>
      </c>
      <c r="DG143">
        <v>4465.7</v>
      </c>
      <c r="DH143">
        <v>0</v>
      </c>
      <c r="DI143">
        <v>0</v>
      </c>
      <c r="DJ143">
        <v>1336.4</v>
      </c>
      <c r="DK143">
        <v>18974</v>
      </c>
      <c r="DL143">
        <v>0</v>
      </c>
      <c r="DM143">
        <v>0</v>
      </c>
    </row>
    <row r="144" spans="1:117" x14ac:dyDescent="0.3">
      <c r="A144" t="s">
        <v>171</v>
      </c>
      <c r="B144">
        <v>2026</v>
      </c>
      <c r="C144">
        <v>269769020</v>
      </c>
      <c r="D144">
        <v>372251.2</v>
      </c>
      <c r="E144">
        <v>2648586.2000000002</v>
      </c>
      <c r="F144">
        <v>2281353.6</v>
      </c>
      <c r="G144">
        <v>275071209.10000002</v>
      </c>
      <c r="H144">
        <v>260069600.90000001</v>
      </c>
      <c r="I144">
        <v>245232191</v>
      </c>
      <c r="J144">
        <v>80011540</v>
      </c>
      <c r="K144">
        <v>85671970</v>
      </c>
      <c r="L144">
        <v>3.5900000000000001E-2</v>
      </c>
      <c r="M144">
        <v>5.3999999999999999E-2</v>
      </c>
      <c r="N144">
        <v>0.15</v>
      </c>
      <c r="O144">
        <v>39660.79</v>
      </c>
      <c r="P144">
        <v>61004.9</v>
      </c>
      <c r="Q144">
        <v>0.51</v>
      </c>
      <c r="R144">
        <v>0.52</v>
      </c>
      <c r="S144">
        <v>289.60000000000002</v>
      </c>
      <c r="T144">
        <v>20.399999999999999</v>
      </c>
      <c r="U144">
        <v>2.85</v>
      </c>
      <c r="V144">
        <v>23.9</v>
      </c>
      <c r="W144">
        <v>1048.9000000000001</v>
      </c>
      <c r="X144">
        <v>0.2</v>
      </c>
      <c r="Y144">
        <v>291</v>
      </c>
      <c r="Z144">
        <v>55.2</v>
      </c>
      <c r="AA144">
        <v>346.2</v>
      </c>
      <c r="AB144">
        <v>290.7</v>
      </c>
      <c r="AC144">
        <v>20.100000000000001</v>
      </c>
      <c r="AD144">
        <v>2.81</v>
      </c>
      <c r="AE144">
        <v>24.2</v>
      </c>
      <c r="AF144">
        <v>1062.8</v>
      </c>
      <c r="AG144">
        <v>0.2</v>
      </c>
      <c r="AH144">
        <v>292.10000000000002</v>
      </c>
      <c r="AI144">
        <v>56</v>
      </c>
      <c r="AJ144">
        <v>348</v>
      </c>
      <c r="AK144">
        <v>243.6</v>
      </c>
      <c r="AL144">
        <v>13</v>
      </c>
      <c r="AM144">
        <v>1.78</v>
      </c>
      <c r="AN144">
        <v>21.5</v>
      </c>
      <c r="AO144">
        <v>984.9</v>
      </c>
      <c r="AP144">
        <v>0.13</v>
      </c>
      <c r="AQ144">
        <v>244.4</v>
      </c>
      <c r="AR144">
        <v>50.9</v>
      </c>
      <c r="AS144">
        <v>295.3</v>
      </c>
      <c r="AT144">
        <v>707.7</v>
      </c>
      <c r="AU144">
        <v>52.5</v>
      </c>
      <c r="AV144">
        <v>7.49</v>
      </c>
      <c r="AW144">
        <v>49.4</v>
      </c>
      <c r="AX144">
        <v>2366</v>
      </c>
      <c r="AY144">
        <v>0.4</v>
      </c>
      <c r="AZ144">
        <v>711.3</v>
      </c>
      <c r="BA144">
        <v>120</v>
      </c>
      <c r="BB144">
        <v>831.3</v>
      </c>
      <c r="BC144">
        <v>80738325.799999997</v>
      </c>
      <c r="BD144">
        <v>5679.4</v>
      </c>
      <c r="BE144">
        <v>794.1</v>
      </c>
      <c r="BF144">
        <v>6656676.9000000004</v>
      </c>
      <c r="BG144">
        <v>292510.7</v>
      </c>
      <c r="BH144">
        <v>57</v>
      </c>
      <c r="BI144">
        <v>81124368.799999997</v>
      </c>
      <c r="BJ144">
        <v>15389057.9</v>
      </c>
      <c r="BK144">
        <v>96513426.700000003</v>
      </c>
      <c r="BL144">
        <v>0</v>
      </c>
      <c r="BM144">
        <v>29.97</v>
      </c>
      <c r="BN144">
        <v>8.18</v>
      </c>
      <c r="BO144">
        <v>0</v>
      </c>
      <c r="BP144">
        <v>38.15</v>
      </c>
      <c r="BQ144">
        <v>31.81</v>
      </c>
      <c r="BR144">
        <v>8.9499999999999993</v>
      </c>
      <c r="BS144">
        <v>0</v>
      </c>
      <c r="BT144">
        <v>40.76</v>
      </c>
      <c r="BU144">
        <v>280793730</v>
      </c>
      <c r="BV144">
        <v>29839018</v>
      </c>
      <c r="BW144">
        <v>333095.90000000002</v>
      </c>
      <c r="BX144">
        <v>2101087.2000000002</v>
      </c>
      <c r="BY144">
        <v>0</v>
      </c>
      <c r="BZ144">
        <v>0</v>
      </c>
      <c r="CA144">
        <v>42174276</v>
      </c>
      <c r="CB144">
        <v>0</v>
      </c>
      <c r="CC144">
        <v>0</v>
      </c>
      <c r="CD144">
        <v>873239.7</v>
      </c>
      <c r="CE144">
        <v>95698070</v>
      </c>
      <c r="CF144">
        <v>0</v>
      </c>
      <c r="CG144">
        <v>567302</v>
      </c>
      <c r="CH144">
        <v>0</v>
      </c>
      <c r="CI144">
        <v>13509933</v>
      </c>
      <c r="CJ144">
        <v>94361010</v>
      </c>
      <c r="CK144">
        <v>79689.5</v>
      </c>
      <c r="CL144">
        <v>2130256</v>
      </c>
      <c r="CM144">
        <v>0</v>
      </c>
      <c r="CN144">
        <v>28965780</v>
      </c>
      <c r="CO144">
        <v>0</v>
      </c>
      <c r="CP144">
        <v>0</v>
      </c>
      <c r="CQ144">
        <v>115.6</v>
      </c>
      <c r="CR144">
        <v>312.89999999999998</v>
      </c>
      <c r="CS144">
        <v>0</v>
      </c>
      <c r="CT144">
        <v>14980.7</v>
      </c>
      <c r="CU144">
        <v>0</v>
      </c>
      <c r="CV144">
        <v>0</v>
      </c>
      <c r="CW144">
        <v>587.20000000000005</v>
      </c>
      <c r="CX144">
        <v>19788.7</v>
      </c>
      <c r="CY144">
        <v>0</v>
      </c>
      <c r="CZ144">
        <v>8571</v>
      </c>
      <c r="DA144">
        <v>0</v>
      </c>
      <c r="DB144">
        <v>5402.1</v>
      </c>
      <c r="DC144">
        <v>11833.5</v>
      </c>
      <c r="DD144">
        <v>1302.2</v>
      </c>
      <c r="DE144">
        <v>1897.4</v>
      </c>
      <c r="DF144">
        <v>0</v>
      </c>
      <c r="DG144">
        <v>12737</v>
      </c>
      <c r="DH144">
        <v>0</v>
      </c>
      <c r="DI144">
        <v>0</v>
      </c>
      <c r="DJ144">
        <v>1450.8</v>
      </c>
      <c r="DK144">
        <v>18974</v>
      </c>
      <c r="DL144">
        <v>0</v>
      </c>
      <c r="DM144">
        <v>0</v>
      </c>
    </row>
    <row r="145" spans="1:117" x14ac:dyDescent="0.3">
      <c r="A145" t="s">
        <v>171</v>
      </c>
      <c r="B145">
        <v>2028</v>
      </c>
      <c r="C145">
        <v>277089900</v>
      </c>
      <c r="D145">
        <v>1917152.8</v>
      </c>
      <c r="E145">
        <v>3757729.2</v>
      </c>
      <c r="F145">
        <v>3264442.5</v>
      </c>
      <c r="G145">
        <v>286029218</v>
      </c>
      <c r="H145">
        <v>267127353.09999999</v>
      </c>
      <c r="I145">
        <v>226303544</v>
      </c>
      <c r="J145">
        <v>132327576</v>
      </c>
      <c r="K145">
        <v>134003200</v>
      </c>
      <c r="L145">
        <v>3.5900000000000001E-2</v>
      </c>
      <c r="M145">
        <v>5.3999999999999999E-2</v>
      </c>
      <c r="N145">
        <v>0.15</v>
      </c>
      <c r="O145">
        <v>49456.45</v>
      </c>
      <c r="P145">
        <v>62764.5</v>
      </c>
      <c r="Q145">
        <v>0.6</v>
      </c>
      <c r="R145">
        <v>0.61</v>
      </c>
      <c r="S145">
        <v>222.2</v>
      </c>
      <c r="T145">
        <v>14.4</v>
      </c>
      <c r="U145">
        <v>1.99</v>
      </c>
      <c r="V145">
        <v>20.100000000000001</v>
      </c>
      <c r="W145">
        <v>846.3</v>
      </c>
      <c r="X145">
        <v>0.17</v>
      </c>
      <c r="Y145">
        <v>223.2</v>
      </c>
      <c r="Z145">
        <v>45.3</v>
      </c>
      <c r="AA145">
        <v>268.60000000000002</v>
      </c>
      <c r="AB145">
        <v>222.3</v>
      </c>
      <c r="AC145">
        <v>13.9</v>
      </c>
      <c r="AD145">
        <v>1.92</v>
      </c>
      <c r="AE145">
        <v>20.5</v>
      </c>
      <c r="AF145">
        <v>860.5</v>
      </c>
      <c r="AG145">
        <v>0.17</v>
      </c>
      <c r="AH145">
        <v>223.2</v>
      </c>
      <c r="AI145">
        <v>46.2</v>
      </c>
      <c r="AJ145">
        <v>269.39999999999998</v>
      </c>
      <c r="AK145">
        <v>194.8</v>
      </c>
      <c r="AL145">
        <v>5.0999999999999996</v>
      </c>
      <c r="AM145">
        <v>0.59</v>
      </c>
      <c r="AN145">
        <v>21.8</v>
      </c>
      <c r="AO145">
        <v>970.4</v>
      </c>
      <c r="AP145">
        <v>0.09</v>
      </c>
      <c r="AQ145">
        <v>195.1</v>
      </c>
      <c r="AR145">
        <v>50.7</v>
      </c>
      <c r="AS145">
        <v>245.8</v>
      </c>
      <c r="AT145">
        <v>592.5</v>
      </c>
      <c r="AU145">
        <v>39.5</v>
      </c>
      <c r="AV145">
        <v>5.58</v>
      </c>
      <c r="AW145">
        <v>45.9</v>
      </c>
      <c r="AX145">
        <v>2122.8000000000002</v>
      </c>
      <c r="AY145">
        <v>0.35</v>
      </c>
      <c r="AZ145">
        <v>595.20000000000005</v>
      </c>
      <c r="BA145">
        <v>109.3</v>
      </c>
      <c r="BB145">
        <v>704.5</v>
      </c>
      <c r="BC145">
        <v>63439714.100000001</v>
      </c>
      <c r="BD145">
        <v>4102.1000000000004</v>
      </c>
      <c r="BE145">
        <v>568.29999999999995</v>
      </c>
      <c r="BF145">
        <v>5735583.7000000002</v>
      </c>
      <c r="BG145">
        <v>241681.2</v>
      </c>
      <c r="BH145">
        <v>48.4</v>
      </c>
      <c r="BI145">
        <v>63717116.5</v>
      </c>
      <c r="BJ145">
        <v>12950902.9</v>
      </c>
      <c r="BK145">
        <v>76668019.299999997</v>
      </c>
      <c r="BL145">
        <v>0</v>
      </c>
      <c r="BM145">
        <v>25.85</v>
      </c>
      <c r="BN145">
        <v>9.8000000000000007</v>
      </c>
      <c r="BO145">
        <v>0</v>
      </c>
      <c r="BP145">
        <v>35.65</v>
      </c>
      <c r="BQ145">
        <v>27.59</v>
      </c>
      <c r="BR145">
        <v>10.84</v>
      </c>
      <c r="BS145">
        <v>0</v>
      </c>
      <c r="BT145">
        <v>38.43</v>
      </c>
      <c r="BU145">
        <v>287756640</v>
      </c>
      <c r="BV145">
        <v>59725670</v>
      </c>
      <c r="BW145">
        <v>1672728.8</v>
      </c>
      <c r="BX145">
        <v>2047668.4</v>
      </c>
      <c r="BY145">
        <v>0</v>
      </c>
      <c r="BZ145">
        <v>0</v>
      </c>
      <c r="CA145">
        <v>29601904</v>
      </c>
      <c r="CB145">
        <v>0</v>
      </c>
      <c r="CC145">
        <v>0</v>
      </c>
      <c r="CD145">
        <v>1434106.4</v>
      </c>
      <c r="CE145">
        <v>84925000</v>
      </c>
      <c r="CF145">
        <v>0</v>
      </c>
      <c r="CG145">
        <v>508548.8</v>
      </c>
      <c r="CH145">
        <v>0</v>
      </c>
      <c r="CI145">
        <v>13525080</v>
      </c>
      <c r="CJ145">
        <v>92633010</v>
      </c>
      <c r="CK145">
        <v>60836.5</v>
      </c>
      <c r="CL145">
        <v>3056207</v>
      </c>
      <c r="CM145">
        <v>0</v>
      </c>
      <c r="CN145">
        <v>58291572</v>
      </c>
      <c r="CO145">
        <v>0</v>
      </c>
      <c r="CP145">
        <v>0</v>
      </c>
      <c r="CQ145">
        <v>749.7</v>
      </c>
      <c r="CR145">
        <v>312.89999999999998</v>
      </c>
      <c r="CS145">
        <v>0</v>
      </c>
      <c r="CT145">
        <v>14980.7</v>
      </c>
      <c r="CU145">
        <v>0</v>
      </c>
      <c r="CV145">
        <v>0</v>
      </c>
      <c r="CW145">
        <v>1018.6</v>
      </c>
      <c r="CX145">
        <v>19788.7</v>
      </c>
      <c r="CY145">
        <v>0</v>
      </c>
      <c r="CZ145">
        <v>8571</v>
      </c>
      <c r="DA145">
        <v>0</v>
      </c>
      <c r="DB145">
        <v>5466.1</v>
      </c>
      <c r="DC145">
        <v>11833.5</v>
      </c>
      <c r="DD145">
        <v>1302.2</v>
      </c>
      <c r="DE145">
        <v>1897.4</v>
      </c>
      <c r="DF145">
        <v>0</v>
      </c>
      <c r="DG145">
        <v>25633.599999999999</v>
      </c>
      <c r="DH145">
        <v>0</v>
      </c>
      <c r="DI145">
        <v>0</v>
      </c>
      <c r="DJ145">
        <v>5208.3</v>
      </c>
      <c r="DK145">
        <v>18974</v>
      </c>
      <c r="DL145">
        <v>0</v>
      </c>
      <c r="DM145">
        <v>0</v>
      </c>
    </row>
    <row r="146" spans="1:117" x14ac:dyDescent="0.3">
      <c r="A146" t="s">
        <v>171</v>
      </c>
      <c r="B146">
        <v>2030</v>
      </c>
      <c r="C146">
        <v>285778340</v>
      </c>
      <c r="D146">
        <v>2061205.4</v>
      </c>
      <c r="E146">
        <v>4142918.5</v>
      </c>
      <c r="F146">
        <v>3532725.5</v>
      </c>
      <c r="G146">
        <v>295515179.39999998</v>
      </c>
      <c r="H146">
        <v>275503543.19999999</v>
      </c>
      <c r="I146">
        <v>235011945.59999999</v>
      </c>
      <c r="J146">
        <v>153339550</v>
      </c>
      <c r="K146">
        <v>133495790</v>
      </c>
      <c r="L146">
        <v>3.5900000000000001E-2</v>
      </c>
      <c r="M146">
        <v>5.3999999999999999E-2</v>
      </c>
      <c r="N146">
        <v>0.15</v>
      </c>
      <c r="O146">
        <v>53692.94</v>
      </c>
      <c r="P146">
        <v>64942.2</v>
      </c>
      <c r="Q146">
        <v>0.62</v>
      </c>
      <c r="R146">
        <v>0.65</v>
      </c>
      <c r="S146">
        <v>208.9</v>
      </c>
      <c r="T146">
        <v>13.6</v>
      </c>
      <c r="U146">
        <v>1.89</v>
      </c>
      <c r="V146">
        <v>19</v>
      </c>
      <c r="W146">
        <v>792.5</v>
      </c>
      <c r="X146">
        <v>0.16</v>
      </c>
      <c r="Y146">
        <v>209.8</v>
      </c>
      <c r="Z146">
        <v>42.7</v>
      </c>
      <c r="AA146">
        <v>252.5</v>
      </c>
      <c r="AB146">
        <v>198.5</v>
      </c>
      <c r="AC146">
        <v>12.5</v>
      </c>
      <c r="AD146">
        <v>1.73</v>
      </c>
      <c r="AE146">
        <v>18.5</v>
      </c>
      <c r="AF146">
        <v>765.6</v>
      </c>
      <c r="AG146">
        <v>0.16</v>
      </c>
      <c r="AH146">
        <v>199.3</v>
      </c>
      <c r="AI146">
        <v>41.4</v>
      </c>
      <c r="AJ146">
        <v>240.7</v>
      </c>
      <c r="AK146">
        <v>255.9</v>
      </c>
      <c r="AL146">
        <v>7.8</v>
      </c>
      <c r="AM146">
        <v>0.95</v>
      </c>
      <c r="AN146">
        <v>27.6</v>
      </c>
      <c r="AO146">
        <v>1241</v>
      </c>
      <c r="AP146">
        <v>0.12</v>
      </c>
      <c r="AQ146">
        <v>256.39999999999998</v>
      </c>
      <c r="AR146">
        <v>64.599999999999994</v>
      </c>
      <c r="AS146">
        <v>321</v>
      </c>
      <c r="AT146">
        <v>546.6</v>
      </c>
      <c r="AU146">
        <v>36.6</v>
      </c>
      <c r="AV146">
        <v>5.14</v>
      </c>
      <c r="AW146">
        <v>42</v>
      </c>
      <c r="AX146">
        <v>1984.7</v>
      </c>
      <c r="AY146">
        <v>0.3</v>
      </c>
      <c r="AZ146">
        <v>549.1</v>
      </c>
      <c r="BA146">
        <v>101.3</v>
      </c>
      <c r="BB146">
        <v>650.4</v>
      </c>
      <c r="BC146">
        <v>57080552.200000003</v>
      </c>
      <c r="BD146">
        <v>3722.6</v>
      </c>
      <c r="BE146">
        <v>516.29999999999995</v>
      </c>
      <c r="BF146">
        <v>5200541.0999999996</v>
      </c>
      <c r="BG146">
        <v>216626.1</v>
      </c>
      <c r="BH146">
        <v>45.1</v>
      </c>
      <c r="BI146">
        <v>57332426.399999999</v>
      </c>
      <c r="BJ146">
        <v>11668304.5</v>
      </c>
      <c r="BK146">
        <v>69000730.900000006</v>
      </c>
      <c r="BL146">
        <v>0</v>
      </c>
      <c r="BM146">
        <v>24.58</v>
      </c>
      <c r="BN146">
        <v>10.69</v>
      </c>
      <c r="BO146">
        <v>0</v>
      </c>
      <c r="BP146">
        <v>35.270000000000003</v>
      </c>
      <c r="BQ146">
        <v>26.29</v>
      </c>
      <c r="BR146">
        <v>11.85</v>
      </c>
      <c r="BS146">
        <v>0</v>
      </c>
      <c r="BT146">
        <v>38.130000000000003</v>
      </c>
      <c r="BU146">
        <v>275650370</v>
      </c>
      <c r="BV146">
        <v>60503230</v>
      </c>
      <c r="BW146">
        <v>1781696.2</v>
      </c>
      <c r="BX146">
        <v>1969675.4</v>
      </c>
      <c r="BY146">
        <v>0</v>
      </c>
      <c r="BZ146">
        <v>0</v>
      </c>
      <c r="CA146">
        <v>27025892</v>
      </c>
      <c r="CB146">
        <v>0</v>
      </c>
      <c r="CC146">
        <v>0</v>
      </c>
      <c r="CD146">
        <v>2417146.7999999998</v>
      </c>
      <c r="CE146">
        <v>75891470</v>
      </c>
      <c r="CF146">
        <v>0</v>
      </c>
      <c r="CG146">
        <v>481722</v>
      </c>
      <c r="CH146">
        <v>0</v>
      </c>
      <c r="CI146">
        <v>13321396</v>
      </c>
      <c r="CJ146">
        <v>91262280</v>
      </c>
      <c r="CK146">
        <v>50909.5</v>
      </c>
      <c r="CL146">
        <v>3362107.5</v>
      </c>
      <c r="CM146">
        <v>0</v>
      </c>
      <c r="CN146">
        <v>58086090</v>
      </c>
      <c r="CO146">
        <v>0</v>
      </c>
      <c r="CP146">
        <v>0</v>
      </c>
      <c r="CQ146">
        <v>804.4</v>
      </c>
      <c r="CR146">
        <v>312.89999999999998</v>
      </c>
      <c r="CS146">
        <v>0</v>
      </c>
      <c r="CT146">
        <v>14980.7</v>
      </c>
      <c r="CU146">
        <v>0</v>
      </c>
      <c r="CV146">
        <v>0</v>
      </c>
      <c r="CW146">
        <v>1693.5</v>
      </c>
      <c r="CX146">
        <v>19748.7</v>
      </c>
      <c r="CY146">
        <v>0</v>
      </c>
      <c r="CZ146">
        <v>8567</v>
      </c>
      <c r="DA146">
        <v>0</v>
      </c>
      <c r="DB146">
        <v>5466.1</v>
      </c>
      <c r="DC146">
        <v>11833.5</v>
      </c>
      <c r="DD146">
        <v>1262.4000000000001</v>
      </c>
      <c r="DE146">
        <v>1897.4</v>
      </c>
      <c r="DF146">
        <v>0</v>
      </c>
      <c r="DG146">
        <v>25749.9</v>
      </c>
      <c r="DH146">
        <v>0</v>
      </c>
      <c r="DI146">
        <v>0</v>
      </c>
      <c r="DJ146">
        <v>5427</v>
      </c>
      <c r="DK146">
        <v>18974</v>
      </c>
      <c r="DL146">
        <v>0</v>
      </c>
      <c r="DM146">
        <v>0</v>
      </c>
    </row>
    <row r="147" spans="1:117" x14ac:dyDescent="0.3">
      <c r="A147" t="s">
        <v>171</v>
      </c>
      <c r="B147">
        <v>2035</v>
      </c>
      <c r="C147">
        <v>309212860</v>
      </c>
      <c r="D147">
        <v>12633045</v>
      </c>
      <c r="E147">
        <v>4113475.2</v>
      </c>
      <c r="F147">
        <v>3347121.5</v>
      </c>
      <c r="G147">
        <v>329306496</v>
      </c>
      <c r="H147">
        <v>298095933.30000001</v>
      </c>
      <c r="I147">
        <v>247103499.30000001</v>
      </c>
      <c r="J147">
        <v>161599920</v>
      </c>
      <c r="K147">
        <v>114303336</v>
      </c>
      <c r="L147">
        <v>3.5900000000000001E-2</v>
      </c>
      <c r="M147">
        <v>5.3999999999999999E-2</v>
      </c>
      <c r="N147">
        <v>0.15</v>
      </c>
      <c r="O147">
        <v>82873.27</v>
      </c>
      <c r="P147">
        <v>71616.100000000006</v>
      </c>
      <c r="Q147">
        <v>0.71</v>
      </c>
      <c r="R147">
        <v>0.74</v>
      </c>
      <c r="S147">
        <v>162.6</v>
      </c>
      <c r="T147">
        <v>11</v>
      </c>
      <c r="U147">
        <v>1.53</v>
      </c>
      <c r="V147">
        <v>15</v>
      </c>
      <c r="W147">
        <v>606.70000000000005</v>
      </c>
      <c r="X147">
        <v>0.14000000000000001</v>
      </c>
      <c r="Y147">
        <v>163.4</v>
      </c>
      <c r="Z147">
        <v>33.1</v>
      </c>
      <c r="AA147">
        <v>196.5</v>
      </c>
      <c r="AB147">
        <v>152.5</v>
      </c>
      <c r="AC147">
        <v>10</v>
      </c>
      <c r="AD147">
        <v>1.39</v>
      </c>
      <c r="AE147">
        <v>14.6</v>
      </c>
      <c r="AF147">
        <v>579.4</v>
      </c>
      <c r="AG147">
        <v>0.14000000000000001</v>
      </c>
      <c r="AH147">
        <v>153.19999999999999</v>
      </c>
      <c r="AI147">
        <v>31.9</v>
      </c>
      <c r="AJ147">
        <v>185.1</v>
      </c>
      <c r="AK147">
        <v>334.6</v>
      </c>
      <c r="AL147">
        <v>14.8</v>
      </c>
      <c r="AM147">
        <v>1.94</v>
      </c>
      <c r="AN147">
        <v>31.9</v>
      </c>
      <c r="AO147">
        <v>1480.7</v>
      </c>
      <c r="AP147">
        <v>0.15</v>
      </c>
      <c r="AQ147">
        <v>335.6</v>
      </c>
      <c r="AR147">
        <v>76.099999999999994</v>
      </c>
      <c r="AS147">
        <v>411.7</v>
      </c>
      <c r="AT147">
        <v>489</v>
      </c>
      <c r="AU147">
        <v>31.9</v>
      </c>
      <c r="AV147">
        <v>4.47</v>
      </c>
      <c r="AW147">
        <v>38.299999999999997</v>
      </c>
      <c r="AX147">
        <v>1801.3</v>
      </c>
      <c r="AY147">
        <v>0.27</v>
      </c>
      <c r="AZ147">
        <v>491.2</v>
      </c>
      <c r="BA147">
        <v>92.1</v>
      </c>
      <c r="BB147">
        <v>583.29999999999995</v>
      </c>
      <c r="BC147">
        <v>45337136.299999997</v>
      </c>
      <c r="BD147">
        <v>3061.5</v>
      </c>
      <c r="BE147">
        <v>426.1</v>
      </c>
      <c r="BF147">
        <v>4193585.2</v>
      </c>
      <c r="BG147">
        <v>169215.9</v>
      </c>
      <c r="BH147">
        <v>39.299999999999997</v>
      </c>
      <c r="BI147">
        <v>45544698.700000003</v>
      </c>
      <c r="BJ147">
        <v>9246952.4000000004</v>
      </c>
      <c r="BK147">
        <v>54791651</v>
      </c>
      <c r="BL147">
        <v>0</v>
      </c>
      <c r="BM147">
        <v>21.84</v>
      </c>
      <c r="BN147">
        <v>16.12</v>
      </c>
      <c r="BO147">
        <v>0</v>
      </c>
      <c r="BP147">
        <v>37.97</v>
      </c>
      <c r="BQ147">
        <v>23.79</v>
      </c>
      <c r="BR147">
        <v>18.399999999999999</v>
      </c>
      <c r="BS147">
        <v>0</v>
      </c>
      <c r="BT147">
        <v>42.19</v>
      </c>
      <c r="BU147">
        <v>281906140</v>
      </c>
      <c r="BV147">
        <v>82203000</v>
      </c>
      <c r="BW147">
        <v>10736149</v>
      </c>
      <c r="BX147">
        <v>1828408.4</v>
      </c>
      <c r="BY147">
        <v>0</v>
      </c>
      <c r="BZ147">
        <v>0</v>
      </c>
      <c r="CA147">
        <v>22659352</v>
      </c>
      <c r="CB147">
        <v>0</v>
      </c>
      <c r="CC147">
        <v>0</v>
      </c>
      <c r="CD147">
        <v>3888000</v>
      </c>
      <c r="CE147">
        <v>57887210</v>
      </c>
      <c r="CF147">
        <v>0</v>
      </c>
      <c r="CG147">
        <v>491729</v>
      </c>
      <c r="CH147">
        <v>0</v>
      </c>
      <c r="CI147">
        <v>13013491</v>
      </c>
      <c r="CJ147">
        <v>89758600</v>
      </c>
      <c r="CK147">
        <v>3382.8</v>
      </c>
      <c r="CL147">
        <v>3324832</v>
      </c>
      <c r="CM147">
        <v>0</v>
      </c>
      <c r="CN147">
        <v>78315000</v>
      </c>
      <c r="CO147">
        <v>0</v>
      </c>
      <c r="CP147">
        <v>0</v>
      </c>
      <c r="CQ147">
        <v>4725.2</v>
      </c>
      <c r="CR147">
        <v>312.89999999999998</v>
      </c>
      <c r="CS147">
        <v>0</v>
      </c>
      <c r="CT147">
        <v>14980.7</v>
      </c>
      <c r="CU147">
        <v>0</v>
      </c>
      <c r="CV147">
        <v>0</v>
      </c>
      <c r="CW147">
        <v>2727.5</v>
      </c>
      <c r="CX147">
        <v>19748.7</v>
      </c>
      <c r="CY147">
        <v>0</v>
      </c>
      <c r="CZ147">
        <v>8567</v>
      </c>
      <c r="DA147">
        <v>0</v>
      </c>
      <c r="DB147">
        <v>5526.1</v>
      </c>
      <c r="DC147">
        <v>11833.5</v>
      </c>
      <c r="DD147">
        <v>1008.1</v>
      </c>
      <c r="DE147">
        <v>1897.4</v>
      </c>
      <c r="DF147">
        <v>0</v>
      </c>
      <c r="DG147">
        <v>35210.199999999997</v>
      </c>
      <c r="DH147">
        <v>0</v>
      </c>
      <c r="DI147">
        <v>0</v>
      </c>
      <c r="DJ147">
        <v>32917.699999999997</v>
      </c>
      <c r="DK147">
        <v>18974</v>
      </c>
      <c r="DL147">
        <v>0</v>
      </c>
      <c r="DM147">
        <v>0</v>
      </c>
    </row>
    <row r="148" spans="1:117" x14ac:dyDescent="0.3">
      <c r="A148" t="s">
        <v>171</v>
      </c>
      <c r="B148">
        <v>2040</v>
      </c>
      <c r="C148">
        <v>335543100</v>
      </c>
      <c r="D148">
        <v>26015074</v>
      </c>
      <c r="E148">
        <v>4083260</v>
      </c>
      <c r="F148">
        <v>3608689.7</v>
      </c>
      <c r="G148">
        <v>369250139.39999998</v>
      </c>
      <c r="H148">
        <v>323479937.30000001</v>
      </c>
      <c r="I148">
        <v>253234127</v>
      </c>
      <c r="J148">
        <v>176019400</v>
      </c>
      <c r="K148">
        <v>122170160</v>
      </c>
      <c r="L148">
        <v>3.5900000000000001E-2</v>
      </c>
      <c r="M148">
        <v>5.3900000000000003E-2</v>
      </c>
      <c r="N148">
        <v>0.15</v>
      </c>
      <c r="O148">
        <v>83274.33</v>
      </c>
      <c r="P148">
        <v>79775.3</v>
      </c>
      <c r="Q148">
        <v>0.78</v>
      </c>
      <c r="R148">
        <v>0.79</v>
      </c>
      <c r="S148">
        <v>118.9</v>
      </c>
      <c r="T148">
        <v>7.3</v>
      </c>
      <c r="U148">
        <v>1</v>
      </c>
      <c r="V148">
        <v>12.1</v>
      </c>
      <c r="W148">
        <v>468.5</v>
      </c>
      <c r="X148">
        <v>0.11</v>
      </c>
      <c r="Y148">
        <v>119.4</v>
      </c>
      <c r="Z148">
        <v>26.1</v>
      </c>
      <c r="AA148">
        <v>145.5</v>
      </c>
      <c r="AB148">
        <v>115.1</v>
      </c>
      <c r="AC148">
        <v>6.8</v>
      </c>
      <c r="AD148">
        <v>0.94</v>
      </c>
      <c r="AE148">
        <v>12.1</v>
      </c>
      <c r="AF148">
        <v>460.6</v>
      </c>
      <c r="AG148">
        <v>0.11</v>
      </c>
      <c r="AH148">
        <v>115.5</v>
      </c>
      <c r="AI148">
        <v>25.8</v>
      </c>
      <c r="AJ148">
        <v>141.4</v>
      </c>
      <c r="AK148">
        <v>373.8</v>
      </c>
      <c r="AL148">
        <v>20</v>
      </c>
      <c r="AM148">
        <v>2.71</v>
      </c>
      <c r="AN148">
        <v>32.5</v>
      </c>
      <c r="AO148">
        <v>1543.7</v>
      </c>
      <c r="AP148">
        <v>0.17</v>
      </c>
      <c r="AQ148">
        <v>375.1</v>
      </c>
      <c r="AR148">
        <v>78.5</v>
      </c>
      <c r="AS148">
        <v>453.6</v>
      </c>
      <c r="AT148">
        <v>439.9</v>
      </c>
      <c r="AU148">
        <v>26.4</v>
      </c>
      <c r="AV148">
        <v>3.66</v>
      </c>
      <c r="AW148">
        <v>36.5</v>
      </c>
      <c r="AX148">
        <v>1702.4</v>
      </c>
      <c r="AY148">
        <v>0.24</v>
      </c>
      <c r="AZ148">
        <v>441.7</v>
      </c>
      <c r="BA148">
        <v>87.3</v>
      </c>
      <c r="BB148">
        <v>529</v>
      </c>
      <c r="BC148">
        <v>36969198.5</v>
      </c>
      <c r="BD148">
        <v>2259.4</v>
      </c>
      <c r="BE148">
        <v>310.89999999999998</v>
      </c>
      <c r="BF148">
        <v>3781455.7</v>
      </c>
      <c r="BG148">
        <v>145842</v>
      </c>
      <c r="BH148">
        <v>35.1</v>
      </c>
      <c r="BI148">
        <v>37121399.299999997</v>
      </c>
      <c r="BJ148">
        <v>8137135.7000000002</v>
      </c>
      <c r="BK148">
        <v>45258535</v>
      </c>
      <c r="BL148">
        <v>0</v>
      </c>
      <c r="BM148">
        <v>19.88</v>
      </c>
      <c r="BN148">
        <v>15.77</v>
      </c>
      <c r="BO148">
        <v>0</v>
      </c>
      <c r="BP148">
        <v>35.65</v>
      </c>
      <c r="BQ148">
        <v>22.08</v>
      </c>
      <c r="BR148">
        <v>18.600000000000001</v>
      </c>
      <c r="BS148">
        <v>0</v>
      </c>
      <c r="BT148">
        <v>40.67</v>
      </c>
      <c r="BU148">
        <v>315258560</v>
      </c>
      <c r="BV148">
        <v>116016020</v>
      </c>
      <c r="BW148">
        <v>22191266</v>
      </c>
      <c r="BX148">
        <v>1754890.2</v>
      </c>
      <c r="BY148">
        <v>0</v>
      </c>
      <c r="BZ148">
        <v>0</v>
      </c>
      <c r="CA148">
        <v>16157632</v>
      </c>
      <c r="CB148">
        <v>0</v>
      </c>
      <c r="CC148">
        <v>0</v>
      </c>
      <c r="CD148">
        <v>4815660</v>
      </c>
      <c r="CE148">
        <v>53882540</v>
      </c>
      <c r="CF148">
        <v>0</v>
      </c>
      <c r="CG148">
        <v>454183.6</v>
      </c>
      <c r="CH148">
        <v>0</v>
      </c>
      <c r="CI148">
        <v>12746974</v>
      </c>
      <c r="CJ148">
        <v>88774600</v>
      </c>
      <c r="CK148">
        <v>3141.5</v>
      </c>
      <c r="CL148">
        <v>3277313.8</v>
      </c>
      <c r="CM148">
        <v>0</v>
      </c>
      <c r="CN148">
        <v>111200360</v>
      </c>
      <c r="CO148">
        <v>0</v>
      </c>
      <c r="CP148">
        <v>0</v>
      </c>
      <c r="CQ148">
        <v>9964.1</v>
      </c>
      <c r="CR148">
        <v>312.89999999999998</v>
      </c>
      <c r="CS148">
        <v>0</v>
      </c>
      <c r="CT148">
        <v>14980.7</v>
      </c>
      <c r="CU148">
        <v>0</v>
      </c>
      <c r="CV148">
        <v>0</v>
      </c>
      <c r="CW148">
        <v>3451.1</v>
      </c>
      <c r="CX148">
        <v>19748.7</v>
      </c>
      <c r="CY148">
        <v>0</v>
      </c>
      <c r="CZ148">
        <v>8567</v>
      </c>
      <c r="DA148">
        <v>0</v>
      </c>
      <c r="DB148">
        <v>5526.1</v>
      </c>
      <c r="DC148">
        <v>11833.5</v>
      </c>
      <c r="DD148">
        <v>789.8</v>
      </c>
      <c r="DE148">
        <v>1897.4</v>
      </c>
      <c r="DF148">
        <v>0</v>
      </c>
      <c r="DG148">
        <v>50253.1</v>
      </c>
      <c r="DH148">
        <v>0</v>
      </c>
      <c r="DI148">
        <v>0</v>
      </c>
      <c r="DJ148">
        <v>66524.3</v>
      </c>
      <c r="DK148">
        <v>18974</v>
      </c>
      <c r="DL148">
        <v>0</v>
      </c>
      <c r="DM148">
        <v>0</v>
      </c>
    </row>
    <row r="149" spans="1:117" x14ac:dyDescent="0.3">
      <c r="A149" t="s">
        <v>171</v>
      </c>
      <c r="B149">
        <v>2045</v>
      </c>
      <c r="C149">
        <v>358886460</v>
      </c>
      <c r="D149">
        <v>43644576</v>
      </c>
      <c r="E149">
        <v>4524593.5</v>
      </c>
      <c r="F149">
        <v>3197787.8</v>
      </c>
      <c r="G149">
        <v>410253407.30000001</v>
      </c>
      <c r="H149">
        <v>345984258.69999999</v>
      </c>
      <c r="I149">
        <v>254993557.40000001</v>
      </c>
      <c r="J149">
        <v>153942060</v>
      </c>
      <c r="K149">
        <v>110014610</v>
      </c>
      <c r="L149">
        <v>3.5900000000000001E-2</v>
      </c>
      <c r="M149">
        <v>5.3900000000000003E-2</v>
      </c>
      <c r="N149">
        <v>0.15</v>
      </c>
      <c r="O149">
        <v>82871.3</v>
      </c>
      <c r="P149">
        <v>86472.6</v>
      </c>
      <c r="Q149">
        <v>0.81</v>
      </c>
      <c r="R149">
        <v>0.81</v>
      </c>
      <c r="S149">
        <v>97</v>
      </c>
      <c r="T149">
        <v>5.5</v>
      </c>
      <c r="U149">
        <v>0.75</v>
      </c>
      <c r="V149">
        <v>10.4</v>
      </c>
      <c r="W149">
        <v>397</v>
      </c>
      <c r="X149">
        <v>0.09</v>
      </c>
      <c r="Y149">
        <v>97.4</v>
      </c>
      <c r="Z149">
        <v>22.2</v>
      </c>
      <c r="AA149">
        <v>119.6</v>
      </c>
      <c r="AB149">
        <v>99.8</v>
      </c>
      <c r="AC149">
        <v>5.5</v>
      </c>
      <c r="AD149">
        <v>0.74</v>
      </c>
      <c r="AE149">
        <v>10.9</v>
      </c>
      <c r="AF149">
        <v>414.8</v>
      </c>
      <c r="AG149">
        <v>0.1</v>
      </c>
      <c r="AH149">
        <v>100.2</v>
      </c>
      <c r="AI149">
        <v>23.3</v>
      </c>
      <c r="AJ149">
        <v>123.5</v>
      </c>
      <c r="AK149">
        <v>335.2</v>
      </c>
      <c r="AL149">
        <v>19.2</v>
      </c>
      <c r="AM149">
        <v>2.62</v>
      </c>
      <c r="AN149">
        <v>28.2</v>
      </c>
      <c r="AO149">
        <v>1344.4</v>
      </c>
      <c r="AP149">
        <v>0.16</v>
      </c>
      <c r="AQ149">
        <v>336.5</v>
      </c>
      <c r="AR149">
        <v>68.3</v>
      </c>
      <c r="AS149">
        <v>404.8</v>
      </c>
      <c r="AT149">
        <v>376.9</v>
      </c>
      <c r="AU149">
        <v>20.5</v>
      </c>
      <c r="AV149">
        <v>2.8</v>
      </c>
      <c r="AW149">
        <v>33.4</v>
      </c>
      <c r="AX149">
        <v>1528.8</v>
      </c>
      <c r="AY149">
        <v>0.2</v>
      </c>
      <c r="AZ149">
        <v>378.2</v>
      </c>
      <c r="BA149">
        <v>79</v>
      </c>
      <c r="BB149">
        <v>457.2</v>
      </c>
      <c r="BC149">
        <v>34974563.799999997</v>
      </c>
      <c r="BD149">
        <v>1967.5</v>
      </c>
      <c r="BE149">
        <v>267.89999999999998</v>
      </c>
      <c r="BF149">
        <v>3749911</v>
      </c>
      <c r="BG149">
        <v>143409.4</v>
      </c>
      <c r="BH149">
        <v>33.6</v>
      </c>
      <c r="BI149">
        <v>35106320.600000001</v>
      </c>
      <c r="BJ149">
        <v>8032677.7999999998</v>
      </c>
      <c r="BK149">
        <v>43138998.399999999</v>
      </c>
      <c r="BL149">
        <v>0</v>
      </c>
      <c r="BM149">
        <v>17.079999999999998</v>
      </c>
      <c r="BN149">
        <v>15.04</v>
      </c>
      <c r="BO149">
        <v>0</v>
      </c>
      <c r="BP149">
        <v>32.119999999999997</v>
      </c>
      <c r="BQ149">
        <v>19.63</v>
      </c>
      <c r="BR149">
        <v>18.420000000000002</v>
      </c>
      <c r="BS149">
        <v>0</v>
      </c>
      <c r="BT149">
        <v>38.049999999999997</v>
      </c>
      <c r="BU149">
        <v>366265800</v>
      </c>
      <c r="BV149">
        <v>155259860</v>
      </c>
      <c r="BW149">
        <v>37220080</v>
      </c>
      <c r="BX149">
        <v>1598515</v>
      </c>
      <c r="BY149">
        <v>0</v>
      </c>
      <c r="BZ149">
        <v>0</v>
      </c>
      <c r="CA149">
        <v>13582934</v>
      </c>
      <c r="CB149">
        <v>0</v>
      </c>
      <c r="CC149">
        <v>0</v>
      </c>
      <c r="CD149">
        <v>5677037</v>
      </c>
      <c r="CE149">
        <v>55604730</v>
      </c>
      <c r="CF149">
        <v>0</v>
      </c>
      <c r="CG149">
        <v>227533.2</v>
      </c>
      <c r="CH149">
        <v>0</v>
      </c>
      <c r="CI149">
        <v>12305099</v>
      </c>
      <c r="CJ149">
        <v>86870936</v>
      </c>
      <c r="CK149">
        <v>984.8</v>
      </c>
      <c r="CL149">
        <v>3595134</v>
      </c>
      <c r="CM149">
        <v>0</v>
      </c>
      <c r="CN149">
        <v>149582820</v>
      </c>
      <c r="CO149">
        <v>0</v>
      </c>
      <c r="CP149">
        <v>0</v>
      </c>
      <c r="CQ149">
        <v>17602</v>
      </c>
      <c r="CR149">
        <v>312.89999999999998</v>
      </c>
      <c r="CS149">
        <v>0</v>
      </c>
      <c r="CT149">
        <v>14239.2</v>
      </c>
      <c r="CU149">
        <v>0</v>
      </c>
      <c r="CV149">
        <v>0</v>
      </c>
      <c r="CW149">
        <v>4470.6000000000004</v>
      </c>
      <c r="CX149">
        <v>19237.599999999999</v>
      </c>
      <c r="CY149">
        <v>0</v>
      </c>
      <c r="CZ149">
        <v>8567</v>
      </c>
      <c r="DA149">
        <v>0</v>
      </c>
      <c r="DB149">
        <v>5526.1</v>
      </c>
      <c r="DC149">
        <v>11833.5</v>
      </c>
      <c r="DD149">
        <v>788.6</v>
      </c>
      <c r="DE149">
        <v>1897.4</v>
      </c>
      <c r="DF149">
        <v>0</v>
      </c>
      <c r="DG149">
        <v>69929.7</v>
      </c>
      <c r="DH149">
        <v>0</v>
      </c>
      <c r="DI149">
        <v>0</v>
      </c>
      <c r="DJ149">
        <v>108243.3</v>
      </c>
      <c r="DK149">
        <v>18974</v>
      </c>
      <c r="DL149">
        <v>0</v>
      </c>
      <c r="DM149">
        <v>0</v>
      </c>
    </row>
    <row r="150" spans="1:117" x14ac:dyDescent="0.3">
      <c r="A150" t="s">
        <v>171</v>
      </c>
      <c r="B150">
        <v>2050</v>
      </c>
      <c r="C150">
        <v>380913280</v>
      </c>
      <c r="D150">
        <v>57747896</v>
      </c>
      <c r="E150">
        <v>4871027.5</v>
      </c>
      <c r="F150">
        <v>3103515.9</v>
      </c>
      <c r="G150">
        <v>446635710.19999999</v>
      </c>
      <c r="H150">
        <v>367219229.80000001</v>
      </c>
      <c r="I150">
        <v>254789506</v>
      </c>
      <c r="J150">
        <v>141588500</v>
      </c>
      <c r="K150">
        <v>113614104</v>
      </c>
      <c r="L150">
        <v>3.5900000000000001E-2</v>
      </c>
      <c r="M150">
        <v>5.3900000000000003E-2</v>
      </c>
      <c r="N150">
        <v>0.15</v>
      </c>
      <c r="O150">
        <v>84296.1</v>
      </c>
      <c r="P150">
        <v>92240.5</v>
      </c>
      <c r="Q150">
        <v>0.82</v>
      </c>
      <c r="R150">
        <v>0.81</v>
      </c>
      <c r="S150">
        <v>82.7</v>
      </c>
      <c r="T150">
        <v>3.8</v>
      </c>
      <c r="U150">
        <v>0.5</v>
      </c>
      <c r="V150">
        <v>9.6999999999999993</v>
      </c>
      <c r="W150">
        <v>366.8</v>
      </c>
      <c r="X150">
        <v>0.08</v>
      </c>
      <c r="Y150">
        <v>82.9</v>
      </c>
      <c r="Z150">
        <v>20.6</v>
      </c>
      <c r="AA150">
        <v>103.6</v>
      </c>
      <c r="AB150">
        <v>92</v>
      </c>
      <c r="AC150">
        <v>4.0999999999999996</v>
      </c>
      <c r="AD150">
        <v>0.54</v>
      </c>
      <c r="AE150">
        <v>10.8</v>
      </c>
      <c r="AF150">
        <v>410.2</v>
      </c>
      <c r="AG150">
        <v>0.09</v>
      </c>
      <c r="AH150">
        <v>92.3</v>
      </c>
      <c r="AI150">
        <v>23</v>
      </c>
      <c r="AJ150">
        <v>115.3</v>
      </c>
      <c r="AK150">
        <v>305.2</v>
      </c>
      <c r="AL150">
        <v>16.8</v>
      </c>
      <c r="AM150">
        <v>2.2799999999999998</v>
      </c>
      <c r="AN150">
        <v>26.4</v>
      </c>
      <c r="AO150">
        <v>1246.2</v>
      </c>
      <c r="AP150">
        <v>0.15</v>
      </c>
      <c r="AQ150">
        <v>306.3</v>
      </c>
      <c r="AR150">
        <v>63.6</v>
      </c>
      <c r="AS150">
        <v>369.9</v>
      </c>
      <c r="AT150">
        <v>369</v>
      </c>
      <c r="AU150">
        <v>18.100000000000001</v>
      </c>
      <c r="AV150">
        <v>2.4300000000000002</v>
      </c>
      <c r="AW150">
        <v>34.299999999999997</v>
      </c>
      <c r="AX150">
        <v>1565.7</v>
      </c>
      <c r="AY150">
        <v>0.19</v>
      </c>
      <c r="AZ150">
        <v>370.2</v>
      </c>
      <c r="BA150">
        <v>81</v>
      </c>
      <c r="BB150">
        <v>451.2</v>
      </c>
      <c r="BC150">
        <v>34184068.399999999</v>
      </c>
      <c r="BD150">
        <v>1557.3</v>
      </c>
      <c r="BE150">
        <v>205.4</v>
      </c>
      <c r="BF150">
        <v>4006671.5</v>
      </c>
      <c r="BG150">
        <v>151771</v>
      </c>
      <c r="BH150">
        <v>32.799999999999997</v>
      </c>
      <c r="BI150">
        <v>34286542.799999997</v>
      </c>
      <c r="BJ150">
        <v>8538410.9000000004</v>
      </c>
      <c r="BK150">
        <v>42824953.700000003</v>
      </c>
      <c r="BL150">
        <v>0</v>
      </c>
      <c r="BM150">
        <v>16.82</v>
      </c>
      <c r="BN150">
        <v>14.86</v>
      </c>
      <c r="BO150">
        <v>0</v>
      </c>
      <c r="BP150">
        <v>31.67</v>
      </c>
      <c r="BQ150">
        <v>19.809999999999999</v>
      </c>
      <c r="BR150">
        <v>18.670000000000002</v>
      </c>
      <c r="BS150">
        <v>0</v>
      </c>
      <c r="BT150">
        <v>38.49</v>
      </c>
      <c r="BU150">
        <v>418509150</v>
      </c>
      <c r="BV150">
        <v>191846200</v>
      </c>
      <c r="BW150">
        <v>49136910</v>
      </c>
      <c r="BX150">
        <v>1542055.8</v>
      </c>
      <c r="BY150">
        <v>0</v>
      </c>
      <c r="BZ150">
        <v>0</v>
      </c>
      <c r="CA150">
        <v>9483757</v>
      </c>
      <c r="CB150">
        <v>0</v>
      </c>
      <c r="CC150">
        <v>0</v>
      </c>
      <c r="CD150">
        <v>6978249.5</v>
      </c>
      <c r="CE150">
        <v>63871384</v>
      </c>
      <c r="CF150">
        <v>0</v>
      </c>
      <c r="CG150">
        <v>351802.4</v>
      </c>
      <c r="CH150">
        <v>0</v>
      </c>
      <c r="CI150">
        <v>12182719</v>
      </c>
      <c r="CJ150">
        <v>86130910</v>
      </c>
      <c r="CK150">
        <v>12.8</v>
      </c>
      <c r="CL150">
        <v>3963375.2</v>
      </c>
      <c r="CM150">
        <v>0</v>
      </c>
      <c r="CN150">
        <v>184867950</v>
      </c>
      <c r="CO150">
        <v>0</v>
      </c>
      <c r="CP150">
        <v>0</v>
      </c>
      <c r="CQ150">
        <v>24295.3</v>
      </c>
      <c r="CR150">
        <v>312.89999999999998</v>
      </c>
      <c r="CS150">
        <v>0</v>
      </c>
      <c r="CT150">
        <v>8718.6</v>
      </c>
      <c r="CU150">
        <v>0</v>
      </c>
      <c r="CV150">
        <v>0</v>
      </c>
      <c r="CW150">
        <v>5761.1</v>
      </c>
      <c r="CX150">
        <v>19237.599999999999</v>
      </c>
      <c r="CY150">
        <v>0</v>
      </c>
      <c r="CZ150">
        <v>11542.7</v>
      </c>
      <c r="DA150">
        <v>0</v>
      </c>
      <c r="DB150">
        <v>5526.1</v>
      </c>
      <c r="DC150">
        <v>11833.5</v>
      </c>
      <c r="DD150">
        <v>0.6</v>
      </c>
      <c r="DE150">
        <v>1897.4</v>
      </c>
      <c r="DF150">
        <v>0</v>
      </c>
      <c r="DG150">
        <v>87848</v>
      </c>
      <c r="DH150">
        <v>0</v>
      </c>
      <c r="DI150">
        <v>0</v>
      </c>
      <c r="DJ150">
        <v>139414.1</v>
      </c>
      <c r="DK150">
        <v>18974</v>
      </c>
      <c r="DL150">
        <v>0</v>
      </c>
      <c r="DM150">
        <v>0</v>
      </c>
    </row>
    <row r="151" spans="1:117" x14ac:dyDescent="0.3">
      <c r="A151" t="s">
        <v>172</v>
      </c>
      <c r="B151">
        <v>2024</v>
      </c>
      <c r="C151">
        <v>216091060</v>
      </c>
      <c r="D151">
        <v>17840.2</v>
      </c>
      <c r="E151">
        <v>1340661.8</v>
      </c>
      <c r="F151">
        <v>1518118</v>
      </c>
      <c r="G151">
        <v>218967679.69999999</v>
      </c>
      <c r="H151">
        <v>208320401.80000001</v>
      </c>
      <c r="I151">
        <v>213268711.80000001</v>
      </c>
      <c r="J151">
        <v>105437120</v>
      </c>
      <c r="K151">
        <v>57122600</v>
      </c>
      <c r="L151">
        <v>3.5900000000000001E-2</v>
      </c>
      <c r="M151">
        <v>5.3999999999999999E-2</v>
      </c>
      <c r="N151">
        <v>0.15049999999999999</v>
      </c>
      <c r="O151">
        <v>18675.060000000001</v>
      </c>
      <c r="P151">
        <v>45444.800000000003</v>
      </c>
      <c r="Q151">
        <v>0.33</v>
      </c>
      <c r="R151">
        <v>0.34</v>
      </c>
      <c r="S151">
        <v>529.4</v>
      </c>
      <c r="T151">
        <v>51.5</v>
      </c>
      <c r="U151">
        <v>7.4</v>
      </c>
      <c r="V151">
        <v>26.8</v>
      </c>
      <c r="W151">
        <v>1459.2</v>
      </c>
      <c r="X151">
        <v>0.3</v>
      </c>
      <c r="Y151">
        <v>532.9</v>
      </c>
      <c r="Z151">
        <v>70.400000000000006</v>
      </c>
      <c r="AA151">
        <v>603.29999999999995</v>
      </c>
      <c r="AB151">
        <v>546.20000000000005</v>
      </c>
      <c r="AC151">
        <v>53.3</v>
      </c>
      <c r="AD151">
        <v>7.66</v>
      </c>
      <c r="AE151">
        <v>27.4</v>
      </c>
      <c r="AF151">
        <v>1497.7</v>
      </c>
      <c r="AG151">
        <v>0.31</v>
      </c>
      <c r="AH151">
        <v>549.9</v>
      </c>
      <c r="AI151">
        <v>72.099999999999994</v>
      </c>
      <c r="AJ151">
        <v>622</v>
      </c>
      <c r="AK151">
        <v>309.89999999999998</v>
      </c>
      <c r="AL151">
        <v>21.6</v>
      </c>
      <c r="AM151">
        <v>3.04</v>
      </c>
      <c r="AN151">
        <v>22.5</v>
      </c>
      <c r="AO151">
        <v>1102.5999999999999</v>
      </c>
      <c r="AP151">
        <v>0.16</v>
      </c>
      <c r="AQ151">
        <v>311.39999999999998</v>
      </c>
      <c r="AR151">
        <v>55.4</v>
      </c>
      <c r="AS151">
        <v>366.8</v>
      </c>
      <c r="AT151">
        <v>787.2</v>
      </c>
      <c r="AU151">
        <v>62.3</v>
      </c>
      <c r="AV151">
        <v>9</v>
      </c>
      <c r="AW151">
        <v>52</v>
      </c>
      <c r="AX151">
        <v>2453.4</v>
      </c>
      <c r="AY151">
        <v>0.49</v>
      </c>
      <c r="AZ151">
        <v>791.5</v>
      </c>
      <c r="BA151">
        <v>125.3</v>
      </c>
      <c r="BB151">
        <v>916.8</v>
      </c>
      <c r="BC151">
        <v>89567982.299999997</v>
      </c>
      <c r="BD151">
        <v>8706.2000000000007</v>
      </c>
      <c r="BE151">
        <v>1252.0999999999999</v>
      </c>
      <c r="BF151">
        <v>4540120.5</v>
      </c>
      <c r="BG151">
        <v>246988.3</v>
      </c>
      <c r="BH151">
        <v>50.7</v>
      </c>
      <c r="BI151">
        <v>90169241.200000003</v>
      </c>
      <c r="BJ151">
        <v>11914219.5</v>
      </c>
      <c r="BK151">
        <v>102083460.7</v>
      </c>
      <c r="BL151">
        <v>0</v>
      </c>
      <c r="BM151">
        <v>31.84</v>
      </c>
      <c r="BN151">
        <v>3.83</v>
      </c>
      <c r="BO151">
        <v>0</v>
      </c>
      <c r="BP151">
        <v>35.67</v>
      </c>
      <c r="BQ151">
        <v>33.74</v>
      </c>
      <c r="BR151">
        <v>4.16</v>
      </c>
      <c r="BS151">
        <v>0</v>
      </c>
      <c r="BT151">
        <v>37.9</v>
      </c>
      <c r="BU151">
        <v>170345360</v>
      </c>
      <c r="BV151">
        <v>5698968</v>
      </c>
      <c r="BW151">
        <v>15331.7</v>
      </c>
      <c r="BX151">
        <v>178869.9</v>
      </c>
      <c r="BY151">
        <v>0</v>
      </c>
      <c r="BZ151">
        <v>0</v>
      </c>
      <c r="CA151">
        <v>68965580</v>
      </c>
      <c r="CB151">
        <v>0</v>
      </c>
      <c r="CC151">
        <v>0</v>
      </c>
      <c r="CD151">
        <v>298037.3</v>
      </c>
      <c r="CE151">
        <v>44209530</v>
      </c>
      <c r="CF151">
        <v>0</v>
      </c>
      <c r="CG151">
        <v>650148</v>
      </c>
      <c r="CH151">
        <v>0</v>
      </c>
      <c r="CI151">
        <v>13426448</v>
      </c>
      <c r="CJ151">
        <v>36119400</v>
      </c>
      <c r="CK151">
        <v>2014.2</v>
      </c>
      <c r="CL151">
        <v>1079070.2</v>
      </c>
      <c r="CM151">
        <v>0</v>
      </c>
      <c r="CN151">
        <v>5346892</v>
      </c>
      <c r="CO151">
        <v>54038.8</v>
      </c>
      <c r="CP151">
        <v>0</v>
      </c>
      <c r="CQ151">
        <v>20.399999999999999</v>
      </c>
      <c r="CR151">
        <v>38</v>
      </c>
      <c r="CS151">
        <v>0</v>
      </c>
      <c r="CT151">
        <v>14777</v>
      </c>
      <c r="CU151">
        <v>0</v>
      </c>
      <c r="CV151">
        <v>0</v>
      </c>
      <c r="CW151">
        <v>203.2</v>
      </c>
      <c r="CX151">
        <v>8085.1</v>
      </c>
      <c r="CY151">
        <v>0</v>
      </c>
      <c r="CZ151">
        <v>7781.4</v>
      </c>
      <c r="DA151">
        <v>0</v>
      </c>
      <c r="DB151">
        <v>3662.1</v>
      </c>
      <c r="DC151">
        <v>4522.7</v>
      </c>
      <c r="DD151">
        <v>49.1</v>
      </c>
      <c r="DE151">
        <v>1616.3</v>
      </c>
      <c r="DF151">
        <v>0</v>
      </c>
      <c r="DG151">
        <v>2387.1999999999998</v>
      </c>
      <c r="DH151">
        <v>0</v>
      </c>
      <c r="DI151">
        <v>29.1</v>
      </c>
      <c r="DJ151">
        <v>41.5</v>
      </c>
      <c r="DK151">
        <v>16163</v>
      </c>
      <c r="DL151">
        <v>0</v>
      </c>
      <c r="DM151">
        <v>0</v>
      </c>
    </row>
    <row r="152" spans="1:117" x14ac:dyDescent="0.3">
      <c r="A152" t="s">
        <v>172</v>
      </c>
      <c r="B152">
        <v>2026</v>
      </c>
      <c r="C152">
        <v>220214060</v>
      </c>
      <c r="D152">
        <v>1720638</v>
      </c>
      <c r="E152">
        <v>1937206.6</v>
      </c>
      <c r="F152">
        <v>1593377</v>
      </c>
      <c r="G152">
        <v>225465288.09999999</v>
      </c>
      <c r="H152">
        <v>212295159.5</v>
      </c>
      <c r="I152">
        <v>212345220.09999999</v>
      </c>
      <c r="J152">
        <v>118927576</v>
      </c>
      <c r="K152">
        <v>57780360</v>
      </c>
      <c r="L152">
        <v>3.5900000000000001E-2</v>
      </c>
      <c r="M152">
        <v>5.3999999999999999E-2</v>
      </c>
      <c r="N152">
        <v>0.15049999999999999</v>
      </c>
      <c r="O152">
        <v>48575.59</v>
      </c>
      <c r="P152">
        <v>46395.199999999997</v>
      </c>
      <c r="Q152">
        <v>0.4</v>
      </c>
      <c r="R152">
        <v>0.42</v>
      </c>
      <c r="S152">
        <v>456.7</v>
      </c>
      <c r="T152">
        <v>43.4</v>
      </c>
      <c r="U152">
        <v>6.23</v>
      </c>
      <c r="V152">
        <v>24.4</v>
      </c>
      <c r="W152">
        <v>1291.3</v>
      </c>
      <c r="X152">
        <v>0.27</v>
      </c>
      <c r="Y152">
        <v>459.7</v>
      </c>
      <c r="Z152">
        <v>62.9</v>
      </c>
      <c r="AA152">
        <v>522.70000000000005</v>
      </c>
      <c r="AB152">
        <v>462.9</v>
      </c>
      <c r="AC152">
        <v>44.1</v>
      </c>
      <c r="AD152">
        <v>6.33</v>
      </c>
      <c r="AE152">
        <v>24.6</v>
      </c>
      <c r="AF152">
        <v>1305.0999999999999</v>
      </c>
      <c r="AG152">
        <v>0.27</v>
      </c>
      <c r="AH152">
        <v>465.9</v>
      </c>
      <c r="AI152">
        <v>63.6</v>
      </c>
      <c r="AJ152">
        <v>529.5</v>
      </c>
      <c r="AK152">
        <v>294.5</v>
      </c>
      <c r="AL152">
        <v>14.8</v>
      </c>
      <c r="AM152">
        <v>2</v>
      </c>
      <c r="AN152">
        <v>26.5</v>
      </c>
      <c r="AO152">
        <v>1236.3</v>
      </c>
      <c r="AP152">
        <v>0.14000000000000001</v>
      </c>
      <c r="AQ152">
        <v>295.5</v>
      </c>
      <c r="AR152">
        <v>63.4</v>
      </c>
      <c r="AS152">
        <v>358.8</v>
      </c>
      <c r="AT152">
        <v>743.3</v>
      </c>
      <c r="AU152">
        <v>58.3</v>
      </c>
      <c r="AV152">
        <v>8.35</v>
      </c>
      <c r="AW152">
        <v>49.1</v>
      </c>
      <c r="AX152">
        <v>2379.9</v>
      </c>
      <c r="AY152">
        <v>0.43</v>
      </c>
      <c r="AZ152">
        <v>747.3</v>
      </c>
      <c r="BA152">
        <v>120.2</v>
      </c>
      <c r="BB152">
        <v>867.4</v>
      </c>
      <c r="BC152">
        <v>74343939.599999994</v>
      </c>
      <c r="BD152">
        <v>7064.7</v>
      </c>
      <c r="BE152">
        <v>1014.3</v>
      </c>
      <c r="BF152">
        <v>3970112</v>
      </c>
      <c r="BG152">
        <v>210263.8</v>
      </c>
      <c r="BH152">
        <v>43.3</v>
      </c>
      <c r="BI152">
        <v>74831369.299999997</v>
      </c>
      <c r="BJ152">
        <v>10247782.4</v>
      </c>
      <c r="BK152">
        <v>85079151.700000003</v>
      </c>
      <c r="BL152">
        <v>0</v>
      </c>
      <c r="BM152">
        <v>29.98</v>
      </c>
      <c r="BN152">
        <v>9.6</v>
      </c>
      <c r="BO152">
        <v>0</v>
      </c>
      <c r="BP152">
        <v>39.58</v>
      </c>
      <c r="BQ152">
        <v>31.86</v>
      </c>
      <c r="BR152">
        <v>10.52</v>
      </c>
      <c r="BS152">
        <v>0</v>
      </c>
      <c r="BT152">
        <v>42.38</v>
      </c>
      <c r="BU152">
        <v>163935260</v>
      </c>
      <c r="BV152">
        <v>13120068</v>
      </c>
      <c r="BW152">
        <v>1464878.8</v>
      </c>
      <c r="BX152">
        <v>177865.8</v>
      </c>
      <c r="BY152">
        <v>0</v>
      </c>
      <c r="BZ152">
        <v>0</v>
      </c>
      <c r="CA152">
        <v>55396628</v>
      </c>
      <c r="CB152">
        <v>0</v>
      </c>
      <c r="CC152">
        <v>0</v>
      </c>
      <c r="CD152">
        <v>460677.2</v>
      </c>
      <c r="CE152">
        <v>41805600</v>
      </c>
      <c r="CF152">
        <v>0</v>
      </c>
      <c r="CG152">
        <v>412156.5</v>
      </c>
      <c r="CH152">
        <v>0</v>
      </c>
      <c r="CI152">
        <v>13899658</v>
      </c>
      <c r="CJ152">
        <v>36076744</v>
      </c>
      <c r="CK152">
        <v>1019</v>
      </c>
      <c r="CL152">
        <v>1580642.6</v>
      </c>
      <c r="CM152">
        <v>0</v>
      </c>
      <c r="CN152">
        <v>12605643</v>
      </c>
      <c r="CO152">
        <v>53747.4</v>
      </c>
      <c r="CP152">
        <v>0</v>
      </c>
      <c r="CQ152">
        <v>1042.4000000000001</v>
      </c>
      <c r="CR152">
        <v>38</v>
      </c>
      <c r="CS152">
        <v>0</v>
      </c>
      <c r="CT152">
        <v>13024</v>
      </c>
      <c r="CU152">
        <v>0</v>
      </c>
      <c r="CV152">
        <v>0</v>
      </c>
      <c r="CW152">
        <v>313.3</v>
      </c>
      <c r="CX152">
        <v>8085.1</v>
      </c>
      <c r="CY152">
        <v>0</v>
      </c>
      <c r="CZ152">
        <v>7515.8</v>
      </c>
      <c r="DA152">
        <v>0</v>
      </c>
      <c r="DB152">
        <v>3776.1</v>
      </c>
      <c r="DC152">
        <v>4522.7</v>
      </c>
      <c r="DD152">
        <v>49.1</v>
      </c>
      <c r="DE152">
        <v>1616.3</v>
      </c>
      <c r="DF152">
        <v>0</v>
      </c>
      <c r="DG152">
        <v>5526.2</v>
      </c>
      <c r="DH152">
        <v>0</v>
      </c>
      <c r="DI152">
        <v>29.1</v>
      </c>
      <c r="DJ152">
        <v>4319.8</v>
      </c>
      <c r="DK152">
        <v>16163</v>
      </c>
      <c r="DL152">
        <v>0</v>
      </c>
      <c r="DM152">
        <v>0</v>
      </c>
    </row>
    <row r="153" spans="1:117" x14ac:dyDescent="0.3">
      <c r="A153" t="s">
        <v>172</v>
      </c>
      <c r="B153">
        <v>2028</v>
      </c>
      <c r="C153">
        <v>225436260</v>
      </c>
      <c r="D153">
        <v>5988752.5</v>
      </c>
      <c r="E153">
        <v>2862498.8</v>
      </c>
      <c r="F153">
        <v>2231684.7000000002</v>
      </c>
      <c r="G153">
        <v>236519203.80000001</v>
      </c>
      <c r="H153">
        <v>217329617.40000001</v>
      </c>
      <c r="I153">
        <v>211870461.90000001</v>
      </c>
      <c r="J153">
        <v>166876240</v>
      </c>
      <c r="K153">
        <v>88677550</v>
      </c>
      <c r="L153">
        <v>3.5900000000000001E-2</v>
      </c>
      <c r="M153">
        <v>5.3999999999999999E-2</v>
      </c>
      <c r="N153">
        <v>0.15040000000000001</v>
      </c>
      <c r="O153">
        <v>60851.73</v>
      </c>
      <c r="P153">
        <v>47681.8</v>
      </c>
      <c r="Q153">
        <v>0.52</v>
      </c>
      <c r="R153">
        <v>0.57999999999999996</v>
      </c>
      <c r="S153">
        <v>335.4</v>
      </c>
      <c r="T153">
        <v>29.6</v>
      </c>
      <c r="U153">
        <v>4.22</v>
      </c>
      <c r="V153">
        <v>20.5</v>
      </c>
      <c r="W153">
        <v>1022.2</v>
      </c>
      <c r="X153">
        <v>0.21</v>
      </c>
      <c r="Y153">
        <v>337.4</v>
      </c>
      <c r="Z153">
        <v>51.1</v>
      </c>
      <c r="AA153">
        <v>388.5</v>
      </c>
      <c r="AB153">
        <v>303.7</v>
      </c>
      <c r="AC153">
        <v>26.6</v>
      </c>
      <c r="AD153">
        <v>3.8</v>
      </c>
      <c r="AE153">
        <v>18.8</v>
      </c>
      <c r="AF153">
        <v>929.2</v>
      </c>
      <c r="AG153">
        <v>0.19</v>
      </c>
      <c r="AH153">
        <v>305.5</v>
      </c>
      <c r="AI153">
        <v>46.5</v>
      </c>
      <c r="AJ153">
        <v>352.1</v>
      </c>
      <c r="AK153">
        <v>288.3</v>
      </c>
      <c r="AL153">
        <v>5.9</v>
      </c>
      <c r="AM153">
        <v>0.61</v>
      </c>
      <c r="AN153">
        <v>33.700000000000003</v>
      </c>
      <c r="AO153">
        <v>1493.7</v>
      </c>
      <c r="AP153">
        <v>0.13</v>
      </c>
      <c r="AQ153">
        <v>288.7</v>
      </c>
      <c r="AR153">
        <v>78.2</v>
      </c>
      <c r="AS153">
        <v>366.9</v>
      </c>
      <c r="AT153">
        <v>641</v>
      </c>
      <c r="AU153">
        <v>45.9</v>
      </c>
      <c r="AV153">
        <v>6.53</v>
      </c>
      <c r="AW153">
        <v>46.6</v>
      </c>
      <c r="AX153">
        <v>2196.3000000000002</v>
      </c>
      <c r="AY153">
        <v>0.37</v>
      </c>
      <c r="AZ153">
        <v>644.20000000000005</v>
      </c>
      <c r="BA153">
        <v>112.2</v>
      </c>
      <c r="BB153">
        <v>756.3</v>
      </c>
      <c r="BC153">
        <v>52501182.600000001</v>
      </c>
      <c r="BD153">
        <v>4628.3999999999996</v>
      </c>
      <c r="BE153">
        <v>660.6</v>
      </c>
      <c r="BF153">
        <v>3218700.5</v>
      </c>
      <c r="BG153">
        <v>160122.70000000001</v>
      </c>
      <c r="BH153">
        <v>32.299999999999997</v>
      </c>
      <c r="BI153">
        <v>52819456.299999997</v>
      </c>
      <c r="BJ153">
        <v>7999178.7999999998</v>
      </c>
      <c r="BK153">
        <v>60818635.100000001</v>
      </c>
      <c r="BL153">
        <v>0</v>
      </c>
      <c r="BM153">
        <v>26.02</v>
      </c>
      <c r="BN153">
        <v>11.2</v>
      </c>
      <c r="BO153">
        <v>0</v>
      </c>
      <c r="BP153">
        <v>37.22</v>
      </c>
      <c r="BQ153">
        <v>27.93</v>
      </c>
      <c r="BR153">
        <v>12.53</v>
      </c>
      <c r="BS153">
        <v>0</v>
      </c>
      <c r="BT153">
        <v>40.46</v>
      </c>
      <c r="BU153">
        <v>157810290</v>
      </c>
      <c r="BV153">
        <v>24648742</v>
      </c>
      <c r="BW153">
        <v>5145121.5</v>
      </c>
      <c r="BX153">
        <v>170618.4</v>
      </c>
      <c r="BY153">
        <v>0</v>
      </c>
      <c r="BZ153">
        <v>0</v>
      </c>
      <c r="CA153">
        <v>35665920</v>
      </c>
      <c r="CB153">
        <v>0</v>
      </c>
      <c r="CC153">
        <v>0</v>
      </c>
      <c r="CD153">
        <v>740190.8</v>
      </c>
      <c r="CE153">
        <v>40058504</v>
      </c>
      <c r="CF153">
        <v>0</v>
      </c>
      <c r="CG153">
        <v>283392.8</v>
      </c>
      <c r="CH153">
        <v>0</v>
      </c>
      <c r="CI153">
        <v>13945075</v>
      </c>
      <c r="CJ153">
        <v>35541536</v>
      </c>
      <c r="CK153">
        <v>568.4</v>
      </c>
      <c r="CL153">
        <v>2350807</v>
      </c>
      <c r="CM153">
        <v>0</v>
      </c>
      <c r="CN153">
        <v>23855094</v>
      </c>
      <c r="CO153">
        <v>53457.599999999999</v>
      </c>
      <c r="CP153">
        <v>0</v>
      </c>
      <c r="CQ153">
        <v>3166.7</v>
      </c>
      <c r="CR153">
        <v>38</v>
      </c>
      <c r="CS153">
        <v>0</v>
      </c>
      <c r="CT153">
        <v>10775</v>
      </c>
      <c r="CU153">
        <v>0</v>
      </c>
      <c r="CV153">
        <v>0</v>
      </c>
      <c r="CW153">
        <v>502.2</v>
      </c>
      <c r="CX153">
        <v>8471.2000000000007</v>
      </c>
      <c r="CY153">
        <v>0</v>
      </c>
      <c r="CZ153">
        <v>7330.2</v>
      </c>
      <c r="DA153">
        <v>0</v>
      </c>
      <c r="DB153">
        <v>3815.8</v>
      </c>
      <c r="DC153">
        <v>4522.7</v>
      </c>
      <c r="DD153">
        <v>49.1</v>
      </c>
      <c r="DE153">
        <v>1616.3</v>
      </c>
      <c r="DF153">
        <v>0</v>
      </c>
      <c r="DG153">
        <v>10362.5</v>
      </c>
      <c r="DH153">
        <v>0</v>
      </c>
      <c r="DI153">
        <v>29.1</v>
      </c>
      <c r="DJ153">
        <v>14452.5</v>
      </c>
      <c r="DK153">
        <v>16163</v>
      </c>
      <c r="DL153">
        <v>0</v>
      </c>
      <c r="DM153">
        <v>0</v>
      </c>
    </row>
    <row r="154" spans="1:117" x14ac:dyDescent="0.3">
      <c r="A154" t="s">
        <v>172</v>
      </c>
      <c r="B154">
        <v>2030</v>
      </c>
      <c r="C154">
        <v>231534560</v>
      </c>
      <c r="D154">
        <v>10588767</v>
      </c>
      <c r="E154">
        <v>3061816.8</v>
      </c>
      <c r="F154">
        <v>2669799.5</v>
      </c>
      <c r="G154">
        <v>247854965.59999999</v>
      </c>
      <c r="H154">
        <v>223208712.59999999</v>
      </c>
      <c r="I154">
        <v>215563014.80000001</v>
      </c>
      <c r="J154">
        <v>193603070</v>
      </c>
      <c r="K154">
        <v>107228580</v>
      </c>
      <c r="L154">
        <v>3.5900000000000001E-2</v>
      </c>
      <c r="M154">
        <v>5.3999999999999999E-2</v>
      </c>
      <c r="N154">
        <v>0.15040000000000001</v>
      </c>
      <c r="O154">
        <v>69081.179999999993</v>
      </c>
      <c r="P154">
        <v>49574</v>
      </c>
      <c r="Q154">
        <v>0.57999999999999996</v>
      </c>
      <c r="R154">
        <v>0.66</v>
      </c>
      <c r="S154">
        <v>288.3</v>
      </c>
      <c r="T154">
        <v>25</v>
      </c>
      <c r="U154">
        <v>3.57</v>
      </c>
      <c r="V154">
        <v>18.3</v>
      </c>
      <c r="W154">
        <v>892.5</v>
      </c>
      <c r="X154">
        <v>0.18</v>
      </c>
      <c r="Y154">
        <v>290.10000000000002</v>
      </c>
      <c r="Z154">
        <v>44.9</v>
      </c>
      <c r="AA154">
        <v>335</v>
      </c>
      <c r="AB154">
        <v>238.4</v>
      </c>
      <c r="AC154">
        <v>20.5</v>
      </c>
      <c r="AD154">
        <v>2.93</v>
      </c>
      <c r="AE154">
        <v>15.3</v>
      </c>
      <c r="AF154">
        <v>742.6</v>
      </c>
      <c r="AG154">
        <v>0.15</v>
      </c>
      <c r="AH154">
        <v>239.8</v>
      </c>
      <c r="AI154">
        <v>37.5</v>
      </c>
      <c r="AJ154">
        <v>277.3</v>
      </c>
      <c r="AK154">
        <v>349.4</v>
      </c>
      <c r="AL154">
        <v>13</v>
      </c>
      <c r="AM154">
        <v>1.65</v>
      </c>
      <c r="AN154">
        <v>35.5</v>
      </c>
      <c r="AO154">
        <v>1624.2</v>
      </c>
      <c r="AP154">
        <v>0.16</v>
      </c>
      <c r="AQ154">
        <v>350.3</v>
      </c>
      <c r="AR154">
        <v>84</v>
      </c>
      <c r="AS154">
        <v>434.2</v>
      </c>
      <c r="AT154">
        <v>597.5</v>
      </c>
      <c r="AU154">
        <v>43</v>
      </c>
      <c r="AV154">
        <v>6.08</v>
      </c>
      <c r="AW154">
        <v>43</v>
      </c>
      <c r="AX154">
        <v>2072.5</v>
      </c>
      <c r="AY154">
        <v>0.33</v>
      </c>
      <c r="AZ154">
        <v>600.4</v>
      </c>
      <c r="BA154">
        <v>104.8</v>
      </c>
      <c r="BB154">
        <v>705.2</v>
      </c>
      <c r="BC154">
        <v>45991161.700000003</v>
      </c>
      <c r="BD154">
        <v>3987.3</v>
      </c>
      <c r="BE154">
        <v>568.29999999999995</v>
      </c>
      <c r="BF154">
        <v>2916595.3</v>
      </c>
      <c r="BG154">
        <v>142485.6</v>
      </c>
      <c r="BH154">
        <v>29.1</v>
      </c>
      <c r="BI154">
        <v>46265135.100000001</v>
      </c>
      <c r="BJ154">
        <v>7170607.5999999996</v>
      </c>
      <c r="BK154">
        <v>53435742.700000003</v>
      </c>
      <c r="BL154">
        <v>0</v>
      </c>
      <c r="BM154">
        <v>24.34</v>
      </c>
      <c r="BN154">
        <v>12.47</v>
      </c>
      <c r="BO154">
        <v>0</v>
      </c>
      <c r="BP154">
        <v>36.799999999999997</v>
      </c>
      <c r="BQ154">
        <v>26.4</v>
      </c>
      <c r="BR154">
        <v>14.22</v>
      </c>
      <c r="BS154">
        <v>0</v>
      </c>
      <c r="BT154">
        <v>40.619999999999997</v>
      </c>
      <c r="BU154">
        <v>160927310</v>
      </c>
      <c r="BV154">
        <v>32291948</v>
      </c>
      <c r="BW154">
        <v>8940035</v>
      </c>
      <c r="BX154">
        <v>164723.1</v>
      </c>
      <c r="BY154">
        <v>0</v>
      </c>
      <c r="BZ154">
        <v>0</v>
      </c>
      <c r="CA154">
        <v>30658844</v>
      </c>
      <c r="CB154">
        <v>0</v>
      </c>
      <c r="CC154">
        <v>0</v>
      </c>
      <c r="CD154">
        <v>1216065.1000000001</v>
      </c>
      <c r="CE154">
        <v>37351896</v>
      </c>
      <c r="CF154">
        <v>0</v>
      </c>
      <c r="CG154">
        <v>191825.6</v>
      </c>
      <c r="CH154">
        <v>0</v>
      </c>
      <c r="CI154">
        <v>13806915</v>
      </c>
      <c r="CJ154">
        <v>35015864</v>
      </c>
      <c r="CK154">
        <v>271.39999999999998</v>
      </c>
      <c r="CL154">
        <v>2504984</v>
      </c>
      <c r="CM154">
        <v>0</v>
      </c>
      <c r="CN154">
        <v>31022716</v>
      </c>
      <c r="CO154">
        <v>53169.2</v>
      </c>
      <c r="CP154">
        <v>0</v>
      </c>
      <c r="CQ154">
        <v>6329.4</v>
      </c>
      <c r="CR154">
        <v>38</v>
      </c>
      <c r="CS154">
        <v>0</v>
      </c>
      <c r="CT154">
        <v>10469.799999999999</v>
      </c>
      <c r="CU154">
        <v>0</v>
      </c>
      <c r="CV154">
        <v>0</v>
      </c>
      <c r="CW154">
        <v>823.4</v>
      </c>
      <c r="CX154">
        <v>8471.2000000000007</v>
      </c>
      <c r="CY154">
        <v>0</v>
      </c>
      <c r="CZ154">
        <v>6664.1</v>
      </c>
      <c r="DA154">
        <v>0</v>
      </c>
      <c r="DB154">
        <v>3819.4</v>
      </c>
      <c r="DC154">
        <v>4522.7</v>
      </c>
      <c r="DD154">
        <v>43.2</v>
      </c>
      <c r="DE154">
        <v>1616.3</v>
      </c>
      <c r="DF154">
        <v>0</v>
      </c>
      <c r="DG154">
        <v>13478.7</v>
      </c>
      <c r="DH154">
        <v>0</v>
      </c>
      <c r="DI154">
        <v>29.1</v>
      </c>
      <c r="DJ154">
        <v>25501.3</v>
      </c>
      <c r="DK154">
        <v>16163</v>
      </c>
      <c r="DL154">
        <v>0</v>
      </c>
      <c r="DM154">
        <v>0</v>
      </c>
    </row>
    <row r="155" spans="1:117" x14ac:dyDescent="0.3">
      <c r="A155" t="s">
        <v>172</v>
      </c>
      <c r="B155">
        <v>2035</v>
      </c>
      <c r="C155">
        <v>247605200</v>
      </c>
      <c r="D155">
        <v>17963800</v>
      </c>
      <c r="E155">
        <v>2871394.2</v>
      </c>
      <c r="F155">
        <v>2820399.4</v>
      </c>
      <c r="G155">
        <v>271260792.60000002</v>
      </c>
      <c r="H155">
        <v>238701680.5</v>
      </c>
      <c r="I155">
        <v>218980650.40000001</v>
      </c>
      <c r="J155">
        <v>208277520</v>
      </c>
      <c r="K155">
        <v>113062530</v>
      </c>
      <c r="L155">
        <v>3.5900000000000001E-2</v>
      </c>
      <c r="M155">
        <v>5.3999999999999999E-2</v>
      </c>
      <c r="N155">
        <v>0.15040000000000001</v>
      </c>
      <c r="O155">
        <v>86997.51</v>
      </c>
      <c r="P155">
        <v>54114.2</v>
      </c>
      <c r="Q155">
        <v>0.67</v>
      </c>
      <c r="R155">
        <v>0.74</v>
      </c>
      <c r="S155">
        <v>210.3</v>
      </c>
      <c r="T155">
        <v>17.2</v>
      </c>
      <c r="U155">
        <v>2.44</v>
      </c>
      <c r="V155">
        <v>14.6</v>
      </c>
      <c r="W155">
        <v>684.4</v>
      </c>
      <c r="X155">
        <v>0.14000000000000001</v>
      </c>
      <c r="Y155">
        <v>211.5</v>
      </c>
      <c r="Z155">
        <v>35</v>
      </c>
      <c r="AA155">
        <v>246.5</v>
      </c>
      <c r="AB155">
        <v>176.2</v>
      </c>
      <c r="AC155">
        <v>14.5</v>
      </c>
      <c r="AD155">
        <v>2.06</v>
      </c>
      <c r="AE155">
        <v>12.2</v>
      </c>
      <c r="AF155">
        <v>571.5</v>
      </c>
      <c r="AG155">
        <v>0.12</v>
      </c>
      <c r="AH155">
        <v>177.2</v>
      </c>
      <c r="AI155">
        <v>29.3</v>
      </c>
      <c r="AJ155">
        <v>206.4</v>
      </c>
      <c r="AK155">
        <v>400.8</v>
      </c>
      <c r="AL155">
        <v>22</v>
      </c>
      <c r="AM155">
        <v>2.99</v>
      </c>
      <c r="AN155">
        <v>34.299999999999997</v>
      </c>
      <c r="AO155">
        <v>1638.1</v>
      </c>
      <c r="AP155">
        <v>0.19</v>
      </c>
      <c r="AQ155">
        <v>402.3</v>
      </c>
      <c r="AR155">
        <v>83.2</v>
      </c>
      <c r="AS155">
        <v>485.5</v>
      </c>
      <c r="AT155">
        <v>546.9</v>
      </c>
      <c r="AU155">
        <v>38.700000000000003</v>
      </c>
      <c r="AV155">
        <v>5.47</v>
      </c>
      <c r="AW155">
        <v>39.9</v>
      </c>
      <c r="AX155">
        <v>1918.7</v>
      </c>
      <c r="AY155">
        <v>0.3</v>
      </c>
      <c r="AZ155">
        <v>549.6</v>
      </c>
      <c r="BA155">
        <v>97.2</v>
      </c>
      <c r="BB155">
        <v>646.79999999999995</v>
      </c>
      <c r="BC155">
        <v>36504299.299999997</v>
      </c>
      <c r="BD155">
        <v>2984.5</v>
      </c>
      <c r="BE155">
        <v>423.3</v>
      </c>
      <c r="BF155">
        <v>2537738.7999999998</v>
      </c>
      <c r="BG155">
        <v>118948</v>
      </c>
      <c r="BH155">
        <v>24.3</v>
      </c>
      <c r="BI155">
        <v>36708791.700000003</v>
      </c>
      <c r="BJ155">
        <v>6089029.7000000002</v>
      </c>
      <c r="BK155">
        <v>42797821.399999999</v>
      </c>
      <c r="BL155">
        <v>0</v>
      </c>
      <c r="BM155">
        <v>21.74</v>
      </c>
      <c r="BN155">
        <v>15.36</v>
      </c>
      <c r="BO155">
        <v>0</v>
      </c>
      <c r="BP155">
        <v>37.090000000000003</v>
      </c>
      <c r="BQ155">
        <v>23.93</v>
      </c>
      <c r="BR155">
        <v>17.940000000000001</v>
      </c>
      <c r="BS155">
        <v>0</v>
      </c>
      <c r="BT155">
        <v>41.88</v>
      </c>
      <c r="BU155">
        <v>175433460</v>
      </c>
      <c r="BV155">
        <v>52280144</v>
      </c>
      <c r="BW155">
        <v>15404723</v>
      </c>
      <c r="BX155">
        <v>157502.1</v>
      </c>
      <c r="BY155">
        <v>0</v>
      </c>
      <c r="BZ155">
        <v>0</v>
      </c>
      <c r="CA155">
        <v>22711428</v>
      </c>
      <c r="CB155">
        <v>0</v>
      </c>
      <c r="CC155">
        <v>0</v>
      </c>
      <c r="CD155">
        <v>2623381.7999999998</v>
      </c>
      <c r="CE155">
        <v>33821456</v>
      </c>
      <c r="CF155">
        <v>0</v>
      </c>
      <c r="CG155">
        <v>847399.6</v>
      </c>
      <c r="CH155">
        <v>0</v>
      </c>
      <c r="CI155">
        <v>13511224</v>
      </c>
      <c r="CJ155">
        <v>34437710</v>
      </c>
      <c r="CK155">
        <v>0</v>
      </c>
      <c r="CL155">
        <v>2261873.7999999998</v>
      </c>
      <c r="CM155">
        <v>0</v>
      </c>
      <c r="CN155">
        <v>49656760</v>
      </c>
      <c r="CO155">
        <v>0</v>
      </c>
      <c r="CP155">
        <v>0</v>
      </c>
      <c r="CQ155">
        <v>9669.9</v>
      </c>
      <c r="CR155">
        <v>38</v>
      </c>
      <c r="CS155">
        <v>0</v>
      </c>
      <c r="CT155">
        <v>8421.7999999999993</v>
      </c>
      <c r="CU155">
        <v>0</v>
      </c>
      <c r="CV155">
        <v>0</v>
      </c>
      <c r="CW155">
        <v>1781.1</v>
      </c>
      <c r="CX155">
        <v>9302.5</v>
      </c>
      <c r="CY155">
        <v>0</v>
      </c>
      <c r="CZ155">
        <v>11700.7</v>
      </c>
      <c r="DA155">
        <v>0</v>
      </c>
      <c r="DB155">
        <v>3823.1</v>
      </c>
      <c r="DC155">
        <v>4522.7</v>
      </c>
      <c r="DD155">
        <v>43.2</v>
      </c>
      <c r="DE155">
        <v>1616.3</v>
      </c>
      <c r="DF155">
        <v>0</v>
      </c>
      <c r="DG155">
        <v>21535.599999999999</v>
      </c>
      <c r="DH155">
        <v>0</v>
      </c>
      <c r="DI155">
        <v>0</v>
      </c>
      <c r="DJ155">
        <v>45120.800000000003</v>
      </c>
      <c r="DK155">
        <v>16163</v>
      </c>
      <c r="DL155">
        <v>0</v>
      </c>
      <c r="DM155">
        <v>0</v>
      </c>
    </row>
    <row r="156" spans="1:117" x14ac:dyDescent="0.3">
      <c r="A156" t="s">
        <v>172</v>
      </c>
      <c r="B156">
        <v>2040</v>
      </c>
      <c r="C156">
        <v>265633330</v>
      </c>
      <c r="D156">
        <v>29257770</v>
      </c>
      <c r="E156">
        <v>3373322.5</v>
      </c>
      <c r="F156">
        <v>3130116.6</v>
      </c>
      <c r="G156">
        <v>301394550</v>
      </c>
      <c r="H156">
        <v>256081778.09999999</v>
      </c>
      <c r="I156">
        <v>214714908.90000001</v>
      </c>
      <c r="J156">
        <v>220276660</v>
      </c>
      <c r="K156">
        <v>130797520</v>
      </c>
      <c r="L156">
        <v>3.5900000000000001E-2</v>
      </c>
      <c r="M156">
        <v>5.3999999999999999E-2</v>
      </c>
      <c r="N156">
        <v>0.15040000000000001</v>
      </c>
      <c r="O156">
        <v>84963.71</v>
      </c>
      <c r="P156">
        <v>59630.5</v>
      </c>
      <c r="Q156">
        <v>0.77</v>
      </c>
      <c r="R156">
        <v>0.8</v>
      </c>
      <c r="S156">
        <v>142</v>
      </c>
      <c r="T156">
        <v>11</v>
      </c>
      <c r="U156">
        <v>1.54</v>
      </c>
      <c r="V156">
        <v>10.7</v>
      </c>
      <c r="W156">
        <v>484.4</v>
      </c>
      <c r="X156">
        <v>0.1</v>
      </c>
      <c r="Y156">
        <v>142.80000000000001</v>
      </c>
      <c r="Z156">
        <v>25.2</v>
      </c>
      <c r="AA156">
        <v>168</v>
      </c>
      <c r="AB156">
        <v>127.6</v>
      </c>
      <c r="AC156">
        <v>9.9</v>
      </c>
      <c r="AD156">
        <v>1.4</v>
      </c>
      <c r="AE156">
        <v>9.6</v>
      </c>
      <c r="AF156">
        <v>433.5</v>
      </c>
      <c r="AG156">
        <v>0.09</v>
      </c>
      <c r="AH156">
        <v>128.30000000000001</v>
      </c>
      <c r="AI156">
        <v>22.6</v>
      </c>
      <c r="AJ156">
        <v>150.80000000000001</v>
      </c>
      <c r="AK156">
        <v>403.4</v>
      </c>
      <c r="AL156">
        <v>27.2</v>
      </c>
      <c r="AM156">
        <v>3.79</v>
      </c>
      <c r="AN156">
        <v>30</v>
      </c>
      <c r="AO156">
        <v>1488.2</v>
      </c>
      <c r="AP156">
        <v>0.19</v>
      </c>
      <c r="AQ156">
        <v>405.3</v>
      </c>
      <c r="AR156">
        <v>74.400000000000006</v>
      </c>
      <c r="AS156">
        <v>479.7</v>
      </c>
      <c r="AT156">
        <v>491.1</v>
      </c>
      <c r="AU156">
        <v>32.700000000000003</v>
      </c>
      <c r="AV156">
        <v>4.58</v>
      </c>
      <c r="AW156">
        <v>37.700000000000003</v>
      </c>
      <c r="AX156">
        <v>1797.1</v>
      </c>
      <c r="AY156">
        <v>0.26</v>
      </c>
      <c r="AZ156">
        <v>493.3</v>
      </c>
      <c r="BA156">
        <v>91.4</v>
      </c>
      <c r="BB156">
        <v>584.70000000000005</v>
      </c>
      <c r="BC156">
        <v>29628779.5</v>
      </c>
      <c r="BD156">
        <v>2278.6</v>
      </c>
      <c r="BE156">
        <v>321.3</v>
      </c>
      <c r="BF156">
        <v>2241132.9</v>
      </c>
      <c r="BG156">
        <v>101224.2</v>
      </c>
      <c r="BH156">
        <v>20.8</v>
      </c>
      <c r="BI156">
        <v>29784409</v>
      </c>
      <c r="BJ156">
        <v>5263297.5</v>
      </c>
      <c r="BK156">
        <v>35047706.5</v>
      </c>
      <c r="BL156">
        <v>0</v>
      </c>
      <c r="BM156">
        <v>19.28</v>
      </c>
      <c r="BN156">
        <v>14.5</v>
      </c>
      <c r="BO156">
        <v>0</v>
      </c>
      <c r="BP156">
        <v>33.78</v>
      </c>
      <c r="BQ156">
        <v>21.71</v>
      </c>
      <c r="BR156">
        <v>17.55</v>
      </c>
      <c r="BS156">
        <v>0</v>
      </c>
      <c r="BT156">
        <v>39.26</v>
      </c>
      <c r="BU156">
        <v>211256210</v>
      </c>
      <c r="BV156">
        <v>86679640</v>
      </c>
      <c r="BW156">
        <v>25069736</v>
      </c>
      <c r="BX156">
        <v>145901.20000000001</v>
      </c>
      <c r="BY156">
        <v>0</v>
      </c>
      <c r="BZ156">
        <v>0</v>
      </c>
      <c r="CA156">
        <v>17182324</v>
      </c>
      <c r="CB156">
        <v>0</v>
      </c>
      <c r="CC156">
        <v>0</v>
      </c>
      <c r="CD156">
        <v>3998646.8</v>
      </c>
      <c r="CE156">
        <v>31223888</v>
      </c>
      <c r="CF156">
        <v>0</v>
      </c>
      <c r="CG156">
        <v>997029.4</v>
      </c>
      <c r="CH156">
        <v>0</v>
      </c>
      <c r="CI156">
        <v>13257968</v>
      </c>
      <c r="CJ156">
        <v>33959160</v>
      </c>
      <c r="CK156">
        <v>9.8000000000000007</v>
      </c>
      <c r="CL156">
        <v>2740553.2</v>
      </c>
      <c r="CM156">
        <v>0</v>
      </c>
      <c r="CN156">
        <v>82680990</v>
      </c>
      <c r="CO156">
        <v>0</v>
      </c>
      <c r="CP156">
        <v>0</v>
      </c>
      <c r="CQ156">
        <v>14850</v>
      </c>
      <c r="CR156">
        <v>38</v>
      </c>
      <c r="CS156">
        <v>0</v>
      </c>
      <c r="CT156">
        <v>8305.7999999999993</v>
      </c>
      <c r="CU156">
        <v>0</v>
      </c>
      <c r="CV156">
        <v>0</v>
      </c>
      <c r="CW156">
        <v>2752.4</v>
      </c>
      <c r="CX156">
        <v>9302.5</v>
      </c>
      <c r="CY156">
        <v>0</v>
      </c>
      <c r="CZ156">
        <v>13251.6</v>
      </c>
      <c r="DA156">
        <v>0</v>
      </c>
      <c r="DB156">
        <v>3826.7</v>
      </c>
      <c r="DC156">
        <v>4522.7</v>
      </c>
      <c r="DD156">
        <v>43.2</v>
      </c>
      <c r="DE156">
        <v>1616.3</v>
      </c>
      <c r="DF156">
        <v>0</v>
      </c>
      <c r="DG156">
        <v>35646.6</v>
      </c>
      <c r="DH156">
        <v>0</v>
      </c>
      <c r="DI156">
        <v>0</v>
      </c>
      <c r="DJ156">
        <v>74497.7</v>
      </c>
      <c r="DK156">
        <v>16163</v>
      </c>
      <c r="DL156">
        <v>0</v>
      </c>
      <c r="DM156">
        <v>0</v>
      </c>
    </row>
    <row r="157" spans="1:117" x14ac:dyDescent="0.3">
      <c r="A157" t="s">
        <v>172</v>
      </c>
      <c r="B157">
        <v>2045</v>
      </c>
      <c r="C157">
        <v>281462180</v>
      </c>
      <c r="D157">
        <v>35470390</v>
      </c>
      <c r="E157">
        <v>4033779.5</v>
      </c>
      <c r="F157">
        <v>3071949.7</v>
      </c>
      <c r="G157">
        <v>324038284.69999999</v>
      </c>
      <c r="H157">
        <v>271341519.19999999</v>
      </c>
      <c r="I157">
        <v>176950934.80000001</v>
      </c>
      <c r="J157">
        <v>197932050</v>
      </c>
      <c r="K157">
        <v>152660560</v>
      </c>
      <c r="L157">
        <v>3.5900000000000001E-2</v>
      </c>
      <c r="M157">
        <v>5.3999999999999999E-2</v>
      </c>
      <c r="N157">
        <v>0.15040000000000001</v>
      </c>
      <c r="O157">
        <v>83766.86</v>
      </c>
      <c r="P157">
        <v>63895.1</v>
      </c>
      <c r="Q157">
        <v>0.82</v>
      </c>
      <c r="R157">
        <v>0.81</v>
      </c>
      <c r="S157">
        <v>112.3</v>
      </c>
      <c r="T157">
        <v>8.6999999999999993</v>
      </c>
      <c r="U157">
        <v>1.22</v>
      </c>
      <c r="V157">
        <v>8.4</v>
      </c>
      <c r="W157">
        <v>382.7</v>
      </c>
      <c r="X157">
        <v>0.08</v>
      </c>
      <c r="Y157">
        <v>112.9</v>
      </c>
      <c r="Z157">
        <v>19.8</v>
      </c>
      <c r="AA157">
        <v>132.69999999999999</v>
      </c>
      <c r="AB157">
        <v>117.7</v>
      </c>
      <c r="AC157">
        <v>9</v>
      </c>
      <c r="AD157">
        <v>1.27</v>
      </c>
      <c r="AE157">
        <v>8.8000000000000007</v>
      </c>
      <c r="AF157">
        <v>403.9</v>
      </c>
      <c r="AG157">
        <v>0.08</v>
      </c>
      <c r="AH157">
        <v>118.3</v>
      </c>
      <c r="AI157">
        <v>20.9</v>
      </c>
      <c r="AJ157">
        <v>139.19999999999999</v>
      </c>
      <c r="AK157">
        <v>373.7</v>
      </c>
      <c r="AL157">
        <v>23.8</v>
      </c>
      <c r="AM157">
        <v>3.29</v>
      </c>
      <c r="AN157">
        <v>29.5</v>
      </c>
      <c r="AO157">
        <v>1424.6</v>
      </c>
      <c r="AP157">
        <v>0.19</v>
      </c>
      <c r="AQ157">
        <v>375.4</v>
      </c>
      <c r="AR157">
        <v>72</v>
      </c>
      <c r="AS157">
        <v>447.4</v>
      </c>
      <c r="AT157">
        <v>446.6</v>
      </c>
      <c r="AU157">
        <v>28.7</v>
      </c>
      <c r="AV157">
        <v>4</v>
      </c>
      <c r="AW157">
        <v>35.5</v>
      </c>
      <c r="AX157">
        <v>1672.8</v>
      </c>
      <c r="AY157">
        <v>0.23</v>
      </c>
      <c r="AZ157">
        <v>448.5</v>
      </c>
      <c r="BA157">
        <v>85.4</v>
      </c>
      <c r="BB157">
        <v>533.9</v>
      </c>
      <c r="BC157">
        <v>30831879.199999999</v>
      </c>
      <c r="BD157">
        <v>2371.4</v>
      </c>
      <c r="BE157">
        <v>334.4</v>
      </c>
      <c r="BF157">
        <v>2314286.4</v>
      </c>
      <c r="BG157">
        <v>105281.4</v>
      </c>
      <c r="BH157">
        <v>21.3</v>
      </c>
      <c r="BI157">
        <v>30993850.100000001</v>
      </c>
      <c r="BJ157">
        <v>5457476.5999999996</v>
      </c>
      <c r="BK157">
        <v>36451326.600000001</v>
      </c>
      <c r="BL157">
        <v>0</v>
      </c>
      <c r="BM157">
        <v>17.23</v>
      </c>
      <c r="BN157">
        <v>14.2</v>
      </c>
      <c r="BO157">
        <v>0</v>
      </c>
      <c r="BP157">
        <v>31.43</v>
      </c>
      <c r="BQ157">
        <v>19.89</v>
      </c>
      <c r="BR157">
        <v>17.440000000000001</v>
      </c>
      <c r="BS157">
        <v>0</v>
      </c>
      <c r="BT157">
        <v>37.33</v>
      </c>
      <c r="BU157">
        <v>278131000</v>
      </c>
      <c r="BV157">
        <v>147087340</v>
      </c>
      <c r="BW157">
        <v>30214996</v>
      </c>
      <c r="BX157">
        <v>138331</v>
      </c>
      <c r="BY157">
        <v>0</v>
      </c>
      <c r="BZ157">
        <v>0</v>
      </c>
      <c r="CA157">
        <v>17853986</v>
      </c>
      <c r="CB157">
        <v>0</v>
      </c>
      <c r="CC157">
        <v>0</v>
      </c>
      <c r="CD157">
        <v>5303546</v>
      </c>
      <c r="CE157">
        <v>32546432</v>
      </c>
      <c r="CF157">
        <v>0</v>
      </c>
      <c r="CG157">
        <v>1045271.8</v>
      </c>
      <c r="CH157">
        <v>0</v>
      </c>
      <c r="CI157">
        <v>12900038</v>
      </c>
      <c r="CJ157">
        <v>33089244</v>
      </c>
      <c r="CK157">
        <v>0</v>
      </c>
      <c r="CL157">
        <v>3255374</v>
      </c>
      <c r="CM157">
        <v>0</v>
      </c>
      <c r="CN157">
        <v>141772480</v>
      </c>
      <c r="CO157">
        <v>11326.4</v>
      </c>
      <c r="CP157">
        <v>0</v>
      </c>
      <c r="CQ157">
        <v>17765.099999999999</v>
      </c>
      <c r="CR157">
        <v>38</v>
      </c>
      <c r="CS157">
        <v>0</v>
      </c>
      <c r="CT157">
        <v>8080.8</v>
      </c>
      <c r="CU157">
        <v>0</v>
      </c>
      <c r="CV157">
        <v>0</v>
      </c>
      <c r="CW157">
        <v>3988.4</v>
      </c>
      <c r="CX157">
        <v>9302.5</v>
      </c>
      <c r="CY157">
        <v>0</v>
      </c>
      <c r="CZ157">
        <v>15786.6</v>
      </c>
      <c r="DA157">
        <v>0</v>
      </c>
      <c r="DB157">
        <v>3830.4</v>
      </c>
      <c r="DC157">
        <v>4522.7</v>
      </c>
      <c r="DD157">
        <v>43.2</v>
      </c>
      <c r="DE157">
        <v>1616.3</v>
      </c>
      <c r="DF157">
        <v>0</v>
      </c>
      <c r="DG157">
        <v>62305.8</v>
      </c>
      <c r="DH157">
        <v>0</v>
      </c>
      <c r="DI157">
        <v>3.2</v>
      </c>
      <c r="DJ157">
        <v>87252</v>
      </c>
      <c r="DK157">
        <v>16163</v>
      </c>
      <c r="DL157">
        <v>0</v>
      </c>
      <c r="DM157">
        <v>0</v>
      </c>
    </row>
    <row r="158" spans="1:117" x14ac:dyDescent="0.3">
      <c r="A158" t="s">
        <v>172</v>
      </c>
      <c r="B158">
        <v>2050</v>
      </c>
      <c r="C158">
        <v>296483200</v>
      </c>
      <c r="D158">
        <v>29919370</v>
      </c>
      <c r="E158">
        <v>4267255</v>
      </c>
      <c r="F158">
        <v>3320563.1</v>
      </c>
      <c r="G158">
        <v>333990380.30000001</v>
      </c>
      <c r="H158">
        <v>285822355.5</v>
      </c>
      <c r="I158">
        <v>189011622.90000001</v>
      </c>
      <c r="J158">
        <v>218135460</v>
      </c>
      <c r="K158">
        <v>156007310</v>
      </c>
      <c r="L158">
        <v>3.5900000000000001E-2</v>
      </c>
      <c r="M158">
        <v>5.3999999999999999E-2</v>
      </c>
      <c r="N158">
        <v>0.15049999999999999</v>
      </c>
      <c r="O158">
        <v>82006.19</v>
      </c>
      <c r="P158">
        <v>67543.7</v>
      </c>
      <c r="Q158">
        <v>0.81</v>
      </c>
      <c r="R158">
        <v>0.82</v>
      </c>
      <c r="S158">
        <v>109.2</v>
      </c>
      <c r="T158">
        <v>7.8</v>
      </c>
      <c r="U158">
        <v>1.0900000000000001</v>
      </c>
      <c r="V158">
        <v>8.8000000000000007</v>
      </c>
      <c r="W158">
        <v>391.5</v>
      </c>
      <c r="X158">
        <v>0.08</v>
      </c>
      <c r="Y158">
        <v>109.7</v>
      </c>
      <c r="Z158">
        <v>20.5</v>
      </c>
      <c r="AA158">
        <v>130.19999999999999</v>
      </c>
      <c r="AB158">
        <v>110.4</v>
      </c>
      <c r="AC158">
        <v>7.9</v>
      </c>
      <c r="AD158">
        <v>1.1100000000000001</v>
      </c>
      <c r="AE158">
        <v>8.6</v>
      </c>
      <c r="AF158">
        <v>394.5</v>
      </c>
      <c r="AG158">
        <v>7.0000000000000007E-2</v>
      </c>
      <c r="AH158">
        <v>110.9</v>
      </c>
      <c r="AI158">
        <v>20.399999999999999</v>
      </c>
      <c r="AJ158">
        <v>131.30000000000001</v>
      </c>
      <c r="AK158">
        <v>340.3</v>
      </c>
      <c r="AL158">
        <v>19.5</v>
      </c>
      <c r="AM158">
        <v>2.66</v>
      </c>
      <c r="AN158">
        <v>29.1</v>
      </c>
      <c r="AO158">
        <v>1367.2</v>
      </c>
      <c r="AP158">
        <v>0.17</v>
      </c>
      <c r="AQ158">
        <v>341.6</v>
      </c>
      <c r="AR158">
        <v>69.900000000000006</v>
      </c>
      <c r="AS158">
        <v>411.6</v>
      </c>
      <c r="AT158">
        <v>438</v>
      </c>
      <c r="AU158">
        <v>25</v>
      </c>
      <c r="AV158">
        <v>3.43</v>
      </c>
      <c r="AW158">
        <v>37.299999999999997</v>
      </c>
      <c r="AX158">
        <v>1744</v>
      </c>
      <c r="AY158">
        <v>0.22</v>
      </c>
      <c r="AZ158">
        <v>439.7</v>
      </c>
      <c r="BA158">
        <v>89.3</v>
      </c>
      <c r="BB158">
        <v>529</v>
      </c>
      <c r="BC158">
        <v>29248156.399999999</v>
      </c>
      <c r="BD158">
        <v>2086.4</v>
      </c>
      <c r="BE158">
        <v>292.10000000000002</v>
      </c>
      <c r="BF158">
        <v>2355181.2999999998</v>
      </c>
      <c r="BG158">
        <v>105068.3</v>
      </c>
      <c r="BH158">
        <v>20.3</v>
      </c>
      <c r="BI158">
        <v>29390070.199999999</v>
      </c>
      <c r="BJ158">
        <v>5491770.9000000004</v>
      </c>
      <c r="BK158">
        <v>34881841</v>
      </c>
      <c r="BL158">
        <v>0</v>
      </c>
      <c r="BM158">
        <v>17.760000000000002</v>
      </c>
      <c r="BN158">
        <v>14.32</v>
      </c>
      <c r="BO158">
        <v>0</v>
      </c>
      <c r="BP158">
        <v>32.08</v>
      </c>
      <c r="BQ158">
        <v>20.28</v>
      </c>
      <c r="BR158">
        <v>17.2</v>
      </c>
      <c r="BS158">
        <v>0</v>
      </c>
      <c r="BT158">
        <v>37.479999999999997</v>
      </c>
      <c r="BU158">
        <v>271077500</v>
      </c>
      <c r="BV158">
        <v>144978750</v>
      </c>
      <c r="BW158">
        <v>25470366</v>
      </c>
      <c r="BX158">
        <v>122718.3</v>
      </c>
      <c r="BY158">
        <v>0</v>
      </c>
      <c r="BZ158">
        <v>0</v>
      </c>
      <c r="CA158">
        <v>15187086</v>
      </c>
      <c r="CB158">
        <v>0</v>
      </c>
      <c r="CC158">
        <v>0</v>
      </c>
      <c r="CD158">
        <v>7139521</v>
      </c>
      <c r="CE158">
        <v>34939530</v>
      </c>
      <c r="CF158">
        <v>0</v>
      </c>
      <c r="CG158">
        <v>1246573</v>
      </c>
      <c r="CH158">
        <v>0</v>
      </c>
      <c r="CI158">
        <v>12804527</v>
      </c>
      <c r="CJ158">
        <v>32878186</v>
      </c>
      <c r="CK158">
        <v>0</v>
      </c>
      <c r="CL158">
        <v>3449757.5</v>
      </c>
      <c r="CM158">
        <v>0</v>
      </c>
      <c r="CN158">
        <v>137738660</v>
      </c>
      <c r="CO158">
        <v>100575.5</v>
      </c>
      <c r="CP158">
        <v>0</v>
      </c>
      <c r="CQ158">
        <v>15280.9</v>
      </c>
      <c r="CR158">
        <v>36.200000000000003</v>
      </c>
      <c r="CS158">
        <v>0</v>
      </c>
      <c r="CT158">
        <v>6597.8</v>
      </c>
      <c r="CU158">
        <v>0</v>
      </c>
      <c r="CV158">
        <v>0</v>
      </c>
      <c r="CW158">
        <v>5510.1</v>
      </c>
      <c r="CX158">
        <v>9302.5</v>
      </c>
      <c r="CY158">
        <v>0</v>
      </c>
      <c r="CZ158">
        <v>20579.3</v>
      </c>
      <c r="DA158">
        <v>0</v>
      </c>
      <c r="DB158">
        <v>3830.4</v>
      </c>
      <c r="DC158">
        <v>4522.7</v>
      </c>
      <c r="DD158">
        <v>23.4</v>
      </c>
      <c r="DE158">
        <v>1616.3</v>
      </c>
      <c r="DF158">
        <v>0</v>
      </c>
      <c r="DG158">
        <v>62857.1</v>
      </c>
      <c r="DH158">
        <v>0</v>
      </c>
      <c r="DI158">
        <v>31.6</v>
      </c>
      <c r="DJ158">
        <v>71785.899999999994</v>
      </c>
      <c r="DK158">
        <v>16163</v>
      </c>
      <c r="DL158">
        <v>0</v>
      </c>
      <c r="DM158">
        <v>0</v>
      </c>
    </row>
    <row r="159" spans="1:117" x14ac:dyDescent="0.3">
      <c r="A159" t="s">
        <v>173</v>
      </c>
      <c r="B159">
        <v>2024</v>
      </c>
      <c r="C159">
        <v>337011260</v>
      </c>
      <c r="D159">
        <v>186189.8</v>
      </c>
      <c r="E159">
        <v>6553271.5</v>
      </c>
      <c r="F159">
        <v>1484636.3</v>
      </c>
      <c r="G159">
        <v>345235364.89999998</v>
      </c>
      <c r="H159">
        <v>324894301.30000001</v>
      </c>
      <c r="I159">
        <v>306284360</v>
      </c>
      <c r="J159">
        <v>86875180</v>
      </c>
      <c r="K159">
        <v>64949684</v>
      </c>
      <c r="L159">
        <v>3.5900000000000001E-2</v>
      </c>
      <c r="M159">
        <v>5.3999999999999999E-2</v>
      </c>
      <c r="N159">
        <v>0.14879999999999999</v>
      </c>
      <c r="O159">
        <v>10546.03</v>
      </c>
      <c r="P159">
        <v>76681.899999999994</v>
      </c>
      <c r="Q159">
        <v>0.56000000000000005</v>
      </c>
      <c r="R159">
        <v>0.54</v>
      </c>
      <c r="S159">
        <v>245.4</v>
      </c>
      <c r="T159">
        <v>16.899999999999999</v>
      </c>
      <c r="U159">
        <v>2.36</v>
      </c>
      <c r="V159">
        <v>21.7</v>
      </c>
      <c r="W159">
        <v>902.9</v>
      </c>
      <c r="X159">
        <v>0.19</v>
      </c>
      <c r="Y159">
        <v>246.5</v>
      </c>
      <c r="Z159">
        <v>48.7</v>
      </c>
      <c r="AA159">
        <v>295.2</v>
      </c>
      <c r="AB159">
        <v>270.7</v>
      </c>
      <c r="AC159">
        <v>19.100000000000001</v>
      </c>
      <c r="AD159">
        <v>2.67</v>
      </c>
      <c r="AE159">
        <v>23.3</v>
      </c>
      <c r="AF159">
        <v>982</v>
      </c>
      <c r="AG159">
        <v>0.21</v>
      </c>
      <c r="AH159">
        <v>272</v>
      </c>
      <c r="AI159">
        <v>52.6</v>
      </c>
      <c r="AJ159">
        <v>324.60000000000002</v>
      </c>
      <c r="AK159">
        <v>323.10000000000002</v>
      </c>
      <c r="AL159">
        <v>25</v>
      </c>
      <c r="AM159">
        <v>3.53</v>
      </c>
      <c r="AN159">
        <v>21.2</v>
      </c>
      <c r="AO159">
        <v>1081.8</v>
      </c>
      <c r="AP159">
        <v>0.16</v>
      </c>
      <c r="AQ159">
        <v>324.8</v>
      </c>
      <c r="AR159">
        <v>53.5</v>
      </c>
      <c r="AS159">
        <v>378.3</v>
      </c>
      <c r="AT159">
        <v>741.5</v>
      </c>
      <c r="AU159">
        <v>55.4</v>
      </c>
      <c r="AV159">
        <v>7.95</v>
      </c>
      <c r="AW159">
        <v>51.8</v>
      </c>
      <c r="AX159">
        <v>2429.6999999999998</v>
      </c>
      <c r="AY159">
        <v>0.44</v>
      </c>
      <c r="AZ159">
        <v>745.3</v>
      </c>
      <c r="BA159">
        <v>124.3</v>
      </c>
      <c r="BB159">
        <v>869.6</v>
      </c>
      <c r="BC159">
        <v>78757662.099999994</v>
      </c>
      <c r="BD159">
        <v>5427</v>
      </c>
      <c r="BE159">
        <v>757</v>
      </c>
      <c r="BF159">
        <v>6971254.2000000002</v>
      </c>
      <c r="BG159">
        <v>289873.8</v>
      </c>
      <c r="BH159">
        <v>62.2</v>
      </c>
      <c r="BI159">
        <v>79126058.799999997</v>
      </c>
      <c r="BJ159">
        <v>15626480.1</v>
      </c>
      <c r="BK159">
        <v>94752538.900000006</v>
      </c>
      <c r="BL159">
        <v>0</v>
      </c>
      <c r="BM159">
        <v>32.799999999999997</v>
      </c>
      <c r="BN159">
        <v>2.17</v>
      </c>
      <c r="BO159">
        <v>0</v>
      </c>
      <c r="BP159">
        <v>34.979999999999997</v>
      </c>
      <c r="BQ159">
        <v>34.85</v>
      </c>
      <c r="BR159">
        <v>2.39</v>
      </c>
      <c r="BS159">
        <v>0</v>
      </c>
      <c r="BT159">
        <v>37.24</v>
      </c>
      <c r="BU159">
        <v>323192220</v>
      </c>
      <c r="BV159">
        <v>38951004</v>
      </c>
      <c r="BW159">
        <v>157995.4</v>
      </c>
      <c r="BX159">
        <v>4244172.5</v>
      </c>
      <c r="BY159">
        <v>0</v>
      </c>
      <c r="BZ159">
        <v>0</v>
      </c>
      <c r="CA159">
        <v>41698376</v>
      </c>
      <c r="CB159">
        <v>0</v>
      </c>
      <c r="CC159">
        <v>0</v>
      </c>
      <c r="CD159">
        <v>3201306.5</v>
      </c>
      <c r="CE159">
        <v>100676650</v>
      </c>
      <c r="CF159">
        <v>0</v>
      </c>
      <c r="CG159">
        <v>638155.19999999995</v>
      </c>
      <c r="CH159">
        <v>0</v>
      </c>
      <c r="CI159">
        <v>9000352</v>
      </c>
      <c r="CJ159">
        <v>122476860</v>
      </c>
      <c r="CK159">
        <v>11550.6</v>
      </c>
      <c r="CL159">
        <v>5337103</v>
      </c>
      <c r="CM159">
        <v>0</v>
      </c>
      <c r="CN159">
        <v>33224682</v>
      </c>
      <c r="CO159">
        <v>703199.8</v>
      </c>
      <c r="CP159">
        <v>1821817.6</v>
      </c>
      <c r="CQ159">
        <v>204.7</v>
      </c>
      <c r="CR159">
        <v>730.8</v>
      </c>
      <c r="CS159">
        <v>0</v>
      </c>
      <c r="CT159">
        <v>15160</v>
      </c>
      <c r="CU159">
        <v>0</v>
      </c>
      <c r="CV159">
        <v>0</v>
      </c>
      <c r="CW159">
        <v>2180.8000000000002</v>
      </c>
      <c r="CX159">
        <v>17877.099999999999</v>
      </c>
      <c r="CY159">
        <v>0</v>
      </c>
      <c r="CZ159">
        <v>12873.8</v>
      </c>
      <c r="DA159">
        <v>0</v>
      </c>
      <c r="DB159">
        <v>4153.5</v>
      </c>
      <c r="DC159">
        <v>15334.8</v>
      </c>
      <c r="DD159">
        <v>1404.5</v>
      </c>
      <c r="DE159">
        <v>6123</v>
      </c>
      <c r="DF159">
        <v>0</v>
      </c>
      <c r="DG159">
        <v>16075</v>
      </c>
      <c r="DH159">
        <v>516.9</v>
      </c>
      <c r="DI159">
        <v>240.9</v>
      </c>
      <c r="DJ159">
        <v>409.5</v>
      </c>
      <c r="DK159">
        <v>61230</v>
      </c>
      <c r="DL159">
        <v>0</v>
      </c>
      <c r="DM159">
        <v>0</v>
      </c>
    </row>
    <row r="160" spans="1:117" x14ac:dyDescent="0.3">
      <c r="A160" t="s">
        <v>173</v>
      </c>
      <c r="B160">
        <v>2026</v>
      </c>
      <c r="C160">
        <v>344111600</v>
      </c>
      <c r="D160">
        <v>395637.7</v>
      </c>
      <c r="E160">
        <v>8057297.5</v>
      </c>
      <c r="F160">
        <v>1480355.9</v>
      </c>
      <c r="G160">
        <v>354044896</v>
      </c>
      <c r="H160">
        <v>331739389.10000002</v>
      </c>
      <c r="I160">
        <v>291026788.10000002</v>
      </c>
      <c r="J160">
        <v>86027170</v>
      </c>
      <c r="K160">
        <v>70957464</v>
      </c>
      <c r="L160">
        <v>3.5900000000000001E-2</v>
      </c>
      <c r="M160">
        <v>5.3999999999999999E-2</v>
      </c>
      <c r="N160">
        <v>0.14879999999999999</v>
      </c>
      <c r="O160">
        <v>43117.61</v>
      </c>
      <c r="P160">
        <v>78489.8</v>
      </c>
      <c r="Q160">
        <v>0.61</v>
      </c>
      <c r="R160">
        <v>0.59</v>
      </c>
      <c r="S160">
        <v>215.4</v>
      </c>
      <c r="T160">
        <v>14.6</v>
      </c>
      <c r="U160">
        <v>2.0299999999999998</v>
      </c>
      <c r="V160">
        <v>19.600000000000001</v>
      </c>
      <c r="W160">
        <v>802.7</v>
      </c>
      <c r="X160">
        <v>0.18</v>
      </c>
      <c r="Y160">
        <v>216.4</v>
      </c>
      <c r="Z160">
        <v>43.6</v>
      </c>
      <c r="AA160">
        <v>260</v>
      </c>
      <c r="AB160">
        <v>236.5</v>
      </c>
      <c r="AC160">
        <v>16.2</v>
      </c>
      <c r="AD160">
        <v>2.25</v>
      </c>
      <c r="AE160">
        <v>21.1</v>
      </c>
      <c r="AF160">
        <v>874.4</v>
      </c>
      <c r="AG160">
        <v>0.19</v>
      </c>
      <c r="AH160">
        <v>237.6</v>
      </c>
      <c r="AI160">
        <v>47.2</v>
      </c>
      <c r="AJ160">
        <v>284.8</v>
      </c>
      <c r="AK160">
        <v>232.5</v>
      </c>
      <c r="AL160">
        <v>13.9</v>
      </c>
      <c r="AM160">
        <v>1.91</v>
      </c>
      <c r="AN160">
        <v>18.899999999999999</v>
      </c>
      <c r="AO160">
        <v>908.8</v>
      </c>
      <c r="AP160">
        <v>0.11</v>
      </c>
      <c r="AQ160">
        <v>233.4</v>
      </c>
      <c r="AR160">
        <v>46.1</v>
      </c>
      <c r="AS160">
        <v>279.5</v>
      </c>
      <c r="AT160">
        <v>703.9</v>
      </c>
      <c r="AU160">
        <v>52.3</v>
      </c>
      <c r="AV160">
        <v>7.45</v>
      </c>
      <c r="AW160">
        <v>49</v>
      </c>
      <c r="AX160">
        <v>2357.6999999999998</v>
      </c>
      <c r="AY160">
        <v>0.4</v>
      </c>
      <c r="AZ160">
        <v>707.4</v>
      </c>
      <c r="BA160">
        <v>119.4</v>
      </c>
      <c r="BB160">
        <v>826.8</v>
      </c>
      <c r="BC160">
        <v>72466271.099999994</v>
      </c>
      <c r="BD160">
        <v>4894.1000000000004</v>
      </c>
      <c r="BE160">
        <v>681.2</v>
      </c>
      <c r="BF160">
        <v>6600512.5999999996</v>
      </c>
      <c r="BG160">
        <v>270089.09999999998</v>
      </c>
      <c r="BH160">
        <v>59.2</v>
      </c>
      <c r="BI160">
        <v>72798088.5</v>
      </c>
      <c r="BJ160">
        <v>14665324</v>
      </c>
      <c r="BK160">
        <v>87463412.5</v>
      </c>
      <c r="BL160">
        <v>0</v>
      </c>
      <c r="BM160">
        <v>30.62</v>
      </c>
      <c r="BN160">
        <v>8.52</v>
      </c>
      <c r="BO160">
        <v>0</v>
      </c>
      <c r="BP160">
        <v>39.14</v>
      </c>
      <c r="BQ160">
        <v>32.6</v>
      </c>
      <c r="BR160">
        <v>9.4</v>
      </c>
      <c r="BS160">
        <v>0</v>
      </c>
      <c r="BT160">
        <v>42</v>
      </c>
      <c r="BU160">
        <v>338894340</v>
      </c>
      <c r="BV160">
        <v>63018104</v>
      </c>
      <c r="BW160">
        <v>335578.3</v>
      </c>
      <c r="BX160">
        <v>4178129.5</v>
      </c>
      <c r="BY160">
        <v>0</v>
      </c>
      <c r="BZ160">
        <v>0</v>
      </c>
      <c r="CA160">
        <v>37369080</v>
      </c>
      <c r="CB160">
        <v>0</v>
      </c>
      <c r="CC160">
        <v>0</v>
      </c>
      <c r="CD160">
        <v>4677357.5</v>
      </c>
      <c r="CE160">
        <v>95585410</v>
      </c>
      <c r="CF160">
        <v>0</v>
      </c>
      <c r="CG160">
        <v>575029</v>
      </c>
      <c r="CH160">
        <v>0</v>
      </c>
      <c r="CI160">
        <v>9009810</v>
      </c>
      <c r="CJ160">
        <v>122298500</v>
      </c>
      <c r="CK160">
        <v>10558.2</v>
      </c>
      <c r="CL160">
        <v>6514148.5</v>
      </c>
      <c r="CM160">
        <v>0</v>
      </c>
      <c r="CN160">
        <v>52943508</v>
      </c>
      <c r="CO160">
        <v>699407.8</v>
      </c>
      <c r="CP160">
        <v>4697835.5</v>
      </c>
      <c r="CQ160">
        <v>351.2</v>
      </c>
      <c r="CR160">
        <v>730.8</v>
      </c>
      <c r="CS160">
        <v>0</v>
      </c>
      <c r="CT160">
        <v>14616</v>
      </c>
      <c r="CU160">
        <v>0</v>
      </c>
      <c r="CV160">
        <v>0</v>
      </c>
      <c r="CW160">
        <v>3205.5</v>
      </c>
      <c r="CX160">
        <v>17877.099999999999</v>
      </c>
      <c r="CY160">
        <v>0</v>
      </c>
      <c r="CZ160">
        <v>12813.8</v>
      </c>
      <c r="DA160">
        <v>0</v>
      </c>
      <c r="DB160">
        <v>4153.5</v>
      </c>
      <c r="DC160">
        <v>15334.8</v>
      </c>
      <c r="DD160">
        <v>1404.5</v>
      </c>
      <c r="DE160">
        <v>6123</v>
      </c>
      <c r="DF160">
        <v>0</v>
      </c>
      <c r="DG160">
        <v>24888</v>
      </c>
      <c r="DH160">
        <v>1316.9</v>
      </c>
      <c r="DI160">
        <v>240.9</v>
      </c>
      <c r="DJ160">
        <v>885.1</v>
      </c>
      <c r="DK160">
        <v>61230</v>
      </c>
      <c r="DL160">
        <v>0</v>
      </c>
      <c r="DM160">
        <v>0</v>
      </c>
    </row>
    <row r="161" spans="1:117" x14ac:dyDescent="0.3">
      <c r="A161" t="s">
        <v>173</v>
      </c>
      <c r="B161">
        <v>2028</v>
      </c>
      <c r="C161">
        <v>352990080</v>
      </c>
      <c r="D161">
        <v>8056323</v>
      </c>
      <c r="E161">
        <v>10788351</v>
      </c>
      <c r="F161">
        <v>2287440.7000000002</v>
      </c>
      <c r="G161">
        <v>374122187.30000001</v>
      </c>
      <c r="H161">
        <v>340298720.39999998</v>
      </c>
      <c r="I161">
        <v>267483102.80000001</v>
      </c>
      <c r="J161">
        <v>124570430</v>
      </c>
      <c r="K161">
        <v>114884140</v>
      </c>
      <c r="L161">
        <v>3.5900000000000001E-2</v>
      </c>
      <c r="M161">
        <v>5.3999999999999999E-2</v>
      </c>
      <c r="N161">
        <v>0.14879999999999999</v>
      </c>
      <c r="O161">
        <v>55878.58</v>
      </c>
      <c r="P161">
        <v>80863.899999999994</v>
      </c>
      <c r="Q161">
        <v>0.7</v>
      </c>
      <c r="R161">
        <v>0.66</v>
      </c>
      <c r="S161">
        <v>149.4</v>
      </c>
      <c r="T161">
        <v>8.5</v>
      </c>
      <c r="U161">
        <v>1.1599999999999999</v>
      </c>
      <c r="V161">
        <v>15.7</v>
      </c>
      <c r="W161">
        <v>609.20000000000005</v>
      </c>
      <c r="X161">
        <v>0.14000000000000001</v>
      </c>
      <c r="Y161">
        <v>150</v>
      </c>
      <c r="Z161">
        <v>33.9</v>
      </c>
      <c r="AA161">
        <v>183.9</v>
      </c>
      <c r="AB161">
        <v>175.2</v>
      </c>
      <c r="AC161">
        <v>10.1</v>
      </c>
      <c r="AD161">
        <v>1.38</v>
      </c>
      <c r="AE161">
        <v>18</v>
      </c>
      <c r="AF161">
        <v>709.2</v>
      </c>
      <c r="AG161">
        <v>0.15</v>
      </c>
      <c r="AH161">
        <v>175.9</v>
      </c>
      <c r="AI161">
        <v>39.200000000000003</v>
      </c>
      <c r="AJ161">
        <v>215.1</v>
      </c>
      <c r="AK161">
        <v>168.2</v>
      </c>
      <c r="AL161">
        <v>4.7</v>
      </c>
      <c r="AM161">
        <v>0.55000000000000004</v>
      </c>
      <c r="AN161">
        <v>18.600000000000001</v>
      </c>
      <c r="AO161">
        <v>830.6</v>
      </c>
      <c r="AP161">
        <v>0.08</v>
      </c>
      <c r="AQ161">
        <v>168.5</v>
      </c>
      <c r="AR161">
        <v>43.3</v>
      </c>
      <c r="AS161">
        <v>211.8</v>
      </c>
      <c r="AT161">
        <v>609.9</v>
      </c>
      <c r="AU161">
        <v>41.6</v>
      </c>
      <c r="AV161">
        <v>5.88</v>
      </c>
      <c r="AW161">
        <v>46.3</v>
      </c>
      <c r="AX161">
        <v>2161.6</v>
      </c>
      <c r="AY161">
        <v>0.35</v>
      </c>
      <c r="AZ161">
        <v>612.70000000000005</v>
      </c>
      <c r="BA161">
        <v>110.8</v>
      </c>
      <c r="BB161">
        <v>723.5</v>
      </c>
      <c r="BC161">
        <v>53989798</v>
      </c>
      <c r="BD161">
        <v>3065</v>
      </c>
      <c r="BE161">
        <v>417.8</v>
      </c>
      <c r="BF161">
        <v>5688904.5999999996</v>
      </c>
      <c r="BG161">
        <v>220246</v>
      </c>
      <c r="BH161">
        <v>49.6</v>
      </c>
      <c r="BI161">
        <v>54195198.399999999</v>
      </c>
      <c r="BJ161">
        <v>12265782.6</v>
      </c>
      <c r="BK161">
        <v>66460981</v>
      </c>
      <c r="BL161">
        <v>0</v>
      </c>
      <c r="BM161">
        <v>26.43</v>
      </c>
      <c r="BN161">
        <v>10.64</v>
      </c>
      <c r="BO161">
        <v>0</v>
      </c>
      <c r="BP161">
        <v>37.07</v>
      </c>
      <c r="BQ161">
        <v>28.52</v>
      </c>
      <c r="BR161">
        <v>12.09</v>
      </c>
      <c r="BS161">
        <v>0</v>
      </c>
      <c r="BT161">
        <v>40.61</v>
      </c>
      <c r="BU161">
        <v>364360860</v>
      </c>
      <c r="BV161">
        <v>106639090</v>
      </c>
      <c r="BW161">
        <v>6826785.5</v>
      </c>
      <c r="BX161">
        <v>2672000.2000000002</v>
      </c>
      <c r="BY161">
        <v>0</v>
      </c>
      <c r="BZ161">
        <v>0</v>
      </c>
      <c r="CA161">
        <v>21804506</v>
      </c>
      <c r="CB161">
        <v>0</v>
      </c>
      <c r="CC161">
        <v>0</v>
      </c>
      <c r="CD161">
        <v>6895605</v>
      </c>
      <c r="CE161">
        <v>87442530</v>
      </c>
      <c r="CF161">
        <v>0</v>
      </c>
      <c r="CG161">
        <v>514732</v>
      </c>
      <c r="CH161">
        <v>0</v>
      </c>
      <c r="CI161">
        <v>9044128</v>
      </c>
      <c r="CJ161">
        <v>120693040</v>
      </c>
      <c r="CK161">
        <v>12093.2</v>
      </c>
      <c r="CL161">
        <v>8711955</v>
      </c>
      <c r="CM161">
        <v>0</v>
      </c>
      <c r="CN161">
        <v>91434510</v>
      </c>
      <c r="CO161">
        <v>695635.9</v>
      </c>
      <c r="CP161">
        <v>7613329.5</v>
      </c>
      <c r="CQ161">
        <v>4276.8</v>
      </c>
      <c r="CR161">
        <v>533.5</v>
      </c>
      <c r="CS161">
        <v>0</v>
      </c>
      <c r="CT161">
        <v>12970</v>
      </c>
      <c r="CU161">
        <v>0</v>
      </c>
      <c r="CV161">
        <v>0</v>
      </c>
      <c r="CW161">
        <v>4751</v>
      </c>
      <c r="CX161">
        <v>17877.099999999999</v>
      </c>
      <c r="CY161">
        <v>0</v>
      </c>
      <c r="CZ161">
        <v>12773.8</v>
      </c>
      <c r="DA161">
        <v>0</v>
      </c>
      <c r="DB161">
        <v>4203.6000000000004</v>
      </c>
      <c r="DC161">
        <v>15334.8</v>
      </c>
      <c r="DD161">
        <v>1380.5</v>
      </c>
      <c r="DE161">
        <v>6123</v>
      </c>
      <c r="DF161">
        <v>0</v>
      </c>
      <c r="DG161">
        <v>41693.9</v>
      </c>
      <c r="DH161">
        <v>2116.9</v>
      </c>
      <c r="DI161">
        <v>240.9</v>
      </c>
      <c r="DJ161">
        <v>18850.7</v>
      </c>
      <c r="DK161">
        <v>61230</v>
      </c>
      <c r="DL161">
        <v>0</v>
      </c>
      <c r="DM161">
        <v>0</v>
      </c>
    </row>
    <row r="162" spans="1:117" x14ac:dyDescent="0.3">
      <c r="A162" t="s">
        <v>173</v>
      </c>
      <c r="B162">
        <v>2030</v>
      </c>
      <c r="C162">
        <v>363410900</v>
      </c>
      <c r="D162">
        <v>17396060</v>
      </c>
      <c r="E162">
        <v>11788699</v>
      </c>
      <c r="F162">
        <v>2605808.7999999998</v>
      </c>
      <c r="G162">
        <v>395201476.60000002</v>
      </c>
      <c r="H162">
        <v>350345008.19999999</v>
      </c>
      <c r="I162">
        <v>255386228.09999999</v>
      </c>
      <c r="J162">
        <v>134385140</v>
      </c>
      <c r="K162">
        <v>130951810</v>
      </c>
      <c r="L162">
        <v>3.5900000000000001E-2</v>
      </c>
      <c r="M162">
        <v>5.3999999999999999E-2</v>
      </c>
      <c r="N162">
        <v>0.14879999999999999</v>
      </c>
      <c r="O162">
        <v>61961.87</v>
      </c>
      <c r="P162">
        <v>83899.7</v>
      </c>
      <c r="Q162">
        <v>0.75</v>
      </c>
      <c r="R162">
        <v>0.71</v>
      </c>
      <c r="S162">
        <v>118.7</v>
      </c>
      <c r="T162">
        <v>6.4</v>
      </c>
      <c r="U162">
        <v>0.87</v>
      </c>
      <c r="V162">
        <v>13.2</v>
      </c>
      <c r="W162">
        <v>495.9</v>
      </c>
      <c r="X162">
        <v>0.12</v>
      </c>
      <c r="Y162">
        <v>119.1</v>
      </c>
      <c r="Z162">
        <v>28</v>
      </c>
      <c r="AA162">
        <v>147.1</v>
      </c>
      <c r="AB162">
        <v>146.5</v>
      </c>
      <c r="AC162">
        <v>8</v>
      </c>
      <c r="AD162">
        <v>1.0900000000000001</v>
      </c>
      <c r="AE162">
        <v>15.8</v>
      </c>
      <c r="AF162">
        <v>606.20000000000005</v>
      </c>
      <c r="AG162">
        <v>0.14000000000000001</v>
      </c>
      <c r="AH162">
        <v>147</v>
      </c>
      <c r="AI162">
        <v>33.9</v>
      </c>
      <c r="AJ162">
        <v>180.9</v>
      </c>
      <c r="AK162">
        <v>169.9</v>
      </c>
      <c r="AL162">
        <v>6</v>
      </c>
      <c r="AM162">
        <v>0.75</v>
      </c>
      <c r="AN162">
        <v>17.600000000000001</v>
      </c>
      <c r="AO162">
        <v>799.8</v>
      </c>
      <c r="AP162">
        <v>0.08</v>
      </c>
      <c r="AQ162">
        <v>170.2</v>
      </c>
      <c r="AR162">
        <v>41.5</v>
      </c>
      <c r="AS162">
        <v>211.7</v>
      </c>
      <c r="AT162">
        <v>558.1</v>
      </c>
      <c r="AU162">
        <v>38</v>
      </c>
      <c r="AV162">
        <v>5.33</v>
      </c>
      <c r="AW162">
        <v>42.2</v>
      </c>
      <c r="AX162">
        <v>2012.7</v>
      </c>
      <c r="AY162">
        <v>0.3</v>
      </c>
      <c r="AZ162">
        <v>560.70000000000005</v>
      </c>
      <c r="BA162">
        <v>102.3</v>
      </c>
      <c r="BB162">
        <v>662.9</v>
      </c>
      <c r="BC162">
        <v>46076323.5</v>
      </c>
      <c r="BD162">
        <v>2481</v>
      </c>
      <c r="BE162">
        <v>335.8</v>
      </c>
      <c r="BF162">
        <v>5130301.9000000004</v>
      </c>
      <c r="BG162">
        <v>192614.1</v>
      </c>
      <c r="BH162">
        <v>45.5</v>
      </c>
      <c r="BI162">
        <v>46241921.600000001</v>
      </c>
      <c r="BJ162">
        <v>10882631.800000001</v>
      </c>
      <c r="BK162">
        <v>57124553.399999999</v>
      </c>
      <c r="BL162">
        <v>0</v>
      </c>
      <c r="BM162">
        <v>24.58</v>
      </c>
      <c r="BN162">
        <v>11.43</v>
      </c>
      <c r="BO162">
        <v>0</v>
      </c>
      <c r="BP162">
        <v>36.01</v>
      </c>
      <c r="BQ162">
        <v>26.93</v>
      </c>
      <c r="BR162">
        <v>13.32</v>
      </c>
      <c r="BS162">
        <v>0</v>
      </c>
      <c r="BT162">
        <v>40.25</v>
      </c>
      <c r="BU162">
        <v>391723170</v>
      </c>
      <c r="BV162">
        <v>139815250</v>
      </c>
      <c r="BW162">
        <v>14789050</v>
      </c>
      <c r="BX162">
        <v>2593168</v>
      </c>
      <c r="BY162">
        <v>0</v>
      </c>
      <c r="BZ162">
        <v>0</v>
      </c>
      <c r="CA162">
        <v>17312904</v>
      </c>
      <c r="CB162">
        <v>0</v>
      </c>
      <c r="CC162">
        <v>0</v>
      </c>
      <c r="CD162">
        <v>10034530</v>
      </c>
      <c r="CE162">
        <v>79373680</v>
      </c>
      <c r="CF162">
        <v>0</v>
      </c>
      <c r="CG162">
        <v>375705</v>
      </c>
      <c r="CH162">
        <v>0</v>
      </c>
      <c r="CI162">
        <v>8920850</v>
      </c>
      <c r="CJ162">
        <v>119012670</v>
      </c>
      <c r="CK162">
        <v>2648.2</v>
      </c>
      <c r="CL162">
        <v>9527245</v>
      </c>
      <c r="CM162">
        <v>0</v>
      </c>
      <c r="CN162">
        <v>113597520</v>
      </c>
      <c r="CO162">
        <v>900676.5</v>
      </c>
      <c r="CP162">
        <v>15282526</v>
      </c>
      <c r="CQ162">
        <v>9649.1</v>
      </c>
      <c r="CR162">
        <v>533.5</v>
      </c>
      <c r="CS162">
        <v>0</v>
      </c>
      <c r="CT162">
        <v>12970</v>
      </c>
      <c r="CU162">
        <v>0</v>
      </c>
      <c r="CV162">
        <v>0</v>
      </c>
      <c r="CW162">
        <v>7052.4</v>
      </c>
      <c r="CX162">
        <v>17749.2</v>
      </c>
      <c r="CY162">
        <v>0</v>
      </c>
      <c r="CZ162">
        <v>12773.8</v>
      </c>
      <c r="DA162">
        <v>0</v>
      </c>
      <c r="DB162">
        <v>4208.1000000000004</v>
      </c>
      <c r="DC162">
        <v>15334.8</v>
      </c>
      <c r="DD162">
        <v>903.5</v>
      </c>
      <c r="DE162">
        <v>6123</v>
      </c>
      <c r="DF162">
        <v>0</v>
      </c>
      <c r="DG162">
        <v>51999.8</v>
      </c>
      <c r="DH162">
        <v>4353.8999999999996</v>
      </c>
      <c r="DI162">
        <v>297.39999999999998</v>
      </c>
      <c r="DJ162">
        <v>40339.599999999999</v>
      </c>
      <c r="DK162">
        <v>61230</v>
      </c>
      <c r="DL162">
        <v>0</v>
      </c>
      <c r="DM162">
        <v>0</v>
      </c>
    </row>
    <row r="163" spans="1:117" x14ac:dyDescent="0.3">
      <c r="A163" t="s">
        <v>173</v>
      </c>
      <c r="B163">
        <v>2035</v>
      </c>
      <c r="C163">
        <v>391141020</v>
      </c>
      <c r="D163">
        <v>43578136</v>
      </c>
      <c r="E163">
        <v>12163186</v>
      </c>
      <c r="F163">
        <v>2993376.7</v>
      </c>
      <c r="G163">
        <v>449875721.19999999</v>
      </c>
      <c r="H163">
        <v>377078488.5</v>
      </c>
      <c r="I163">
        <v>240795324.90000001</v>
      </c>
      <c r="J163">
        <v>142683230</v>
      </c>
      <c r="K163">
        <v>152457140</v>
      </c>
      <c r="L163">
        <v>3.5900000000000001E-2</v>
      </c>
      <c r="M163">
        <v>5.3999999999999999E-2</v>
      </c>
      <c r="N163">
        <v>0.1489</v>
      </c>
      <c r="O163">
        <v>84997.49</v>
      </c>
      <c r="P163">
        <v>92558.2</v>
      </c>
      <c r="Q163">
        <v>0.83</v>
      </c>
      <c r="R163">
        <v>0.78</v>
      </c>
      <c r="S163">
        <v>72.599999999999994</v>
      </c>
      <c r="T163">
        <v>3.1</v>
      </c>
      <c r="U163">
        <v>0.41</v>
      </c>
      <c r="V163">
        <v>9.4</v>
      </c>
      <c r="W163">
        <v>329.6</v>
      </c>
      <c r="X163">
        <v>0.08</v>
      </c>
      <c r="Y163">
        <v>72.900000000000006</v>
      </c>
      <c r="Z163">
        <v>19.3</v>
      </c>
      <c r="AA163">
        <v>92.1</v>
      </c>
      <c r="AB163">
        <v>102</v>
      </c>
      <c r="AC163">
        <v>4.5999999999999996</v>
      </c>
      <c r="AD163">
        <v>0.6</v>
      </c>
      <c r="AE163">
        <v>12.4</v>
      </c>
      <c r="AF163">
        <v>455.6</v>
      </c>
      <c r="AG163">
        <v>0.11</v>
      </c>
      <c r="AH163">
        <v>102.3</v>
      </c>
      <c r="AI163">
        <v>26.1</v>
      </c>
      <c r="AJ163">
        <v>128.30000000000001</v>
      </c>
      <c r="AK163">
        <v>173.5</v>
      </c>
      <c r="AL163">
        <v>8.6999999999999993</v>
      </c>
      <c r="AM163">
        <v>1.17</v>
      </c>
      <c r="AN163">
        <v>15.6</v>
      </c>
      <c r="AO163">
        <v>733.2</v>
      </c>
      <c r="AP163">
        <v>0.08</v>
      </c>
      <c r="AQ163">
        <v>174.1</v>
      </c>
      <c r="AR163">
        <v>37.5</v>
      </c>
      <c r="AS163">
        <v>211.6</v>
      </c>
      <c r="AT163">
        <v>488.6</v>
      </c>
      <c r="AU163">
        <v>31.5</v>
      </c>
      <c r="AV163">
        <v>4.41</v>
      </c>
      <c r="AW163">
        <v>38.799999999999997</v>
      </c>
      <c r="AX163">
        <v>1807.6</v>
      </c>
      <c r="AY163">
        <v>0.27</v>
      </c>
      <c r="AZ163">
        <v>490.8</v>
      </c>
      <c r="BA163">
        <v>92.7</v>
      </c>
      <c r="BB163">
        <v>583.4</v>
      </c>
      <c r="BC163">
        <v>33042758.199999999</v>
      </c>
      <c r="BD163">
        <v>1425.3</v>
      </c>
      <c r="BE163">
        <v>186.2</v>
      </c>
      <c r="BF163">
        <v>4286230</v>
      </c>
      <c r="BG163">
        <v>150029.70000000001</v>
      </c>
      <c r="BH163">
        <v>38.799999999999997</v>
      </c>
      <c r="BI163">
        <v>33136057</v>
      </c>
      <c r="BJ163">
        <v>8767698.4000000004</v>
      </c>
      <c r="BK163">
        <v>41903755.299999997</v>
      </c>
      <c r="BL163">
        <v>0</v>
      </c>
      <c r="BM163">
        <v>21.06</v>
      </c>
      <c r="BN163">
        <v>14.89</v>
      </c>
      <c r="BO163">
        <v>0</v>
      </c>
      <c r="BP163">
        <v>35.950000000000003</v>
      </c>
      <c r="BQ163">
        <v>23.92</v>
      </c>
      <c r="BR163">
        <v>18.350000000000001</v>
      </c>
      <c r="BS163">
        <v>0</v>
      </c>
      <c r="BT163">
        <v>42.26</v>
      </c>
      <c r="BU163">
        <v>459622500</v>
      </c>
      <c r="BV163">
        <v>209080400</v>
      </c>
      <c r="BW163">
        <v>37135130</v>
      </c>
      <c r="BX163">
        <v>2130583.7999999998</v>
      </c>
      <c r="BY163">
        <v>0</v>
      </c>
      <c r="BZ163">
        <v>0</v>
      </c>
      <c r="CA163">
        <v>8787109</v>
      </c>
      <c r="CB163">
        <v>0</v>
      </c>
      <c r="CC163">
        <v>0</v>
      </c>
      <c r="CD163">
        <v>15251475</v>
      </c>
      <c r="CE163">
        <v>67129710</v>
      </c>
      <c r="CF163">
        <v>0</v>
      </c>
      <c r="CG163">
        <v>229856.6</v>
      </c>
      <c r="CH163">
        <v>0</v>
      </c>
      <c r="CI163">
        <v>8714750</v>
      </c>
      <c r="CJ163">
        <v>116559336</v>
      </c>
      <c r="CK163">
        <v>2424.3000000000002</v>
      </c>
      <c r="CL163">
        <v>9853243</v>
      </c>
      <c r="CM163">
        <v>0</v>
      </c>
      <c r="CN163">
        <v>174283280</v>
      </c>
      <c r="CO163">
        <v>4478006</v>
      </c>
      <c r="CP163">
        <v>15067634</v>
      </c>
      <c r="CQ163">
        <v>19341.3</v>
      </c>
      <c r="CR163">
        <v>486.5</v>
      </c>
      <c r="CS163">
        <v>0</v>
      </c>
      <c r="CT163">
        <v>12230</v>
      </c>
      <c r="CU163">
        <v>0</v>
      </c>
      <c r="CV163">
        <v>0</v>
      </c>
      <c r="CW163">
        <v>11144.9</v>
      </c>
      <c r="CX163">
        <v>17629.099999999999</v>
      </c>
      <c r="CY163">
        <v>0</v>
      </c>
      <c r="CZ163">
        <v>12733.8</v>
      </c>
      <c r="DA163">
        <v>0</v>
      </c>
      <c r="DB163">
        <v>4223.6000000000004</v>
      </c>
      <c r="DC163">
        <v>15334.8</v>
      </c>
      <c r="DD163">
        <v>653.5</v>
      </c>
      <c r="DE163">
        <v>6123</v>
      </c>
      <c r="DF163">
        <v>0</v>
      </c>
      <c r="DG163">
        <v>81216.899999999994</v>
      </c>
      <c r="DH163">
        <v>4353.8999999999996</v>
      </c>
      <c r="DI163">
        <v>1351.9</v>
      </c>
      <c r="DJ163">
        <v>108018.8</v>
      </c>
      <c r="DK163">
        <v>61230</v>
      </c>
      <c r="DL163">
        <v>0</v>
      </c>
      <c r="DM163">
        <v>0</v>
      </c>
    </row>
    <row r="164" spans="1:117" x14ac:dyDescent="0.3">
      <c r="A164" t="s">
        <v>173</v>
      </c>
      <c r="B164">
        <v>2040</v>
      </c>
      <c r="C164">
        <v>422360860</v>
      </c>
      <c r="D164">
        <v>55958304</v>
      </c>
      <c r="E164">
        <v>12863628</v>
      </c>
      <c r="F164">
        <v>3051740.4</v>
      </c>
      <c r="G164">
        <v>494234537.39999998</v>
      </c>
      <c r="H164">
        <v>407176213.39999998</v>
      </c>
      <c r="I164">
        <v>264399707</v>
      </c>
      <c r="J164">
        <v>154832800</v>
      </c>
      <c r="K164">
        <v>142047540</v>
      </c>
      <c r="L164">
        <v>3.5900000000000001E-2</v>
      </c>
      <c r="M164">
        <v>5.3999999999999999E-2</v>
      </c>
      <c r="N164">
        <v>0.1489</v>
      </c>
      <c r="O164">
        <v>87032.49</v>
      </c>
      <c r="P164">
        <v>102121</v>
      </c>
      <c r="Q164">
        <v>0.86</v>
      </c>
      <c r="R164">
        <v>0.83</v>
      </c>
      <c r="S164">
        <v>58.9</v>
      </c>
      <c r="T164">
        <v>2.2999999999999998</v>
      </c>
      <c r="U164">
        <v>0.28999999999999998</v>
      </c>
      <c r="V164">
        <v>8.1999999999999993</v>
      </c>
      <c r="W164">
        <v>276.2</v>
      </c>
      <c r="X164">
        <v>0.08</v>
      </c>
      <c r="Y164">
        <v>59</v>
      </c>
      <c r="Z164">
        <v>16.399999999999999</v>
      </c>
      <c r="AA164">
        <v>75.5</v>
      </c>
      <c r="AB164">
        <v>75</v>
      </c>
      <c r="AC164">
        <v>3</v>
      </c>
      <c r="AD164">
        <v>0.39</v>
      </c>
      <c r="AE164">
        <v>9.8000000000000007</v>
      </c>
      <c r="AF164">
        <v>347.8</v>
      </c>
      <c r="AG164">
        <v>0.09</v>
      </c>
      <c r="AH164">
        <v>75.2</v>
      </c>
      <c r="AI164">
        <v>20.2</v>
      </c>
      <c r="AJ164">
        <v>95.4</v>
      </c>
      <c r="AK164">
        <v>157.4</v>
      </c>
      <c r="AL164">
        <v>9.9</v>
      </c>
      <c r="AM164">
        <v>1.37</v>
      </c>
      <c r="AN164">
        <v>12.3</v>
      </c>
      <c r="AO164">
        <v>601.6</v>
      </c>
      <c r="AP164">
        <v>7.0000000000000007E-2</v>
      </c>
      <c r="AQ164">
        <v>158.1</v>
      </c>
      <c r="AR164">
        <v>30.3</v>
      </c>
      <c r="AS164">
        <v>188.3</v>
      </c>
      <c r="AT164">
        <v>448.9</v>
      </c>
      <c r="AU164">
        <v>26.6</v>
      </c>
      <c r="AV164">
        <v>3.67</v>
      </c>
      <c r="AW164">
        <v>37.700000000000003</v>
      </c>
      <c r="AX164">
        <v>1747.5</v>
      </c>
      <c r="AY164">
        <v>0.24</v>
      </c>
      <c r="AZ164">
        <v>450.7</v>
      </c>
      <c r="BA164">
        <v>89.8</v>
      </c>
      <c r="BB164">
        <v>540.5</v>
      </c>
      <c r="BC164">
        <v>27985764.800000001</v>
      </c>
      <c r="BD164">
        <v>1080.3</v>
      </c>
      <c r="BE164">
        <v>138.1</v>
      </c>
      <c r="BF164">
        <v>3906100.9</v>
      </c>
      <c r="BG164">
        <v>131468</v>
      </c>
      <c r="BH164">
        <v>36.200000000000003</v>
      </c>
      <c r="BI164">
        <v>28055661.100000001</v>
      </c>
      <c r="BJ164">
        <v>7833741.7000000002</v>
      </c>
      <c r="BK164">
        <v>35889402.799999997</v>
      </c>
      <c r="BL164">
        <v>0</v>
      </c>
      <c r="BM164">
        <v>19.52</v>
      </c>
      <c r="BN164">
        <v>15.23</v>
      </c>
      <c r="BO164">
        <v>0</v>
      </c>
      <c r="BP164">
        <v>34.75</v>
      </c>
      <c r="BQ164">
        <v>22.47</v>
      </c>
      <c r="BR164">
        <v>19.11</v>
      </c>
      <c r="BS164">
        <v>0</v>
      </c>
      <c r="BT164">
        <v>41.58</v>
      </c>
      <c r="BU164">
        <v>481364480</v>
      </c>
      <c r="BV164">
        <v>229834830</v>
      </c>
      <c r="BW164">
        <v>47774348</v>
      </c>
      <c r="BX164">
        <v>2086323.4</v>
      </c>
      <c r="BY164">
        <v>0</v>
      </c>
      <c r="BZ164">
        <v>0</v>
      </c>
      <c r="CA164">
        <v>6132569.5</v>
      </c>
      <c r="CB164">
        <v>0</v>
      </c>
      <c r="CC164">
        <v>0</v>
      </c>
      <c r="CD164">
        <v>16823952</v>
      </c>
      <c r="CE164">
        <v>60330188</v>
      </c>
      <c r="CF164">
        <v>0</v>
      </c>
      <c r="CG164">
        <v>250111.5</v>
      </c>
      <c r="CH164">
        <v>0</v>
      </c>
      <c r="CI164">
        <v>8672711</v>
      </c>
      <c r="CJ164">
        <v>115754584</v>
      </c>
      <c r="CK164">
        <v>2979.2</v>
      </c>
      <c r="CL164">
        <v>10525823</v>
      </c>
      <c r="CM164">
        <v>0</v>
      </c>
      <c r="CN164">
        <v>189950140</v>
      </c>
      <c r="CO164">
        <v>8229161.5</v>
      </c>
      <c r="CP164">
        <v>14831573</v>
      </c>
      <c r="CQ164">
        <v>25197.3</v>
      </c>
      <c r="CR164">
        <v>486.5</v>
      </c>
      <c r="CS164">
        <v>0</v>
      </c>
      <c r="CT164">
        <v>12230</v>
      </c>
      <c r="CU164">
        <v>0</v>
      </c>
      <c r="CV164">
        <v>0</v>
      </c>
      <c r="CW164">
        <v>12643.6</v>
      </c>
      <c r="CX164">
        <v>17629.099999999999</v>
      </c>
      <c r="CY164">
        <v>0</v>
      </c>
      <c r="CZ164">
        <v>12733.8</v>
      </c>
      <c r="DA164">
        <v>0</v>
      </c>
      <c r="DB164">
        <v>4228.1000000000004</v>
      </c>
      <c r="DC164">
        <v>15334.8</v>
      </c>
      <c r="DD164">
        <v>635.79999999999995</v>
      </c>
      <c r="DE164">
        <v>6123</v>
      </c>
      <c r="DF164">
        <v>0</v>
      </c>
      <c r="DG164">
        <v>90701.3</v>
      </c>
      <c r="DH164">
        <v>4353.8999999999996</v>
      </c>
      <c r="DI164">
        <v>2497.5</v>
      </c>
      <c r="DJ164">
        <v>139952.79999999999</v>
      </c>
      <c r="DK164">
        <v>61230</v>
      </c>
      <c r="DL164">
        <v>0</v>
      </c>
      <c r="DM164">
        <v>0</v>
      </c>
    </row>
    <row r="165" spans="1:117" x14ac:dyDescent="0.3">
      <c r="A165" t="s">
        <v>173</v>
      </c>
      <c r="B165">
        <v>2045</v>
      </c>
      <c r="C165">
        <v>450388030</v>
      </c>
      <c r="D165">
        <v>79567400</v>
      </c>
      <c r="E165">
        <v>12590355</v>
      </c>
      <c r="F165">
        <v>3412414.2</v>
      </c>
      <c r="G165">
        <v>545958201.70000005</v>
      </c>
      <c r="H165">
        <v>434195901.80000001</v>
      </c>
      <c r="I165">
        <v>280145580.30000001</v>
      </c>
      <c r="J165">
        <v>188044350</v>
      </c>
      <c r="K165">
        <v>143692260</v>
      </c>
      <c r="L165">
        <v>3.5900000000000001E-2</v>
      </c>
      <c r="M165">
        <v>5.3900000000000003E-2</v>
      </c>
      <c r="N165">
        <v>0.14879999999999999</v>
      </c>
      <c r="O165">
        <v>89408.29</v>
      </c>
      <c r="P165">
        <v>110391.2</v>
      </c>
      <c r="Q165">
        <v>0.93</v>
      </c>
      <c r="R165">
        <v>0.93</v>
      </c>
      <c r="S165">
        <v>29.7</v>
      </c>
      <c r="T165">
        <v>1.3</v>
      </c>
      <c r="U165">
        <v>0.18</v>
      </c>
      <c r="V165">
        <v>4.9000000000000004</v>
      </c>
      <c r="W165">
        <v>135.4</v>
      </c>
      <c r="X165">
        <v>0.06</v>
      </c>
      <c r="Y165">
        <v>29.8</v>
      </c>
      <c r="Z165">
        <v>9</v>
      </c>
      <c r="AA165">
        <v>38.700000000000003</v>
      </c>
      <c r="AB165">
        <v>31.7</v>
      </c>
      <c r="AC165">
        <v>1.4</v>
      </c>
      <c r="AD165">
        <v>0.18</v>
      </c>
      <c r="AE165">
        <v>4.5999999999999996</v>
      </c>
      <c r="AF165">
        <v>145.5</v>
      </c>
      <c r="AG165">
        <v>0.05</v>
      </c>
      <c r="AH165">
        <v>31.8</v>
      </c>
      <c r="AI165">
        <v>9</v>
      </c>
      <c r="AJ165">
        <v>40.700000000000003</v>
      </c>
      <c r="AK165">
        <v>118.5</v>
      </c>
      <c r="AL165">
        <v>7.4</v>
      </c>
      <c r="AM165">
        <v>1.02</v>
      </c>
      <c r="AN165">
        <v>9.5</v>
      </c>
      <c r="AO165">
        <v>457.5</v>
      </c>
      <c r="AP165">
        <v>0.06</v>
      </c>
      <c r="AQ165">
        <v>119</v>
      </c>
      <c r="AR165">
        <v>23.1</v>
      </c>
      <c r="AS165">
        <v>142.19999999999999</v>
      </c>
      <c r="AT165">
        <v>410.4</v>
      </c>
      <c r="AU165">
        <v>23</v>
      </c>
      <c r="AV165">
        <v>3.15</v>
      </c>
      <c r="AW165">
        <v>36.4</v>
      </c>
      <c r="AX165">
        <v>1644.4</v>
      </c>
      <c r="AY165">
        <v>0.22</v>
      </c>
      <c r="AZ165">
        <v>411.9</v>
      </c>
      <c r="BA165">
        <v>85.5</v>
      </c>
      <c r="BB165">
        <v>497.4</v>
      </c>
      <c r="BC165">
        <v>14666177.1</v>
      </c>
      <c r="BD165">
        <v>661.1</v>
      </c>
      <c r="BE165">
        <v>87</v>
      </c>
      <c r="BF165">
        <v>2433296.6</v>
      </c>
      <c r="BG165">
        <v>67072.800000000003</v>
      </c>
      <c r="BH165">
        <v>29.9</v>
      </c>
      <c r="BI165">
        <v>14709638.6</v>
      </c>
      <c r="BJ165">
        <v>4440226.2</v>
      </c>
      <c r="BK165">
        <v>19149864.800000001</v>
      </c>
      <c r="BL165">
        <v>0</v>
      </c>
      <c r="BM165">
        <v>18.190000000000001</v>
      </c>
      <c r="BN165">
        <v>15.19</v>
      </c>
      <c r="BO165">
        <v>0.39</v>
      </c>
      <c r="BP165">
        <v>33.770000000000003</v>
      </c>
      <c r="BQ165">
        <v>21.31</v>
      </c>
      <c r="BR165">
        <v>19.739999999999998</v>
      </c>
      <c r="BS165">
        <v>0.4</v>
      </c>
      <c r="BT165">
        <v>41.46</v>
      </c>
      <c r="BU165">
        <v>501150400</v>
      </c>
      <c r="BV165">
        <v>265812640</v>
      </c>
      <c r="BW165">
        <v>67687660</v>
      </c>
      <c r="BX165">
        <v>1412751.2</v>
      </c>
      <c r="BY165">
        <v>0</v>
      </c>
      <c r="BZ165">
        <v>0</v>
      </c>
      <c r="CA165">
        <v>4301606.5</v>
      </c>
      <c r="CB165">
        <v>0</v>
      </c>
      <c r="CC165">
        <v>0</v>
      </c>
      <c r="CD165">
        <v>17843152</v>
      </c>
      <c r="CE165">
        <v>28378324</v>
      </c>
      <c r="CF165">
        <v>0</v>
      </c>
      <c r="CG165">
        <v>447793.4</v>
      </c>
      <c r="CH165">
        <v>0</v>
      </c>
      <c r="CI165">
        <v>8533713</v>
      </c>
      <c r="CJ165">
        <v>114458344</v>
      </c>
      <c r="CK165">
        <v>748.2</v>
      </c>
      <c r="CL165">
        <v>10116813</v>
      </c>
      <c r="CM165">
        <v>0</v>
      </c>
      <c r="CN165">
        <v>224936020</v>
      </c>
      <c r="CO165">
        <v>8413216</v>
      </c>
      <c r="CP165">
        <v>14620243</v>
      </c>
      <c r="CQ165">
        <v>36337.4</v>
      </c>
      <c r="CR165">
        <v>401.5</v>
      </c>
      <c r="CS165">
        <v>0</v>
      </c>
      <c r="CT165">
        <v>9523</v>
      </c>
      <c r="CU165">
        <v>0</v>
      </c>
      <c r="CV165">
        <v>0</v>
      </c>
      <c r="CW165">
        <v>14107.1</v>
      </c>
      <c r="CX165">
        <v>8426</v>
      </c>
      <c r="CY165">
        <v>0</v>
      </c>
      <c r="CZ165">
        <v>14049</v>
      </c>
      <c r="DA165">
        <v>0</v>
      </c>
      <c r="DB165">
        <v>4232.6000000000004</v>
      </c>
      <c r="DC165">
        <v>15334.8</v>
      </c>
      <c r="DD165">
        <v>508.8</v>
      </c>
      <c r="DE165">
        <v>6123</v>
      </c>
      <c r="DF165">
        <v>0</v>
      </c>
      <c r="DG165">
        <v>111501.8</v>
      </c>
      <c r="DH165">
        <v>4353.8999999999996</v>
      </c>
      <c r="DI165">
        <v>2584.1999999999998</v>
      </c>
      <c r="DJ165">
        <v>201449.3</v>
      </c>
      <c r="DK165">
        <v>61230</v>
      </c>
      <c r="DL165">
        <v>0</v>
      </c>
      <c r="DM165">
        <v>0</v>
      </c>
    </row>
    <row r="166" spans="1:117" x14ac:dyDescent="0.3">
      <c r="A166" t="s">
        <v>173</v>
      </c>
      <c r="B166">
        <v>2050</v>
      </c>
      <c r="C166">
        <v>477432500</v>
      </c>
      <c r="D166">
        <v>73482104</v>
      </c>
      <c r="E166">
        <v>13489288</v>
      </c>
      <c r="F166">
        <v>3692678.4</v>
      </c>
      <c r="G166">
        <v>568096615.39999998</v>
      </c>
      <c r="H166">
        <v>460268082.89999998</v>
      </c>
      <c r="I166">
        <v>296544075.10000002</v>
      </c>
      <c r="J166">
        <v>212750720</v>
      </c>
      <c r="K166">
        <v>147179310</v>
      </c>
      <c r="L166">
        <v>3.5900000000000001E-2</v>
      </c>
      <c r="M166">
        <v>5.3900000000000003E-2</v>
      </c>
      <c r="N166">
        <v>0.1487</v>
      </c>
      <c r="O166">
        <v>88146.9</v>
      </c>
      <c r="P166">
        <v>117699.5</v>
      </c>
      <c r="Q166">
        <v>0.93</v>
      </c>
      <c r="R166">
        <v>0.97</v>
      </c>
      <c r="S166">
        <v>29.3</v>
      </c>
      <c r="T166">
        <v>0.9</v>
      </c>
      <c r="U166">
        <v>0.11</v>
      </c>
      <c r="V166">
        <v>5.2</v>
      </c>
      <c r="W166">
        <v>146.9</v>
      </c>
      <c r="X166">
        <v>0.06</v>
      </c>
      <c r="Y166">
        <v>29.4</v>
      </c>
      <c r="Z166">
        <v>9.6</v>
      </c>
      <c r="AA166">
        <v>38.9</v>
      </c>
      <c r="AB166">
        <v>12.8</v>
      </c>
      <c r="AC166">
        <v>0.5</v>
      </c>
      <c r="AD166">
        <v>0.06</v>
      </c>
      <c r="AE166">
        <v>2</v>
      </c>
      <c r="AF166">
        <v>60.7</v>
      </c>
      <c r="AG166">
        <v>0.02</v>
      </c>
      <c r="AH166">
        <v>12.9</v>
      </c>
      <c r="AI166">
        <v>3.8</v>
      </c>
      <c r="AJ166">
        <v>16.7</v>
      </c>
      <c r="AK166">
        <v>93.6</v>
      </c>
      <c r="AL166">
        <v>5.3</v>
      </c>
      <c r="AM166">
        <v>0.73</v>
      </c>
      <c r="AN166">
        <v>8</v>
      </c>
      <c r="AO166">
        <v>376.5</v>
      </c>
      <c r="AP166">
        <v>0.05</v>
      </c>
      <c r="AQ166">
        <v>94</v>
      </c>
      <c r="AR166">
        <v>19.2</v>
      </c>
      <c r="AS166">
        <v>113.2</v>
      </c>
      <c r="AT166">
        <v>416.7</v>
      </c>
      <c r="AU166">
        <v>19.600000000000001</v>
      </c>
      <c r="AV166">
        <v>2.61</v>
      </c>
      <c r="AW166">
        <v>39.700000000000003</v>
      </c>
      <c r="AX166">
        <v>1792.8</v>
      </c>
      <c r="AY166">
        <v>0.21</v>
      </c>
      <c r="AZ166">
        <v>418</v>
      </c>
      <c r="BA166">
        <v>93.1</v>
      </c>
      <c r="BB166">
        <v>511.2</v>
      </c>
      <c r="BC166">
        <v>14528631.1</v>
      </c>
      <c r="BD166">
        <v>447.3</v>
      </c>
      <c r="BE166">
        <v>54.2</v>
      </c>
      <c r="BF166">
        <v>2579100.4</v>
      </c>
      <c r="BG166">
        <v>72968.2</v>
      </c>
      <c r="BH166">
        <v>29</v>
      </c>
      <c r="BI166">
        <v>14556747</v>
      </c>
      <c r="BJ166">
        <v>4761472.5</v>
      </c>
      <c r="BK166">
        <v>19318219.5</v>
      </c>
      <c r="BL166">
        <v>0</v>
      </c>
      <c r="BM166">
        <v>19.059999999999999</v>
      </c>
      <c r="BN166">
        <v>15.35</v>
      </c>
      <c r="BO166">
        <v>0.41</v>
      </c>
      <c r="BP166">
        <v>34.82</v>
      </c>
      <c r="BQ166">
        <v>22.17</v>
      </c>
      <c r="BR166">
        <v>19.600000000000001</v>
      </c>
      <c r="BS166">
        <v>0.42</v>
      </c>
      <c r="BT166">
        <v>42.19</v>
      </c>
      <c r="BU166">
        <v>501907700</v>
      </c>
      <c r="BV166">
        <v>271552540</v>
      </c>
      <c r="BW166">
        <v>62644696</v>
      </c>
      <c r="BX166">
        <v>1423344.2</v>
      </c>
      <c r="BY166">
        <v>0</v>
      </c>
      <c r="BZ166">
        <v>0</v>
      </c>
      <c r="CA166">
        <v>1924772.2</v>
      </c>
      <c r="CB166">
        <v>0</v>
      </c>
      <c r="CC166">
        <v>0</v>
      </c>
      <c r="CD166">
        <v>19369630</v>
      </c>
      <c r="CE166">
        <v>33254108</v>
      </c>
      <c r="CF166">
        <v>0</v>
      </c>
      <c r="CG166">
        <v>817027</v>
      </c>
      <c r="CH166">
        <v>0</v>
      </c>
      <c r="CI166">
        <v>8483493</v>
      </c>
      <c r="CJ166">
        <v>111073256</v>
      </c>
      <c r="CK166">
        <v>17.899999999999999</v>
      </c>
      <c r="CL166">
        <v>10734457</v>
      </c>
      <c r="CM166">
        <v>0</v>
      </c>
      <c r="CN166">
        <v>223386620</v>
      </c>
      <c r="CO166">
        <v>14410226</v>
      </c>
      <c r="CP166">
        <v>14386053</v>
      </c>
      <c r="CQ166">
        <v>37629.199999999997</v>
      </c>
      <c r="CR166">
        <v>401.5</v>
      </c>
      <c r="CS166">
        <v>0</v>
      </c>
      <c r="CT166">
        <v>5662</v>
      </c>
      <c r="CU166">
        <v>0</v>
      </c>
      <c r="CV166">
        <v>0</v>
      </c>
      <c r="CW166">
        <v>15754.5</v>
      </c>
      <c r="CX166">
        <v>8426</v>
      </c>
      <c r="CY166">
        <v>0</v>
      </c>
      <c r="CZ166">
        <v>25678.1</v>
      </c>
      <c r="DA166">
        <v>0</v>
      </c>
      <c r="DB166">
        <v>4232.6000000000004</v>
      </c>
      <c r="DC166">
        <v>14936.6</v>
      </c>
      <c r="DD166">
        <v>508.8</v>
      </c>
      <c r="DE166">
        <v>6123</v>
      </c>
      <c r="DF166">
        <v>0</v>
      </c>
      <c r="DG166">
        <v>112784.5</v>
      </c>
      <c r="DH166">
        <v>4343.2</v>
      </c>
      <c r="DI166">
        <v>4391.8999999999996</v>
      </c>
      <c r="DJ166">
        <v>181082.2</v>
      </c>
      <c r="DK166">
        <v>61230</v>
      </c>
      <c r="DL166">
        <v>0</v>
      </c>
      <c r="DM1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BEB9-4A2B-4F0E-9073-7892A48A7595}">
  <dimension ref="A1:DM166"/>
  <sheetViews>
    <sheetView topLeftCell="BP1" workbookViewId="0">
      <selection activeCell="B2" sqref="B2"/>
    </sheetView>
  </sheetViews>
  <sheetFormatPr defaultRowHeight="14.4" x14ac:dyDescent="0.3"/>
  <sheetData>
    <row r="1" spans="1:1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7" x14ac:dyDescent="0.3">
      <c r="A2" t="s">
        <v>6</v>
      </c>
      <c r="B2" t="s">
        <v>178</v>
      </c>
      <c r="C2" t="s">
        <v>8</v>
      </c>
      <c r="D2">
        <v>2012</v>
      </c>
      <c r="E2" t="s">
        <v>9</v>
      </c>
      <c r="F2" t="s">
        <v>10</v>
      </c>
    </row>
    <row r="3" spans="1:117" x14ac:dyDescent="0.3">
      <c r="A3" t="s">
        <v>11</v>
      </c>
    </row>
    <row r="4" spans="1:117" x14ac:dyDescent="0.3">
      <c r="A4" t="s">
        <v>12</v>
      </c>
      <c r="B4" t="s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17</v>
      </c>
      <c r="R4" t="s">
        <v>17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  <c r="AT4" t="s">
        <v>18</v>
      </c>
      <c r="AU4" t="s">
        <v>18</v>
      </c>
      <c r="AV4" t="s">
        <v>18</v>
      </c>
      <c r="AW4" t="s">
        <v>18</v>
      </c>
      <c r="AX4" t="s">
        <v>18</v>
      </c>
      <c r="AY4" t="s">
        <v>18</v>
      </c>
      <c r="AZ4" t="s">
        <v>18</v>
      </c>
      <c r="BA4" t="s">
        <v>18</v>
      </c>
      <c r="BB4" t="s">
        <v>18</v>
      </c>
      <c r="BC4" t="s">
        <v>18</v>
      </c>
      <c r="BD4" t="s">
        <v>18</v>
      </c>
      <c r="BE4" t="s">
        <v>18</v>
      </c>
      <c r="BF4" t="s">
        <v>18</v>
      </c>
      <c r="BG4" t="s">
        <v>18</v>
      </c>
      <c r="BH4" t="s">
        <v>18</v>
      </c>
      <c r="BI4" t="s">
        <v>18</v>
      </c>
      <c r="BJ4" t="s">
        <v>18</v>
      </c>
      <c r="BK4" t="s">
        <v>18</v>
      </c>
      <c r="BL4" t="s">
        <v>18</v>
      </c>
      <c r="BM4" t="s">
        <v>19</v>
      </c>
      <c r="BN4" t="s">
        <v>19</v>
      </c>
      <c r="BO4" t="s">
        <v>19</v>
      </c>
      <c r="BP4" t="s">
        <v>19</v>
      </c>
      <c r="BQ4" t="s">
        <v>20</v>
      </c>
      <c r="BR4" t="s">
        <v>20</v>
      </c>
      <c r="BS4" t="s">
        <v>20</v>
      </c>
      <c r="BT4" t="s">
        <v>20</v>
      </c>
      <c r="BU4" t="s">
        <v>21</v>
      </c>
      <c r="BV4" t="s">
        <v>21</v>
      </c>
      <c r="BW4" t="s">
        <v>21</v>
      </c>
      <c r="BX4" t="s">
        <v>21</v>
      </c>
      <c r="BY4" t="s">
        <v>21</v>
      </c>
      <c r="BZ4" t="s">
        <v>21</v>
      </c>
      <c r="CA4" t="s">
        <v>21</v>
      </c>
      <c r="CB4" t="s">
        <v>21</v>
      </c>
      <c r="CC4" t="s">
        <v>21</v>
      </c>
      <c r="CD4" t="s">
        <v>21</v>
      </c>
      <c r="CE4" t="s">
        <v>21</v>
      </c>
      <c r="CF4" t="s">
        <v>21</v>
      </c>
      <c r="CG4" t="s">
        <v>21</v>
      </c>
      <c r="CH4" t="s">
        <v>21</v>
      </c>
      <c r="CI4" t="s">
        <v>21</v>
      </c>
      <c r="CJ4" t="s">
        <v>21</v>
      </c>
      <c r="CK4" t="s">
        <v>21</v>
      </c>
      <c r="CL4" t="s">
        <v>21</v>
      </c>
      <c r="CM4" t="s">
        <v>21</v>
      </c>
      <c r="CN4" t="s">
        <v>21</v>
      </c>
      <c r="CO4" t="s">
        <v>21</v>
      </c>
      <c r="CP4" t="s">
        <v>21</v>
      </c>
      <c r="CQ4" t="s">
        <v>22</v>
      </c>
      <c r="CR4" t="s">
        <v>22</v>
      </c>
      <c r="CS4" t="s">
        <v>22</v>
      </c>
      <c r="CT4" t="s">
        <v>22</v>
      </c>
      <c r="CU4" t="s">
        <v>22</v>
      </c>
      <c r="CV4" t="s">
        <v>22</v>
      </c>
      <c r="CW4" t="s">
        <v>22</v>
      </c>
      <c r="CX4" t="s">
        <v>22</v>
      </c>
      <c r="CY4" t="s">
        <v>22</v>
      </c>
      <c r="CZ4" t="s">
        <v>22</v>
      </c>
      <c r="DA4" t="s">
        <v>22</v>
      </c>
      <c r="DB4" t="s">
        <v>22</v>
      </c>
      <c r="DC4" t="s">
        <v>22</v>
      </c>
      <c r="DD4" t="s">
        <v>22</v>
      </c>
      <c r="DE4" t="s">
        <v>22</v>
      </c>
      <c r="DF4" t="s">
        <v>22</v>
      </c>
      <c r="DG4" t="s">
        <v>22</v>
      </c>
      <c r="DH4" t="s">
        <v>22</v>
      </c>
      <c r="DI4" t="s">
        <v>22</v>
      </c>
      <c r="DJ4" t="s">
        <v>23</v>
      </c>
      <c r="DK4" t="s">
        <v>23</v>
      </c>
      <c r="DL4" t="s">
        <v>23</v>
      </c>
      <c r="DM4" t="s">
        <v>24</v>
      </c>
    </row>
    <row r="5" spans="1:117" x14ac:dyDescent="0.3">
      <c r="A5" t="s">
        <v>25</v>
      </c>
      <c r="B5" t="s">
        <v>25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27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31</v>
      </c>
      <c r="S5" t="s">
        <v>32</v>
      </c>
      <c r="T5" t="s">
        <v>33</v>
      </c>
      <c r="U5" t="s">
        <v>33</v>
      </c>
      <c r="V5" t="s">
        <v>32</v>
      </c>
      <c r="W5" t="s">
        <v>33</v>
      </c>
      <c r="X5" t="s">
        <v>33</v>
      </c>
      <c r="Y5" t="s">
        <v>32</v>
      </c>
      <c r="Z5" t="s">
        <v>32</v>
      </c>
      <c r="AA5" t="s">
        <v>32</v>
      </c>
      <c r="AB5" t="s">
        <v>32</v>
      </c>
      <c r="AC5" t="s">
        <v>33</v>
      </c>
      <c r="AD5" t="s">
        <v>33</v>
      </c>
      <c r="AE5" t="s">
        <v>32</v>
      </c>
      <c r="AF5" t="s">
        <v>33</v>
      </c>
      <c r="AG5" t="s">
        <v>33</v>
      </c>
      <c r="AH5" t="s">
        <v>32</v>
      </c>
      <c r="AI5" t="s">
        <v>32</v>
      </c>
      <c r="AJ5" t="s">
        <v>32</v>
      </c>
      <c r="AK5" t="s">
        <v>32</v>
      </c>
      <c r="AL5" t="s">
        <v>33</v>
      </c>
      <c r="AM5" t="s">
        <v>33</v>
      </c>
      <c r="AN5" t="s">
        <v>32</v>
      </c>
      <c r="AO5" t="s">
        <v>33</v>
      </c>
      <c r="AP5" t="s">
        <v>33</v>
      </c>
      <c r="AQ5" t="s">
        <v>32</v>
      </c>
      <c r="AR5" t="s">
        <v>32</v>
      </c>
      <c r="AS5" t="s">
        <v>32</v>
      </c>
      <c r="AT5" t="s">
        <v>32</v>
      </c>
      <c r="AU5" t="s">
        <v>33</v>
      </c>
      <c r="AV5" t="s">
        <v>33</v>
      </c>
      <c r="AW5" t="s">
        <v>32</v>
      </c>
      <c r="AX5" t="s">
        <v>33</v>
      </c>
      <c r="AY5" t="s">
        <v>33</v>
      </c>
      <c r="AZ5" t="s">
        <v>32</v>
      </c>
      <c r="BA5" t="s">
        <v>32</v>
      </c>
      <c r="BB5" t="s">
        <v>32</v>
      </c>
      <c r="BC5" t="s">
        <v>34</v>
      </c>
      <c r="BD5" t="s">
        <v>34</v>
      </c>
      <c r="BE5" t="s">
        <v>34</v>
      </c>
      <c r="BF5" t="s">
        <v>34</v>
      </c>
      <c r="BG5" t="s">
        <v>34</v>
      </c>
      <c r="BH5" t="s">
        <v>34</v>
      </c>
      <c r="BI5" t="s">
        <v>34</v>
      </c>
      <c r="BJ5" t="s">
        <v>34</v>
      </c>
      <c r="BK5" t="s">
        <v>34</v>
      </c>
      <c r="BL5" t="s">
        <v>34</v>
      </c>
      <c r="BM5" t="s">
        <v>35</v>
      </c>
      <c r="BN5" t="s">
        <v>35</v>
      </c>
      <c r="BO5" t="s">
        <v>35</v>
      </c>
      <c r="BP5" t="s">
        <v>35</v>
      </c>
      <c r="BQ5" t="s">
        <v>35</v>
      </c>
      <c r="BR5" t="s">
        <v>35</v>
      </c>
      <c r="BS5" t="s">
        <v>35</v>
      </c>
      <c r="BT5" t="s">
        <v>35</v>
      </c>
      <c r="BU5" t="s">
        <v>26</v>
      </c>
      <c r="BV5" t="s">
        <v>26</v>
      </c>
      <c r="BW5" t="s">
        <v>26</v>
      </c>
      <c r="BX5" t="s">
        <v>26</v>
      </c>
      <c r="BY5" t="s">
        <v>26</v>
      </c>
      <c r="BZ5" t="s">
        <v>26</v>
      </c>
      <c r="CA5" t="s">
        <v>26</v>
      </c>
      <c r="CB5" t="s">
        <v>26</v>
      </c>
      <c r="CC5" t="s">
        <v>26</v>
      </c>
      <c r="CD5" t="s">
        <v>26</v>
      </c>
      <c r="CE5" t="s">
        <v>26</v>
      </c>
      <c r="CF5" t="s">
        <v>26</v>
      </c>
      <c r="CG5" t="s">
        <v>26</v>
      </c>
      <c r="CH5" t="s">
        <v>26</v>
      </c>
      <c r="CI5" t="s">
        <v>26</v>
      </c>
      <c r="CJ5" t="s">
        <v>26</v>
      </c>
      <c r="CK5" t="s">
        <v>26</v>
      </c>
      <c r="CL5" t="s">
        <v>26</v>
      </c>
      <c r="CM5" t="s">
        <v>26</v>
      </c>
      <c r="CN5" t="s">
        <v>26</v>
      </c>
      <c r="CO5" t="s">
        <v>26</v>
      </c>
      <c r="CP5" t="s">
        <v>26</v>
      </c>
      <c r="CQ5" t="s">
        <v>30</v>
      </c>
      <c r="CR5" t="s">
        <v>30</v>
      </c>
      <c r="CS5" t="s">
        <v>30</v>
      </c>
      <c r="CT5" t="s">
        <v>30</v>
      </c>
      <c r="CU5" t="s">
        <v>30</v>
      </c>
      <c r="CV5" t="s">
        <v>30</v>
      </c>
      <c r="CW5" t="s">
        <v>30</v>
      </c>
      <c r="CX5" t="s">
        <v>30</v>
      </c>
      <c r="CY5" t="s">
        <v>30</v>
      </c>
      <c r="CZ5" t="s">
        <v>30</v>
      </c>
      <c r="DA5" t="s">
        <v>30</v>
      </c>
      <c r="DB5" t="s">
        <v>30</v>
      </c>
      <c r="DC5" t="s">
        <v>30</v>
      </c>
      <c r="DD5" t="s">
        <v>30</v>
      </c>
      <c r="DE5" t="s">
        <v>30</v>
      </c>
      <c r="DF5" t="s">
        <v>30</v>
      </c>
      <c r="DG5" t="s">
        <v>30</v>
      </c>
      <c r="DH5" t="s">
        <v>30</v>
      </c>
      <c r="DI5" t="s">
        <v>30</v>
      </c>
      <c r="DJ5" t="s">
        <v>26</v>
      </c>
      <c r="DK5" t="s">
        <v>26</v>
      </c>
      <c r="DL5" t="s">
        <v>26</v>
      </c>
      <c r="DM5" t="s">
        <v>36</v>
      </c>
    </row>
    <row r="6" spans="1:117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64</v>
      </c>
      <c r="AC6" t="s">
        <v>65</v>
      </c>
      <c r="AD6" t="s">
        <v>66</v>
      </c>
      <c r="AE6" t="s">
        <v>67</v>
      </c>
      <c r="AF6" t="s">
        <v>68</v>
      </c>
      <c r="AG6" t="s">
        <v>69</v>
      </c>
      <c r="AH6" t="s">
        <v>70</v>
      </c>
      <c r="AI6" t="s">
        <v>71</v>
      </c>
      <c r="AJ6" t="s">
        <v>72</v>
      </c>
      <c r="AK6" t="s">
        <v>73</v>
      </c>
      <c r="AL6" t="s">
        <v>74</v>
      </c>
      <c r="AM6" t="s">
        <v>75</v>
      </c>
      <c r="AN6" t="s">
        <v>76</v>
      </c>
      <c r="AO6" t="s">
        <v>77</v>
      </c>
      <c r="AP6" t="s">
        <v>78</v>
      </c>
      <c r="AQ6" t="s">
        <v>79</v>
      </c>
      <c r="AR6" t="s">
        <v>80</v>
      </c>
      <c r="AS6" t="s">
        <v>81</v>
      </c>
      <c r="AT6" t="s">
        <v>82</v>
      </c>
      <c r="AU6" t="s">
        <v>83</v>
      </c>
      <c r="AV6" t="s">
        <v>84</v>
      </c>
      <c r="AW6" t="s">
        <v>85</v>
      </c>
      <c r="AX6" t="s">
        <v>86</v>
      </c>
      <c r="AY6" t="s">
        <v>87</v>
      </c>
      <c r="AZ6" t="s">
        <v>88</v>
      </c>
      <c r="BA6" t="s">
        <v>89</v>
      </c>
      <c r="BB6" t="s">
        <v>90</v>
      </c>
      <c r="BC6" t="s">
        <v>91</v>
      </c>
      <c r="BD6" t="s">
        <v>92</v>
      </c>
      <c r="BE6" t="s">
        <v>93</v>
      </c>
      <c r="BF6" t="s">
        <v>94</v>
      </c>
      <c r="BG6" t="s">
        <v>95</v>
      </c>
      <c r="BH6" t="s">
        <v>96</v>
      </c>
      <c r="BI6" t="s">
        <v>97</v>
      </c>
      <c r="BJ6" t="s">
        <v>98</v>
      </c>
      <c r="BK6" t="s">
        <v>99</v>
      </c>
      <c r="BL6" t="s">
        <v>100</v>
      </c>
      <c r="BM6" t="s">
        <v>101</v>
      </c>
      <c r="BN6" t="s">
        <v>102</v>
      </c>
      <c r="BO6" t="s">
        <v>103</v>
      </c>
      <c r="BP6" t="s">
        <v>104</v>
      </c>
      <c r="BQ6" t="s">
        <v>105</v>
      </c>
      <c r="BR6" t="s">
        <v>106</v>
      </c>
      <c r="BS6" t="s">
        <v>107</v>
      </c>
      <c r="BT6" t="s">
        <v>108</v>
      </c>
      <c r="BU6" t="s">
        <v>109</v>
      </c>
      <c r="BV6" t="s">
        <v>110</v>
      </c>
      <c r="BW6" t="s">
        <v>111</v>
      </c>
      <c r="BX6" t="s">
        <v>112</v>
      </c>
      <c r="BY6" t="s">
        <v>113</v>
      </c>
      <c r="BZ6" t="s">
        <v>114</v>
      </c>
      <c r="CA6" t="s">
        <v>115</v>
      </c>
      <c r="CB6" t="s">
        <v>116</v>
      </c>
      <c r="CC6" t="s">
        <v>117</v>
      </c>
      <c r="CD6" t="s">
        <v>118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124</v>
      </c>
      <c r="CK6" t="s">
        <v>125</v>
      </c>
      <c r="CL6" t="s">
        <v>126</v>
      </c>
      <c r="CM6" t="s">
        <v>127</v>
      </c>
      <c r="CN6" t="s">
        <v>128</v>
      </c>
      <c r="CO6" t="s">
        <v>129</v>
      </c>
      <c r="CP6" t="s">
        <v>130</v>
      </c>
      <c r="CQ6" t="s">
        <v>131</v>
      </c>
      <c r="CR6" t="s">
        <v>132</v>
      </c>
      <c r="CS6" t="s">
        <v>133</v>
      </c>
      <c r="CT6" t="s">
        <v>134</v>
      </c>
      <c r="CU6" t="s">
        <v>135</v>
      </c>
      <c r="CV6" t="s">
        <v>136</v>
      </c>
      <c r="CW6" t="s">
        <v>137</v>
      </c>
      <c r="CX6" t="s">
        <v>138</v>
      </c>
      <c r="CY6" t="s">
        <v>139</v>
      </c>
      <c r="CZ6" t="s">
        <v>140</v>
      </c>
      <c r="DA6" t="s">
        <v>141</v>
      </c>
      <c r="DB6" t="s">
        <v>142</v>
      </c>
      <c r="DC6" t="s">
        <v>143</v>
      </c>
      <c r="DD6" t="s">
        <v>144</v>
      </c>
      <c r="DE6" t="s">
        <v>145</v>
      </c>
      <c r="DF6" t="s">
        <v>146</v>
      </c>
      <c r="DG6" t="s">
        <v>147</v>
      </c>
      <c r="DH6" t="s">
        <v>148</v>
      </c>
      <c r="DI6" t="s">
        <v>149</v>
      </c>
      <c r="DJ6" t="s">
        <v>150</v>
      </c>
      <c r="DK6" t="s">
        <v>151</v>
      </c>
      <c r="DL6" t="s">
        <v>152</v>
      </c>
      <c r="DM6" t="s">
        <v>153</v>
      </c>
    </row>
    <row r="7" spans="1:117" x14ac:dyDescent="0.3">
      <c r="A7" t="s">
        <v>154</v>
      </c>
      <c r="B7">
        <v>2024</v>
      </c>
      <c r="C7">
        <v>143820300</v>
      </c>
      <c r="D7">
        <v>766380.9</v>
      </c>
      <c r="E7">
        <v>434518.3</v>
      </c>
      <c r="F7">
        <v>2947854.5</v>
      </c>
      <c r="G7">
        <v>147969058.69999999</v>
      </c>
      <c r="H7">
        <v>138651535.90000001</v>
      </c>
      <c r="I7">
        <v>70295459</v>
      </c>
      <c r="J7">
        <v>82338350</v>
      </c>
      <c r="K7">
        <v>122129550</v>
      </c>
      <c r="L7">
        <v>3.5900000000000001E-2</v>
      </c>
      <c r="M7">
        <v>5.3900000000000003E-2</v>
      </c>
      <c r="N7">
        <v>0.12089999999999999</v>
      </c>
      <c r="O7">
        <v>47036.74</v>
      </c>
      <c r="P7">
        <v>33418.400000000001</v>
      </c>
      <c r="Q7">
        <v>0.63</v>
      </c>
      <c r="R7">
        <v>0.63</v>
      </c>
      <c r="S7">
        <v>232.3</v>
      </c>
      <c r="T7">
        <v>17.2</v>
      </c>
      <c r="U7">
        <v>2.41</v>
      </c>
      <c r="V7">
        <v>17.3</v>
      </c>
      <c r="W7">
        <v>812.9</v>
      </c>
      <c r="X7">
        <v>0.14000000000000001</v>
      </c>
      <c r="Y7">
        <v>233.5</v>
      </c>
      <c r="Z7">
        <v>41.6</v>
      </c>
      <c r="AA7">
        <v>275.10000000000002</v>
      </c>
      <c r="AB7">
        <v>247.3</v>
      </c>
      <c r="AC7">
        <v>18.600000000000001</v>
      </c>
      <c r="AD7">
        <v>2.61</v>
      </c>
      <c r="AE7">
        <v>18</v>
      </c>
      <c r="AF7">
        <v>855.8</v>
      </c>
      <c r="AG7">
        <v>0.15</v>
      </c>
      <c r="AH7">
        <v>248.5</v>
      </c>
      <c r="AI7">
        <v>43.6</v>
      </c>
      <c r="AJ7">
        <v>292.10000000000002</v>
      </c>
      <c r="AK7">
        <v>267.2</v>
      </c>
      <c r="AL7">
        <v>6.4</v>
      </c>
      <c r="AM7">
        <v>0.71</v>
      </c>
      <c r="AN7">
        <v>30.4</v>
      </c>
      <c r="AO7">
        <v>1352.8</v>
      </c>
      <c r="AP7">
        <v>0.12</v>
      </c>
      <c r="AQ7">
        <v>267.60000000000002</v>
      </c>
      <c r="AR7">
        <v>70.7</v>
      </c>
      <c r="AS7">
        <v>338.3</v>
      </c>
      <c r="AT7">
        <v>632</v>
      </c>
      <c r="AU7">
        <v>46</v>
      </c>
      <c r="AV7">
        <v>6.49</v>
      </c>
      <c r="AW7">
        <v>44.3</v>
      </c>
      <c r="AX7">
        <v>2199.4</v>
      </c>
      <c r="AY7">
        <v>0.32</v>
      </c>
      <c r="AZ7">
        <v>635.20000000000005</v>
      </c>
      <c r="BA7">
        <v>110</v>
      </c>
      <c r="BB7">
        <v>745.2</v>
      </c>
      <c r="BC7">
        <v>43369128.299999997</v>
      </c>
      <c r="BD7">
        <v>3206.2</v>
      </c>
      <c r="BE7">
        <v>450.6</v>
      </c>
      <c r="BF7">
        <v>3238100.5</v>
      </c>
      <c r="BG7">
        <v>151738.9</v>
      </c>
      <c r="BH7">
        <v>26.7</v>
      </c>
      <c r="BI7">
        <v>43587683.899999999</v>
      </c>
      <c r="BJ7">
        <v>7767205.7000000002</v>
      </c>
      <c r="BK7">
        <v>51354889.5</v>
      </c>
      <c r="BL7">
        <v>0</v>
      </c>
      <c r="BM7">
        <v>27.46</v>
      </c>
      <c r="BN7">
        <v>9.31</v>
      </c>
      <c r="BO7">
        <v>0</v>
      </c>
      <c r="BP7">
        <v>36.770000000000003</v>
      </c>
      <c r="BQ7">
        <v>29.17</v>
      </c>
      <c r="BR7">
        <v>10.24</v>
      </c>
      <c r="BS7">
        <v>0</v>
      </c>
      <c r="BT7">
        <v>39.4</v>
      </c>
      <c r="BU7">
        <v>188146900</v>
      </c>
      <c r="BV7">
        <v>77673600</v>
      </c>
      <c r="BW7">
        <v>649193.4</v>
      </c>
      <c r="BX7">
        <v>266879.09999999998</v>
      </c>
      <c r="BY7">
        <v>0</v>
      </c>
      <c r="BZ7">
        <v>0</v>
      </c>
      <c r="CA7">
        <v>22773602</v>
      </c>
      <c r="CB7">
        <v>0</v>
      </c>
      <c r="CC7">
        <v>605195.6</v>
      </c>
      <c r="CD7">
        <v>4272841</v>
      </c>
      <c r="CE7">
        <v>45562904</v>
      </c>
      <c r="CF7">
        <v>0</v>
      </c>
      <c r="CG7">
        <v>547089.1</v>
      </c>
      <c r="CH7">
        <v>64042.6</v>
      </c>
      <c r="CI7">
        <v>9499519</v>
      </c>
      <c r="CJ7">
        <v>30720758</v>
      </c>
      <c r="CK7">
        <v>39158.199999999997</v>
      </c>
      <c r="CL7">
        <v>350143.8</v>
      </c>
      <c r="CM7">
        <v>0</v>
      </c>
      <c r="CN7">
        <v>63126856</v>
      </c>
      <c r="CO7">
        <v>9668711</v>
      </c>
      <c r="CP7">
        <v>0</v>
      </c>
      <c r="CQ7">
        <v>624.79999999999995</v>
      </c>
      <c r="CR7">
        <v>42.7</v>
      </c>
      <c r="CS7">
        <v>0</v>
      </c>
      <c r="CT7">
        <v>4483</v>
      </c>
      <c r="CU7">
        <v>0</v>
      </c>
      <c r="CV7">
        <v>295.60000000000002</v>
      </c>
      <c r="CW7">
        <v>2421</v>
      </c>
      <c r="CX7">
        <v>16445.5</v>
      </c>
      <c r="CY7">
        <v>0</v>
      </c>
      <c r="CZ7">
        <v>5423.7</v>
      </c>
      <c r="DA7">
        <v>8.6</v>
      </c>
      <c r="DB7">
        <v>3963</v>
      </c>
      <c r="DC7">
        <v>3937</v>
      </c>
      <c r="DD7">
        <v>1118</v>
      </c>
      <c r="DE7">
        <v>216.3</v>
      </c>
      <c r="DF7">
        <v>0</v>
      </c>
      <c r="DG7">
        <v>23040.799999999999</v>
      </c>
      <c r="DH7">
        <v>0</v>
      </c>
      <c r="DI7">
        <v>2861.3</v>
      </c>
      <c r="DJ7">
        <v>1803.6</v>
      </c>
      <c r="DK7">
        <v>2163</v>
      </c>
      <c r="DL7">
        <v>0</v>
      </c>
      <c r="DM7">
        <v>0</v>
      </c>
    </row>
    <row r="8" spans="1:117" x14ac:dyDescent="0.3">
      <c r="A8" t="s">
        <v>154</v>
      </c>
      <c r="B8">
        <v>2026</v>
      </c>
      <c r="C8">
        <v>148447340</v>
      </c>
      <c r="D8">
        <v>4462827</v>
      </c>
      <c r="E8">
        <v>470327.6</v>
      </c>
      <c r="F8">
        <v>3641733.8</v>
      </c>
      <c r="G8">
        <v>157022232.69999999</v>
      </c>
      <c r="H8">
        <v>143112236.09999999</v>
      </c>
      <c r="I8">
        <v>67945275.700000003</v>
      </c>
      <c r="J8">
        <v>106909620</v>
      </c>
      <c r="K8">
        <v>144622380</v>
      </c>
      <c r="L8">
        <v>3.5900000000000001E-2</v>
      </c>
      <c r="M8">
        <v>5.3900000000000003E-2</v>
      </c>
      <c r="N8">
        <v>0.1208</v>
      </c>
      <c r="O8">
        <v>68528.759999999995</v>
      </c>
      <c r="P8">
        <v>34359.800000000003</v>
      </c>
      <c r="Q8">
        <v>0.69</v>
      </c>
      <c r="R8">
        <v>0.69</v>
      </c>
      <c r="S8">
        <v>202</v>
      </c>
      <c r="T8">
        <v>15.6</v>
      </c>
      <c r="U8">
        <v>2.2000000000000002</v>
      </c>
      <c r="V8">
        <v>14.6</v>
      </c>
      <c r="W8">
        <v>686.4</v>
      </c>
      <c r="X8">
        <v>0.13</v>
      </c>
      <c r="Y8">
        <v>203</v>
      </c>
      <c r="Z8">
        <v>35.1</v>
      </c>
      <c r="AA8">
        <v>238.1</v>
      </c>
      <c r="AB8">
        <v>209.8</v>
      </c>
      <c r="AC8">
        <v>16.2</v>
      </c>
      <c r="AD8">
        <v>2.2799999999999998</v>
      </c>
      <c r="AE8">
        <v>15</v>
      </c>
      <c r="AF8">
        <v>712.5</v>
      </c>
      <c r="AG8">
        <v>0.13</v>
      </c>
      <c r="AH8">
        <v>210.9</v>
      </c>
      <c r="AI8">
        <v>36.299999999999997</v>
      </c>
      <c r="AJ8">
        <v>247.1</v>
      </c>
      <c r="AK8">
        <v>177.8</v>
      </c>
      <c r="AL8">
        <v>5.8</v>
      </c>
      <c r="AM8">
        <v>0.71</v>
      </c>
      <c r="AN8">
        <v>18.899999999999999</v>
      </c>
      <c r="AO8">
        <v>850.8</v>
      </c>
      <c r="AP8">
        <v>0.08</v>
      </c>
      <c r="AQ8">
        <v>178.2</v>
      </c>
      <c r="AR8">
        <v>44.2</v>
      </c>
      <c r="AS8">
        <v>222.4</v>
      </c>
      <c r="AT8">
        <v>590.79999999999995</v>
      </c>
      <c r="AU8">
        <v>41.8</v>
      </c>
      <c r="AV8">
        <v>5.87</v>
      </c>
      <c r="AW8">
        <v>42.5</v>
      </c>
      <c r="AX8">
        <v>2101.6</v>
      </c>
      <c r="AY8">
        <v>0.3</v>
      </c>
      <c r="AZ8">
        <v>593.70000000000005</v>
      </c>
      <c r="BA8">
        <v>105.2</v>
      </c>
      <c r="BB8">
        <v>698.9</v>
      </c>
      <c r="BC8">
        <v>39082174.399999999</v>
      </c>
      <c r="BD8">
        <v>3016.1</v>
      </c>
      <c r="BE8">
        <v>425.6</v>
      </c>
      <c r="BF8">
        <v>2826983.1</v>
      </c>
      <c r="BG8">
        <v>132822.5</v>
      </c>
      <c r="BH8">
        <v>24.6</v>
      </c>
      <c r="BI8">
        <v>39288234.299999997</v>
      </c>
      <c r="BJ8">
        <v>6791823.5999999996</v>
      </c>
      <c r="BK8">
        <v>46080057.899999999</v>
      </c>
      <c r="BL8">
        <v>0</v>
      </c>
      <c r="BM8">
        <v>26.27</v>
      </c>
      <c r="BN8">
        <v>13.24</v>
      </c>
      <c r="BO8">
        <v>0</v>
      </c>
      <c r="BP8">
        <v>39.51</v>
      </c>
      <c r="BQ8">
        <v>28.21</v>
      </c>
      <c r="BR8">
        <v>14.86</v>
      </c>
      <c r="BS8">
        <v>0</v>
      </c>
      <c r="BT8">
        <v>43.07</v>
      </c>
      <c r="BU8">
        <v>195086500</v>
      </c>
      <c r="BV8">
        <v>89076960</v>
      </c>
      <c r="BW8">
        <v>3839547.5</v>
      </c>
      <c r="BX8">
        <v>264312</v>
      </c>
      <c r="BY8">
        <v>0</v>
      </c>
      <c r="BZ8">
        <v>0</v>
      </c>
      <c r="CA8">
        <v>21744526</v>
      </c>
      <c r="CB8">
        <v>0</v>
      </c>
      <c r="CC8">
        <v>605706.4</v>
      </c>
      <c r="CD8">
        <v>5320511</v>
      </c>
      <c r="CE8">
        <v>38269360</v>
      </c>
      <c r="CF8">
        <v>0</v>
      </c>
      <c r="CG8">
        <v>331937.7</v>
      </c>
      <c r="CH8">
        <v>63993.8</v>
      </c>
      <c r="CI8">
        <v>10742147</v>
      </c>
      <c r="CJ8">
        <v>30355932</v>
      </c>
      <c r="CK8">
        <v>21817.5</v>
      </c>
      <c r="CL8">
        <v>375966.1</v>
      </c>
      <c r="CM8">
        <v>0</v>
      </c>
      <c r="CN8">
        <v>72053930</v>
      </c>
      <c r="CO8">
        <v>11096814</v>
      </c>
      <c r="CP8">
        <v>0</v>
      </c>
      <c r="CQ8">
        <v>2795.2</v>
      </c>
      <c r="CR8">
        <v>42.7</v>
      </c>
      <c r="CS8">
        <v>0</v>
      </c>
      <c r="CT8">
        <v>4483</v>
      </c>
      <c r="CU8">
        <v>0</v>
      </c>
      <c r="CV8">
        <v>295.60000000000002</v>
      </c>
      <c r="CW8">
        <v>3000.3</v>
      </c>
      <c r="CX8">
        <v>16618.7</v>
      </c>
      <c r="CY8">
        <v>0</v>
      </c>
      <c r="CZ8">
        <v>5328.7</v>
      </c>
      <c r="DA8">
        <v>8.6</v>
      </c>
      <c r="DB8">
        <v>4357</v>
      </c>
      <c r="DC8">
        <v>3937</v>
      </c>
      <c r="DD8">
        <v>1118</v>
      </c>
      <c r="DE8">
        <v>216.3</v>
      </c>
      <c r="DF8">
        <v>0</v>
      </c>
      <c r="DG8">
        <v>26038</v>
      </c>
      <c r="DH8">
        <v>0</v>
      </c>
      <c r="DI8">
        <v>3225.1</v>
      </c>
      <c r="DJ8">
        <v>10485</v>
      </c>
      <c r="DK8">
        <v>2163</v>
      </c>
      <c r="DL8">
        <v>0</v>
      </c>
      <c r="DM8">
        <v>0</v>
      </c>
    </row>
    <row r="9" spans="1:117" x14ac:dyDescent="0.3">
      <c r="A9" t="s">
        <v>154</v>
      </c>
      <c r="B9">
        <v>2028</v>
      </c>
      <c r="C9">
        <v>155122860</v>
      </c>
      <c r="D9">
        <v>8161449</v>
      </c>
      <c r="E9">
        <v>536994.80000000005</v>
      </c>
      <c r="F9">
        <v>4236294.7</v>
      </c>
      <c r="G9">
        <v>168057608.69999999</v>
      </c>
      <c r="H9">
        <v>149547810.5</v>
      </c>
      <c r="I9">
        <v>61156510.700000003</v>
      </c>
      <c r="J9">
        <v>132881944</v>
      </c>
      <c r="K9">
        <v>162512300</v>
      </c>
      <c r="L9">
        <v>3.5900000000000001E-2</v>
      </c>
      <c r="M9">
        <v>5.3900000000000003E-2</v>
      </c>
      <c r="N9">
        <v>0.121</v>
      </c>
      <c r="O9">
        <v>71832</v>
      </c>
      <c r="P9">
        <v>35948.199999999997</v>
      </c>
      <c r="Q9">
        <v>0.78</v>
      </c>
      <c r="R9">
        <v>0.78</v>
      </c>
      <c r="S9">
        <v>145.69999999999999</v>
      </c>
      <c r="T9">
        <v>11.7</v>
      </c>
      <c r="U9">
        <v>1.66</v>
      </c>
      <c r="V9">
        <v>10.5</v>
      </c>
      <c r="W9">
        <v>481.6</v>
      </c>
      <c r="X9">
        <v>0.1</v>
      </c>
      <c r="Y9">
        <v>146.5</v>
      </c>
      <c r="Z9">
        <v>24.8</v>
      </c>
      <c r="AA9">
        <v>171.3</v>
      </c>
      <c r="AB9">
        <v>148.9</v>
      </c>
      <c r="AC9">
        <v>11.8</v>
      </c>
      <c r="AD9">
        <v>1.67</v>
      </c>
      <c r="AE9">
        <v>10.7</v>
      </c>
      <c r="AF9">
        <v>496.9</v>
      </c>
      <c r="AG9">
        <v>0.1</v>
      </c>
      <c r="AH9">
        <v>149.69999999999999</v>
      </c>
      <c r="AI9">
        <v>25.5</v>
      </c>
      <c r="AJ9">
        <v>175.2</v>
      </c>
      <c r="AK9">
        <v>130.9</v>
      </c>
      <c r="AL9">
        <v>4.8</v>
      </c>
      <c r="AM9">
        <v>0.6</v>
      </c>
      <c r="AN9">
        <v>13.4</v>
      </c>
      <c r="AO9">
        <v>611</v>
      </c>
      <c r="AP9">
        <v>0.06</v>
      </c>
      <c r="AQ9">
        <v>131.19999999999999</v>
      </c>
      <c r="AR9">
        <v>31.7</v>
      </c>
      <c r="AS9">
        <v>162.9</v>
      </c>
      <c r="AT9">
        <v>514.29999999999995</v>
      </c>
      <c r="AU9">
        <v>36.299999999999997</v>
      </c>
      <c r="AV9">
        <v>5.0999999999999996</v>
      </c>
      <c r="AW9">
        <v>37.4</v>
      </c>
      <c r="AX9">
        <v>1826.2</v>
      </c>
      <c r="AY9">
        <v>0.27</v>
      </c>
      <c r="AZ9">
        <v>516.79999999999995</v>
      </c>
      <c r="BA9">
        <v>91.9</v>
      </c>
      <c r="BB9">
        <v>608.70000000000005</v>
      </c>
      <c r="BC9">
        <v>28571045.399999999</v>
      </c>
      <c r="BD9">
        <v>2293.6999999999998</v>
      </c>
      <c r="BE9">
        <v>324.8</v>
      </c>
      <c r="BF9">
        <v>2052652.6</v>
      </c>
      <c r="BG9">
        <v>94449.5</v>
      </c>
      <c r="BH9">
        <v>19.600000000000001</v>
      </c>
      <c r="BI9">
        <v>28728070.5</v>
      </c>
      <c r="BJ9">
        <v>4872587.3</v>
      </c>
      <c r="BK9">
        <v>33600657.799999997</v>
      </c>
      <c r="BL9">
        <v>0</v>
      </c>
      <c r="BM9">
        <v>21.85</v>
      </c>
      <c r="BN9">
        <v>13.52</v>
      </c>
      <c r="BO9">
        <v>0</v>
      </c>
      <c r="BP9">
        <v>35.369999999999997</v>
      </c>
      <c r="BQ9">
        <v>23.81</v>
      </c>
      <c r="BR9">
        <v>15.52</v>
      </c>
      <c r="BS9">
        <v>0</v>
      </c>
      <c r="BT9">
        <v>39.33</v>
      </c>
      <c r="BU9">
        <v>197990560</v>
      </c>
      <c r="BV9">
        <v>106901096</v>
      </c>
      <c r="BW9">
        <v>6972082.5</v>
      </c>
      <c r="BX9">
        <v>257630.4</v>
      </c>
      <c r="BY9">
        <v>0</v>
      </c>
      <c r="BZ9">
        <v>0</v>
      </c>
      <c r="CA9">
        <v>16780902</v>
      </c>
      <c r="CB9">
        <v>0</v>
      </c>
      <c r="CC9">
        <v>562184</v>
      </c>
      <c r="CD9">
        <v>6561916.5</v>
      </c>
      <c r="CE9">
        <v>26125086</v>
      </c>
      <c r="CF9">
        <v>0</v>
      </c>
      <c r="CG9">
        <v>168710.8</v>
      </c>
      <c r="CH9">
        <v>237320.9</v>
      </c>
      <c r="CI9">
        <v>10617267</v>
      </c>
      <c r="CJ9">
        <v>29477556</v>
      </c>
      <c r="CK9">
        <v>17482</v>
      </c>
      <c r="CL9">
        <v>435425</v>
      </c>
      <c r="CM9">
        <v>0</v>
      </c>
      <c r="CN9">
        <v>84752080</v>
      </c>
      <c r="CO9">
        <v>15024920</v>
      </c>
      <c r="CP9">
        <v>0</v>
      </c>
      <c r="CQ9">
        <v>4630.8</v>
      </c>
      <c r="CR9">
        <v>42.7</v>
      </c>
      <c r="CS9">
        <v>0</v>
      </c>
      <c r="CT9">
        <v>4483</v>
      </c>
      <c r="CU9">
        <v>0</v>
      </c>
      <c r="CV9">
        <v>295.60000000000002</v>
      </c>
      <c r="CW9">
        <v>3736.8</v>
      </c>
      <c r="CX9">
        <v>16168.7</v>
      </c>
      <c r="CY9">
        <v>0</v>
      </c>
      <c r="CZ9">
        <v>4674.2</v>
      </c>
      <c r="DA9">
        <v>32.200000000000003</v>
      </c>
      <c r="DB9">
        <v>4360</v>
      </c>
      <c r="DC9">
        <v>3937</v>
      </c>
      <c r="DD9">
        <v>1098</v>
      </c>
      <c r="DE9">
        <v>216.3</v>
      </c>
      <c r="DF9">
        <v>0</v>
      </c>
      <c r="DG9">
        <v>30863.5</v>
      </c>
      <c r="DH9">
        <v>0</v>
      </c>
      <c r="DI9">
        <v>4316.3</v>
      </c>
      <c r="DJ9">
        <v>19182.099999999999</v>
      </c>
      <c r="DK9">
        <v>2163</v>
      </c>
      <c r="DL9">
        <v>0</v>
      </c>
      <c r="DM9">
        <v>0</v>
      </c>
    </row>
    <row r="10" spans="1:117" x14ac:dyDescent="0.3">
      <c r="A10" t="s">
        <v>154</v>
      </c>
      <c r="B10">
        <v>2030</v>
      </c>
      <c r="C10">
        <v>162338640</v>
      </c>
      <c r="D10">
        <v>16339474</v>
      </c>
      <c r="E10">
        <v>564329.19999999995</v>
      </c>
      <c r="F10">
        <v>4570342.7</v>
      </c>
      <c r="G10">
        <v>183812783.40000001</v>
      </c>
      <c r="H10">
        <v>156504193.30000001</v>
      </c>
      <c r="I10">
        <v>57949775.799999997</v>
      </c>
      <c r="J10">
        <v>144715650</v>
      </c>
      <c r="K10">
        <v>173182750</v>
      </c>
      <c r="L10">
        <v>3.5900000000000001E-2</v>
      </c>
      <c r="M10">
        <v>5.3900000000000003E-2</v>
      </c>
      <c r="N10">
        <v>0.12089999999999999</v>
      </c>
      <c r="O10">
        <v>68602.27</v>
      </c>
      <c r="P10">
        <v>37639.199999999997</v>
      </c>
      <c r="Q10">
        <v>0.85</v>
      </c>
      <c r="R10">
        <v>0.85</v>
      </c>
      <c r="S10">
        <v>108.6</v>
      </c>
      <c r="T10">
        <v>9.3000000000000007</v>
      </c>
      <c r="U10">
        <v>1.32</v>
      </c>
      <c r="V10">
        <v>7.5</v>
      </c>
      <c r="W10">
        <v>342.2</v>
      </c>
      <c r="X10">
        <v>0.08</v>
      </c>
      <c r="Y10">
        <v>109.2</v>
      </c>
      <c r="Z10">
        <v>17.7</v>
      </c>
      <c r="AA10">
        <v>126.9</v>
      </c>
      <c r="AB10">
        <v>108.5</v>
      </c>
      <c r="AC10">
        <v>9.1</v>
      </c>
      <c r="AD10">
        <v>1.29</v>
      </c>
      <c r="AE10">
        <v>7.5</v>
      </c>
      <c r="AF10">
        <v>346.9</v>
      </c>
      <c r="AG10">
        <v>0.08</v>
      </c>
      <c r="AH10">
        <v>109.1</v>
      </c>
      <c r="AI10">
        <v>17.899999999999999</v>
      </c>
      <c r="AJ10">
        <v>127</v>
      </c>
      <c r="AK10">
        <v>127.7</v>
      </c>
      <c r="AL10">
        <v>5.0999999999999996</v>
      </c>
      <c r="AM10">
        <v>0.66</v>
      </c>
      <c r="AN10">
        <v>12.7</v>
      </c>
      <c r="AO10">
        <v>581.20000000000005</v>
      </c>
      <c r="AP10">
        <v>0.06</v>
      </c>
      <c r="AQ10">
        <v>128</v>
      </c>
      <c r="AR10">
        <v>30.1</v>
      </c>
      <c r="AS10">
        <v>158.1</v>
      </c>
      <c r="AT10">
        <v>415.3</v>
      </c>
      <c r="AU10">
        <v>29.4</v>
      </c>
      <c r="AV10">
        <v>4.13</v>
      </c>
      <c r="AW10">
        <v>30.7</v>
      </c>
      <c r="AX10">
        <v>1472.8</v>
      </c>
      <c r="AY10">
        <v>0.23</v>
      </c>
      <c r="AZ10">
        <v>417.3</v>
      </c>
      <c r="BA10">
        <v>74.7</v>
      </c>
      <c r="BB10">
        <v>491.9</v>
      </c>
      <c r="BC10">
        <v>22828603</v>
      </c>
      <c r="BD10">
        <v>1949.3</v>
      </c>
      <c r="BE10">
        <v>277.5</v>
      </c>
      <c r="BF10">
        <v>1580131.4</v>
      </c>
      <c r="BG10">
        <v>71913.5</v>
      </c>
      <c r="BH10">
        <v>16.7</v>
      </c>
      <c r="BI10">
        <v>22962450.300000001</v>
      </c>
      <c r="BJ10">
        <v>3727714.8</v>
      </c>
      <c r="BK10">
        <v>26690165.199999999</v>
      </c>
      <c r="BL10">
        <v>0</v>
      </c>
      <c r="BM10">
        <v>18.77</v>
      </c>
      <c r="BN10">
        <v>12.37</v>
      </c>
      <c r="BO10">
        <v>0</v>
      </c>
      <c r="BP10">
        <v>31.13</v>
      </c>
      <c r="BQ10">
        <v>21.02</v>
      </c>
      <c r="BR10">
        <v>14.77</v>
      </c>
      <c r="BS10">
        <v>0</v>
      </c>
      <c r="BT10">
        <v>35.79</v>
      </c>
      <c r="BU10">
        <v>212615980</v>
      </c>
      <c r="BV10">
        <v>125863016</v>
      </c>
      <c r="BW10">
        <v>13955925</v>
      </c>
      <c r="BX10">
        <v>249730.6</v>
      </c>
      <c r="BY10">
        <v>0</v>
      </c>
      <c r="BZ10">
        <v>0</v>
      </c>
      <c r="CA10">
        <v>14607806</v>
      </c>
      <c r="CB10">
        <v>0</v>
      </c>
      <c r="CC10">
        <v>494218.2</v>
      </c>
      <c r="CD10">
        <v>7718514.5</v>
      </c>
      <c r="CE10">
        <v>18009774</v>
      </c>
      <c r="CF10">
        <v>0</v>
      </c>
      <c r="CG10">
        <v>141232.6</v>
      </c>
      <c r="CH10">
        <v>233912.5</v>
      </c>
      <c r="CI10">
        <v>10494751</v>
      </c>
      <c r="CJ10">
        <v>28614692</v>
      </c>
      <c r="CK10">
        <v>3695.4</v>
      </c>
      <c r="CL10">
        <v>441448.6</v>
      </c>
      <c r="CM10">
        <v>0</v>
      </c>
      <c r="CN10">
        <v>95749620</v>
      </c>
      <c r="CO10">
        <v>21900658</v>
      </c>
      <c r="CP10">
        <v>0</v>
      </c>
      <c r="CQ10">
        <v>7924.1</v>
      </c>
      <c r="CR10">
        <v>42.7</v>
      </c>
      <c r="CS10">
        <v>0</v>
      </c>
      <c r="CT10">
        <v>4483</v>
      </c>
      <c r="CU10">
        <v>0</v>
      </c>
      <c r="CV10">
        <v>295.60000000000002</v>
      </c>
      <c r="CW10">
        <v>4536.1000000000004</v>
      </c>
      <c r="CX10">
        <v>15800.7</v>
      </c>
      <c r="CY10">
        <v>0</v>
      </c>
      <c r="CZ10">
        <v>4322.2</v>
      </c>
      <c r="DA10">
        <v>32.200000000000003</v>
      </c>
      <c r="DB10">
        <v>4360</v>
      </c>
      <c r="DC10">
        <v>3937</v>
      </c>
      <c r="DD10">
        <v>585</v>
      </c>
      <c r="DE10">
        <v>216.3</v>
      </c>
      <c r="DF10">
        <v>0</v>
      </c>
      <c r="DG10">
        <v>36004.1</v>
      </c>
      <c r="DH10">
        <v>0</v>
      </c>
      <c r="DI10">
        <v>6064.7</v>
      </c>
      <c r="DJ10">
        <v>38316.400000000001</v>
      </c>
      <c r="DK10">
        <v>2163</v>
      </c>
      <c r="DL10">
        <v>0</v>
      </c>
      <c r="DM10">
        <v>0</v>
      </c>
    </row>
    <row r="11" spans="1:117" x14ac:dyDescent="0.3">
      <c r="A11" t="s">
        <v>154</v>
      </c>
      <c r="B11">
        <v>2035</v>
      </c>
      <c r="C11">
        <v>186800880</v>
      </c>
      <c r="D11">
        <v>33898890</v>
      </c>
      <c r="E11">
        <v>2622521</v>
      </c>
      <c r="F11">
        <v>4112393.4</v>
      </c>
      <c r="G11">
        <v>227434676</v>
      </c>
      <c r="H11">
        <v>180087149.59999999</v>
      </c>
      <c r="I11">
        <v>79314212</v>
      </c>
      <c r="J11">
        <v>134540640</v>
      </c>
      <c r="K11">
        <v>148403840</v>
      </c>
      <c r="L11">
        <v>3.5900000000000001E-2</v>
      </c>
      <c r="M11">
        <v>5.3900000000000003E-2</v>
      </c>
      <c r="N11">
        <v>0.12180000000000001</v>
      </c>
      <c r="O11">
        <v>90862.83</v>
      </c>
      <c r="P11">
        <v>43742.8</v>
      </c>
      <c r="Q11">
        <v>0.9</v>
      </c>
      <c r="R11">
        <v>0.9</v>
      </c>
      <c r="S11">
        <v>62.4</v>
      </c>
      <c r="T11">
        <v>4.8</v>
      </c>
      <c r="U11">
        <v>0.68</v>
      </c>
      <c r="V11">
        <v>5.0999999999999996</v>
      </c>
      <c r="W11">
        <v>214.1</v>
      </c>
      <c r="X11">
        <v>0.05</v>
      </c>
      <c r="Y11">
        <v>62.7</v>
      </c>
      <c r="Z11">
        <v>11.5</v>
      </c>
      <c r="AA11">
        <v>74.3</v>
      </c>
      <c r="AB11">
        <v>65.8</v>
      </c>
      <c r="AC11">
        <v>4.9000000000000004</v>
      </c>
      <c r="AD11">
        <v>0.7</v>
      </c>
      <c r="AE11">
        <v>5.4</v>
      </c>
      <c r="AF11">
        <v>229.3</v>
      </c>
      <c r="AG11">
        <v>0.05</v>
      </c>
      <c r="AH11">
        <v>66.099999999999994</v>
      </c>
      <c r="AI11">
        <v>12.3</v>
      </c>
      <c r="AJ11">
        <v>78.400000000000006</v>
      </c>
      <c r="AK11">
        <v>152.19999999999999</v>
      </c>
      <c r="AL11">
        <v>5.4</v>
      </c>
      <c r="AM11">
        <v>0.67</v>
      </c>
      <c r="AN11">
        <v>15.8</v>
      </c>
      <c r="AO11">
        <v>716.7</v>
      </c>
      <c r="AP11">
        <v>7.0000000000000007E-2</v>
      </c>
      <c r="AQ11">
        <v>152.5</v>
      </c>
      <c r="AR11">
        <v>37.200000000000003</v>
      </c>
      <c r="AS11">
        <v>189.7</v>
      </c>
      <c r="AT11">
        <v>346.5</v>
      </c>
      <c r="AU11">
        <v>23.9</v>
      </c>
      <c r="AV11">
        <v>3.35</v>
      </c>
      <c r="AW11">
        <v>26.6</v>
      </c>
      <c r="AX11">
        <v>1250.8</v>
      </c>
      <c r="AY11">
        <v>0.2</v>
      </c>
      <c r="AZ11">
        <v>348.1</v>
      </c>
      <c r="BA11">
        <v>63.9</v>
      </c>
      <c r="BB11">
        <v>412</v>
      </c>
      <c r="BC11">
        <v>14888512.800000001</v>
      </c>
      <c r="BD11">
        <v>1147.9000000000001</v>
      </c>
      <c r="BE11">
        <v>162</v>
      </c>
      <c r="BF11">
        <v>1225269.3999999999</v>
      </c>
      <c r="BG11">
        <v>51001.7</v>
      </c>
      <c r="BH11">
        <v>12.7</v>
      </c>
      <c r="BI11">
        <v>14966933.300000001</v>
      </c>
      <c r="BJ11">
        <v>2748579.6</v>
      </c>
      <c r="BK11">
        <v>17715513</v>
      </c>
      <c r="BL11">
        <v>0</v>
      </c>
      <c r="BM11">
        <v>15.62</v>
      </c>
      <c r="BN11">
        <v>15.22</v>
      </c>
      <c r="BO11">
        <v>0</v>
      </c>
      <c r="BP11">
        <v>30.84</v>
      </c>
      <c r="BQ11">
        <v>18.14</v>
      </c>
      <c r="BR11">
        <v>19.66</v>
      </c>
      <c r="BS11">
        <v>0</v>
      </c>
      <c r="BT11">
        <v>37.799999999999997</v>
      </c>
      <c r="BU11">
        <v>241537970</v>
      </c>
      <c r="BV11">
        <v>148120460</v>
      </c>
      <c r="BW11">
        <v>28770580</v>
      </c>
      <c r="BX11">
        <v>228037.7</v>
      </c>
      <c r="BY11">
        <v>0</v>
      </c>
      <c r="BZ11">
        <v>0</v>
      </c>
      <c r="CA11">
        <v>8419978</v>
      </c>
      <c r="CB11">
        <v>0</v>
      </c>
      <c r="CC11">
        <v>394114.3</v>
      </c>
      <c r="CD11">
        <v>9013552</v>
      </c>
      <c r="CE11">
        <v>15197078</v>
      </c>
      <c r="CF11">
        <v>0</v>
      </c>
      <c r="CG11">
        <v>183179.5</v>
      </c>
      <c r="CH11">
        <v>232814.2</v>
      </c>
      <c r="CI11">
        <v>10440233</v>
      </c>
      <c r="CJ11">
        <v>27820966</v>
      </c>
      <c r="CK11">
        <v>5328.9</v>
      </c>
      <c r="CL11">
        <v>2119314.5</v>
      </c>
      <c r="CM11">
        <v>0</v>
      </c>
      <c r="CN11">
        <v>114456550</v>
      </c>
      <c r="CO11">
        <v>24256252</v>
      </c>
      <c r="CP11">
        <v>0</v>
      </c>
      <c r="CQ11">
        <v>14274.4</v>
      </c>
      <c r="CR11">
        <v>40.5</v>
      </c>
      <c r="CS11">
        <v>0</v>
      </c>
      <c r="CT11">
        <v>2181</v>
      </c>
      <c r="CU11">
        <v>0</v>
      </c>
      <c r="CV11">
        <v>295.60000000000002</v>
      </c>
      <c r="CW11">
        <v>5682.9</v>
      </c>
      <c r="CX11">
        <v>15747.1</v>
      </c>
      <c r="CY11">
        <v>0</v>
      </c>
      <c r="CZ11">
        <v>5068.8</v>
      </c>
      <c r="DA11">
        <v>32.200000000000003</v>
      </c>
      <c r="DB11">
        <v>4360</v>
      </c>
      <c r="DC11">
        <v>3937</v>
      </c>
      <c r="DD11">
        <v>359</v>
      </c>
      <c r="DE11">
        <v>995</v>
      </c>
      <c r="DF11">
        <v>0</v>
      </c>
      <c r="DG11">
        <v>45483.1</v>
      </c>
      <c r="DH11">
        <v>0</v>
      </c>
      <c r="DI11">
        <v>6738.4</v>
      </c>
      <c r="DJ11">
        <v>80768.5</v>
      </c>
      <c r="DK11">
        <v>9950.2999999999993</v>
      </c>
      <c r="DL11">
        <v>0</v>
      </c>
      <c r="DM11">
        <v>0</v>
      </c>
    </row>
    <row r="12" spans="1:117" x14ac:dyDescent="0.3">
      <c r="A12" t="s">
        <v>154</v>
      </c>
      <c r="B12">
        <v>2040</v>
      </c>
      <c r="C12">
        <v>215619620</v>
      </c>
      <c r="D12">
        <v>50655170</v>
      </c>
      <c r="E12">
        <v>2694759.8</v>
      </c>
      <c r="F12">
        <v>3836695.4</v>
      </c>
      <c r="G12">
        <v>272806223.10000002</v>
      </c>
      <c r="H12">
        <v>207869939.69999999</v>
      </c>
      <c r="I12">
        <v>100921548.2</v>
      </c>
      <c r="J12">
        <v>131627180</v>
      </c>
      <c r="K12">
        <v>133641496</v>
      </c>
      <c r="L12">
        <v>3.5900000000000001E-2</v>
      </c>
      <c r="M12">
        <v>5.3900000000000003E-2</v>
      </c>
      <c r="N12">
        <v>0.1215</v>
      </c>
      <c r="O12">
        <v>89801.84</v>
      </c>
      <c r="P12">
        <v>50801.4</v>
      </c>
      <c r="Q12">
        <v>0.93</v>
      </c>
      <c r="R12">
        <v>0.92</v>
      </c>
      <c r="S12">
        <v>45.9</v>
      </c>
      <c r="T12">
        <v>3.4</v>
      </c>
      <c r="U12">
        <v>0.48</v>
      </c>
      <c r="V12">
        <v>4</v>
      </c>
      <c r="W12">
        <v>160.9</v>
      </c>
      <c r="X12">
        <v>0.04</v>
      </c>
      <c r="Y12">
        <v>46.2</v>
      </c>
      <c r="Z12">
        <v>8.8000000000000007</v>
      </c>
      <c r="AA12">
        <v>55</v>
      </c>
      <c r="AB12">
        <v>48.7</v>
      </c>
      <c r="AC12">
        <v>3.6</v>
      </c>
      <c r="AD12">
        <v>0.5</v>
      </c>
      <c r="AE12">
        <v>4.3</v>
      </c>
      <c r="AF12">
        <v>172.7</v>
      </c>
      <c r="AG12">
        <v>0.04</v>
      </c>
      <c r="AH12">
        <v>48.9</v>
      </c>
      <c r="AI12">
        <v>9.4</v>
      </c>
      <c r="AJ12">
        <v>58.3</v>
      </c>
      <c r="AK12">
        <v>165.3</v>
      </c>
      <c r="AL12">
        <v>6</v>
      </c>
      <c r="AM12">
        <v>0.76</v>
      </c>
      <c r="AN12">
        <v>17.100000000000001</v>
      </c>
      <c r="AO12">
        <v>773.8</v>
      </c>
      <c r="AP12">
        <v>0.08</v>
      </c>
      <c r="AQ12">
        <v>165.7</v>
      </c>
      <c r="AR12">
        <v>40.1</v>
      </c>
      <c r="AS12">
        <v>205.9</v>
      </c>
      <c r="AT12">
        <v>268</v>
      </c>
      <c r="AU12">
        <v>16.8</v>
      </c>
      <c r="AV12">
        <v>2.33</v>
      </c>
      <c r="AW12">
        <v>22.3</v>
      </c>
      <c r="AX12">
        <v>1022.2</v>
      </c>
      <c r="AY12">
        <v>0.15</v>
      </c>
      <c r="AZ12">
        <v>269.2</v>
      </c>
      <c r="BA12">
        <v>52.8</v>
      </c>
      <c r="BB12">
        <v>321.89999999999998</v>
      </c>
      <c r="BC12">
        <v>12434795.699999999</v>
      </c>
      <c r="BD12">
        <v>935.3</v>
      </c>
      <c r="BE12">
        <v>131.6</v>
      </c>
      <c r="BF12">
        <v>1078166.1000000001</v>
      </c>
      <c r="BG12">
        <v>43434.5</v>
      </c>
      <c r="BH12">
        <v>11.3</v>
      </c>
      <c r="BI12">
        <v>12498598.9</v>
      </c>
      <c r="BJ12">
        <v>2375602</v>
      </c>
      <c r="BK12">
        <v>14874200.800000001</v>
      </c>
      <c r="BL12">
        <v>0</v>
      </c>
      <c r="BM12">
        <v>12.59</v>
      </c>
      <c r="BN12">
        <v>14.44</v>
      </c>
      <c r="BO12">
        <v>0</v>
      </c>
      <c r="BP12">
        <v>27.03</v>
      </c>
      <c r="BQ12">
        <v>15.29</v>
      </c>
      <c r="BR12">
        <v>19.45</v>
      </c>
      <c r="BS12">
        <v>0</v>
      </c>
      <c r="BT12">
        <v>34.75</v>
      </c>
      <c r="BU12">
        <v>275091940</v>
      </c>
      <c r="BV12">
        <v>171884670</v>
      </c>
      <c r="BW12">
        <v>42974650</v>
      </c>
      <c r="BX12">
        <v>220501.4</v>
      </c>
      <c r="BY12">
        <v>0</v>
      </c>
      <c r="BZ12">
        <v>0</v>
      </c>
      <c r="CA12">
        <v>6799749.5</v>
      </c>
      <c r="CB12">
        <v>0</v>
      </c>
      <c r="CC12">
        <v>263911.2</v>
      </c>
      <c r="CD12">
        <v>8563288</v>
      </c>
      <c r="CE12">
        <v>13453581</v>
      </c>
      <c r="CF12">
        <v>0</v>
      </c>
      <c r="CG12">
        <v>104269.5</v>
      </c>
      <c r="CH12">
        <v>233051.9</v>
      </c>
      <c r="CI12">
        <v>10315720</v>
      </c>
      <c r="CJ12">
        <v>26940252</v>
      </c>
      <c r="CK12">
        <v>214.2</v>
      </c>
      <c r="CL12">
        <v>2165281.7999999998</v>
      </c>
      <c r="CM12">
        <v>0</v>
      </c>
      <c r="CN12">
        <v>138524820</v>
      </c>
      <c r="CO12">
        <v>24532660</v>
      </c>
      <c r="CP12">
        <v>0</v>
      </c>
      <c r="CQ12">
        <v>21714.3</v>
      </c>
      <c r="CR12">
        <v>40.5</v>
      </c>
      <c r="CS12">
        <v>0</v>
      </c>
      <c r="CT12">
        <v>2065</v>
      </c>
      <c r="CU12">
        <v>0</v>
      </c>
      <c r="CV12">
        <v>295.60000000000002</v>
      </c>
      <c r="CW12">
        <v>5908.7</v>
      </c>
      <c r="CX12">
        <v>15674.1</v>
      </c>
      <c r="CY12">
        <v>0</v>
      </c>
      <c r="CZ12">
        <v>5068.8</v>
      </c>
      <c r="DA12">
        <v>32.200000000000003</v>
      </c>
      <c r="DB12">
        <v>4360</v>
      </c>
      <c r="DC12">
        <v>3937</v>
      </c>
      <c r="DD12">
        <v>175</v>
      </c>
      <c r="DE12">
        <v>995</v>
      </c>
      <c r="DF12">
        <v>0</v>
      </c>
      <c r="DG12">
        <v>58092.1</v>
      </c>
      <c r="DH12">
        <v>0</v>
      </c>
      <c r="DI12">
        <v>6704.9</v>
      </c>
      <c r="DJ12">
        <v>118076.1</v>
      </c>
      <c r="DK12">
        <v>9950.2999999999993</v>
      </c>
      <c r="DL12">
        <v>0</v>
      </c>
      <c r="DM12">
        <v>0</v>
      </c>
    </row>
    <row r="13" spans="1:117" x14ac:dyDescent="0.3">
      <c r="A13" t="s">
        <v>154</v>
      </c>
      <c r="B13">
        <v>2045</v>
      </c>
      <c r="C13">
        <v>244404320</v>
      </c>
      <c r="D13">
        <v>60476020</v>
      </c>
      <c r="E13">
        <v>2693124</v>
      </c>
      <c r="F13">
        <v>3604143.4</v>
      </c>
      <c r="G13">
        <v>311177625.10000002</v>
      </c>
      <c r="H13">
        <v>235619991.09999999</v>
      </c>
      <c r="I13">
        <v>121237063.09999999</v>
      </c>
      <c r="J13">
        <v>132444020</v>
      </c>
      <c r="K13">
        <v>118873790</v>
      </c>
      <c r="L13">
        <v>3.5900000000000001E-2</v>
      </c>
      <c r="M13">
        <v>5.3900000000000003E-2</v>
      </c>
      <c r="N13">
        <v>0.12130000000000001</v>
      </c>
      <c r="O13">
        <v>87982.39</v>
      </c>
      <c r="P13">
        <v>57986.8</v>
      </c>
      <c r="Q13">
        <v>0.94</v>
      </c>
      <c r="R13">
        <v>0.94</v>
      </c>
      <c r="S13">
        <v>38</v>
      </c>
      <c r="T13">
        <v>2.9</v>
      </c>
      <c r="U13">
        <v>0.4</v>
      </c>
      <c r="V13">
        <v>3.3</v>
      </c>
      <c r="W13">
        <v>132.6</v>
      </c>
      <c r="X13">
        <v>0.04</v>
      </c>
      <c r="Y13">
        <v>38.200000000000003</v>
      </c>
      <c r="Z13">
        <v>7.3</v>
      </c>
      <c r="AA13">
        <v>45.5</v>
      </c>
      <c r="AB13">
        <v>39.5</v>
      </c>
      <c r="AC13">
        <v>2.9</v>
      </c>
      <c r="AD13">
        <v>0.41</v>
      </c>
      <c r="AE13">
        <v>3.5</v>
      </c>
      <c r="AF13">
        <v>139.69999999999999</v>
      </c>
      <c r="AG13">
        <v>0.04</v>
      </c>
      <c r="AH13">
        <v>39.700000000000003</v>
      </c>
      <c r="AI13">
        <v>7.7</v>
      </c>
      <c r="AJ13">
        <v>47.4</v>
      </c>
      <c r="AK13">
        <v>152.4</v>
      </c>
      <c r="AL13">
        <v>5.5</v>
      </c>
      <c r="AM13">
        <v>0.7</v>
      </c>
      <c r="AN13">
        <v>15.7</v>
      </c>
      <c r="AO13">
        <v>713.1</v>
      </c>
      <c r="AP13">
        <v>7.0000000000000007E-2</v>
      </c>
      <c r="AQ13">
        <v>152.80000000000001</v>
      </c>
      <c r="AR13">
        <v>37</v>
      </c>
      <c r="AS13">
        <v>189.8</v>
      </c>
      <c r="AT13">
        <v>223.3</v>
      </c>
      <c r="AU13">
        <v>13.4</v>
      </c>
      <c r="AV13">
        <v>1.85</v>
      </c>
      <c r="AW13">
        <v>18.899999999999999</v>
      </c>
      <c r="AX13">
        <v>872.4</v>
      </c>
      <c r="AY13">
        <v>0.12</v>
      </c>
      <c r="AZ13">
        <v>224.2</v>
      </c>
      <c r="BA13">
        <v>44.9</v>
      </c>
      <c r="BB13">
        <v>269.10000000000002</v>
      </c>
      <c r="BC13">
        <v>11082006.6</v>
      </c>
      <c r="BD13">
        <v>840.3</v>
      </c>
      <c r="BE13">
        <v>118.3</v>
      </c>
      <c r="BF13">
        <v>975984.5</v>
      </c>
      <c r="BG13">
        <v>38547.699999999997</v>
      </c>
      <c r="BH13">
        <v>10.6</v>
      </c>
      <c r="BI13">
        <v>11139354.800000001</v>
      </c>
      <c r="BJ13">
        <v>2127589.2000000002</v>
      </c>
      <c r="BK13">
        <v>13266944</v>
      </c>
      <c r="BL13">
        <v>0</v>
      </c>
      <c r="BM13">
        <v>10.87</v>
      </c>
      <c r="BN13">
        <v>14.09</v>
      </c>
      <c r="BO13">
        <v>0</v>
      </c>
      <c r="BP13">
        <v>24.96</v>
      </c>
      <c r="BQ13">
        <v>13.33</v>
      </c>
      <c r="BR13">
        <v>19.149999999999999</v>
      </c>
      <c r="BS13">
        <v>0</v>
      </c>
      <c r="BT13">
        <v>32.479999999999997</v>
      </c>
      <c r="BU13">
        <v>297857760</v>
      </c>
      <c r="BV13">
        <v>189940560</v>
      </c>
      <c r="BW13">
        <v>51425576</v>
      </c>
      <c r="BX13">
        <v>214579.4</v>
      </c>
      <c r="BY13">
        <v>0</v>
      </c>
      <c r="BZ13">
        <v>0</v>
      </c>
      <c r="CA13">
        <v>6131553.5</v>
      </c>
      <c r="CB13">
        <v>0</v>
      </c>
      <c r="CC13">
        <v>0</v>
      </c>
      <c r="CD13">
        <v>8048455</v>
      </c>
      <c r="CE13">
        <v>11885557</v>
      </c>
      <c r="CF13">
        <v>0</v>
      </c>
      <c r="CG13">
        <v>55639.8</v>
      </c>
      <c r="CH13">
        <v>220840.1</v>
      </c>
      <c r="CI13">
        <v>9523651</v>
      </c>
      <c r="CJ13">
        <v>26346014</v>
      </c>
      <c r="CK13">
        <v>35.700000000000003</v>
      </c>
      <c r="CL13">
        <v>2113764</v>
      </c>
      <c r="CM13">
        <v>0</v>
      </c>
      <c r="CN13">
        <v>156104260</v>
      </c>
      <c r="CO13">
        <v>25787846</v>
      </c>
      <c r="CP13">
        <v>0</v>
      </c>
      <c r="CQ13">
        <v>25819.7</v>
      </c>
      <c r="CR13">
        <v>40.5</v>
      </c>
      <c r="CS13">
        <v>0</v>
      </c>
      <c r="CT13">
        <v>2065</v>
      </c>
      <c r="CU13">
        <v>0</v>
      </c>
      <c r="CV13">
        <v>0</v>
      </c>
      <c r="CW13">
        <v>6218.4</v>
      </c>
      <c r="CX13">
        <v>15674.1</v>
      </c>
      <c r="CY13">
        <v>0</v>
      </c>
      <c r="CZ13">
        <v>5028.3</v>
      </c>
      <c r="DA13">
        <v>30.6</v>
      </c>
      <c r="DB13">
        <v>4360</v>
      </c>
      <c r="DC13">
        <v>3937</v>
      </c>
      <c r="DD13">
        <v>175</v>
      </c>
      <c r="DE13">
        <v>995</v>
      </c>
      <c r="DF13">
        <v>0</v>
      </c>
      <c r="DG13">
        <v>65904.600000000006</v>
      </c>
      <c r="DH13">
        <v>0</v>
      </c>
      <c r="DI13">
        <v>7049.3</v>
      </c>
      <c r="DJ13">
        <v>140083.4</v>
      </c>
      <c r="DK13">
        <v>9950.2999999999993</v>
      </c>
      <c r="DL13">
        <v>0</v>
      </c>
      <c r="DM13">
        <v>0</v>
      </c>
    </row>
    <row r="14" spans="1:117" x14ac:dyDescent="0.3">
      <c r="A14" t="s">
        <v>154</v>
      </c>
      <c r="B14">
        <v>2050</v>
      </c>
      <c r="C14">
        <v>274308500</v>
      </c>
      <c r="D14">
        <v>72047570</v>
      </c>
      <c r="E14">
        <v>2719695.8</v>
      </c>
      <c r="F14">
        <v>3565678.1</v>
      </c>
      <c r="G14">
        <v>352641455.39999998</v>
      </c>
      <c r="H14">
        <v>264449339.40000001</v>
      </c>
      <c r="I14">
        <v>138306117.69999999</v>
      </c>
      <c r="J14">
        <v>136274560</v>
      </c>
      <c r="K14">
        <v>114297390</v>
      </c>
      <c r="L14">
        <v>3.5900000000000001E-2</v>
      </c>
      <c r="M14">
        <v>5.3900000000000003E-2</v>
      </c>
      <c r="N14">
        <v>0.1212</v>
      </c>
      <c r="O14">
        <v>83997.03</v>
      </c>
      <c r="P14">
        <v>65742.899999999994</v>
      </c>
      <c r="Q14">
        <v>0.95</v>
      </c>
      <c r="R14">
        <v>0.95</v>
      </c>
      <c r="S14">
        <v>33.299999999999997</v>
      </c>
      <c r="T14">
        <v>2.5</v>
      </c>
      <c r="U14">
        <v>0.35</v>
      </c>
      <c r="V14">
        <v>3</v>
      </c>
      <c r="W14">
        <v>117.9</v>
      </c>
      <c r="X14">
        <v>0.03</v>
      </c>
      <c r="Y14">
        <v>33.5</v>
      </c>
      <c r="Z14">
        <v>6.5</v>
      </c>
      <c r="AA14">
        <v>40</v>
      </c>
      <c r="AB14">
        <v>33.5</v>
      </c>
      <c r="AC14">
        <v>2.4</v>
      </c>
      <c r="AD14">
        <v>0.34</v>
      </c>
      <c r="AE14">
        <v>3.1</v>
      </c>
      <c r="AF14">
        <v>120.8</v>
      </c>
      <c r="AG14">
        <v>0.03</v>
      </c>
      <c r="AH14">
        <v>33.6</v>
      </c>
      <c r="AI14">
        <v>6.7</v>
      </c>
      <c r="AJ14">
        <v>40.4</v>
      </c>
      <c r="AK14">
        <v>150.6</v>
      </c>
      <c r="AL14">
        <v>5.5</v>
      </c>
      <c r="AM14">
        <v>0.69</v>
      </c>
      <c r="AN14">
        <v>15.5</v>
      </c>
      <c r="AO14">
        <v>704</v>
      </c>
      <c r="AP14">
        <v>7.0000000000000007E-2</v>
      </c>
      <c r="AQ14">
        <v>150.9</v>
      </c>
      <c r="AR14">
        <v>36.5</v>
      </c>
      <c r="AS14">
        <v>187.5</v>
      </c>
      <c r="AT14">
        <v>187.6</v>
      </c>
      <c r="AU14">
        <v>9.5</v>
      </c>
      <c r="AV14">
        <v>1.28</v>
      </c>
      <c r="AW14">
        <v>17.5</v>
      </c>
      <c r="AX14">
        <v>791.4</v>
      </c>
      <c r="AY14">
        <v>0.1</v>
      </c>
      <c r="AZ14">
        <v>188.3</v>
      </c>
      <c r="BA14">
        <v>41.1</v>
      </c>
      <c r="BB14">
        <v>229.4</v>
      </c>
      <c r="BC14">
        <v>10782525.4</v>
      </c>
      <c r="BD14">
        <v>803.5</v>
      </c>
      <c r="BE14">
        <v>113</v>
      </c>
      <c r="BF14">
        <v>964815.5</v>
      </c>
      <c r="BG14">
        <v>37958.400000000001</v>
      </c>
      <c r="BH14">
        <v>10.3</v>
      </c>
      <c r="BI14">
        <v>10837311.9</v>
      </c>
      <c r="BJ14">
        <v>2098796.6</v>
      </c>
      <c r="BK14">
        <v>12936108.5</v>
      </c>
      <c r="BL14">
        <v>0</v>
      </c>
      <c r="BM14">
        <v>10.38</v>
      </c>
      <c r="BN14">
        <v>13.42</v>
      </c>
      <c r="BO14">
        <v>0</v>
      </c>
      <c r="BP14">
        <v>23.8</v>
      </c>
      <c r="BQ14">
        <v>13.04</v>
      </c>
      <c r="BR14">
        <v>18.43</v>
      </c>
      <c r="BS14">
        <v>0</v>
      </c>
      <c r="BT14">
        <v>31.47</v>
      </c>
      <c r="BU14">
        <v>330927200</v>
      </c>
      <c r="BV14">
        <v>214335340</v>
      </c>
      <c r="BW14">
        <v>61150132</v>
      </c>
      <c r="BX14">
        <v>193177</v>
      </c>
      <c r="BY14">
        <v>0</v>
      </c>
      <c r="BZ14">
        <v>0</v>
      </c>
      <c r="CA14">
        <v>5832343.5</v>
      </c>
      <c r="CB14">
        <v>0</v>
      </c>
      <c r="CC14">
        <v>0</v>
      </c>
      <c r="CD14">
        <v>8067721</v>
      </c>
      <c r="CE14">
        <v>11950450</v>
      </c>
      <c r="CF14">
        <v>0</v>
      </c>
      <c r="CG14">
        <v>14199.6</v>
      </c>
      <c r="CH14">
        <v>167714.9</v>
      </c>
      <c r="CI14">
        <v>9155510</v>
      </c>
      <c r="CJ14">
        <v>25992604</v>
      </c>
      <c r="CK14">
        <v>35.700000000000003</v>
      </c>
      <c r="CL14">
        <v>2135682.2000000002</v>
      </c>
      <c r="CM14">
        <v>0</v>
      </c>
      <c r="CN14">
        <v>180499220</v>
      </c>
      <c r="CO14">
        <v>25768406</v>
      </c>
      <c r="CP14">
        <v>0</v>
      </c>
      <c r="CQ14">
        <v>30599.8</v>
      </c>
      <c r="CR14">
        <v>38</v>
      </c>
      <c r="CS14">
        <v>0</v>
      </c>
      <c r="CT14">
        <v>2065</v>
      </c>
      <c r="CU14">
        <v>0</v>
      </c>
      <c r="CV14">
        <v>0</v>
      </c>
      <c r="CW14">
        <v>6703.6</v>
      </c>
      <c r="CX14">
        <v>15300.9</v>
      </c>
      <c r="CY14">
        <v>0</v>
      </c>
      <c r="CZ14">
        <v>4734.3</v>
      </c>
      <c r="DA14">
        <v>23.6</v>
      </c>
      <c r="DB14">
        <v>4360</v>
      </c>
      <c r="DC14">
        <v>3937</v>
      </c>
      <c r="DD14">
        <v>175</v>
      </c>
      <c r="DE14">
        <v>995</v>
      </c>
      <c r="DF14">
        <v>0</v>
      </c>
      <c r="DG14">
        <v>79438.100000000006</v>
      </c>
      <c r="DH14">
        <v>0</v>
      </c>
      <c r="DI14">
        <v>6924.1</v>
      </c>
      <c r="DJ14">
        <v>163007</v>
      </c>
      <c r="DK14">
        <v>9950.2999999999993</v>
      </c>
      <c r="DL14">
        <v>0</v>
      </c>
      <c r="DM14">
        <v>0</v>
      </c>
    </row>
    <row r="15" spans="1:117" x14ac:dyDescent="0.3">
      <c r="A15" t="s">
        <v>155</v>
      </c>
      <c r="B15">
        <v>2024</v>
      </c>
      <c r="C15">
        <v>298017760</v>
      </c>
      <c r="D15">
        <v>4897210</v>
      </c>
      <c r="E15">
        <v>6827069</v>
      </c>
      <c r="F15">
        <v>3142754.8</v>
      </c>
      <c r="G15">
        <v>312884785.19999999</v>
      </c>
      <c r="H15">
        <v>287306140.5</v>
      </c>
      <c r="I15">
        <v>220696348.90000001</v>
      </c>
      <c r="J15">
        <v>113418800</v>
      </c>
      <c r="K15">
        <v>48294868</v>
      </c>
      <c r="L15">
        <v>3.5900000000000001E-2</v>
      </c>
      <c r="M15">
        <v>5.3900000000000003E-2</v>
      </c>
      <c r="N15">
        <v>0.182</v>
      </c>
      <c r="O15">
        <v>57803.37</v>
      </c>
      <c r="P15">
        <v>70411.5</v>
      </c>
      <c r="Q15">
        <v>0.71</v>
      </c>
      <c r="R15">
        <v>0.69</v>
      </c>
      <c r="S15">
        <v>113</v>
      </c>
      <c r="T15">
        <v>2.1</v>
      </c>
      <c r="U15">
        <v>0.21</v>
      </c>
      <c r="V15">
        <v>14.8</v>
      </c>
      <c r="W15">
        <v>593.20000000000005</v>
      </c>
      <c r="X15">
        <v>7.0000000000000007E-2</v>
      </c>
      <c r="Y15">
        <v>113.1</v>
      </c>
      <c r="Z15">
        <v>32.5</v>
      </c>
      <c r="AA15">
        <v>145.6</v>
      </c>
      <c r="AB15">
        <v>146.19999999999999</v>
      </c>
      <c r="AC15">
        <v>5.7</v>
      </c>
      <c r="AD15">
        <v>0.74</v>
      </c>
      <c r="AE15">
        <v>16.100000000000001</v>
      </c>
      <c r="AF15">
        <v>672.5</v>
      </c>
      <c r="AG15">
        <v>0.09</v>
      </c>
      <c r="AH15">
        <v>146.6</v>
      </c>
      <c r="AI15">
        <v>36.1</v>
      </c>
      <c r="AJ15">
        <v>182.7</v>
      </c>
      <c r="AK15">
        <v>158</v>
      </c>
      <c r="AL15">
        <v>3.7</v>
      </c>
      <c r="AM15">
        <v>0.41</v>
      </c>
      <c r="AN15">
        <v>18.100000000000001</v>
      </c>
      <c r="AO15">
        <v>803</v>
      </c>
      <c r="AP15">
        <v>7.0000000000000007E-2</v>
      </c>
      <c r="AQ15">
        <v>158.30000000000001</v>
      </c>
      <c r="AR15">
        <v>42</v>
      </c>
      <c r="AS15">
        <v>200.3</v>
      </c>
      <c r="AT15">
        <v>611.29999999999995</v>
      </c>
      <c r="AU15">
        <v>41.7</v>
      </c>
      <c r="AV15">
        <v>5.84</v>
      </c>
      <c r="AW15">
        <v>45.4</v>
      </c>
      <c r="AX15">
        <v>2217.5</v>
      </c>
      <c r="AY15">
        <v>0.31</v>
      </c>
      <c r="AZ15">
        <v>614.20000000000005</v>
      </c>
      <c r="BA15">
        <v>111.6</v>
      </c>
      <c r="BB15">
        <v>725.8</v>
      </c>
      <c r="BC15">
        <v>27831000.5</v>
      </c>
      <c r="BD15">
        <v>524.79999999999995</v>
      </c>
      <c r="BE15">
        <v>52.5</v>
      </c>
      <c r="BF15">
        <v>3649192.3</v>
      </c>
      <c r="BG15">
        <v>146120.70000000001</v>
      </c>
      <c r="BH15">
        <v>16.600000000000001</v>
      </c>
      <c r="BI15">
        <v>27860980.199999999</v>
      </c>
      <c r="BJ15">
        <v>8008113.2000000002</v>
      </c>
      <c r="BK15">
        <v>35869093.299999997</v>
      </c>
      <c r="BL15">
        <v>0</v>
      </c>
      <c r="BM15">
        <v>28.75</v>
      </c>
      <c r="BN15">
        <v>11.6</v>
      </c>
      <c r="BO15">
        <v>0.55000000000000004</v>
      </c>
      <c r="BP15">
        <v>40.909999999999997</v>
      </c>
      <c r="BQ15">
        <v>30.89</v>
      </c>
      <c r="BR15">
        <v>13.03</v>
      </c>
      <c r="BS15">
        <v>0.59</v>
      </c>
      <c r="BT15">
        <v>44.51</v>
      </c>
      <c r="BU15">
        <v>247127120</v>
      </c>
      <c r="BV15">
        <v>92188440</v>
      </c>
      <c r="BW15">
        <v>4130361.5</v>
      </c>
      <c r="BX15">
        <v>5340433</v>
      </c>
      <c r="BY15">
        <v>0</v>
      </c>
      <c r="BZ15">
        <v>0</v>
      </c>
      <c r="CA15">
        <v>0</v>
      </c>
      <c r="CB15">
        <v>0</v>
      </c>
      <c r="CC15">
        <v>1908843.6</v>
      </c>
      <c r="CD15">
        <v>21138596</v>
      </c>
      <c r="CE15">
        <v>71015330</v>
      </c>
      <c r="CF15">
        <v>0</v>
      </c>
      <c r="CG15">
        <v>474332.5</v>
      </c>
      <c r="CH15">
        <v>23143360</v>
      </c>
      <c r="CI15">
        <v>27758156</v>
      </c>
      <c r="CJ15">
        <v>17542990</v>
      </c>
      <c r="CK15">
        <v>11006.3</v>
      </c>
      <c r="CL15">
        <v>5522712</v>
      </c>
      <c r="CM15">
        <v>0</v>
      </c>
      <c r="CN15">
        <v>54388852</v>
      </c>
      <c r="CO15">
        <v>14752144</v>
      </c>
      <c r="CP15">
        <v>0</v>
      </c>
      <c r="CQ15">
        <v>3137.6</v>
      </c>
      <c r="CR15">
        <v>835.4</v>
      </c>
      <c r="CS15">
        <v>0</v>
      </c>
      <c r="CT15">
        <v>0</v>
      </c>
      <c r="CU15">
        <v>0</v>
      </c>
      <c r="CV15">
        <v>917.8</v>
      </c>
      <c r="CW15">
        <v>12957.4</v>
      </c>
      <c r="CX15">
        <v>19788.5</v>
      </c>
      <c r="CY15">
        <v>0</v>
      </c>
      <c r="CZ15">
        <v>10753.4</v>
      </c>
      <c r="DA15">
        <v>3107.8</v>
      </c>
      <c r="DB15">
        <v>10097.9</v>
      </c>
      <c r="DC15">
        <v>2240</v>
      </c>
      <c r="DD15">
        <v>994.6</v>
      </c>
      <c r="DE15">
        <v>3911.9</v>
      </c>
      <c r="DF15">
        <v>0</v>
      </c>
      <c r="DG15">
        <v>20026.8</v>
      </c>
      <c r="DH15">
        <v>0</v>
      </c>
      <c r="DI15">
        <v>6476</v>
      </c>
      <c r="DJ15">
        <v>11948.1</v>
      </c>
      <c r="DK15">
        <v>39119</v>
      </c>
      <c r="DL15">
        <v>0</v>
      </c>
      <c r="DM15">
        <v>0</v>
      </c>
    </row>
    <row r="16" spans="1:117" x14ac:dyDescent="0.3">
      <c r="A16" t="s">
        <v>155</v>
      </c>
      <c r="B16">
        <v>2026</v>
      </c>
      <c r="C16">
        <v>303193280</v>
      </c>
      <c r="D16">
        <v>6398029.5</v>
      </c>
      <c r="E16">
        <v>7518333</v>
      </c>
      <c r="F16">
        <v>3440333.5</v>
      </c>
      <c r="G16">
        <v>320549968.10000002</v>
      </c>
      <c r="H16">
        <v>292295622.30000001</v>
      </c>
      <c r="I16">
        <v>222749368.69999999</v>
      </c>
      <c r="J16">
        <v>126647570</v>
      </c>
      <c r="K16">
        <v>51717948</v>
      </c>
      <c r="L16">
        <v>3.5900000000000001E-2</v>
      </c>
      <c r="M16">
        <v>5.3900000000000003E-2</v>
      </c>
      <c r="N16">
        <v>0.182</v>
      </c>
      <c r="O16">
        <v>72992.55</v>
      </c>
      <c r="P16">
        <v>72109.7</v>
      </c>
      <c r="Q16">
        <v>0.75</v>
      </c>
      <c r="R16">
        <v>0.73</v>
      </c>
      <c r="S16">
        <v>97.3</v>
      </c>
      <c r="T16">
        <v>1.8</v>
      </c>
      <c r="U16">
        <v>0.18</v>
      </c>
      <c r="V16">
        <v>13</v>
      </c>
      <c r="W16">
        <v>511.4</v>
      </c>
      <c r="X16">
        <v>0.06</v>
      </c>
      <c r="Y16">
        <v>97.4</v>
      </c>
      <c r="Z16">
        <v>28.2</v>
      </c>
      <c r="AA16">
        <v>125.6</v>
      </c>
      <c r="AB16">
        <v>132</v>
      </c>
      <c r="AC16">
        <v>5.8</v>
      </c>
      <c r="AD16">
        <v>0.76</v>
      </c>
      <c r="AE16">
        <v>14.1</v>
      </c>
      <c r="AF16">
        <v>588.20000000000005</v>
      </c>
      <c r="AG16">
        <v>0.08</v>
      </c>
      <c r="AH16">
        <v>132.4</v>
      </c>
      <c r="AI16">
        <v>31.7</v>
      </c>
      <c r="AJ16">
        <v>164</v>
      </c>
      <c r="AK16">
        <v>98.3</v>
      </c>
      <c r="AL16">
        <v>2.7</v>
      </c>
      <c r="AM16">
        <v>0.32</v>
      </c>
      <c r="AN16">
        <v>10.8</v>
      </c>
      <c r="AO16">
        <v>486.2</v>
      </c>
      <c r="AP16">
        <v>0.04</v>
      </c>
      <c r="AQ16">
        <v>98.5</v>
      </c>
      <c r="AR16">
        <v>25.3</v>
      </c>
      <c r="AS16">
        <v>123.8</v>
      </c>
      <c r="AT16">
        <v>572.6</v>
      </c>
      <c r="AU16">
        <v>38</v>
      </c>
      <c r="AV16">
        <v>5.29</v>
      </c>
      <c r="AW16">
        <v>43.5</v>
      </c>
      <c r="AX16">
        <v>2118.5</v>
      </c>
      <c r="AY16">
        <v>0.28000000000000003</v>
      </c>
      <c r="AZ16">
        <v>575.20000000000005</v>
      </c>
      <c r="BA16">
        <v>106.7</v>
      </c>
      <c r="BB16">
        <v>681.9</v>
      </c>
      <c r="BC16">
        <v>23761025.699999999</v>
      </c>
      <c r="BD16">
        <v>448</v>
      </c>
      <c r="BE16">
        <v>44.8</v>
      </c>
      <c r="BF16">
        <v>3165063.8</v>
      </c>
      <c r="BG16">
        <v>124846.39999999999</v>
      </c>
      <c r="BH16">
        <v>14.8</v>
      </c>
      <c r="BI16">
        <v>23786615.5</v>
      </c>
      <c r="BJ16">
        <v>6889514.4000000004</v>
      </c>
      <c r="BK16">
        <v>30676130</v>
      </c>
      <c r="BL16">
        <v>0</v>
      </c>
      <c r="BM16">
        <v>27.89</v>
      </c>
      <c r="BN16">
        <v>14.62</v>
      </c>
      <c r="BO16">
        <v>0</v>
      </c>
      <c r="BP16">
        <v>42.51</v>
      </c>
      <c r="BQ16">
        <v>30.12</v>
      </c>
      <c r="BR16">
        <v>16.53</v>
      </c>
      <c r="BS16">
        <v>0</v>
      </c>
      <c r="BT16">
        <v>46.65</v>
      </c>
      <c r="BU16">
        <v>244958420</v>
      </c>
      <c r="BV16">
        <v>97800600</v>
      </c>
      <c r="BW16">
        <v>5430127.5</v>
      </c>
      <c r="BX16">
        <v>5285959</v>
      </c>
      <c r="BY16">
        <v>0</v>
      </c>
      <c r="BZ16">
        <v>0</v>
      </c>
      <c r="CA16">
        <v>0</v>
      </c>
      <c r="CB16">
        <v>0</v>
      </c>
      <c r="CC16">
        <v>1911202.2</v>
      </c>
      <c r="CD16">
        <v>24547802</v>
      </c>
      <c r="CE16">
        <v>61172950</v>
      </c>
      <c r="CF16">
        <v>0</v>
      </c>
      <c r="CG16">
        <v>422167.8</v>
      </c>
      <c r="CH16">
        <v>23143360</v>
      </c>
      <c r="CI16">
        <v>28278886</v>
      </c>
      <c r="CJ16">
        <v>17379404</v>
      </c>
      <c r="CK16">
        <v>7166.8</v>
      </c>
      <c r="CL16">
        <v>6037786</v>
      </c>
      <c r="CM16">
        <v>0</v>
      </c>
      <c r="CN16">
        <v>56695830</v>
      </c>
      <c r="CO16">
        <v>14645763</v>
      </c>
      <c r="CP16">
        <v>0</v>
      </c>
      <c r="CQ16">
        <v>4247.8999999999996</v>
      </c>
      <c r="CR16">
        <v>835.4</v>
      </c>
      <c r="CS16">
        <v>0</v>
      </c>
      <c r="CT16">
        <v>0</v>
      </c>
      <c r="CU16">
        <v>0</v>
      </c>
      <c r="CV16">
        <v>917.8</v>
      </c>
      <c r="CW16">
        <v>15132.9</v>
      </c>
      <c r="CX16">
        <v>19788.5</v>
      </c>
      <c r="CY16">
        <v>0</v>
      </c>
      <c r="CZ16">
        <v>10753.4</v>
      </c>
      <c r="DA16">
        <v>3107.8</v>
      </c>
      <c r="DB16">
        <v>10501.5</v>
      </c>
      <c r="DC16">
        <v>2240</v>
      </c>
      <c r="DD16">
        <v>993</v>
      </c>
      <c r="DE16">
        <v>3915.2</v>
      </c>
      <c r="DF16">
        <v>0</v>
      </c>
      <c r="DG16">
        <v>21064.799999999999</v>
      </c>
      <c r="DH16">
        <v>0</v>
      </c>
      <c r="DI16">
        <v>6421.6</v>
      </c>
      <c r="DJ16">
        <v>15587.3</v>
      </c>
      <c r="DK16">
        <v>39152.199999999997</v>
      </c>
      <c r="DL16">
        <v>0</v>
      </c>
      <c r="DM16">
        <v>0</v>
      </c>
    </row>
    <row r="17" spans="1:117" x14ac:dyDescent="0.3">
      <c r="A17" t="s">
        <v>155</v>
      </c>
      <c r="B17">
        <v>2028</v>
      </c>
      <c r="C17">
        <v>314826940</v>
      </c>
      <c r="D17">
        <v>11706343</v>
      </c>
      <c r="E17">
        <v>8624811</v>
      </c>
      <c r="F17">
        <v>3702498.5</v>
      </c>
      <c r="G17">
        <v>338860589</v>
      </c>
      <c r="H17">
        <v>303511143.89999998</v>
      </c>
      <c r="I17">
        <v>224872158.80000001</v>
      </c>
      <c r="J17">
        <v>133624850</v>
      </c>
      <c r="K17">
        <v>58618700</v>
      </c>
      <c r="L17">
        <v>3.5900000000000001E-2</v>
      </c>
      <c r="M17">
        <v>5.3900000000000003E-2</v>
      </c>
      <c r="N17">
        <v>0.182</v>
      </c>
      <c r="O17">
        <v>77523.25</v>
      </c>
      <c r="P17">
        <v>75889.5</v>
      </c>
      <c r="Q17">
        <v>0.82</v>
      </c>
      <c r="R17">
        <v>0.8</v>
      </c>
      <c r="S17">
        <v>67.2</v>
      </c>
      <c r="T17">
        <v>1.3</v>
      </c>
      <c r="U17">
        <v>0.13</v>
      </c>
      <c r="V17">
        <v>9.3000000000000007</v>
      </c>
      <c r="W17">
        <v>353.6</v>
      </c>
      <c r="X17">
        <v>0.05</v>
      </c>
      <c r="Y17">
        <v>67.3</v>
      </c>
      <c r="Z17">
        <v>19.8</v>
      </c>
      <c r="AA17">
        <v>87.1</v>
      </c>
      <c r="AB17">
        <v>97.3</v>
      </c>
      <c r="AC17">
        <v>4.5999999999999996</v>
      </c>
      <c r="AD17">
        <v>0.61</v>
      </c>
      <c r="AE17">
        <v>10.4</v>
      </c>
      <c r="AF17">
        <v>424</v>
      </c>
      <c r="AG17">
        <v>0.06</v>
      </c>
      <c r="AH17">
        <v>97.6</v>
      </c>
      <c r="AI17">
        <v>23.1</v>
      </c>
      <c r="AJ17">
        <v>120.6</v>
      </c>
      <c r="AK17">
        <v>56.4</v>
      </c>
      <c r="AL17">
        <v>1.8</v>
      </c>
      <c r="AM17">
        <v>0.22</v>
      </c>
      <c r="AN17">
        <v>6</v>
      </c>
      <c r="AO17">
        <v>271.60000000000002</v>
      </c>
      <c r="AP17">
        <v>0.03</v>
      </c>
      <c r="AQ17">
        <v>56.5</v>
      </c>
      <c r="AR17">
        <v>14.1</v>
      </c>
      <c r="AS17">
        <v>70.7</v>
      </c>
      <c r="AT17">
        <v>509.7</v>
      </c>
      <c r="AU17">
        <v>33.299999999999997</v>
      </c>
      <c r="AV17">
        <v>4.6399999999999997</v>
      </c>
      <c r="AW17">
        <v>39.4</v>
      </c>
      <c r="AX17">
        <v>1897.1</v>
      </c>
      <c r="AY17">
        <v>0.26</v>
      </c>
      <c r="AZ17">
        <v>511.9</v>
      </c>
      <c r="BA17">
        <v>96</v>
      </c>
      <c r="BB17">
        <v>607.9</v>
      </c>
      <c r="BC17">
        <v>17629257.899999999</v>
      </c>
      <c r="BD17">
        <v>332.4</v>
      </c>
      <c r="BE17">
        <v>33.299999999999997</v>
      </c>
      <c r="BF17">
        <v>2434447.6</v>
      </c>
      <c r="BG17">
        <v>92772.6</v>
      </c>
      <c r="BH17">
        <v>12</v>
      </c>
      <c r="BI17">
        <v>17648248.399999999</v>
      </c>
      <c r="BJ17">
        <v>5202349.7</v>
      </c>
      <c r="BK17">
        <v>22850598.100000001</v>
      </c>
      <c r="BL17">
        <v>0</v>
      </c>
      <c r="BM17">
        <v>24.17</v>
      </c>
      <c r="BN17">
        <v>15.37</v>
      </c>
      <c r="BO17">
        <v>0</v>
      </c>
      <c r="BP17">
        <v>39.54</v>
      </c>
      <c r="BQ17">
        <v>26.46</v>
      </c>
      <c r="BR17">
        <v>17.72</v>
      </c>
      <c r="BS17">
        <v>0</v>
      </c>
      <c r="BT17">
        <v>44.18</v>
      </c>
      <c r="BU17">
        <v>263171380</v>
      </c>
      <c r="BV17">
        <v>113988430</v>
      </c>
      <c r="BW17">
        <v>9943989</v>
      </c>
      <c r="BX17">
        <v>5166420.5</v>
      </c>
      <c r="BY17">
        <v>0</v>
      </c>
      <c r="BZ17">
        <v>0</v>
      </c>
      <c r="CA17">
        <v>0</v>
      </c>
      <c r="CB17">
        <v>0</v>
      </c>
      <c r="CC17">
        <v>1913210.8</v>
      </c>
      <c r="CD17">
        <v>28361828</v>
      </c>
      <c r="CE17">
        <v>45700970</v>
      </c>
      <c r="CF17">
        <v>0</v>
      </c>
      <c r="CG17">
        <v>459141.4</v>
      </c>
      <c r="CH17">
        <v>35759140</v>
      </c>
      <c r="CI17">
        <v>28190918</v>
      </c>
      <c r="CJ17">
        <v>17072884</v>
      </c>
      <c r="CK17">
        <v>7107.5</v>
      </c>
      <c r="CL17">
        <v>6882393.5</v>
      </c>
      <c r="CM17">
        <v>0</v>
      </c>
      <c r="CN17">
        <v>67360640</v>
      </c>
      <c r="CO17">
        <v>14562776</v>
      </c>
      <c r="CP17">
        <v>1789975.4</v>
      </c>
      <c r="CQ17">
        <v>7373.9</v>
      </c>
      <c r="CR17">
        <v>835.4</v>
      </c>
      <c r="CS17">
        <v>0</v>
      </c>
      <c r="CT17">
        <v>0</v>
      </c>
      <c r="CU17">
        <v>0</v>
      </c>
      <c r="CV17">
        <v>917.8</v>
      </c>
      <c r="CW17">
        <v>17576.5</v>
      </c>
      <c r="CX17">
        <v>19788.5</v>
      </c>
      <c r="CY17">
        <v>0</v>
      </c>
      <c r="CZ17">
        <v>10662.1</v>
      </c>
      <c r="DA17">
        <v>4801.8999999999996</v>
      </c>
      <c r="DB17">
        <v>10865.2</v>
      </c>
      <c r="DC17">
        <v>2240</v>
      </c>
      <c r="DD17">
        <v>883</v>
      </c>
      <c r="DE17">
        <v>4094.8</v>
      </c>
      <c r="DF17">
        <v>0</v>
      </c>
      <c r="DG17">
        <v>24887.5</v>
      </c>
      <c r="DH17">
        <v>600</v>
      </c>
      <c r="DI17">
        <v>6408</v>
      </c>
      <c r="DJ17">
        <v>28091.3</v>
      </c>
      <c r="DK17">
        <v>40948.199999999997</v>
      </c>
      <c r="DL17">
        <v>0</v>
      </c>
      <c r="DM17">
        <v>0</v>
      </c>
    </row>
    <row r="18" spans="1:117" x14ac:dyDescent="0.3">
      <c r="A18" t="s">
        <v>155</v>
      </c>
      <c r="B18">
        <v>2030</v>
      </c>
      <c r="C18">
        <v>327892400</v>
      </c>
      <c r="D18">
        <v>17697096</v>
      </c>
      <c r="E18">
        <v>21681472</v>
      </c>
      <c r="F18">
        <v>3733847.7</v>
      </c>
      <c r="G18">
        <v>371004817.60000002</v>
      </c>
      <c r="H18">
        <v>316106985</v>
      </c>
      <c r="I18">
        <v>206421535.69999999</v>
      </c>
      <c r="J18">
        <v>134190160</v>
      </c>
      <c r="K18">
        <v>60621930</v>
      </c>
      <c r="L18">
        <v>3.5900000000000001E-2</v>
      </c>
      <c r="M18">
        <v>5.3900000000000003E-2</v>
      </c>
      <c r="N18">
        <v>0.182</v>
      </c>
      <c r="O18">
        <v>73243.539999999994</v>
      </c>
      <c r="P18">
        <v>80066.5</v>
      </c>
      <c r="Q18">
        <v>0.89</v>
      </c>
      <c r="R18">
        <v>0.86</v>
      </c>
      <c r="S18">
        <v>41.5</v>
      </c>
      <c r="T18">
        <v>0.8</v>
      </c>
      <c r="U18">
        <v>0.08</v>
      </c>
      <c r="V18">
        <v>5.5</v>
      </c>
      <c r="W18">
        <v>217.5</v>
      </c>
      <c r="X18">
        <v>0.02</v>
      </c>
      <c r="Y18">
        <v>41.5</v>
      </c>
      <c r="Z18">
        <v>12</v>
      </c>
      <c r="AA18">
        <v>53.6</v>
      </c>
      <c r="AB18">
        <v>71.099999999999994</v>
      </c>
      <c r="AC18">
        <v>3.7</v>
      </c>
      <c r="AD18">
        <v>0.5</v>
      </c>
      <c r="AE18">
        <v>7.2</v>
      </c>
      <c r="AF18">
        <v>298.89999999999998</v>
      </c>
      <c r="AG18">
        <v>0.04</v>
      </c>
      <c r="AH18">
        <v>71.400000000000006</v>
      </c>
      <c r="AI18">
        <v>16.100000000000001</v>
      </c>
      <c r="AJ18">
        <v>87.4</v>
      </c>
      <c r="AK18">
        <v>43.4</v>
      </c>
      <c r="AL18">
        <v>1.2</v>
      </c>
      <c r="AM18">
        <v>0.14000000000000001</v>
      </c>
      <c r="AN18">
        <v>4.8</v>
      </c>
      <c r="AO18">
        <v>215.9</v>
      </c>
      <c r="AP18">
        <v>0.02</v>
      </c>
      <c r="AQ18">
        <v>43.5</v>
      </c>
      <c r="AR18">
        <v>11.3</v>
      </c>
      <c r="AS18">
        <v>54.7</v>
      </c>
      <c r="AT18">
        <v>415</v>
      </c>
      <c r="AU18">
        <v>26.3</v>
      </c>
      <c r="AV18">
        <v>3.65</v>
      </c>
      <c r="AW18">
        <v>33.4</v>
      </c>
      <c r="AX18">
        <v>1571.1</v>
      </c>
      <c r="AY18">
        <v>0.22</v>
      </c>
      <c r="AZ18">
        <v>416.7</v>
      </c>
      <c r="BA18">
        <v>80.3</v>
      </c>
      <c r="BB18">
        <v>497</v>
      </c>
      <c r="BC18">
        <v>12250204.4</v>
      </c>
      <c r="BD18">
        <v>231.1</v>
      </c>
      <c r="BE18">
        <v>23.2</v>
      </c>
      <c r="BF18">
        <v>1638896.3</v>
      </c>
      <c r="BG18">
        <v>64254.7</v>
      </c>
      <c r="BH18">
        <v>6.2</v>
      </c>
      <c r="BI18">
        <v>12263410.800000001</v>
      </c>
      <c r="BJ18">
        <v>3555385.2</v>
      </c>
      <c r="BK18">
        <v>15818796.1</v>
      </c>
      <c r="BL18">
        <v>0</v>
      </c>
      <c r="BM18">
        <v>21.45</v>
      </c>
      <c r="BN18">
        <v>13.79</v>
      </c>
      <c r="BO18">
        <v>0.67</v>
      </c>
      <c r="BP18">
        <v>35.909999999999997</v>
      </c>
      <c r="BQ18">
        <v>24.31</v>
      </c>
      <c r="BR18">
        <v>16.71</v>
      </c>
      <c r="BS18">
        <v>0.75</v>
      </c>
      <c r="BT18">
        <v>41.77</v>
      </c>
      <c r="BU18">
        <v>296719360</v>
      </c>
      <c r="BV18">
        <v>164583280</v>
      </c>
      <c r="BW18">
        <v>15069920</v>
      </c>
      <c r="BX18">
        <v>4841847</v>
      </c>
      <c r="BY18">
        <v>0</v>
      </c>
      <c r="BZ18">
        <v>0</v>
      </c>
      <c r="CA18">
        <v>0</v>
      </c>
      <c r="CB18">
        <v>0</v>
      </c>
      <c r="CC18">
        <v>1903963.2</v>
      </c>
      <c r="CD18">
        <v>32261280</v>
      </c>
      <c r="CE18">
        <v>32017540</v>
      </c>
      <c r="CF18">
        <v>0</v>
      </c>
      <c r="CG18">
        <v>413163.6</v>
      </c>
      <c r="CH18">
        <v>35751576</v>
      </c>
      <c r="CI18">
        <v>26950644</v>
      </c>
      <c r="CJ18">
        <v>0</v>
      </c>
      <c r="CK18">
        <v>9388.1</v>
      </c>
      <c r="CL18">
        <v>17081986</v>
      </c>
      <c r="CM18">
        <v>0</v>
      </c>
      <c r="CN18">
        <v>108355580</v>
      </c>
      <c r="CO18">
        <v>14822717</v>
      </c>
      <c r="CP18">
        <v>7239737.5</v>
      </c>
      <c r="CQ18">
        <v>10435.799999999999</v>
      </c>
      <c r="CR18">
        <v>812.4</v>
      </c>
      <c r="CS18">
        <v>0</v>
      </c>
      <c r="CT18">
        <v>0</v>
      </c>
      <c r="CU18">
        <v>0</v>
      </c>
      <c r="CV18">
        <v>917.8</v>
      </c>
      <c r="CW18">
        <v>20119.2</v>
      </c>
      <c r="CX18">
        <v>19755.900000000001</v>
      </c>
      <c r="CY18">
        <v>0</v>
      </c>
      <c r="CZ18">
        <v>10641.8</v>
      </c>
      <c r="DA18">
        <v>4801.8999999999996</v>
      </c>
      <c r="DB18">
        <v>10981.8</v>
      </c>
      <c r="DC18">
        <v>0</v>
      </c>
      <c r="DD18">
        <v>592.9</v>
      </c>
      <c r="DE18">
        <v>9417.7999999999993</v>
      </c>
      <c r="DF18">
        <v>0</v>
      </c>
      <c r="DG18">
        <v>38872.400000000001</v>
      </c>
      <c r="DH18">
        <v>2000</v>
      </c>
      <c r="DI18">
        <v>6451.7</v>
      </c>
      <c r="DJ18">
        <v>42161.7</v>
      </c>
      <c r="DK18">
        <v>94177.600000000006</v>
      </c>
      <c r="DL18">
        <v>0</v>
      </c>
      <c r="DM18">
        <v>0</v>
      </c>
    </row>
    <row r="19" spans="1:117" x14ac:dyDescent="0.3">
      <c r="A19" t="s">
        <v>155</v>
      </c>
      <c r="B19">
        <v>2035</v>
      </c>
      <c r="C19">
        <v>374072300</v>
      </c>
      <c r="D19">
        <v>33838590</v>
      </c>
      <c r="E19">
        <v>23758354</v>
      </c>
      <c r="F19">
        <v>3729003.9</v>
      </c>
      <c r="G19">
        <v>435398251.80000001</v>
      </c>
      <c r="H19">
        <v>360626987.69999999</v>
      </c>
      <c r="I19">
        <v>204020372.80000001</v>
      </c>
      <c r="J19">
        <v>130756240</v>
      </c>
      <c r="K19">
        <v>66223084</v>
      </c>
      <c r="L19">
        <v>3.5900000000000001E-2</v>
      </c>
      <c r="M19">
        <v>5.3900000000000003E-2</v>
      </c>
      <c r="N19">
        <v>0.182</v>
      </c>
      <c r="O19">
        <v>100271.08</v>
      </c>
      <c r="P19">
        <v>94357.6</v>
      </c>
      <c r="Q19">
        <v>0.93</v>
      </c>
      <c r="R19">
        <v>0.92</v>
      </c>
      <c r="S19">
        <v>26.6</v>
      </c>
      <c r="T19">
        <v>0.5</v>
      </c>
      <c r="U19">
        <v>0.05</v>
      </c>
      <c r="V19">
        <v>3.3</v>
      </c>
      <c r="W19">
        <v>139.19999999999999</v>
      </c>
      <c r="X19">
        <v>0.01</v>
      </c>
      <c r="Y19">
        <v>26.6</v>
      </c>
      <c r="Z19">
        <v>7.5</v>
      </c>
      <c r="AA19">
        <v>34.1</v>
      </c>
      <c r="AB19">
        <v>40.299999999999997</v>
      </c>
      <c r="AC19">
        <v>2.1</v>
      </c>
      <c r="AD19">
        <v>0.28000000000000003</v>
      </c>
      <c r="AE19">
        <v>3.9</v>
      </c>
      <c r="AF19">
        <v>169.9</v>
      </c>
      <c r="AG19">
        <v>0.02</v>
      </c>
      <c r="AH19">
        <v>40.5</v>
      </c>
      <c r="AI19">
        <v>9</v>
      </c>
      <c r="AJ19">
        <v>49.4</v>
      </c>
      <c r="AK19">
        <v>36.299999999999997</v>
      </c>
      <c r="AL19">
        <v>0.8</v>
      </c>
      <c r="AM19">
        <v>0.09</v>
      </c>
      <c r="AN19">
        <v>4.2</v>
      </c>
      <c r="AO19">
        <v>185.8</v>
      </c>
      <c r="AP19">
        <v>0.02</v>
      </c>
      <c r="AQ19">
        <v>36.4</v>
      </c>
      <c r="AR19">
        <v>9.6999999999999993</v>
      </c>
      <c r="AS19">
        <v>46.1</v>
      </c>
      <c r="AT19">
        <v>353.3</v>
      </c>
      <c r="AU19">
        <v>21.6</v>
      </c>
      <c r="AV19">
        <v>2.98</v>
      </c>
      <c r="AW19">
        <v>29.6</v>
      </c>
      <c r="AX19">
        <v>1364.9</v>
      </c>
      <c r="AY19">
        <v>0.2</v>
      </c>
      <c r="AZ19">
        <v>354.7</v>
      </c>
      <c r="BA19">
        <v>70.3</v>
      </c>
      <c r="BB19">
        <v>425.1</v>
      </c>
      <c r="BC19">
        <v>9774924.9000000004</v>
      </c>
      <c r="BD19">
        <v>184.5</v>
      </c>
      <c r="BE19">
        <v>18.5</v>
      </c>
      <c r="BF19">
        <v>1222465.3999999999</v>
      </c>
      <c r="BG19">
        <v>51146.400000000001</v>
      </c>
      <c r="BH19">
        <v>4.5999999999999996</v>
      </c>
      <c r="BI19">
        <v>9785479.1999999993</v>
      </c>
      <c r="BJ19">
        <v>2747881.9</v>
      </c>
      <c r="BK19">
        <v>12533361.199999999</v>
      </c>
      <c r="BL19">
        <v>0</v>
      </c>
      <c r="BM19">
        <v>18.32</v>
      </c>
      <c r="BN19">
        <v>18.75</v>
      </c>
      <c r="BO19">
        <v>0</v>
      </c>
      <c r="BP19">
        <v>37.07</v>
      </c>
      <c r="BQ19">
        <v>21.02</v>
      </c>
      <c r="BR19">
        <v>23.41</v>
      </c>
      <c r="BS19">
        <v>0</v>
      </c>
      <c r="BT19">
        <v>44.43</v>
      </c>
      <c r="BU19">
        <v>370129020</v>
      </c>
      <c r="BV19">
        <v>231377870</v>
      </c>
      <c r="BW19">
        <v>28811024</v>
      </c>
      <c r="BX19">
        <v>1931110.3999999999</v>
      </c>
      <c r="BY19">
        <v>0</v>
      </c>
      <c r="BZ19">
        <v>0</v>
      </c>
      <c r="CA19">
        <v>0</v>
      </c>
      <c r="CB19">
        <v>0</v>
      </c>
      <c r="CC19">
        <v>1750100</v>
      </c>
      <c r="CD19">
        <v>37543536</v>
      </c>
      <c r="CE19">
        <v>25345314</v>
      </c>
      <c r="CF19">
        <v>0</v>
      </c>
      <c r="CG19">
        <v>482555.4</v>
      </c>
      <c r="CH19">
        <v>36468148</v>
      </c>
      <c r="CI19">
        <v>26808232</v>
      </c>
      <c r="CJ19">
        <v>0</v>
      </c>
      <c r="CK19">
        <v>13866.9</v>
      </c>
      <c r="CL19">
        <v>18890906</v>
      </c>
      <c r="CM19">
        <v>0</v>
      </c>
      <c r="CN19">
        <v>151851540</v>
      </c>
      <c r="CO19">
        <v>14505197</v>
      </c>
      <c r="CP19">
        <v>25727518</v>
      </c>
      <c r="CQ19">
        <v>17454.900000000001</v>
      </c>
      <c r="CR19">
        <v>435.9</v>
      </c>
      <c r="CS19">
        <v>0</v>
      </c>
      <c r="CT19">
        <v>0</v>
      </c>
      <c r="CU19">
        <v>0</v>
      </c>
      <c r="CV19">
        <v>917.8</v>
      </c>
      <c r="CW19">
        <v>24108.7</v>
      </c>
      <c r="CX19">
        <v>19646</v>
      </c>
      <c r="CY19">
        <v>0</v>
      </c>
      <c r="CZ19">
        <v>11355.5</v>
      </c>
      <c r="DA19">
        <v>4939.6000000000004</v>
      </c>
      <c r="DB19">
        <v>11170.8</v>
      </c>
      <c r="DC19">
        <v>0</v>
      </c>
      <c r="DD19">
        <v>592.9</v>
      </c>
      <c r="DE19">
        <v>10432</v>
      </c>
      <c r="DF19">
        <v>0</v>
      </c>
      <c r="DG19">
        <v>54239.4</v>
      </c>
      <c r="DH19">
        <v>6000</v>
      </c>
      <c r="DI19">
        <v>5747.5</v>
      </c>
      <c r="DJ19">
        <v>80498.3</v>
      </c>
      <c r="DK19">
        <v>104319.7</v>
      </c>
      <c r="DL19">
        <v>0</v>
      </c>
      <c r="DM19">
        <v>0</v>
      </c>
    </row>
    <row r="20" spans="1:117" x14ac:dyDescent="0.3">
      <c r="A20" t="s">
        <v>155</v>
      </c>
      <c r="B20">
        <v>2040</v>
      </c>
      <c r="C20">
        <v>432178340</v>
      </c>
      <c r="D20">
        <v>58212450</v>
      </c>
      <c r="E20">
        <v>25974096</v>
      </c>
      <c r="F20">
        <v>3842231.4</v>
      </c>
      <c r="G20">
        <v>520207117.89999998</v>
      </c>
      <c r="H20">
        <v>416644390.80000001</v>
      </c>
      <c r="I20">
        <v>184128970</v>
      </c>
      <c r="J20">
        <v>117495920</v>
      </c>
      <c r="K20">
        <v>87281250</v>
      </c>
      <c r="L20">
        <v>3.5900000000000001E-2</v>
      </c>
      <c r="M20">
        <v>5.3900000000000003E-2</v>
      </c>
      <c r="N20">
        <v>0.182</v>
      </c>
      <c r="O20">
        <v>100338.06</v>
      </c>
      <c r="P20">
        <v>111284.9</v>
      </c>
      <c r="Q20">
        <v>0.96</v>
      </c>
      <c r="R20">
        <v>0.95</v>
      </c>
      <c r="S20">
        <v>16.5</v>
      </c>
      <c r="T20">
        <v>0.3</v>
      </c>
      <c r="U20">
        <v>0.03</v>
      </c>
      <c r="V20">
        <v>2</v>
      </c>
      <c r="W20">
        <v>86.2</v>
      </c>
      <c r="X20">
        <v>0.01</v>
      </c>
      <c r="Y20">
        <v>16.5</v>
      </c>
      <c r="Z20">
        <v>4.5999999999999996</v>
      </c>
      <c r="AA20">
        <v>21.1</v>
      </c>
      <c r="AB20">
        <v>23.8</v>
      </c>
      <c r="AC20">
        <v>1.2</v>
      </c>
      <c r="AD20">
        <v>0.16</v>
      </c>
      <c r="AE20">
        <v>2.2999999999999998</v>
      </c>
      <c r="AF20">
        <v>101.1</v>
      </c>
      <c r="AG20">
        <v>0.01</v>
      </c>
      <c r="AH20">
        <v>23.8</v>
      </c>
      <c r="AI20">
        <v>5.3</v>
      </c>
      <c r="AJ20">
        <v>29.2</v>
      </c>
      <c r="AK20">
        <v>17.600000000000001</v>
      </c>
      <c r="AL20">
        <v>0.4</v>
      </c>
      <c r="AM20">
        <v>0.04</v>
      </c>
      <c r="AN20">
        <v>2.1</v>
      </c>
      <c r="AO20">
        <v>90.7</v>
      </c>
      <c r="AP20">
        <v>0.01</v>
      </c>
      <c r="AQ20">
        <v>17.7</v>
      </c>
      <c r="AR20">
        <v>4.8</v>
      </c>
      <c r="AS20">
        <v>22.4</v>
      </c>
      <c r="AT20">
        <v>280.60000000000002</v>
      </c>
      <c r="AU20">
        <v>14.8</v>
      </c>
      <c r="AV20">
        <v>2.0099999999999998</v>
      </c>
      <c r="AW20">
        <v>25.6</v>
      </c>
      <c r="AX20">
        <v>1159.3</v>
      </c>
      <c r="AY20">
        <v>0.15</v>
      </c>
      <c r="AZ20">
        <v>281.60000000000002</v>
      </c>
      <c r="BA20">
        <v>60.1</v>
      </c>
      <c r="BB20">
        <v>341.7</v>
      </c>
      <c r="BC20">
        <v>7947451.2000000002</v>
      </c>
      <c r="BD20">
        <v>149.80000000000001</v>
      </c>
      <c r="BE20">
        <v>15</v>
      </c>
      <c r="BF20">
        <v>980622.8</v>
      </c>
      <c r="BG20">
        <v>41597.599999999999</v>
      </c>
      <c r="BH20">
        <v>3.7</v>
      </c>
      <c r="BI20">
        <v>7956011.4000000004</v>
      </c>
      <c r="BJ20">
        <v>2221228.9</v>
      </c>
      <c r="BK20">
        <v>10177240.300000001</v>
      </c>
      <c r="BL20">
        <v>0</v>
      </c>
      <c r="BM20">
        <v>15.13</v>
      </c>
      <c r="BN20">
        <v>17.940000000000001</v>
      </c>
      <c r="BO20">
        <v>0</v>
      </c>
      <c r="BP20">
        <v>33.06</v>
      </c>
      <c r="BQ20">
        <v>17.989999999999998</v>
      </c>
      <c r="BR20">
        <v>23.12</v>
      </c>
      <c r="BS20">
        <v>0</v>
      </c>
      <c r="BT20">
        <v>41.11</v>
      </c>
      <c r="BU20">
        <v>489384400</v>
      </c>
      <c r="BV20">
        <v>336078140</v>
      </c>
      <c r="BW20">
        <v>49468236</v>
      </c>
      <c r="BX20">
        <v>1240769.8999999999</v>
      </c>
      <c r="BY20">
        <v>0</v>
      </c>
      <c r="BZ20">
        <v>0</v>
      </c>
      <c r="CA20">
        <v>0</v>
      </c>
      <c r="CB20">
        <v>0</v>
      </c>
      <c r="CC20">
        <v>1074626.3999999999</v>
      </c>
      <c r="CD20">
        <v>36249224</v>
      </c>
      <c r="CE20">
        <v>20830844</v>
      </c>
      <c r="CF20">
        <v>0</v>
      </c>
      <c r="CG20">
        <v>350042.2</v>
      </c>
      <c r="CH20">
        <v>35992490</v>
      </c>
      <c r="CI20">
        <v>24414458</v>
      </c>
      <c r="CJ20">
        <v>0</v>
      </c>
      <c r="CK20">
        <v>3236.8</v>
      </c>
      <c r="CL20">
        <v>21006162</v>
      </c>
      <c r="CM20">
        <v>0</v>
      </c>
      <c r="CN20">
        <v>210204640</v>
      </c>
      <c r="CO20">
        <v>16657011</v>
      </c>
      <c r="CP20">
        <v>71892660</v>
      </c>
      <c r="CQ20">
        <v>28125.4</v>
      </c>
      <c r="CR20">
        <v>366.9</v>
      </c>
      <c r="CS20">
        <v>0</v>
      </c>
      <c r="CT20">
        <v>0</v>
      </c>
      <c r="CU20">
        <v>0</v>
      </c>
      <c r="CV20">
        <v>917.8</v>
      </c>
      <c r="CW20">
        <v>25831.200000000001</v>
      </c>
      <c r="CX20">
        <v>19646</v>
      </c>
      <c r="CY20">
        <v>0</v>
      </c>
      <c r="CZ20">
        <v>11007</v>
      </c>
      <c r="DA20">
        <v>5037.8999999999996</v>
      </c>
      <c r="DB20">
        <v>11360.5</v>
      </c>
      <c r="DC20">
        <v>0</v>
      </c>
      <c r="DD20">
        <v>147.5</v>
      </c>
      <c r="DE20">
        <v>10432</v>
      </c>
      <c r="DF20">
        <v>0</v>
      </c>
      <c r="DG20">
        <v>78443.7</v>
      </c>
      <c r="DH20">
        <v>16000</v>
      </c>
      <c r="DI20">
        <v>6088.4</v>
      </c>
      <c r="DJ20">
        <v>132775</v>
      </c>
      <c r="DK20">
        <v>104319.7</v>
      </c>
      <c r="DL20">
        <v>0</v>
      </c>
      <c r="DM20">
        <v>0</v>
      </c>
    </row>
    <row r="21" spans="1:117" x14ac:dyDescent="0.3">
      <c r="A21" t="s">
        <v>155</v>
      </c>
      <c r="B21">
        <v>2045</v>
      </c>
      <c r="C21">
        <v>493028960</v>
      </c>
      <c r="D21">
        <v>93147010</v>
      </c>
      <c r="E21">
        <v>24436458</v>
      </c>
      <c r="F21">
        <v>4050190.9</v>
      </c>
      <c r="G21">
        <v>614662660.79999995</v>
      </c>
      <c r="H21">
        <v>475307715.39999998</v>
      </c>
      <c r="I21">
        <v>172337132.90000001</v>
      </c>
      <c r="J21">
        <v>107215810</v>
      </c>
      <c r="K21">
        <v>112800024</v>
      </c>
      <c r="L21">
        <v>3.5900000000000001E-2</v>
      </c>
      <c r="M21">
        <v>5.3900000000000003E-2</v>
      </c>
      <c r="N21">
        <v>0.182</v>
      </c>
      <c r="O21">
        <v>106014.85</v>
      </c>
      <c r="P21">
        <v>128791.2</v>
      </c>
      <c r="Q21">
        <v>0.97</v>
      </c>
      <c r="R21">
        <v>1</v>
      </c>
      <c r="S21">
        <v>12.5</v>
      </c>
      <c r="T21">
        <v>0.2</v>
      </c>
      <c r="U21">
        <v>0.02</v>
      </c>
      <c r="V21">
        <v>1.5</v>
      </c>
      <c r="W21">
        <v>65.5</v>
      </c>
      <c r="X21">
        <v>0.01</v>
      </c>
      <c r="Y21">
        <v>12.5</v>
      </c>
      <c r="Z21">
        <v>3.5</v>
      </c>
      <c r="AA21">
        <v>16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6.6</v>
      </c>
      <c r="AL21">
        <v>0.1</v>
      </c>
      <c r="AM21">
        <v>0.02</v>
      </c>
      <c r="AN21">
        <v>0.8</v>
      </c>
      <c r="AO21">
        <v>33.700000000000003</v>
      </c>
      <c r="AP21">
        <v>0</v>
      </c>
      <c r="AQ21">
        <v>6.6</v>
      </c>
      <c r="AR21">
        <v>1.8</v>
      </c>
      <c r="AS21">
        <v>8.3000000000000007</v>
      </c>
      <c r="AT21">
        <v>250</v>
      </c>
      <c r="AU21">
        <v>13.4</v>
      </c>
      <c r="AV21">
        <v>1.82</v>
      </c>
      <c r="AW21">
        <v>22.3</v>
      </c>
      <c r="AX21">
        <v>1029.5</v>
      </c>
      <c r="AY21">
        <v>0.13</v>
      </c>
      <c r="AZ21">
        <v>250.9</v>
      </c>
      <c r="BA21">
        <v>53.1</v>
      </c>
      <c r="BB21">
        <v>304</v>
      </c>
      <c r="BC21">
        <v>7617809.5999999996</v>
      </c>
      <c r="BD21">
        <v>143.6</v>
      </c>
      <c r="BE21">
        <v>14.4</v>
      </c>
      <c r="BF21">
        <v>937932.2</v>
      </c>
      <c r="BG21">
        <v>39874.800000000003</v>
      </c>
      <c r="BH21">
        <v>3.5</v>
      </c>
      <c r="BI21">
        <v>7626011.2000000002</v>
      </c>
      <c r="BJ21">
        <v>2127153.4</v>
      </c>
      <c r="BK21">
        <v>9753164.5999999996</v>
      </c>
      <c r="BL21">
        <v>0</v>
      </c>
      <c r="BM21">
        <v>13.2</v>
      </c>
      <c r="BN21">
        <v>18.260000000000002</v>
      </c>
      <c r="BO21">
        <v>0</v>
      </c>
      <c r="BP21">
        <v>31.46</v>
      </c>
      <c r="BQ21">
        <v>16.149999999999999</v>
      </c>
      <c r="BR21">
        <v>24.37</v>
      </c>
      <c r="BS21">
        <v>0</v>
      </c>
      <c r="BT21">
        <v>40.51</v>
      </c>
      <c r="BU21">
        <v>619787600</v>
      </c>
      <c r="BV21">
        <v>442325570</v>
      </c>
      <c r="BW21">
        <v>79212104</v>
      </c>
      <c r="BX21">
        <v>1124065.6000000001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34517716</v>
      </c>
      <c r="CE21">
        <v>20075564</v>
      </c>
      <c r="CF21">
        <v>0</v>
      </c>
      <c r="CG21">
        <v>182739.7</v>
      </c>
      <c r="CH21">
        <v>35040870</v>
      </c>
      <c r="CI21">
        <v>22452472</v>
      </c>
      <c r="CJ21">
        <v>0</v>
      </c>
      <c r="CK21">
        <v>1405.1</v>
      </c>
      <c r="CL21">
        <v>19372814</v>
      </c>
      <c r="CM21">
        <v>0</v>
      </c>
      <c r="CN21">
        <v>269135580</v>
      </c>
      <c r="CO21">
        <v>25998620</v>
      </c>
      <c r="CP21">
        <v>112673620</v>
      </c>
      <c r="CQ21">
        <v>41891.800000000003</v>
      </c>
      <c r="CR21">
        <v>366.9</v>
      </c>
      <c r="CS21">
        <v>0</v>
      </c>
      <c r="CT21">
        <v>0</v>
      </c>
      <c r="CU21">
        <v>0</v>
      </c>
      <c r="CV21">
        <v>0</v>
      </c>
      <c r="CW21">
        <v>27311.9</v>
      </c>
      <c r="CX21">
        <v>18961.599999999999</v>
      </c>
      <c r="CY21">
        <v>0</v>
      </c>
      <c r="CZ21">
        <v>10727.7</v>
      </c>
      <c r="DA21">
        <v>4988</v>
      </c>
      <c r="DB21">
        <v>11528.6</v>
      </c>
      <c r="DC21">
        <v>0</v>
      </c>
      <c r="DD21">
        <v>144.69999999999999</v>
      </c>
      <c r="DE21">
        <v>10432</v>
      </c>
      <c r="DF21">
        <v>0</v>
      </c>
      <c r="DG21">
        <v>105624.5</v>
      </c>
      <c r="DH21">
        <v>25000</v>
      </c>
      <c r="DI21">
        <v>8218</v>
      </c>
      <c r="DJ21">
        <v>210440.7</v>
      </c>
      <c r="DK21">
        <v>104319.7</v>
      </c>
      <c r="DL21">
        <v>0</v>
      </c>
      <c r="DM21">
        <v>0</v>
      </c>
    </row>
    <row r="22" spans="1:117" x14ac:dyDescent="0.3">
      <c r="A22" t="s">
        <v>155</v>
      </c>
      <c r="B22">
        <v>2050</v>
      </c>
      <c r="C22">
        <v>557375360</v>
      </c>
      <c r="D22">
        <v>135403860</v>
      </c>
      <c r="E22">
        <v>23552528</v>
      </c>
      <c r="F22">
        <v>4207816.3</v>
      </c>
      <c r="G22">
        <v>720539533.60000002</v>
      </c>
      <c r="H22">
        <v>537341126.5</v>
      </c>
      <c r="I22">
        <v>206117570</v>
      </c>
      <c r="J22">
        <v>116388504</v>
      </c>
      <c r="K22">
        <v>118404100</v>
      </c>
      <c r="L22">
        <v>3.5900000000000001E-2</v>
      </c>
      <c r="M22">
        <v>5.3900000000000003E-2</v>
      </c>
      <c r="N22">
        <v>0.182</v>
      </c>
      <c r="O22">
        <v>107532.07</v>
      </c>
      <c r="P22">
        <v>147695.1</v>
      </c>
      <c r="Q22">
        <v>0.97</v>
      </c>
      <c r="R22">
        <v>1</v>
      </c>
      <c r="S22">
        <v>12.1</v>
      </c>
      <c r="T22">
        <v>0.2</v>
      </c>
      <c r="U22">
        <v>0.02</v>
      </c>
      <c r="V22">
        <v>1.5</v>
      </c>
      <c r="W22">
        <v>63.5</v>
      </c>
      <c r="X22">
        <v>0.01</v>
      </c>
      <c r="Y22">
        <v>12.2</v>
      </c>
      <c r="Z22">
        <v>3.4</v>
      </c>
      <c r="AA22">
        <v>15.5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218.8</v>
      </c>
      <c r="AU22">
        <v>9.1</v>
      </c>
      <c r="AV22">
        <v>1.19</v>
      </c>
      <c r="AW22">
        <v>22</v>
      </c>
      <c r="AX22">
        <v>985</v>
      </c>
      <c r="AY22">
        <v>0.11</v>
      </c>
      <c r="AZ22">
        <v>219.4</v>
      </c>
      <c r="BA22">
        <v>51.4</v>
      </c>
      <c r="BB22">
        <v>270.8</v>
      </c>
      <c r="BC22">
        <v>8614256.4000000004</v>
      </c>
      <c r="BD22">
        <v>162.4</v>
      </c>
      <c r="BE22">
        <v>16.2</v>
      </c>
      <c r="BF22">
        <v>1053800.8</v>
      </c>
      <c r="BG22">
        <v>45086</v>
      </c>
      <c r="BH22">
        <v>3.9</v>
      </c>
      <c r="BI22">
        <v>8623528.1999999993</v>
      </c>
      <c r="BJ22">
        <v>2398432.2000000002</v>
      </c>
      <c r="BK22">
        <v>11021960.5</v>
      </c>
      <c r="BL22">
        <v>0</v>
      </c>
      <c r="BM22">
        <v>12.94</v>
      </c>
      <c r="BN22">
        <v>18.21</v>
      </c>
      <c r="BO22">
        <v>0</v>
      </c>
      <c r="BP22">
        <v>31.15</v>
      </c>
      <c r="BQ22">
        <v>16.37</v>
      </c>
      <c r="BR22">
        <v>25.22</v>
      </c>
      <c r="BS22">
        <v>0</v>
      </c>
      <c r="BT22">
        <v>41.59</v>
      </c>
      <c r="BU22">
        <v>722061760</v>
      </c>
      <c r="BV22">
        <v>514421950</v>
      </c>
      <c r="BW22">
        <v>115115176</v>
      </c>
      <c r="BX22">
        <v>1064890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34046390</v>
      </c>
      <c r="CE22">
        <v>22550890</v>
      </c>
      <c r="CF22">
        <v>0</v>
      </c>
      <c r="CG22">
        <v>128683.1</v>
      </c>
      <c r="CH22">
        <v>27733868</v>
      </c>
      <c r="CI22">
        <v>22044494</v>
      </c>
      <c r="CJ22">
        <v>0</v>
      </c>
      <c r="CK22">
        <v>382.8</v>
      </c>
      <c r="CL22">
        <v>19001376</v>
      </c>
      <c r="CM22">
        <v>0</v>
      </c>
      <c r="CN22">
        <v>338227330</v>
      </c>
      <c r="CO22">
        <v>30492428</v>
      </c>
      <c r="CP22">
        <v>111655790</v>
      </c>
      <c r="CQ22">
        <v>60342.1</v>
      </c>
      <c r="CR22">
        <v>366.9</v>
      </c>
      <c r="CS22">
        <v>0</v>
      </c>
      <c r="CT22">
        <v>0</v>
      </c>
      <c r="CU22">
        <v>0</v>
      </c>
      <c r="CV22">
        <v>0</v>
      </c>
      <c r="CW22">
        <v>28359.7</v>
      </c>
      <c r="CX22">
        <v>18321.900000000001</v>
      </c>
      <c r="CY22">
        <v>0</v>
      </c>
      <c r="CZ22">
        <v>15815.9</v>
      </c>
      <c r="DA22">
        <v>3971.1</v>
      </c>
      <c r="DB22">
        <v>11634.3</v>
      </c>
      <c r="DC22">
        <v>0</v>
      </c>
      <c r="DD22">
        <v>144.69999999999999</v>
      </c>
      <c r="DE22">
        <v>10432</v>
      </c>
      <c r="DF22">
        <v>0</v>
      </c>
      <c r="DG22">
        <v>140990.5</v>
      </c>
      <c r="DH22">
        <v>25000</v>
      </c>
      <c r="DI22">
        <v>9768</v>
      </c>
      <c r="DJ22">
        <v>301785.59999999998</v>
      </c>
      <c r="DK22">
        <v>104319.7</v>
      </c>
      <c r="DL22">
        <v>0</v>
      </c>
      <c r="DM22">
        <v>0</v>
      </c>
    </row>
    <row r="23" spans="1:117" x14ac:dyDescent="0.3">
      <c r="A23" t="s">
        <v>156</v>
      </c>
      <c r="B23">
        <v>2024</v>
      </c>
      <c r="C23">
        <v>388604770</v>
      </c>
      <c r="D23">
        <v>1910864.4</v>
      </c>
      <c r="E23">
        <v>10536.1</v>
      </c>
      <c r="F23">
        <v>5797950.2000000002</v>
      </c>
      <c r="G23">
        <v>396324111.69999999</v>
      </c>
      <c r="H23">
        <v>374635141.69999999</v>
      </c>
      <c r="I23">
        <v>195808751.5</v>
      </c>
      <c r="J23">
        <v>255395300</v>
      </c>
      <c r="K23">
        <v>261734430</v>
      </c>
      <c r="L23">
        <v>3.5900000000000001E-2</v>
      </c>
      <c r="M23">
        <v>5.3900000000000003E-2</v>
      </c>
      <c r="N23">
        <v>0.13750000000000001</v>
      </c>
      <c r="O23">
        <v>25871.65</v>
      </c>
      <c r="P23">
        <v>90070.6</v>
      </c>
      <c r="Q23">
        <v>0.6</v>
      </c>
      <c r="R23">
        <v>0.59</v>
      </c>
      <c r="S23">
        <v>228.2</v>
      </c>
      <c r="T23">
        <v>14.1</v>
      </c>
      <c r="U23">
        <v>1.96</v>
      </c>
      <c r="V23">
        <v>19.100000000000001</v>
      </c>
      <c r="W23">
        <v>870.4</v>
      </c>
      <c r="X23">
        <v>0.14000000000000001</v>
      </c>
      <c r="Y23">
        <v>229.2</v>
      </c>
      <c r="Z23">
        <v>45.1</v>
      </c>
      <c r="AA23">
        <v>274.3</v>
      </c>
      <c r="AB23">
        <v>241.5</v>
      </c>
      <c r="AC23">
        <v>14.9</v>
      </c>
      <c r="AD23">
        <v>2.08</v>
      </c>
      <c r="AE23">
        <v>20.2</v>
      </c>
      <c r="AF23">
        <v>920</v>
      </c>
      <c r="AG23">
        <v>0.14000000000000001</v>
      </c>
      <c r="AH23">
        <v>242.5</v>
      </c>
      <c r="AI23">
        <v>47.7</v>
      </c>
      <c r="AJ23">
        <v>290.10000000000002</v>
      </c>
      <c r="AK23">
        <v>261.5</v>
      </c>
      <c r="AL23">
        <v>10</v>
      </c>
      <c r="AM23">
        <v>1.31</v>
      </c>
      <c r="AN23">
        <v>26.8</v>
      </c>
      <c r="AO23">
        <v>1178.5999999999999</v>
      </c>
      <c r="AP23">
        <v>0.14000000000000001</v>
      </c>
      <c r="AQ23">
        <v>262.2</v>
      </c>
      <c r="AR23">
        <v>61.9</v>
      </c>
      <c r="AS23">
        <v>324.10000000000002</v>
      </c>
      <c r="AT23">
        <v>550</v>
      </c>
      <c r="AU23">
        <v>37.5</v>
      </c>
      <c r="AV23">
        <v>5.34</v>
      </c>
      <c r="AW23">
        <v>42.3</v>
      </c>
      <c r="AX23">
        <v>1918.5</v>
      </c>
      <c r="AY23">
        <v>0.34</v>
      </c>
      <c r="AZ23">
        <v>552.5</v>
      </c>
      <c r="BA23">
        <v>99.6</v>
      </c>
      <c r="BB23">
        <v>652.1</v>
      </c>
      <c r="BC23">
        <v>91202000.200000003</v>
      </c>
      <c r="BD23">
        <v>5629.9</v>
      </c>
      <c r="BE23">
        <v>782.3</v>
      </c>
      <c r="BF23">
        <v>7655964.5999999996</v>
      </c>
      <c r="BG23">
        <v>347996.3</v>
      </c>
      <c r="BH23">
        <v>54.1</v>
      </c>
      <c r="BI23">
        <v>91583335.5</v>
      </c>
      <c r="BJ23">
        <v>18041016.199999999</v>
      </c>
      <c r="BK23">
        <v>109624351.7</v>
      </c>
      <c r="BL23">
        <v>0</v>
      </c>
      <c r="BM23">
        <v>23.02</v>
      </c>
      <c r="BN23">
        <v>5.13</v>
      </c>
      <c r="BO23">
        <v>0</v>
      </c>
      <c r="BP23">
        <v>28.15</v>
      </c>
      <c r="BQ23">
        <v>24.57</v>
      </c>
      <c r="BR23">
        <v>5.6</v>
      </c>
      <c r="BS23">
        <v>0</v>
      </c>
      <c r="BT23">
        <v>30.17</v>
      </c>
      <c r="BU23">
        <v>402675940</v>
      </c>
      <c r="BV23">
        <v>200515360</v>
      </c>
      <c r="BW23">
        <v>1625847.8</v>
      </c>
      <c r="BX23">
        <v>585787.9</v>
      </c>
      <c r="BY23">
        <v>0</v>
      </c>
      <c r="BZ23">
        <v>0</v>
      </c>
      <c r="CA23">
        <v>39882584</v>
      </c>
      <c r="CB23">
        <v>0</v>
      </c>
      <c r="CC23">
        <v>0</v>
      </c>
      <c r="CD23">
        <v>2619595</v>
      </c>
      <c r="CE23">
        <v>116101140</v>
      </c>
      <c r="CF23">
        <v>0</v>
      </c>
      <c r="CG23">
        <v>3318354.8</v>
      </c>
      <c r="CH23">
        <v>0</v>
      </c>
      <c r="CI23">
        <v>579141</v>
      </c>
      <c r="CJ23">
        <v>37673010</v>
      </c>
      <c r="CK23">
        <v>2386351</v>
      </c>
      <c r="CL23">
        <v>8358</v>
      </c>
      <c r="CM23">
        <v>0</v>
      </c>
      <c r="CN23">
        <v>77382270</v>
      </c>
      <c r="CO23">
        <v>120513490</v>
      </c>
      <c r="CP23">
        <v>0</v>
      </c>
      <c r="CQ23">
        <v>1580.1</v>
      </c>
      <c r="CR23">
        <v>110.6</v>
      </c>
      <c r="CS23">
        <v>0</v>
      </c>
      <c r="CT23">
        <v>14766.6</v>
      </c>
      <c r="CU23">
        <v>0</v>
      </c>
      <c r="CV23">
        <v>0</v>
      </c>
      <c r="CW23">
        <v>1776.1</v>
      </c>
      <c r="CX23">
        <v>34539.4</v>
      </c>
      <c r="CY23">
        <v>0</v>
      </c>
      <c r="CZ23">
        <v>7945.7</v>
      </c>
      <c r="DA23">
        <v>0</v>
      </c>
      <c r="DB23">
        <v>562.70000000000005</v>
      </c>
      <c r="DC23">
        <v>4980</v>
      </c>
      <c r="DD23">
        <v>9933.2999999999993</v>
      </c>
      <c r="DE23">
        <v>5</v>
      </c>
      <c r="DF23">
        <v>0</v>
      </c>
      <c r="DG23">
        <v>34196.400000000001</v>
      </c>
      <c r="DH23">
        <v>0</v>
      </c>
      <c r="DI23">
        <v>33925.5</v>
      </c>
      <c r="DJ23">
        <v>3160.2</v>
      </c>
      <c r="DK23">
        <v>50</v>
      </c>
      <c r="DL23">
        <v>0</v>
      </c>
      <c r="DM23">
        <v>0</v>
      </c>
    </row>
    <row r="24" spans="1:117" x14ac:dyDescent="0.3">
      <c r="A24" t="s">
        <v>156</v>
      </c>
      <c r="B24">
        <v>2026</v>
      </c>
      <c r="C24">
        <v>399166180</v>
      </c>
      <c r="D24">
        <v>6513305.5</v>
      </c>
      <c r="E24">
        <v>11126.3</v>
      </c>
      <c r="F24">
        <v>5519591.7999999998</v>
      </c>
      <c r="G24">
        <v>411210188</v>
      </c>
      <c r="H24">
        <v>384816835.89999998</v>
      </c>
      <c r="I24">
        <v>157747363.90000001</v>
      </c>
      <c r="J24">
        <v>243832780</v>
      </c>
      <c r="K24">
        <v>252825680</v>
      </c>
      <c r="L24">
        <v>3.5900000000000001E-2</v>
      </c>
      <c r="M24">
        <v>5.3900000000000003E-2</v>
      </c>
      <c r="N24">
        <v>0.13750000000000001</v>
      </c>
      <c r="O24">
        <v>47896.66</v>
      </c>
      <c r="P24">
        <v>92404.5</v>
      </c>
      <c r="Q24">
        <v>0.71</v>
      </c>
      <c r="R24">
        <v>0.7</v>
      </c>
      <c r="S24">
        <v>159.69999999999999</v>
      </c>
      <c r="T24">
        <v>9.4</v>
      </c>
      <c r="U24">
        <v>1.29</v>
      </c>
      <c r="V24">
        <v>14</v>
      </c>
      <c r="W24">
        <v>629.79999999999995</v>
      </c>
      <c r="X24">
        <v>0.1</v>
      </c>
      <c r="Y24">
        <v>160.30000000000001</v>
      </c>
      <c r="Z24">
        <v>32.799999999999997</v>
      </c>
      <c r="AA24">
        <v>193.1</v>
      </c>
      <c r="AB24">
        <v>171.7</v>
      </c>
      <c r="AC24">
        <v>10.1</v>
      </c>
      <c r="AD24">
        <v>1.39</v>
      </c>
      <c r="AE24">
        <v>15</v>
      </c>
      <c r="AF24">
        <v>676.2</v>
      </c>
      <c r="AG24">
        <v>0.1</v>
      </c>
      <c r="AH24">
        <v>172.3</v>
      </c>
      <c r="AI24">
        <v>35.200000000000003</v>
      </c>
      <c r="AJ24">
        <v>207.5</v>
      </c>
      <c r="AK24">
        <v>178.5</v>
      </c>
      <c r="AL24">
        <v>4.2</v>
      </c>
      <c r="AM24">
        <v>0.47</v>
      </c>
      <c r="AN24">
        <v>20.5</v>
      </c>
      <c r="AO24">
        <v>902.2</v>
      </c>
      <c r="AP24">
        <v>0.08</v>
      </c>
      <c r="AQ24">
        <v>178.8</v>
      </c>
      <c r="AR24">
        <v>47.4</v>
      </c>
      <c r="AS24">
        <v>226.1</v>
      </c>
      <c r="AT24">
        <v>485.3</v>
      </c>
      <c r="AU24">
        <v>31.7</v>
      </c>
      <c r="AV24">
        <v>4.47</v>
      </c>
      <c r="AW24">
        <v>38.4</v>
      </c>
      <c r="AX24">
        <v>1752.9</v>
      </c>
      <c r="AY24">
        <v>0.28999999999999998</v>
      </c>
      <c r="AZ24">
        <v>487.5</v>
      </c>
      <c r="BA24">
        <v>90.7</v>
      </c>
      <c r="BB24">
        <v>578.20000000000005</v>
      </c>
      <c r="BC24">
        <v>66547604.5</v>
      </c>
      <c r="BD24">
        <v>3896.1</v>
      </c>
      <c r="BE24">
        <v>536.1</v>
      </c>
      <c r="BF24">
        <v>5835230.2000000002</v>
      </c>
      <c r="BG24">
        <v>262626.7</v>
      </c>
      <c r="BH24">
        <v>39.9</v>
      </c>
      <c r="BI24">
        <v>66810061.899999999</v>
      </c>
      <c r="BJ24">
        <v>13672389</v>
      </c>
      <c r="BK24">
        <v>80482450.799999997</v>
      </c>
      <c r="BL24">
        <v>0</v>
      </c>
      <c r="BM24">
        <v>20.02</v>
      </c>
      <c r="BN24">
        <v>9.3699999999999992</v>
      </c>
      <c r="BO24">
        <v>0</v>
      </c>
      <c r="BP24">
        <v>29.39</v>
      </c>
      <c r="BQ24">
        <v>21.54</v>
      </c>
      <c r="BR24">
        <v>10.33</v>
      </c>
      <c r="BS24">
        <v>0</v>
      </c>
      <c r="BT24">
        <v>31.88</v>
      </c>
      <c r="BU24">
        <v>420237700</v>
      </c>
      <c r="BV24">
        <v>253462830</v>
      </c>
      <c r="BW24">
        <v>5522119.5</v>
      </c>
      <c r="BX24">
        <v>497421.2</v>
      </c>
      <c r="BY24">
        <v>0</v>
      </c>
      <c r="BZ24">
        <v>0</v>
      </c>
      <c r="CA24">
        <v>27204228</v>
      </c>
      <c r="CB24">
        <v>0</v>
      </c>
      <c r="CC24">
        <v>0</v>
      </c>
      <c r="CD24">
        <v>4696729.5</v>
      </c>
      <c r="CE24">
        <v>93655920</v>
      </c>
      <c r="CF24">
        <v>0</v>
      </c>
      <c r="CG24">
        <v>1947177.8</v>
      </c>
      <c r="CH24">
        <v>0</v>
      </c>
      <c r="CI24">
        <v>539345</v>
      </c>
      <c r="CJ24">
        <v>36389200</v>
      </c>
      <c r="CK24">
        <v>1010745.6</v>
      </c>
      <c r="CL24">
        <v>8725.9</v>
      </c>
      <c r="CM24">
        <v>0</v>
      </c>
      <c r="CN24">
        <v>82435780</v>
      </c>
      <c r="CO24">
        <v>166330320</v>
      </c>
      <c r="CP24">
        <v>0</v>
      </c>
      <c r="CQ24">
        <v>4257.3999999999996</v>
      </c>
      <c r="CR24">
        <v>110.6</v>
      </c>
      <c r="CS24">
        <v>0</v>
      </c>
      <c r="CT24">
        <v>14766.6</v>
      </c>
      <c r="CU24">
        <v>0</v>
      </c>
      <c r="CV24">
        <v>0</v>
      </c>
      <c r="CW24">
        <v>3160</v>
      </c>
      <c r="CX24">
        <v>35650.199999999997</v>
      </c>
      <c r="CY24">
        <v>0</v>
      </c>
      <c r="CZ24">
        <v>7945.7</v>
      </c>
      <c r="DA24">
        <v>0</v>
      </c>
      <c r="DB24">
        <v>562.70000000000005</v>
      </c>
      <c r="DC24">
        <v>4980</v>
      </c>
      <c r="DD24">
        <v>8350.2999999999993</v>
      </c>
      <c r="DE24">
        <v>5</v>
      </c>
      <c r="DF24">
        <v>0</v>
      </c>
      <c r="DG24">
        <v>36651.5</v>
      </c>
      <c r="DH24">
        <v>0</v>
      </c>
      <c r="DI24">
        <v>45448</v>
      </c>
      <c r="DJ24">
        <v>13879.2</v>
      </c>
      <c r="DK24">
        <v>50</v>
      </c>
      <c r="DL24">
        <v>0</v>
      </c>
      <c r="DM24">
        <v>0</v>
      </c>
    </row>
    <row r="25" spans="1:117" x14ac:dyDescent="0.3">
      <c r="A25" t="s">
        <v>156</v>
      </c>
      <c r="B25">
        <v>2028</v>
      </c>
      <c r="C25">
        <v>414685020</v>
      </c>
      <c r="D25">
        <v>11874709</v>
      </c>
      <c r="E25">
        <v>9734</v>
      </c>
      <c r="F25">
        <v>5185944.4000000004</v>
      </c>
      <c r="G25">
        <v>431755397.5</v>
      </c>
      <c r="H25">
        <v>399777828.30000001</v>
      </c>
      <c r="I25">
        <v>113033046.3</v>
      </c>
      <c r="J25">
        <v>232384800</v>
      </c>
      <c r="K25">
        <v>246203300</v>
      </c>
      <c r="L25">
        <v>3.5900000000000001E-2</v>
      </c>
      <c r="M25">
        <v>5.3900000000000003E-2</v>
      </c>
      <c r="N25">
        <v>0.13750000000000001</v>
      </c>
      <c r="O25">
        <v>58655.69</v>
      </c>
      <c r="P25">
        <v>96230</v>
      </c>
      <c r="Q25">
        <v>0.82</v>
      </c>
      <c r="R25">
        <v>0.81</v>
      </c>
      <c r="S25">
        <v>91</v>
      </c>
      <c r="T25">
        <v>4.5</v>
      </c>
      <c r="U25">
        <v>0.61</v>
      </c>
      <c r="V25">
        <v>9</v>
      </c>
      <c r="W25">
        <v>385.1</v>
      </c>
      <c r="X25">
        <v>0.06</v>
      </c>
      <c r="Y25">
        <v>91.3</v>
      </c>
      <c r="Z25">
        <v>20.5</v>
      </c>
      <c r="AA25">
        <v>111.8</v>
      </c>
      <c r="AB25">
        <v>99.7</v>
      </c>
      <c r="AC25">
        <v>4.9000000000000004</v>
      </c>
      <c r="AD25">
        <v>0.66</v>
      </c>
      <c r="AE25">
        <v>9.8000000000000007</v>
      </c>
      <c r="AF25">
        <v>422</v>
      </c>
      <c r="AG25">
        <v>7.0000000000000007E-2</v>
      </c>
      <c r="AH25">
        <v>100.1</v>
      </c>
      <c r="AI25">
        <v>22.4</v>
      </c>
      <c r="AJ25">
        <v>122.5</v>
      </c>
      <c r="AK25">
        <v>83.9</v>
      </c>
      <c r="AL25">
        <v>2.5</v>
      </c>
      <c r="AM25">
        <v>0.3</v>
      </c>
      <c r="AN25">
        <v>9.1999999999999993</v>
      </c>
      <c r="AO25">
        <v>408.1</v>
      </c>
      <c r="AP25">
        <v>0.04</v>
      </c>
      <c r="AQ25">
        <v>84</v>
      </c>
      <c r="AR25">
        <v>21.4</v>
      </c>
      <c r="AS25">
        <v>105.4</v>
      </c>
      <c r="AT25">
        <v>374.5</v>
      </c>
      <c r="AU25">
        <v>22.4</v>
      </c>
      <c r="AV25">
        <v>3.13</v>
      </c>
      <c r="AW25">
        <v>31.6</v>
      </c>
      <c r="AX25">
        <v>1416.9</v>
      </c>
      <c r="AY25">
        <v>0.22</v>
      </c>
      <c r="AZ25">
        <v>376</v>
      </c>
      <c r="BA25">
        <v>73.900000000000006</v>
      </c>
      <c r="BB25">
        <v>449.9</v>
      </c>
      <c r="BC25">
        <v>40172366.600000001</v>
      </c>
      <c r="BD25">
        <v>1981.9</v>
      </c>
      <c r="BE25">
        <v>266.89999999999998</v>
      </c>
      <c r="BF25">
        <v>3976871</v>
      </c>
      <c r="BG25">
        <v>170141.3</v>
      </c>
      <c r="BH25">
        <v>26.7</v>
      </c>
      <c r="BI25">
        <v>40304300.299999997</v>
      </c>
      <c r="BJ25">
        <v>9054360.5999999996</v>
      </c>
      <c r="BK25">
        <v>49358660.899999999</v>
      </c>
      <c r="BL25">
        <v>0</v>
      </c>
      <c r="BM25">
        <v>15.33</v>
      </c>
      <c r="BN25">
        <v>11.18</v>
      </c>
      <c r="BO25">
        <v>0</v>
      </c>
      <c r="BP25">
        <v>26.51</v>
      </c>
      <c r="BQ25">
        <v>16.61</v>
      </c>
      <c r="BR25">
        <v>12.44</v>
      </c>
      <c r="BS25">
        <v>0</v>
      </c>
      <c r="BT25">
        <v>29.05</v>
      </c>
      <c r="BU25">
        <v>445673060</v>
      </c>
      <c r="BV25">
        <v>318722340</v>
      </c>
      <c r="BW25">
        <v>10047321</v>
      </c>
      <c r="BX25">
        <v>397474.6</v>
      </c>
      <c r="BY25">
        <v>0</v>
      </c>
      <c r="BZ25">
        <v>0</v>
      </c>
      <c r="CA25">
        <v>12732796</v>
      </c>
      <c r="CB25">
        <v>0</v>
      </c>
      <c r="CC25">
        <v>0</v>
      </c>
      <c r="CD25">
        <v>7842837</v>
      </c>
      <c r="CE25">
        <v>66826840</v>
      </c>
      <c r="CF25">
        <v>0</v>
      </c>
      <c r="CG25">
        <v>1188593</v>
      </c>
      <c r="CH25">
        <v>0</v>
      </c>
      <c r="CI25">
        <v>478647</v>
      </c>
      <c r="CJ25">
        <v>34507324</v>
      </c>
      <c r="CK25">
        <v>764092</v>
      </c>
      <c r="CL25">
        <v>7639</v>
      </c>
      <c r="CM25">
        <v>0</v>
      </c>
      <c r="CN25">
        <v>92541210</v>
      </c>
      <c r="CO25">
        <v>218338300</v>
      </c>
      <c r="CP25">
        <v>0</v>
      </c>
      <c r="CQ25">
        <v>7756.8</v>
      </c>
      <c r="CR25">
        <v>110.6</v>
      </c>
      <c r="CS25">
        <v>0</v>
      </c>
      <c r="CT25">
        <v>14111.6</v>
      </c>
      <c r="CU25">
        <v>0</v>
      </c>
      <c r="CV25">
        <v>0</v>
      </c>
      <c r="CW25">
        <v>5272.9</v>
      </c>
      <c r="CX25">
        <v>35331.199999999997</v>
      </c>
      <c r="CY25">
        <v>0</v>
      </c>
      <c r="CZ25">
        <v>7945.7</v>
      </c>
      <c r="DA25">
        <v>0</v>
      </c>
      <c r="DB25">
        <v>562.70000000000005</v>
      </c>
      <c r="DC25">
        <v>4980</v>
      </c>
      <c r="DD25">
        <v>7899.3</v>
      </c>
      <c r="DE25">
        <v>5</v>
      </c>
      <c r="DF25">
        <v>0</v>
      </c>
      <c r="DG25">
        <v>42832.1</v>
      </c>
      <c r="DH25">
        <v>0</v>
      </c>
      <c r="DI25">
        <v>61535.5</v>
      </c>
      <c r="DJ25">
        <v>28603</v>
      </c>
      <c r="DK25">
        <v>50</v>
      </c>
      <c r="DL25">
        <v>0</v>
      </c>
      <c r="DM25">
        <v>0</v>
      </c>
    </row>
    <row r="26" spans="1:117" x14ac:dyDescent="0.3">
      <c r="A26" t="s">
        <v>156</v>
      </c>
      <c r="B26">
        <v>2030</v>
      </c>
      <c r="C26">
        <v>430807550</v>
      </c>
      <c r="D26">
        <v>20156598</v>
      </c>
      <c r="E26">
        <v>8102</v>
      </c>
      <c r="F26">
        <v>5071244.7</v>
      </c>
      <c r="G26">
        <v>456043501.19999999</v>
      </c>
      <c r="H26">
        <v>415320812.80000001</v>
      </c>
      <c r="I26">
        <v>80836200.400000006</v>
      </c>
      <c r="J26">
        <v>221988380</v>
      </c>
      <c r="K26">
        <v>249393000</v>
      </c>
      <c r="L26">
        <v>3.5900000000000001E-2</v>
      </c>
      <c r="M26">
        <v>5.3900000000000003E-2</v>
      </c>
      <c r="N26">
        <v>0.13750000000000001</v>
      </c>
      <c r="O26">
        <v>63329.82</v>
      </c>
      <c r="P26">
        <v>100330.7</v>
      </c>
      <c r="Q26">
        <v>0.88</v>
      </c>
      <c r="R26">
        <v>0.87</v>
      </c>
      <c r="S26">
        <v>59.2</v>
      </c>
      <c r="T26">
        <v>3.1</v>
      </c>
      <c r="U26">
        <v>0.42</v>
      </c>
      <c r="V26">
        <v>5.9</v>
      </c>
      <c r="W26">
        <v>246.3</v>
      </c>
      <c r="X26">
        <v>0.04</v>
      </c>
      <c r="Y26">
        <v>59.4</v>
      </c>
      <c r="Z26">
        <v>13.2</v>
      </c>
      <c r="AA26">
        <v>72.7</v>
      </c>
      <c r="AB26">
        <v>67.8</v>
      </c>
      <c r="AC26">
        <v>3.5</v>
      </c>
      <c r="AD26">
        <v>0.48</v>
      </c>
      <c r="AE26">
        <v>6.7</v>
      </c>
      <c r="AF26">
        <v>281.7</v>
      </c>
      <c r="AG26">
        <v>0.05</v>
      </c>
      <c r="AH26">
        <v>68</v>
      </c>
      <c r="AI26">
        <v>15.1</v>
      </c>
      <c r="AJ26">
        <v>83.1</v>
      </c>
      <c r="AK26">
        <v>60.8</v>
      </c>
      <c r="AL26">
        <v>3.1</v>
      </c>
      <c r="AM26">
        <v>0.41</v>
      </c>
      <c r="AN26">
        <v>5.5</v>
      </c>
      <c r="AO26">
        <v>255.6</v>
      </c>
      <c r="AP26">
        <v>0.03</v>
      </c>
      <c r="AQ26">
        <v>61</v>
      </c>
      <c r="AR26">
        <v>13.1</v>
      </c>
      <c r="AS26">
        <v>74.099999999999994</v>
      </c>
      <c r="AT26">
        <v>319.2</v>
      </c>
      <c r="AU26">
        <v>19.5</v>
      </c>
      <c r="AV26">
        <v>2.74</v>
      </c>
      <c r="AW26">
        <v>26.5</v>
      </c>
      <c r="AX26">
        <v>1194.3</v>
      </c>
      <c r="AY26">
        <v>0.19</v>
      </c>
      <c r="AZ26">
        <v>320.5</v>
      </c>
      <c r="BA26">
        <v>62.2</v>
      </c>
      <c r="BB26">
        <v>382.7</v>
      </c>
      <c r="BC26">
        <v>28296207.399999999</v>
      </c>
      <c r="BD26">
        <v>1461.6</v>
      </c>
      <c r="BE26">
        <v>198.3</v>
      </c>
      <c r="BF26">
        <v>2825004.4</v>
      </c>
      <c r="BG26">
        <v>117831.9</v>
      </c>
      <c r="BH26">
        <v>20.8</v>
      </c>
      <c r="BI26">
        <v>28393897.899999999</v>
      </c>
      <c r="BJ26">
        <v>6342060.7000000002</v>
      </c>
      <c r="BK26">
        <v>34735958.600000001</v>
      </c>
      <c r="BL26">
        <v>0</v>
      </c>
      <c r="BM26">
        <v>13.2</v>
      </c>
      <c r="BN26">
        <v>11.56</v>
      </c>
      <c r="BO26">
        <v>0</v>
      </c>
      <c r="BP26">
        <v>24.76</v>
      </c>
      <c r="BQ26">
        <v>14.47</v>
      </c>
      <c r="BR26">
        <v>13.05</v>
      </c>
      <c r="BS26">
        <v>0</v>
      </c>
      <c r="BT26">
        <v>27.52</v>
      </c>
      <c r="BU26">
        <v>483637060</v>
      </c>
      <c r="BV26">
        <v>375207300</v>
      </c>
      <c r="BW26">
        <v>17007790</v>
      </c>
      <c r="BX26">
        <v>338949.9</v>
      </c>
      <c r="BY26">
        <v>0</v>
      </c>
      <c r="BZ26">
        <v>0</v>
      </c>
      <c r="CA26">
        <v>9814658</v>
      </c>
      <c r="CB26">
        <v>0</v>
      </c>
      <c r="CC26">
        <v>0</v>
      </c>
      <c r="CD26">
        <v>12031378</v>
      </c>
      <c r="CE26">
        <v>46102710</v>
      </c>
      <c r="CF26">
        <v>0</v>
      </c>
      <c r="CG26">
        <v>772405.3</v>
      </c>
      <c r="CH26">
        <v>0</v>
      </c>
      <c r="CI26">
        <v>439898.2</v>
      </c>
      <c r="CJ26">
        <v>33358518</v>
      </c>
      <c r="CK26">
        <v>588272</v>
      </c>
      <c r="CL26">
        <v>6562.5</v>
      </c>
      <c r="CM26">
        <v>0</v>
      </c>
      <c r="CN26">
        <v>109031220</v>
      </c>
      <c r="CO26">
        <v>254144720</v>
      </c>
      <c r="CP26">
        <v>0</v>
      </c>
      <c r="CQ26">
        <v>12136.7</v>
      </c>
      <c r="CR26">
        <v>110.6</v>
      </c>
      <c r="CS26">
        <v>0</v>
      </c>
      <c r="CT26">
        <v>12422.6</v>
      </c>
      <c r="CU26">
        <v>0</v>
      </c>
      <c r="CV26">
        <v>0</v>
      </c>
      <c r="CW26">
        <v>8251.7000000000007</v>
      </c>
      <c r="CX26">
        <v>35215.199999999997</v>
      </c>
      <c r="CY26">
        <v>0</v>
      </c>
      <c r="CZ26">
        <v>7903.7</v>
      </c>
      <c r="DA26">
        <v>0</v>
      </c>
      <c r="DB26">
        <v>562.70000000000005</v>
      </c>
      <c r="DC26">
        <v>4980</v>
      </c>
      <c r="DD26">
        <v>7703.3</v>
      </c>
      <c r="DE26">
        <v>5</v>
      </c>
      <c r="DF26">
        <v>0</v>
      </c>
      <c r="DG26">
        <v>52776</v>
      </c>
      <c r="DH26">
        <v>0</v>
      </c>
      <c r="DI26">
        <v>74555</v>
      </c>
      <c r="DJ26">
        <v>50579.1</v>
      </c>
      <c r="DK26">
        <v>50</v>
      </c>
      <c r="DL26">
        <v>0</v>
      </c>
      <c r="DM26">
        <v>0</v>
      </c>
    </row>
    <row r="27" spans="1:117" x14ac:dyDescent="0.3">
      <c r="A27" t="s">
        <v>156</v>
      </c>
      <c r="B27">
        <v>2035</v>
      </c>
      <c r="C27">
        <v>483512500</v>
      </c>
      <c r="D27">
        <v>33141280</v>
      </c>
      <c r="E27">
        <v>7120</v>
      </c>
      <c r="F27">
        <v>5330034.5999999996</v>
      </c>
      <c r="G27">
        <v>521990969.39999998</v>
      </c>
      <c r="H27">
        <v>466131300.30000001</v>
      </c>
      <c r="I27">
        <v>79035320.900000006</v>
      </c>
      <c r="J27">
        <v>227556320</v>
      </c>
      <c r="K27">
        <v>258844830</v>
      </c>
      <c r="L27">
        <v>3.5900000000000001E-2</v>
      </c>
      <c r="M27">
        <v>5.3900000000000003E-2</v>
      </c>
      <c r="N27">
        <v>0.13750000000000001</v>
      </c>
      <c r="O27">
        <v>87323.21</v>
      </c>
      <c r="P27">
        <v>113968.2</v>
      </c>
      <c r="Q27">
        <v>0.91</v>
      </c>
      <c r="R27">
        <v>0.9</v>
      </c>
      <c r="S27">
        <v>45.2</v>
      </c>
      <c r="T27">
        <v>2.6</v>
      </c>
      <c r="U27">
        <v>0.35</v>
      </c>
      <c r="V27">
        <v>4.4000000000000004</v>
      </c>
      <c r="W27">
        <v>181.9</v>
      </c>
      <c r="X27">
        <v>0.03</v>
      </c>
      <c r="Y27">
        <v>45.3</v>
      </c>
      <c r="Z27">
        <v>9.8000000000000007</v>
      </c>
      <c r="AA27">
        <v>55.1</v>
      </c>
      <c r="AB27">
        <v>53.1</v>
      </c>
      <c r="AC27">
        <v>3</v>
      </c>
      <c r="AD27">
        <v>0.41</v>
      </c>
      <c r="AE27">
        <v>5.0999999999999996</v>
      </c>
      <c r="AF27">
        <v>214</v>
      </c>
      <c r="AG27">
        <v>0.04</v>
      </c>
      <c r="AH27">
        <v>53.3</v>
      </c>
      <c r="AI27">
        <v>11.5</v>
      </c>
      <c r="AJ27">
        <v>64.8</v>
      </c>
      <c r="AK27">
        <v>77.2</v>
      </c>
      <c r="AL27">
        <v>4.5</v>
      </c>
      <c r="AM27">
        <v>0.61</v>
      </c>
      <c r="AN27">
        <v>6.4</v>
      </c>
      <c r="AO27">
        <v>307.60000000000002</v>
      </c>
      <c r="AP27">
        <v>0.04</v>
      </c>
      <c r="AQ27">
        <v>77.5</v>
      </c>
      <c r="AR27">
        <v>15.6</v>
      </c>
      <c r="AS27">
        <v>93.1</v>
      </c>
      <c r="AT27">
        <v>290.7</v>
      </c>
      <c r="AU27">
        <v>18.3</v>
      </c>
      <c r="AV27">
        <v>2.56</v>
      </c>
      <c r="AW27">
        <v>23.6</v>
      </c>
      <c r="AX27">
        <v>1084.0999999999999</v>
      </c>
      <c r="AY27">
        <v>0.17</v>
      </c>
      <c r="AZ27">
        <v>291.89999999999998</v>
      </c>
      <c r="BA27">
        <v>55.9</v>
      </c>
      <c r="BB27">
        <v>347.9</v>
      </c>
      <c r="BC27">
        <v>24623948.800000001</v>
      </c>
      <c r="BD27">
        <v>1385</v>
      </c>
      <c r="BE27">
        <v>189.7</v>
      </c>
      <c r="BF27">
        <v>2387916.6</v>
      </c>
      <c r="BG27">
        <v>99376.1</v>
      </c>
      <c r="BH27">
        <v>18.7</v>
      </c>
      <c r="BI27">
        <v>24716995.5</v>
      </c>
      <c r="BJ27">
        <v>5354434.2</v>
      </c>
      <c r="BK27">
        <v>30071429.699999999</v>
      </c>
      <c r="BL27">
        <v>0</v>
      </c>
      <c r="BM27">
        <v>11.92</v>
      </c>
      <c r="BN27">
        <v>15.25</v>
      </c>
      <c r="BO27">
        <v>0</v>
      </c>
      <c r="BP27">
        <v>27.17</v>
      </c>
      <c r="BQ27">
        <v>13.24</v>
      </c>
      <c r="BR27">
        <v>17.54</v>
      </c>
      <c r="BS27">
        <v>0</v>
      </c>
      <c r="BT27">
        <v>30.78</v>
      </c>
      <c r="BU27">
        <v>553459260</v>
      </c>
      <c r="BV27">
        <v>442955680</v>
      </c>
      <c r="BW27">
        <v>28161904</v>
      </c>
      <c r="BX27">
        <v>324590.5</v>
      </c>
      <c r="BY27">
        <v>0</v>
      </c>
      <c r="BZ27">
        <v>0</v>
      </c>
      <c r="CA27">
        <v>9775302</v>
      </c>
      <c r="CB27">
        <v>0</v>
      </c>
      <c r="CC27">
        <v>0</v>
      </c>
      <c r="CD27">
        <v>16949516</v>
      </c>
      <c r="CE27">
        <v>37331904</v>
      </c>
      <c r="CF27">
        <v>0</v>
      </c>
      <c r="CG27">
        <v>1031786.9</v>
      </c>
      <c r="CH27">
        <v>0</v>
      </c>
      <c r="CI27">
        <v>423433.2</v>
      </c>
      <c r="CJ27">
        <v>33064326</v>
      </c>
      <c r="CK27">
        <v>384701.6</v>
      </c>
      <c r="CL27">
        <v>5648.3</v>
      </c>
      <c r="CM27">
        <v>0</v>
      </c>
      <c r="CN27">
        <v>140841620</v>
      </c>
      <c r="CO27">
        <v>285164500</v>
      </c>
      <c r="CP27">
        <v>0</v>
      </c>
      <c r="CQ27">
        <v>18525.599999999999</v>
      </c>
      <c r="CR27">
        <v>110.6</v>
      </c>
      <c r="CS27">
        <v>0</v>
      </c>
      <c r="CT27">
        <v>12422.6</v>
      </c>
      <c r="CU27">
        <v>0</v>
      </c>
      <c r="CV27">
        <v>0</v>
      </c>
      <c r="CW27">
        <v>11969.7</v>
      </c>
      <c r="CX27">
        <v>34232.199999999997</v>
      </c>
      <c r="CY27">
        <v>0</v>
      </c>
      <c r="CZ27">
        <v>9612.4</v>
      </c>
      <c r="DA27">
        <v>0</v>
      </c>
      <c r="DB27">
        <v>562.70000000000005</v>
      </c>
      <c r="DC27">
        <v>4980</v>
      </c>
      <c r="DD27">
        <v>7058.3</v>
      </c>
      <c r="DE27">
        <v>5</v>
      </c>
      <c r="DF27">
        <v>0</v>
      </c>
      <c r="DG27">
        <v>73305.100000000006</v>
      </c>
      <c r="DH27">
        <v>0</v>
      </c>
      <c r="DI27">
        <v>84950</v>
      </c>
      <c r="DJ27">
        <v>86316.800000000003</v>
      </c>
      <c r="DK27">
        <v>50</v>
      </c>
      <c r="DL27">
        <v>0</v>
      </c>
      <c r="DM27">
        <v>0</v>
      </c>
    </row>
    <row r="28" spans="1:117" x14ac:dyDescent="0.3">
      <c r="A28" t="s">
        <v>156</v>
      </c>
      <c r="B28">
        <v>2040</v>
      </c>
      <c r="C28">
        <v>544348000</v>
      </c>
      <c r="D28">
        <v>43153510</v>
      </c>
      <c r="E28">
        <v>7304.2</v>
      </c>
      <c r="F28">
        <v>5539407</v>
      </c>
      <c r="G28">
        <v>593048237</v>
      </c>
      <c r="H28">
        <v>524779854.5</v>
      </c>
      <c r="I28">
        <v>82600230.200000003</v>
      </c>
      <c r="J28">
        <v>241447400</v>
      </c>
      <c r="K28">
        <v>275464930</v>
      </c>
      <c r="L28">
        <v>3.5900000000000001E-2</v>
      </c>
      <c r="M28">
        <v>5.3900000000000003E-2</v>
      </c>
      <c r="N28">
        <v>0.13750000000000001</v>
      </c>
      <c r="O28">
        <v>87128.26</v>
      </c>
      <c r="P28">
        <v>129739.4</v>
      </c>
      <c r="Q28">
        <v>0.92</v>
      </c>
      <c r="R28">
        <v>0.91</v>
      </c>
      <c r="S28">
        <v>37.799999999999997</v>
      </c>
      <c r="T28">
        <v>2</v>
      </c>
      <c r="U28">
        <v>0.27</v>
      </c>
      <c r="V28">
        <v>3.8</v>
      </c>
      <c r="W28">
        <v>158.4</v>
      </c>
      <c r="X28">
        <v>0.03</v>
      </c>
      <c r="Y28">
        <v>38</v>
      </c>
      <c r="Z28">
        <v>8.5</v>
      </c>
      <c r="AA28">
        <v>46.5</v>
      </c>
      <c r="AB28">
        <v>45</v>
      </c>
      <c r="AC28">
        <v>2.2999999999999998</v>
      </c>
      <c r="AD28">
        <v>0.31</v>
      </c>
      <c r="AE28">
        <v>4.5</v>
      </c>
      <c r="AF28">
        <v>188.7</v>
      </c>
      <c r="AG28">
        <v>0.03</v>
      </c>
      <c r="AH28">
        <v>45.1</v>
      </c>
      <c r="AI28">
        <v>10.199999999999999</v>
      </c>
      <c r="AJ28">
        <v>55.3</v>
      </c>
      <c r="AK28">
        <v>89.7</v>
      </c>
      <c r="AL28">
        <v>5.0999999999999996</v>
      </c>
      <c r="AM28">
        <v>0.7</v>
      </c>
      <c r="AN28">
        <v>8.4</v>
      </c>
      <c r="AO28">
        <v>362.3</v>
      </c>
      <c r="AP28">
        <v>0.06</v>
      </c>
      <c r="AQ28">
        <v>90.1</v>
      </c>
      <c r="AR28">
        <v>19.2</v>
      </c>
      <c r="AS28">
        <v>109.2</v>
      </c>
      <c r="AT28">
        <v>253.7</v>
      </c>
      <c r="AU28">
        <v>14</v>
      </c>
      <c r="AV28">
        <v>1.94</v>
      </c>
      <c r="AW28">
        <v>22.3</v>
      </c>
      <c r="AX28">
        <v>1007.5</v>
      </c>
      <c r="AY28">
        <v>0.14000000000000001</v>
      </c>
      <c r="AZ28">
        <v>254.6</v>
      </c>
      <c r="BA28">
        <v>52.4</v>
      </c>
      <c r="BB28">
        <v>307</v>
      </c>
      <c r="BC28">
        <v>23370977.699999999</v>
      </c>
      <c r="BD28">
        <v>1210.7</v>
      </c>
      <c r="BE28">
        <v>163.5</v>
      </c>
      <c r="BF28">
        <v>2364254</v>
      </c>
      <c r="BG28">
        <v>98014</v>
      </c>
      <c r="BH28">
        <v>17.600000000000001</v>
      </c>
      <c r="BI28">
        <v>23451705</v>
      </c>
      <c r="BJ28">
        <v>5289888.0999999996</v>
      </c>
      <c r="BK28">
        <v>28741593.199999999</v>
      </c>
      <c r="BL28">
        <v>0</v>
      </c>
      <c r="BM28">
        <v>10.74</v>
      </c>
      <c r="BN28">
        <v>14.84</v>
      </c>
      <c r="BO28">
        <v>0</v>
      </c>
      <c r="BP28">
        <v>25.59</v>
      </c>
      <c r="BQ28">
        <v>12.08</v>
      </c>
      <c r="BR28">
        <v>17.21</v>
      </c>
      <c r="BS28">
        <v>0</v>
      </c>
      <c r="BT28">
        <v>29.28</v>
      </c>
      <c r="BU28">
        <v>627449500</v>
      </c>
      <c r="BV28">
        <v>510448030</v>
      </c>
      <c r="BW28">
        <v>36482308</v>
      </c>
      <c r="BX28">
        <v>289199.3</v>
      </c>
      <c r="BY28">
        <v>0</v>
      </c>
      <c r="BZ28">
        <v>0</v>
      </c>
      <c r="CA28">
        <v>8229263</v>
      </c>
      <c r="CB28">
        <v>0</v>
      </c>
      <c r="CC28">
        <v>0</v>
      </c>
      <c r="CD28">
        <v>17139902</v>
      </c>
      <c r="CE28">
        <v>37177820</v>
      </c>
      <c r="CF28">
        <v>0</v>
      </c>
      <c r="CG28">
        <v>1748089</v>
      </c>
      <c r="CH28">
        <v>0</v>
      </c>
      <c r="CI28">
        <v>397405.7</v>
      </c>
      <c r="CJ28">
        <v>32462650</v>
      </c>
      <c r="CK28">
        <v>208867</v>
      </c>
      <c r="CL28">
        <v>5861.9</v>
      </c>
      <c r="CM28">
        <v>0</v>
      </c>
      <c r="CN28">
        <v>141377470</v>
      </c>
      <c r="CO28">
        <v>351930620</v>
      </c>
      <c r="CP28">
        <v>0</v>
      </c>
      <c r="CQ28">
        <v>22719.1</v>
      </c>
      <c r="CR28">
        <v>110.6</v>
      </c>
      <c r="CS28">
        <v>0</v>
      </c>
      <c r="CT28">
        <v>12422.6</v>
      </c>
      <c r="CU28">
        <v>0</v>
      </c>
      <c r="CV28">
        <v>0</v>
      </c>
      <c r="CW28">
        <v>12596.2</v>
      </c>
      <c r="CX28">
        <v>33490.199999999997</v>
      </c>
      <c r="CY28">
        <v>0</v>
      </c>
      <c r="CZ28">
        <v>16882.099999999999</v>
      </c>
      <c r="DA28">
        <v>0</v>
      </c>
      <c r="DB28">
        <v>562.70000000000005</v>
      </c>
      <c r="DC28">
        <v>4980</v>
      </c>
      <c r="DD28">
        <v>5790.3</v>
      </c>
      <c r="DE28">
        <v>5</v>
      </c>
      <c r="DF28">
        <v>0</v>
      </c>
      <c r="DG28">
        <v>78649.600000000006</v>
      </c>
      <c r="DH28">
        <v>0</v>
      </c>
      <c r="DI28">
        <v>109436.5</v>
      </c>
      <c r="DJ28">
        <v>100282.8</v>
      </c>
      <c r="DK28">
        <v>50</v>
      </c>
      <c r="DL28">
        <v>0</v>
      </c>
      <c r="DM28">
        <v>0</v>
      </c>
    </row>
    <row r="29" spans="1:117" x14ac:dyDescent="0.3">
      <c r="A29" t="s">
        <v>156</v>
      </c>
      <c r="B29">
        <v>2045</v>
      </c>
      <c r="C29">
        <v>600488450</v>
      </c>
      <c r="D29">
        <v>55817984</v>
      </c>
      <c r="E29">
        <v>6459</v>
      </c>
      <c r="F29">
        <v>5920374</v>
      </c>
      <c r="G29">
        <v>662233250.60000002</v>
      </c>
      <c r="H29">
        <v>578902129.70000005</v>
      </c>
      <c r="I29">
        <v>82170821.900000006</v>
      </c>
      <c r="J29">
        <v>262393630</v>
      </c>
      <c r="K29">
        <v>292673100</v>
      </c>
      <c r="L29">
        <v>3.5900000000000001E-2</v>
      </c>
      <c r="M29">
        <v>5.3900000000000003E-2</v>
      </c>
      <c r="N29">
        <v>0.13750000000000001</v>
      </c>
      <c r="O29">
        <v>85976.91</v>
      </c>
      <c r="P29">
        <v>144296.4</v>
      </c>
      <c r="Q29">
        <v>0.93</v>
      </c>
      <c r="R29">
        <v>0.92</v>
      </c>
      <c r="S29">
        <v>34.4</v>
      </c>
      <c r="T29">
        <v>1.6</v>
      </c>
      <c r="U29">
        <v>0.21</v>
      </c>
      <c r="V29">
        <v>3.4</v>
      </c>
      <c r="W29">
        <v>149.4</v>
      </c>
      <c r="X29">
        <v>0.02</v>
      </c>
      <c r="Y29">
        <v>34.5</v>
      </c>
      <c r="Z29">
        <v>7.9</v>
      </c>
      <c r="AA29">
        <v>42.3</v>
      </c>
      <c r="AB29">
        <v>41</v>
      </c>
      <c r="AC29">
        <v>1.9</v>
      </c>
      <c r="AD29">
        <v>0.25</v>
      </c>
      <c r="AE29">
        <v>4.0999999999999996</v>
      </c>
      <c r="AF29">
        <v>178.9</v>
      </c>
      <c r="AG29">
        <v>0.02</v>
      </c>
      <c r="AH29">
        <v>41.2</v>
      </c>
      <c r="AI29">
        <v>9.4</v>
      </c>
      <c r="AJ29">
        <v>50.6</v>
      </c>
      <c r="AK29">
        <v>70.599999999999994</v>
      </c>
      <c r="AL29">
        <v>3.5</v>
      </c>
      <c r="AM29">
        <v>0.46</v>
      </c>
      <c r="AN29">
        <v>7.9</v>
      </c>
      <c r="AO29">
        <v>304.8</v>
      </c>
      <c r="AP29">
        <v>7.0000000000000007E-2</v>
      </c>
      <c r="AQ29">
        <v>70.8</v>
      </c>
      <c r="AR29">
        <v>17</v>
      </c>
      <c r="AS29">
        <v>87.8</v>
      </c>
      <c r="AT29">
        <v>227</v>
      </c>
      <c r="AU29">
        <v>10.7</v>
      </c>
      <c r="AV29">
        <v>1.44</v>
      </c>
      <c r="AW29">
        <v>21.4</v>
      </c>
      <c r="AX29">
        <v>964.6</v>
      </c>
      <c r="AY29">
        <v>0.12</v>
      </c>
      <c r="AZ29">
        <v>227.7</v>
      </c>
      <c r="BA29">
        <v>50.2</v>
      </c>
      <c r="BB29">
        <v>277.89999999999998</v>
      </c>
      <c r="BC29">
        <v>23358114</v>
      </c>
      <c r="BD29">
        <v>1086.4000000000001</v>
      </c>
      <c r="BE29">
        <v>144</v>
      </c>
      <c r="BF29">
        <v>2322047.9</v>
      </c>
      <c r="BG29">
        <v>101786.1</v>
      </c>
      <c r="BH29">
        <v>13.9</v>
      </c>
      <c r="BI29">
        <v>23429811.399999999</v>
      </c>
      <c r="BJ29">
        <v>5359079.2</v>
      </c>
      <c r="BK29">
        <v>28788890.600000001</v>
      </c>
      <c r="BL29">
        <v>0</v>
      </c>
      <c r="BM29">
        <v>9.58</v>
      </c>
      <c r="BN29">
        <v>14.12</v>
      </c>
      <c r="BO29">
        <v>0</v>
      </c>
      <c r="BP29">
        <v>23.7</v>
      </c>
      <c r="BQ29">
        <v>10.88</v>
      </c>
      <c r="BR29">
        <v>16.55</v>
      </c>
      <c r="BS29">
        <v>0</v>
      </c>
      <c r="BT29">
        <v>27.43</v>
      </c>
      <c r="BU29">
        <v>692905700</v>
      </c>
      <c r="BV29">
        <v>580062400</v>
      </c>
      <c r="BW29">
        <v>47433644</v>
      </c>
      <c r="BX29">
        <v>272345.59999999998</v>
      </c>
      <c r="BY29">
        <v>0</v>
      </c>
      <c r="BZ29">
        <v>0</v>
      </c>
      <c r="CA29">
        <v>7055651</v>
      </c>
      <c r="CB29">
        <v>0</v>
      </c>
      <c r="CC29">
        <v>0</v>
      </c>
      <c r="CD29">
        <v>17916724</v>
      </c>
      <c r="CE29">
        <v>39512216</v>
      </c>
      <c r="CF29">
        <v>0</v>
      </c>
      <c r="CG29">
        <v>2512890.5</v>
      </c>
      <c r="CH29">
        <v>0</v>
      </c>
      <c r="CI29">
        <v>379722.1</v>
      </c>
      <c r="CJ29">
        <v>15578874</v>
      </c>
      <c r="CK29">
        <v>92789</v>
      </c>
      <c r="CL29">
        <v>5149.5</v>
      </c>
      <c r="CM29">
        <v>0</v>
      </c>
      <c r="CN29">
        <v>175580350</v>
      </c>
      <c r="CO29">
        <v>386565340</v>
      </c>
      <c r="CP29">
        <v>0</v>
      </c>
      <c r="CQ29">
        <v>28629.4</v>
      </c>
      <c r="CR29">
        <v>110.6</v>
      </c>
      <c r="CS29">
        <v>0</v>
      </c>
      <c r="CT29">
        <v>9908.6</v>
      </c>
      <c r="CU29">
        <v>0</v>
      </c>
      <c r="CV29">
        <v>0</v>
      </c>
      <c r="CW29">
        <v>13632</v>
      </c>
      <c r="CX29">
        <v>32228.1</v>
      </c>
      <c r="CY29">
        <v>0</v>
      </c>
      <c r="CZ29">
        <v>25819.8</v>
      </c>
      <c r="DA29">
        <v>0</v>
      </c>
      <c r="DB29">
        <v>562.70000000000005</v>
      </c>
      <c r="DC29">
        <v>2400</v>
      </c>
      <c r="DD29">
        <v>3542.5</v>
      </c>
      <c r="DE29">
        <v>5</v>
      </c>
      <c r="DF29">
        <v>0</v>
      </c>
      <c r="DG29">
        <v>98572.6</v>
      </c>
      <c r="DH29">
        <v>0</v>
      </c>
      <c r="DI29">
        <v>121409.2</v>
      </c>
      <c r="DJ29">
        <v>128144.7</v>
      </c>
      <c r="DK29">
        <v>50</v>
      </c>
      <c r="DL29">
        <v>0</v>
      </c>
      <c r="DM29">
        <v>0</v>
      </c>
    </row>
    <row r="30" spans="1:117" x14ac:dyDescent="0.3">
      <c r="A30" t="s">
        <v>156</v>
      </c>
      <c r="B30">
        <v>2050</v>
      </c>
      <c r="C30">
        <v>654909760</v>
      </c>
      <c r="D30">
        <v>66333516</v>
      </c>
      <c r="E30">
        <v>6158.6</v>
      </c>
      <c r="F30">
        <v>6053000.9000000004</v>
      </c>
      <c r="G30">
        <v>727302444.29999995</v>
      </c>
      <c r="H30">
        <v>631367439.60000002</v>
      </c>
      <c r="I30">
        <v>73874348.099999994</v>
      </c>
      <c r="J30">
        <v>262454480</v>
      </c>
      <c r="K30">
        <v>297910000</v>
      </c>
      <c r="L30">
        <v>3.5900000000000001E-2</v>
      </c>
      <c r="M30">
        <v>5.3900000000000003E-2</v>
      </c>
      <c r="N30">
        <v>0.13750000000000001</v>
      </c>
      <c r="O30">
        <v>86524.800000000003</v>
      </c>
      <c r="P30">
        <v>158985.70000000001</v>
      </c>
      <c r="Q30">
        <v>0.93</v>
      </c>
      <c r="R30">
        <v>0.92</v>
      </c>
      <c r="S30">
        <v>34.9</v>
      </c>
      <c r="T30">
        <v>1.7</v>
      </c>
      <c r="U30">
        <v>0.23</v>
      </c>
      <c r="V30">
        <v>3.2</v>
      </c>
      <c r="W30">
        <v>148.9</v>
      </c>
      <c r="X30">
        <v>0.02</v>
      </c>
      <c r="Y30">
        <v>35.1</v>
      </c>
      <c r="Z30">
        <v>7.6</v>
      </c>
      <c r="AA30">
        <v>42.7</v>
      </c>
      <c r="AB30">
        <v>41.7</v>
      </c>
      <c r="AC30">
        <v>2</v>
      </c>
      <c r="AD30">
        <v>0.27</v>
      </c>
      <c r="AE30">
        <v>3.8</v>
      </c>
      <c r="AF30">
        <v>178.7</v>
      </c>
      <c r="AG30">
        <v>0.02</v>
      </c>
      <c r="AH30">
        <v>41.9</v>
      </c>
      <c r="AI30">
        <v>9.1</v>
      </c>
      <c r="AJ30">
        <v>51</v>
      </c>
      <c r="AK30">
        <v>58.9</v>
      </c>
      <c r="AL30">
        <v>2.6</v>
      </c>
      <c r="AM30">
        <v>0.33</v>
      </c>
      <c r="AN30">
        <v>7.9</v>
      </c>
      <c r="AO30">
        <v>267.89999999999998</v>
      </c>
      <c r="AP30">
        <v>0.08</v>
      </c>
      <c r="AQ30">
        <v>59.1</v>
      </c>
      <c r="AR30">
        <v>15.9</v>
      </c>
      <c r="AS30">
        <v>75</v>
      </c>
      <c r="AT30">
        <v>227.2</v>
      </c>
      <c r="AU30">
        <v>10.8</v>
      </c>
      <c r="AV30">
        <v>1.45</v>
      </c>
      <c r="AW30">
        <v>21.2</v>
      </c>
      <c r="AX30">
        <v>970.4</v>
      </c>
      <c r="AY30">
        <v>0.11</v>
      </c>
      <c r="AZ30">
        <v>227.9</v>
      </c>
      <c r="BA30">
        <v>50.1</v>
      </c>
      <c r="BB30">
        <v>278</v>
      </c>
      <c r="BC30">
        <v>26162710.899999999</v>
      </c>
      <c r="BD30">
        <v>1282</v>
      </c>
      <c r="BE30">
        <v>171.1</v>
      </c>
      <c r="BF30">
        <v>2384015.1</v>
      </c>
      <c r="BG30">
        <v>111783.8</v>
      </c>
      <c r="BH30">
        <v>12</v>
      </c>
      <c r="BI30">
        <v>26247638.5</v>
      </c>
      <c r="BJ30">
        <v>5718438.9000000004</v>
      </c>
      <c r="BK30">
        <v>31966077.399999999</v>
      </c>
      <c r="BL30">
        <v>0</v>
      </c>
      <c r="BM30">
        <v>9.4</v>
      </c>
      <c r="BN30">
        <v>13.93</v>
      </c>
      <c r="BO30">
        <v>0</v>
      </c>
      <c r="BP30">
        <v>23.33</v>
      </c>
      <c r="BQ30">
        <v>10.74</v>
      </c>
      <c r="BR30">
        <v>16.440000000000001</v>
      </c>
      <c r="BS30">
        <v>0</v>
      </c>
      <c r="BT30">
        <v>27.18</v>
      </c>
      <c r="BU30">
        <v>763246140</v>
      </c>
      <c r="BV30">
        <v>653428100</v>
      </c>
      <c r="BW30">
        <v>56187640</v>
      </c>
      <c r="BX30">
        <v>254215.1</v>
      </c>
      <c r="BY30">
        <v>0</v>
      </c>
      <c r="BZ30">
        <v>0</v>
      </c>
      <c r="CA30">
        <v>8557573</v>
      </c>
      <c r="CB30">
        <v>0</v>
      </c>
      <c r="CC30">
        <v>0</v>
      </c>
      <c r="CD30">
        <v>19490476</v>
      </c>
      <c r="CE30">
        <v>40173040</v>
      </c>
      <c r="CF30">
        <v>0</v>
      </c>
      <c r="CG30">
        <v>4259449</v>
      </c>
      <c r="CH30">
        <v>0</v>
      </c>
      <c r="CI30">
        <v>360725</v>
      </c>
      <c r="CJ30">
        <v>0</v>
      </c>
      <c r="CK30">
        <v>20561.3</v>
      </c>
      <c r="CL30">
        <v>4867.8999999999996</v>
      </c>
      <c r="CM30">
        <v>0</v>
      </c>
      <c r="CN30">
        <v>192162560</v>
      </c>
      <c r="CO30">
        <v>441775040</v>
      </c>
      <c r="CP30">
        <v>0</v>
      </c>
      <c r="CQ30">
        <v>33580.300000000003</v>
      </c>
      <c r="CR30">
        <v>110.6</v>
      </c>
      <c r="CS30">
        <v>0</v>
      </c>
      <c r="CT30">
        <v>9908.6</v>
      </c>
      <c r="CU30">
        <v>0</v>
      </c>
      <c r="CV30">
        <v>0</v>
      </c>
      <c r="CW30">
        <v>15450.9</v>
      </c>
      <c r="CX30">
        <v>31779.8</v>
      </c>
      <c r="CY30">
        <v>0</v>
      </c>
      <c r="CZ30">
        <v>35083.9</v>
      </c>
      <c r="DA30">
        <v>0</v>
      </c>
      <c r="DB30">
        <v>562.70000000000005</v>
      </c>
      <c r="DC30">
        <v>0</v>
      </c>
      <c r="DD30">
        <v>1528.5</v>
      </c>
      <c r="DE30">
        <v>5</v>
      </c>
      <c r="DF30">
        <v>0</v>
      </c>
      <c r="DG30">
        <v>108260</v>
      </c>
      <c r="DH30">
        <v>0</v>
      </c>
      <c r="DI30">
        <v>153076.70000000001</v>
      </c>
      <c r="DJ30">
        <v>145863.20000000001</v>
      </c>
      <c r="DK30">
        <v>50</v>
      </c>
      <c r="DL30">
        <v>0</v>
      </c>
      <c r="DM30">
        <v>0</v>
      </c>
    </row>
    <row r="31" spans="1:117" x14ac:dyDescent="0.3">
      <c r="A31" t="s">
        <v>157</v>
      </c>
      <c r="B31">
        <v>2024</v>
      </c>
      <c r="C31">
        <v>236257360</v>
      </c>
      <c r="D31">
        <v>416741.8</v>
      </c>
      <c r="E31">
        <v>0</v>
      </c>
      <c r="F31">
        <v>1149732.7</v>
      </c>
      <c r="G31">
        <v>237823827</v>
      </c>
      <c r="H31">
        <v>227766535.69999999</v>
      </c>
      <c r="I31">
        <v>184101625.19999999</v>
      </c>
      <c r="J31">
        <v>35294410</v>
      </c>
      <c r="K31">
        <v>33867630</v>
      </c>
      <c r="L31">
        <v>3.5900000000000001E-2</v>
      </c>
      <c r="M31">
        <v>5.3900000000000003E-2</v>
      </c>
      <c r="N31">
        <v>0.15</v>
      </c>
      <c r="O31">
        <v>9081.83</v>
      </c>
      <c r="P31">
        <v>53043.3</v>
      </c>
      <c r="Q31">
        <v>0.37</v>
      </c>
      <c r="R31">
        <v>0.37</v>
      </c>
      <c r="S31">
        <v>279.89999999999998</v>
      </c>
      <c r="T31">
        <v>11.4</v>
      </c>
      <c r="U31">
        <v>1.47</v>
      </c>
      <c r="V31">
        <v>29.5</v>
      </c>
      <c r="W31">
        <v>1273.4000000000001</v>
      </c>
      <c r="X31">
        <v>0.15</v>
      </c>
      <c r="Y31">
        <v>280.7</v>
      </c>
      <c r="Z31">
        <v>67.5</v>
      </c>
      <c r="AA31">
        <v>348.2</v>
      </c>
      <c r="AB31">
        <v>292.60000000000002</v>
      </c>
      <c r="AC31">
        <v>12.2</v>
      </c>
      <c r="AD31">
        <v>1.58</v>
      </c>
      <c r="AE31">
        <v>30.8</v>
      </c>
      <c r="AF31">
        <v>1324</v>
      </c>
      <c r="AG31">
        <v>0.17</v>
      </c>
      <c r="AH31">
        <v>293.39999999999998</v>
      </c>
      <c r="AI31">
        <v>70.3</v>
      </c>
      <c r="AJ31">
        <v>363.7</v>
      </c>
      <c r="AK31">
        <v>254</v>
      </c>
      <c r="AL31">
        <v>11.7</v>
      </c>
      <c r="AM31">
        <v>1.58</v>
      </c>
      <c r="AN31">
        <v>24.2</v>
      </c>
      <c r="AO31">
        <v>1079.0999999999999</v>
      </c>
      <c r="AP31">
        <v>0.14000000000000001</v>
      </c>
      <c r="AQ31">
        <v>254.8</v>
      </c>
      <c r="AR31">
        <v>56.4</v>
      </c>
      <c r="AS31">
        <v>311.10000000000002</v>
      </c>
      <c r="AT31">
        <v>641.20000000000005</v>
      </c>
      <c r="AU31">
        <v>41.8</v>
      </c>
      <c r="AV31">
        <v>5.9</v>
      </c>
      <c r="AW31">
        <v>50</v>
      </c>
      <c r="AX31">
        <v>2322.1999999999998</v>
      </c>
      <c r="AY31">
        <v>0.36</v>
      </c>
      <c r="AZ31">
        <v>644.1</v>
      </c>
      <c r="BA31">
        <v>119.3</v>
      </c>
      <c r="BB31">
        <v>763.4</v>
      </c>
      <c r="BC31">
        <v>65808554</v>
      </c>
      <c r="BD31">
        <v>2678.5</v>
      </c>
      <c r="BE31">
        <v>346</v>
      </c>
      <c r="BF31">
        <v>6936636.4000000004</v>
      </c>
      <c r="BG31">
        <v>299478.5</v>
      </c>
      <c r="BH31">
        <v>36.4</v>
      </c>
      <c r="BI31">
        <v>65982844.100000001</v>
      </c>
      <c r="BJ31">
        <v>15871040.4</v>
      </c>
      <c r="BK31">
        <v>81853884.5</v>
      </c>
      <c r="BL31">
        <v>0</v>
      </c>
      <c r="BM31">
        <v>31.56</v>
      </c>
      <c r="BN31">
        <v>1.74</v>
      </c>
      <c r="BO31">
        <v>0</v>
      </c>
      <c r="BP31">
        <v>33.299999999999997</v>
      </c>
      <c r="BQ31">
        <v>33.42</v>
      </c>
      <c r="BR31">
        <v>1.87</v>
      </c>
      <c r="BS31">
        <v>0</v>
      </c>
      <c r="BT31">
        <v>35.29</v>
      </c>
      <c r="BU31">
        <v>236384160</v>
      </c>
      <c r="BV31">
        <v>53722200</v>
      </c>
      <c r="BW31">
        <v>349444</v>
      </c>
      <c r="BX31">
        <v>3974161.5</v>
      </c>
      <c r="BY31">
        <v>0</v>
      </c>
      <c r="BZ31">
        <v>0</v>
      </c>
      <c r="CA31">
        <v>14485542</v>
      </c>
      <c r="CB31">
        <v>0</v>
      </c>
      <c r="CC31">
        <v>0</v>
      </c>
      <c r="CD31">
        <v>2695659</v>
      </c>
      <c r="CE31">
        <v>133823700</v>
      </c>
      <c r="CF31">
        <v>0</v>
      </c>
      <c r="CG31">
        <v>625164.4</v>
      </c>
      <c r="CH31">
        <v>0</v>
      </c>
      <c r="CI31">
        <v>216447.9</v>
      </c>
      <c r="CJ31">
        <v>29187508</v>
      </c>
      <c r="CK31">
        <v>0</v>
      </c>
      <c r="CL31">
        <v>0</v>
      </c>
      <c r="CM31">
        <v>0</v>
      </c>
      <c r="CN31">
        <v>51026544</v>
      </c>
      <c r="CO31">
        <v>0</v>
      </c>
      <c r="CP31">
        <v>0</v>
      </c>
      <c r="CQ31">
        <v>466.3</v>
      </c>
      <c r="CR31">
        <v>742.5</v>
      </c>
      <c r="CS31">
        <v>0</v>
      </c>
      <c r="CT31">
        <v>5043</v>
      </c>
      <c r="CU31">
        <v>0</v>
      </c>
      <c r="CV31">
        <v>0</v>
      </c>
      <c r="CW31">
        <v>1762.6</v>
      </c>
      <c r="CX31">
        <v>32719</v>
      </c>
      <c r="CY31">
        <v>0</v>
      </c>
      <c r="CZ31">
        <v>4872.3999999999996</v>
      </c>
      <c r="DA31">
        <v>0</v>
      </c>
      <c r="DB31">
        <v>54.5</v>
      </c>
      <c r="DC31">
        <v>3666</v>
      </c>
      <c r="DD31">
        <v>0</v>
      </c>
      <c r="DE31">
        <v>0</v>
      </c>
      <c r="DF31">
        <v>0</v>
      </c>
      <c r="DG31">
        <v>21280.5</v>
      </c>
      <c r="DH31">
        <v>0</v>
      </c>
      <c r="DI31">
        <v>0</v>
      </c>
      <c r="DJ31">
        <v>977.5</v>
      </c>
      <c r="DK31">
        <v>0</v>
      </c>
      <c r="DL31">
        <v>0</v>
      </c>
      <c r="DM31">
        <v>0</v>
      </c>
    </row>
    <row r="32" spans="1:117" x14ac:dyDescent="0.3">
      <c r="A32" t="s">
        <v>157</v>
      </c>
      <c r="B32">
        <v>2026</v>
      </c>
      <c r="C32">
        <v>242657120</v>
      </c>
      <c r="D32">
        <v>5287684</v>
      </c>
      <c r="E32">
        <v>0</v>
      </c>
      <c r="F32">
        <v>1168105.3999999999</v>
      </c>
      <c r="G32">
        <v>249112902.5</v>
      </c>
      <c r="H32">
        <v>233936278.5</v>
      </c>
      <c r="I32">
        <v>158114475.5</v>
      </c>
      <c r="J32">
        <v>28142640</v>
      </c>
      <c r="K32">
        <v>32253776</v>
      </c>
      <c r="L32">
        <v>3.5900000000000001E-2</v>
      </c>
      <c r="M32">
        <v>5.3900000000000003E-2</v>
      </c>
      <c r="N32">
        <v>0.15</v>
      </c>
      <c r="O32">
        <v>41957.89</v>
      </c>
      <c r="P32">
        <v>54495.4</v>
      </c>
      <c r="Q32">
        <v>0.5</v>
      </c>
      <c r="R32">
        <v>0.47</v>
      </c>
      <c r="S32">
        <v>221.7</v>
      </c>
      <c r="T32">
        <v>9.4</v>
      </c>
      <c r="U32">
        <v>1.23</v>
      </c>
      <c r="V32">
        <v>23.2</v>
      </c>
      <c r="W32">
        <v>997.1</v>
      </c>
      <c r="X32">
        <v>0.13</v>
      </c>
      <c r="Y32">
        <v>222.3</v>
      </c>
      <c r="Z32">
        <v>53</v>
      </c>
      <c r="AA32">
        <v>275.3</v>
      </c>
      <c r="AB32">
        <v>245.7</v>
      </c>
      <c r="AC32">
        <v>10.7</v>
      </c>
      <c r="AD32">
        <v>1.4</v>
      </c>
      <c r="AE32">
        <v>25.7</v>
      </c>
      <c r="AF32">
        <v>1097.5</v>
      </c>
      <c r="AG32">
        <v>0.14000000000000001</v>
      </c>
      <c r="AH32">
        <v>246.4</v>
      </c>
      <c r="AI32">
        <v>58.4</v>
      </c>
      <c r="AJ32">
        <v>304.89999999999998</v>
      </c>
      <c r="AK32">
        <v>226</v>
      </c>
      <c r="AL32">
        <v>9</v>
      </c>
      <c r="AM32">
        <v>1.18</v>
      </c>
      <c r="AN32">
        <v>22.6</v>
      </c>
      <c r="AO32">
        <v>1013.6</v>
      </c>
      <c r="AP32">
        <v>0.11</v>
      </c>
      <c r="AQ32">
        <v>226.6</v>
      </c>
      <c r="AR32">
        <v>52.9</v>
      </c>
      <c r="AS32">
        <v>279.39999999999998</v>
      </c>
      <c r="AT32">
        <v>522</v>
      </c>
      <c r="AU32">
        <v>33.700000000000003</v>
      </c>
      <c r="AV32">
        <v>4.7300000000000004</v>
      </c>
      <c r="AW32">
        <v>41</v>
      </c>
      <c r="AX32">
        <v>1922.5</v>
      </c>
      <c r="AY32">
        <v>0.28999999999999998</v>
      </c>
      <c r="AZ32">
        <v>524.29999999999995</v>
      </c>
      <c r="BA32">
        <v>98.4</v>
      </c>
      <c r="BB32">
        <v>622.70000000000005</v>
      </c>
      <c r="BC32">
        <v>55826611.899999999</v>
      </c>
      <c r="BD32">
        <v>2365.1999999999998</v>
      </c>
      <c r="BE32">
        <v>307.89999999999998</v>
      </c>
      <c r="BF32">
        <v>5851302.5</v>
      </c>
      <c r="BG32">
        <v>251208.8</v>
      </c>
      <c r="BH32">
        <v>31.7</v>
      </c>
      <c r="BI32">
        <v>55981153</v>
      </c>
      <c r="BJ32">
        <v>13345985.199999999</v>
      </c>
      <c r="BK32">
        <v>69327138.200000003</v>
      </c>
      <c r="BL32">
        <v>0</v>
      </c>
      <c r="BM32">
        <v>25.79</v>
      </c>
      <c r="BN32">
        <v>7.87</v>
      </c>
      <c r="BO32">
        <v>0</v>
      </c>
      <c r="BP32">
        <v>33.659999999999997</v>
      </c>
      <c r="BQ32">
        <v>27.63</v>
      </c>
      <c r="BR32">
        <v>8.65</v>
      </c>
      <c r="BS32">
        <v>0</v>
      </c>
      <c r="BT32">
        <v>36.270000000000003</v>
      </c>
      <c r="BU32">
        <v>253198370</v>
      </c>
      <c r="BV32">
        <v>90998424</v>
      </c>
      <c r="BW32">
        <v>4472125.5</v>
      </c>
      <c r="BX32">
        <v>3733892</v>
      </c>
      <c r="BY32">
        <v>0</v>
      </c>
      <c r="BZ32">
        <v>0</v>
      </c>
      <c r="CA32">
        <v>13269661</v>
      </c>
      <c r="CB32">
        <v>0</v>
      </c>
      <c r="CC32">
        <v>0</v>
      </c>
      <c r="CD32">
        <v>4106154</v>
      </c>
      <c r="CE32">
        <v>111893170</v>
      </c>
      <c r="CF32">
        <v>0</v>
      </c>
      <c r="CG32">
        <v>616564.9</v>
      </c>
      <c r="CH32">
        <v>0</v>
      </c>
      <c r="CI32">
        <v>213136.3</v>
      </c>
      <c r="CJ32">
        <v>28001388</v>
      </c>
      <c r="CK32">
        <v>0</v>
      </c>
      <c r="CL32">
        <v>0</v>
      </c>
      <c r="CM32">
        <v>0</v>
      </c>
      <c r="CN32">
        <v>86892270</v>
      </c>
      <c r="CO32">
        <v>0</v>
      </c>
      <c r="CP32">
        <v>0</v>
      </c>
      <c r="CQ32">
        <v>2983.7</v>
      </c>
      <c r="CR32">
        <v>742.5</v>
      </c>
      <c r="CS32">
        <v>0</v>
      </c>
      <c r="CT32">
        <v>5043</v>
      </c>
      <c r="CU32">
        <v>0</v>
      </c>
      <c r="CV32">
        <v>0</v>
      </c>
      <c r="CW32">
        <v>3092.7</v>
      </c>
      <c r="CX32">
        <v>32719</v>
      </c>
      <c r="CY32">
        <v>0</v>
      </c>
      <c r="CZ32">
        <v>4837.3999999999996</v>
      </c>
      <c r="DA32">
        <v>0</v>
      </c>
      <c r="DB32">
        <v>54.5</v>
      </c>
      <c r="DC32">
        <v>3666</v>
      </c>
      <c r="DD32">
        <v>0</v>
      </c>
      <c r="DE32">
        <v>0</v>
      </c>
      <c r="DF32">
        <v>0</v>
      </c>
      <c r="DG32">
        <v>36937.800000000003</v>
      </c>
      <c r="DH32">
        <v>0</v>
      </c>
      <c r="DI32">
        <v>0</v>
      </c>
      <c r="DJ32">
        <v>12189.9</v>
      </c>
      <c r="DK32">
        <v>0</v>
      </c>
      <c r="DL32">
        <v>0</v>
      </c>
      <c r="DM32">
        <v>0</v>
      </c>
    </row>
    <row r="33" spans="1:117" x14ac:dyDescent="0.3">
      <c r="A33" t="s">
        <v>157</v>
      </c>
      <c r="B33">
        <v>2028</v>
      </c>
      <c r="C33">
        <v>252494560</v>
      </c>
      <c r="D33">
        <v>12215276</v>
      </c>
      <c r="E33">
        <v>0</v>
      </c>
      <c r="F33">
        <v>1523657.7</v>
      </c>
      <c r="G33">
        <v>266233497</v>
      </c>
      <c r="H33">
        <v>243420174.40000001</v>
      </c>
      <c r="I33">
        <v>152409472.59999999</v>
      </c>
      <c r="J33">
        <v>42537896</v>
      </c>
      <c r="K33">
        <v>42554844</v>
      </c>
      <c r="L33">
        <v>3.5900000000000001E-2</v>
      </c>
      <c r="M33">
        <v>5.3900000000000003E-2</v>
      </c>
      <c r="N33">
        <v>0.15</v>
      </c>
      <c r="O33">
        <v>57201.83</v>
      </c>
      <c r="P33">
        <v>56827.4</v>
      </c>
      <c r="Q33">
        <v>0.57999999999999996</v>
      </c>
      <c r="R33">
        <v>0.55000000000000004</v>
      </c>
      <c r="S33">
        <v>174.6</v>
      </c>
      <c r="T33">
        <v>6.1</v>
      </c>
      <c r="U33">
        <v>0.77</v>
      </c>
      <c r="V33">
        <v>19.7</v>
      </c>
      <c r="W33">
        <v>825.9</v>
      </c>
      <c r="X33">
        <v>0.1</v>
      </c>
      <c r="Y33">
        <v>175</v>
      </c>
      <c r="Z33">
        <v>44.3</v>
      </c>
      <c r="AA33">
        <v>219.3</v>
      </c>
      <c r="AB33">
        <v>198.8</v>
      </c>
      <c r="AC33">
        <v>7.2</v>
      </c>
      <c r="AD33">
        <v>0.9</v>
      </c>
      <c r="AE33">
        <v>22.5</v>
      </c>
      <c r="AF33">
        <v>936</v>
      </c>
      <c r="AG33">
        <v>0.12</v>
      </c>
      <c r="AH33">
        <v>199.3</v>
      </c>
      <c r="AI33">
        <v>50.4</v>
      </c>
      <c r="AJ33">
        <v>249.7</v>
      </c>
      <c r="AK33">
        <v>161.4</v>
      </c>
      <c r="AL33">
        <v>4.9000000000000004</v>
      </c>
      <c r="AM33">
        <v>0.59</v>
      </c>
      <c r="AN33">
        <v>17.399999999999999</v>
      </c>
      <c r="AO33">
        <v>783.4</v>
      </c>
      <c r="AP33">
        <v>7.0000000000000007E-2</v>
      </c>
      <c r="AQ33">
        <v>161.69999999999999</v>
      </c>
      <c r="AR33">
        <v>40.799999999999997</v>
      </c>
      <c r="AS33">
        <v>202.6</v>
      </c>
      <c r="AT33">
        <v>446.8</v>
      </c>
      <c r="AU33">
        <v>27.2</v>
      </c>
      <c r="AV33">
        <v>3.79</v>
      </c>
      <c r="AW33">
        <v>36.9</v>
      </c>
      <c r="AX33">
        <v>1696.3</v>
      </c>
      <c r="AY33">
        <v>0.25</v>
      </c>
      <c r="AZ33">
        <v>448.6</v>
      </c>
      <c r="BA33">
        <v>87.5</v>
      </c>
      <c r="BB33">
        <v>536.1</v>
      </c>
      <c r="BC33">
        <v>46192505.299999997</v>
      </c>
      <c r="BD33">
        <v>1617.6</v>
      </c>
      <c r="BE33">
        <v>202.4</v>
      </c>
      <c r="BF33">
        <v>5208390.3</v>
      </c>
      <c r="BG33">
        <v>218721.2</v>
      </c>
      <c r="BH33">
        <v>27</v>
      </c>
      <c r="BI33">
        <v>46295957.600000001</v>
      </c>
      <c r="BJ33">
        <v>11733648.199999999</v>
      </c>
      <c r="BK33">
        <v>58029605.799999997</v>
      </c>
      <c r="BL33">
        <v>0</v>
      </c>
      <c r="BM33">
        <v>21.78</v>
      </c>
      <c r="BN33">
        <v>10.54</v>
      </c>
      <c r="BO33">
        <v>0</v>
      </c>
      <c r="BP33">
        <v>32.32</v>
      </c>
      <c r="BQ33">
        <v>23.79</v>
      </c>
      <c r="BR33">
        <v>11.88</v>
      </c>
      <c r="BS33">
        <v>0</v>
      </c>
      <c r="BT33">
        <v>35.67</v>
      </c>
      <c r="BU33">
        <v>266213170</v>
      </c>
      <c r="BV33">
        <v>113824024</v>
      </c>
      <c r="BW33">
        <v>10434512</v>
      </c>
      <c r="BX33">
        <v>3436622.5</v>
      </c>
      <c r="BY33">
        <v>0</v>
      </c>
      <c r="BZ33">
        <v>0</v>
      </c>
      <c r="CA33">
        <v>7678953</v>
      </c>
      <c r="CB33">
        <v>0</v>
      </c>
      <c r="CC33">
        <v>0</v>
      </c>
      <c r="CD33">
        <v>6833029</v>
      </c>
      <c r="CE33">
        <v>102694400</v>
      </c>
      <c r="CF33">
        <v>0</v>
      </c>
      <c r="CG33">
        <v>585359.4</v>
      </c>
      <c r="CH33">
        <v>0</v>
      </c>
      <c r="CI33">
        <v>224042.4</v>
      </c>
      <c r="CJ33">
        <v>27335254</v>
      </c>
      <c r="CK33">
        <v>0</v>
      </c>
      <c r="CL33">
        <v>0</v>
      </c>
      <c r="CM33">
        <v>0</v>
      </c>
      <c r="CN33">
        <v>106990990</v>
      </c>
      <c r="CO33">
        <v>0</v>
      </c>
      <c r="CP33">
        <v>0</v>
      </c>
      <c r="CQ33">
        <v>6715</v>
      </c>
      <c r="CR33">
        <v>742.5</v>
      </c>
      <c r="CS33">
        <v>0</v>
      </c>
      <c r="CT33">
        <v>5043</v>
      </c>
      <c r="CU33">
        <v>0</v>
      </c>
      <c r="CV33">
        <v>0</v>
      </c>
      <c r="CW33">
        <v>5125.3999999999996</v>
      </c>
      <c r="CX33">
        <v>32719</v>
      </c>
      <c r="CY33">
        <v>0</v>
      </c>
      <c r="CZ33">
        <v>4751.3999999999996</v>
      </c>
      <c r="DA33">
        <v>0</v>
      </c>
      <c r="DB33">
        <v>57.5</v>
      </c>
      <c r="DC33">
        <v>3666</v>
      </c>
      <c r="DD33">
        <v>0</v>
      </c>
      <c r="DE33">
        <v>0</v>
      </c>
      <c r="DF33">
        <v>0</v>
      </c>
      <c r="DG33">
        <v>46842.9</v>
      </c>
      <c r="DH33">
        <v>0</v>
      </c>
      <c r="DI33">
        <v>0</v>
      </c>
      <c r="DJ33">
        <v>27259.1</v>
      </c>
      <c r="DK33">
        <v>0</v>
      </c>
      <c r="DL33">
        <v>0</v>
      </c>
      <c r="DM33">
        <v>0</v>
      </c>
    </row>
    <row r="34" spans="1:117" x14ac:dyDescent="0.3">
      <c r="A34" t="s">
        <v>157</v>
      </c>
      <c r="B34">
        <v>2030</v>
      </c>
      <c r="C34">
        <v>262812420</v>
      </c>
      <c r="D34">
        <v>17560576</v>
      </c>
      <c r="E34">
        <v>0</v>
      </c>
      <c r="F34">
        <v>1553091.7</v>
      </c>
      <c r="G34">
        <v>281926087.60000002</v>
      </c>
      <c r="H34">
        <v>253367213</v>
      </c>
      <c r="I34">
        <v>155720465.30000001</v>
      </c>
      <c r="J34">
        <v>46005540</v>
      </c>
      <c r="K34">
        <v>40503936</v>
      </c>
      <c r="L34">
        <v>3.5900000000000001E-2</v>
      </c>
      <c r="M34">
        <v>5.3900000000000003E-2</v>
      </c>
      <c r="N34">
        <v>0.15</v>
      </c>
      <c r="O34">
        <v>65131.3</v>
      </c>
      <c r="P34">
        <v>59287.9</v>
      </c>
      <c r="Q34">
        <v>0.62</v>
      </c>
      <c r="R34">
        <v>0.59</v>
      </c>
      <c r="S34">
        <v>158.6</v>
      </c>
      <c r="T34">
        <v>5.6</v>
      </c>
      <c r="U34">
        <v>0.7</v>
      </c>
      <c r="V34">
        <v>17.899999999999999</v>
      </c>
      <c r="W34">
        <v>749.1</v>
      </c>
      <c r="X34">
        <v>0.09</v>
      </c>
      <c r="Y34">
        <v>158.9</v>
      </c>
      <c r="Z34">
        <v>40.200000000000003</v>
      </c>
      <c r="AA34">
        <v>199.2</v>
      </c>
      <c r="AB34">
        <v>182.7</v>
      </c>
      <c r="AC34">
        <v>6.7</v>
      </c>
      <c r="AD34">
        <v>0.84</v>
      </c>
      <c r="AE34">
        <v>20.7</v>
      </c>
      <c r="AF34">
        <v>857.4</v>
      </c>
      <c r="AG34">
        <v>0.11</v>
      </c>
      <c r="AH34">
        <v>183.1</v>
      </c>
      <c r="AI34">
        <v>46.3</v>
      </c>
      <c r="AJ34">
        <v>229.4</v>
      </c>
      <c r="AK34">
        <v>207.1</v>
      </c>
      <c r="AL34">
        <v>5.7</v>
      </c>
      <c r="AM34">
        <v>0.67</v>
      </c>
      <c r="AN34">
        <v>22.9</v>
      </c>
      <c r="AO34">
        <v>1024</v>
      </c>
      <c r="AP34">
        <v>0.09</v>
      </c>
      <c r="AQ34">
        <v>207.4</v>
      </c>
      <c r="AR34">
        <v>53.4</v>
      </c>
      <c r="AS34">
        <v>260.89999999999998</v>
      </c>
      <c r="AT34">
        <v>428.5</v>
      </c>
      <c r="AU34">
        <v>26.1</v>
      </c>
      <c r="AV34">
        <v>3.63</v>
      </c>
      <c r="AW34">
        <v>35.4</v>
      </c>
      <c r="AX34">
        <v>1628.1</v>
      </c>
      <c r="AY34">
        <v>0.24</v>
      </c>
      <c r="AZ34">
        <v>430.3</v>
      </c>
      <c r="BA34">
        <v>84</v>
      </c>
      <c r="BB34">
        <v>514.29999999999995</v>
      </c>
      <c r="BC34">
        <v>43542176.200000003</v>
      </c>
      <c r="BD34">
        <v>1535.9</v>
      </c>
      <c r="BE34">
        <v>192.5</v>
      </c>
      <c r="BF34">
        <v>4920756.2</v>
      </c>
      <c r="BG34">
        <v>205863</v>
      </c>
      <c r="BH34">
        <v>25.8</v>
      </c>
      <c r="BI34">
        <v>43640489.299999997</v>
      </c>
      <c r="BJ34">
        <v>11062508.300000001</v>
      </c>
      <c r="BK34">
        <v>54702997.5</v>
      </c>
      <c r="BL34">
        <v>0</v>
      </c>
      <c r="BM34">
        <v>21.06</v>
      </c>
      <c r="BN34">
        <v>11.92</v>
      </c>
      <c r="BO34">
        <v>0</v>
      </c>
      <c r="BP34">
        <v>32.979999999999997</v>
      </c>
      <c r="BQ34">
        <v>23.29</v>
      </c>
      <c r="BR34">
        <v>13.68</v>
      </c>
      <c r="BS34">
        <v>0</v>
      </c>
      <c r="BT34">
        <v>36.97</v>
      </c>
      <c r="BU34">
        <v>276403000</v>
      </c>
      <c r="BV34">
        <v>126205620</v>
      </c>
      <c r="BW34">
        <v>14956712</v>
      </c>
      <c r="BX34">
        <v>3384554.5</v>
      </c>
      <c r="BY34">
        <v>0</v>
      </c>
      <c r="BZ34">
        <v>0</v>
      </c>
      <c r="CA34">
        <v>7366093</v>
      </c>
      <c r="CB34">
        <v>0</v>
      </c>
      <c r="CC34">
        <v>0</v>
      </c>
      <c r="CD34">
        <v>10974812</v>
      </c>
      <c r="CE34">
        <v>96476140</v>
      </c>
      <c r="CF34">
        <v>0</v>
      </c>
      <c r="CG34">
        <v>618212.80000000005</v>
      </c>
      <c r="CH34">
        <v>0</v>
      </c>
      <c r="CI34">
        <v>224115.4</v>
      </c>
      <c r="CJ34">
        <v>27171556</v>
      </c>
      <c r="CK34">
        <v>0</v>
      </c>
      <c r="CL34">
        <v>0</v>
      </c>
      <c r="CM34">
        <v>0</v>
      </c>
      <c r="CN34">
        <v>115230810</v>
      </c>
      <c r="CO34">
        <v>0</v>
      </c>
      <c r="CP34">
        <v>0</v>
      </c>
      <c r="CQ34">
        <v>9505.5</v>
      </c>
      <c r="CR34">
        <v>742.5</v>
      </c>
      <c r="CS34">
        <v>0</v>
      </c>
      <c r="CT34">
        <v>5043</v>
      </c>
      <c r="CU34">
        <v>0</v>
      </c>
      <c r="CV34">
        <v>0</v>
      </c>
      <c r="CW34">
        <v>8117.4</v>
      </c>
      <c r="CX34">
        <v>31907.200000000001</v>
      </c>
      <c r="CY34">
        <v>0</v>
      </c>
      <c r="CZ34">
        <v>4732.3999999999996</v>
      </c>
      <c r="DA34">
        <v>0</v>
      </c>
      <c r="DB34">
        <v>57.5</v>
      </c>
      <c r="DC34">
        <v>3666</v>
      </c>
      <c r="DD34">
        <v>0</v>
      </c>
      <c r="DE34">
        <v>0</v>
      </c>
      <c r="DF34">
        <v>0</v>
      </c>
      <c r="DG34">
        <v>50556.3</v>
      </c>
      <c r="DH34">
        <v>0</v>
      </c>
      <c r="DI34">
        <v>0</v>
      </c>
      <c r="DJ34">
        <v>40358.9</v>
      </c>
      <c r="DK34">
        <v>0</v>
      </c>
      <c r="DL34">
        <v>0</v>
      </c>
      <c r="DM34">
        <v>0</v>
      </c>
    </row>
    <row r="35" spans="1:117" x14ac:dyDescent="0.3">
      <c r="A35" t="s">
        <v>157</v>
      </c>
      <c r="B35">
        <v>2035</v>
      </c>
      <c r="C35">
        <v>295628350</v>
      </c>
      <c r="D35">
        <v>50232076</v>
      </c>
      <c r="E35">
        <v>0</v>
      </c>
      <c r="F35">
        <v>1281056.1000000001</v>
      </c>
      <c r="G35">
        <v>347141497.19999999</v>
      </c>
      <c r="H35">
        <v>285003847.10000002</v>
      </c>
      <c r="I35">
        <v>159855666.19999999</v>
      </c>
      <c r="J35">
        <v>34849336</v>
      </c>
      <c r="K35">
        <v>31834892</v>
      </c>
      <c r="L35">
        <v>3.5900000000000001E-2</v>
      </c>
      <c r="M35">
        <v>5.3900000000000003E-2</v>
      </c>
      <c r="N35">
        <v>0.15</v>
      </c>
      <c r="O35">
        <v>83919.92</v>
      </c>
      <c r="P35">
        <v>67627.5</v>
      </c>
      <c r="Q35">
        <v>0.76</v>
      </c>
      <c r="R35">
        <v>0.7</v>
      </c>
      <c r="S35">
        <v>96.6</v>
      </c>
      <c r="T35">
        <v>2.7</v>
      </c>
      <c r="U35">
        <v>0.32</v>
      </c>
      <c r="V35">
        <v>11.8</v>
      </c>
      <c r="W35">
        <v>478.4</v>
      </c>
      <c r="X35">
        <v>0.06</v>
      </c>
      <c r="Y35">
        <v>96.8</v>
      </c>
      <c r="Z35">
        <v>26</v>
      </c>
      <c r="AA35">
        <v>122.8</v>
      </c>
      <c r="AB35">
        <v>125.1</v>
      </c>
      <c r="AC35">
        <v>3.9</v>
      </c>
      <c r="AD35">
        <v>0.47</v>
      </c>
      <c r="AE35">
        <v>15.1</v>
      </c>
      <c r="AF35">
        <v>610.20000000000005</v>
      </c>
      <c r="AG35">
        <v>0.08</v>
      </c>
      <c r="AH35">
        <v>125.4</v>
      </c>
      <c r="AI35">
        <v>33.299999999999997</v>
      </c>
      <c r="AJ35">
        <v>158.69999999999999</v>
      </c>
      <c r="AK35">
        <v>229.1</v>
      </c>
      <c r="AL35">
        <v>8.1999999999999993</v>
      </c>
      <c r="AM35">
        <v>1.04</v>
      </c>
      <c r="AN35">
        <v>23.6</v>
      </c>
      <c r="AO35">
        <v>1073.2</v>
      </c>
      <c r="AP35">
        <v>0.1</v>
      </c>
      <c r="AQ35">
        <v>229.6</v>
      </c>
      <c r="AR35">
        <v>55.6</v>
      </c>
      <c r="AS35">
        <v>285.2</v>
      </c>
      <c r="AT35">
        <v>361.1</v>
      </c>
      <c r="AU35">
        <v>19.399999999999999</v>
      </c>
      <c r="AV35">
        <v>2.65</v>
      </c>
      <c r="AW35">
        <v>31.8</v>
      </c>
      <c r="AX35">
        <v>1468.1</v>
      </c>
      <c r="AY35">
        <v>0.19</v>
      </c>
      <c r="AZ35">
        <v>362.4</v>
      </c>
      <c r="BA35">
        <v>75.599999999999994</v>
      </c>
      <c r="BB35">
        <v>438</v>
      </c>
      <c r="BC35">
        <v>32961152.699999999</v>
      </c>
      <c r="BD35">
        <v>925.8</v>
      </c>
      <c r="BE35">
        <v>109.1</v>
      </c>
      <c r="BF35">
        <v>4026700.4</v>
      </c>
      <c r="BG35">
        <v>163508.4</v>
      </c>
      <c r="BH35">
        <v>20.7</v>
      </c>
      <c r="BI35">
        <v>33018537.5</v>
      </c>
      <c r="BJ35">
        <v>8904913.5</v>
      </c>
      <c r="BK35">
        <v>41923451</v>
      </c>
      <c r="BL35">
        <v>0</v>
      </c>
      <c r="BM35">
        <v>17.670000000000002</v>
      </c>
      <c r="BN35">
        <v>14.43</v>
      </c>
      <c r="BO35">
        <v>0</v>
      </c>
      <c r="BP35">
        <v>32.1</v>
      </c>
      <c r="BQ35">
        <v>21.07</v>
      </c>
      <c r="BR35">
        <v>18.16</v>
      </c>
      <c r="BS35">
        <v>0</v>
      </c>
      <c r="BT35">
        <v>39.229999999999997</v>
      </c>
      <c r="BU35">
        <v>344165760</v>
      </c>
      <c r="BV35">
        <v>187285820</v>
      </c>
      <c r="BW35">
        <v>42803064</v>
      </c>
      <c r="BX35">
        <v>3115739.2</v>
      </c>
      <c r="BY35">
        <v>0</v>
      </c>
      <c r="BZ35">
        <v>0</v>
      </c>
      <c r="CA35">
        <v>3254142.5</v>
      </c>
      <c r="CB35">
        <v>0</v>
      </c>
      <c r="CC35">
        <v>0</v>
      </c>
      <c r="CD35">
        <v>11713085</v>
      </c>
      <c r="CE35">
        <v>80221780</v>
      </c>
      <c r="CF35">
        <v>0</v>
      </c>
      <c r="CG35">
        <v>596771.4</v>
      </c>
      <c r="CH35">
        <v>0</v>
      </c>
      <c r="CI35">
        <v>221902.8</v>
      </c>
      <c r="CJ35">
        <v>26666538</v>
      </c>
      <c r="CK35">
        <v>0</v>
      </c>
      <c r="CL35">
        <v>0</v>
      </c>
      <c r="CM35">
        <v>0</v>
      </c>
      <c r="CN35">
        <v>175572750</v>
      </c>
      <c r="CO35">
        <v>0</v>
      </c>
      <c r="CP35">
        <v>0</v>
      </c>
      <c r="CQ35">
        <v>20400</v>
      </c>
      <c r="CR35">
        <v>742.5</v>
      </c>
      <c r="CS35">
        <v>0</v>
      </c>
      <c r="CT35">
        <v>4811</v>
      </c>
      <c r="CU35">
        <v>0</v>
      </c>
      <c r="CV35">
        <v>0</v>
      </c>
      <c r="CW35">
        <v>10905</v>
      </c>
      <c r="CX35">
        <v>31735.200000000001</v>
      </c>
      <c r="CY35">
        <v>0</v>
      </c>
      <c r="CZ35">
        <v>4732.3999999999996</v>
      </c>
      <c r="DA35">
        <v>0</v>
      </c>
      <c r="DB35">
        <v>57.5</v>
      </c>
      <c r="DC35">
        <v>3666</v>
      </c>
      <c r="DD35">
        <v>0</v>
      </c>
      <c r="DE35">
        <v>0</v>
      </c>
      <c r="DF35">
        <v>0</v>
      </c>
      <c r="DG35">
        <v>82192.399999999994</v>
      </c>
      <c r="DH35">
        <v>0</v>
      </c>
      <c r="DI35">
        <v>0</v>
      </c>
      <c r="DJ35">
        <v>122495.7</v>
      </c>
      <c r="DK35">
        <v>0</v>
      </c>
      <c r="DL35">
        <v>0</v>
      </c>
      <c r="DM35">
        <v>0</v>
      </c>
    </row>
    <row r="36" spans="1:117" x14ac:dyDescent="0.3">
      <c r="A36" t="s">
        <v>157</v>
      </c>
      <c r="B36">
        <v>2040</v>
      </c>
      <c r="C36">
        <v>331971330</v>
      </c>
      <c r="D36">
        <v>68174430</v>
      </c>
      <c r="E36">
        <v>0</v>
      </c>
      <c r="F36">
        <v>1284159.1000000001</v>
      </c>
      <c r="G36">
        <v>401429933.39999998</v>
      </c>
      <c r="H36">
        <v>320040722.5</v>
      </c>
      <c r="I36">
        <v>190801913.90000001</v>
      </c>
      <c r="J36">
        <v>39693116</v>
      </c>
      <c r="K36">
        <v>29279756</v>
      </c>
      <c r="L36">
        <v>3.5900000000000001E-2</v>
      </c>
      <c r="M36">
        <v>5.3900000000000003E-2</v>
      </c>
      <c r="N36">
        <v>0.15</v>
      </c>
      <c r="O36">
        <v>83884.240000000005</v>
      </c>
      <c r="P36">
        <v>77861.2</v>
      </c>
      <c r="Q36">
        <v>0.76</v>
      </c>
      <c r="R36">
        <v>0.71</v>
      </c>
      <c r="S36">
        <v>91.4</v>
      </c>
      <c r="T36">
        <v>2.2999999999999998</v>
      </c>
      <c r="U36">
        <v>0.27</v>
      </c>
      <c r="V36">
        <v>11.3</v>
      </c>
      <c r="W36">
        <v>460.3</v>
      </c>
      <c r="X36">
        <v>0.06</v>
      </c>
      <c r="Y36">
        <v>91.5</v>
      </c>
      <c r="Z36">
        <v>25</v>
      </c>
      <c r="AA36">
        <v>116.6</v>
      </c>
      <c r="AB36">
        <v>118</v>
      </c>
      <c r="AC36">
        <v>3.2</v>
      </c>
      <c r="AD36">
        <v>0.38</v>
      </c>
      <c r="AE36">
        <v>14.6</v>
      </c>
      <c r="AF36">
        <v>588.5</v>
      </c>
      <c r="AG36">
        <v>0.08</v>
      </c>
      <c r="AH36">
        <v>118.2</v>
      </c>
      <c r="AI36">
        <v>32.1</v>
      </c>
      <c r="AJ36">
        <v>150.30000000000001</v>
      </c>
      <c r="AK36">
        <v>287.89999999999998</v>
      </c>
      <c r="AL36">
        <v>11.3</v>
      </c>
      <c r="AM36">
        <v>1.45</v>
      </c>
      <c r="AN36">
        <v>28.8</v>
      </c>
      <c r="AO36">
        <v>1319.8</v>
      </c>
      <c r="AP36">
        <v>0.13</v>
      </c>
      <c r="AQ36">
        <v>288.60000000000002</v>
      </c>
      <c r="AR36">
        <v>68.099999999999994</v>
      </c>
      <c r="AS36">
        <v>356.7</v>
      </c>
      <c r="AT36">
        <v>354.6</v>
      </c>
      <c r="AU36">
        <v>17</v>
      </c>
      <c r="AV36">
        <v>2.29</v>
      </c>
      <c r="AW36">
        <v>33.200000000000003</v>
      </c>
      <c r="AX36">
        <v>1507.2</v>
      </c>
      <c r="AY36">
        <v>0.18</v>
      </c>
      <c r="AZ36">
        <v>355.8</v>
      </c>
      <c r="BA36">
        <v>78.099999999999994</v>
      </c>
      <c r="BB36">
        <v>433.9</v>
      </c>
      <c r="BC36">
        <v>35405516.799999997</v>
      </c>
      <c r="BD36">
        <v>897.4</v>
      </c>
      <c r="BE36">
        <v>102.3</v>
      </c>
      <c r="BF36">
        <v>4387760.4000000004</v>
      </c>
      <c r="BG36">
        <v>178653.5</v>
      </c>
      <c r="BH36">
        <v>21.8</v>
      </c>
      <c r="BI36">
        <v>35460179.299999997</v>
      </c>
      <c r="BJ36">
        <v>9717591.0999999996</v>
      </c>
      <c r="BK36">
        <v>45177770.399999999</v>
      </c>
      <c r="BL36">
        <v>0</v>
      </c>
      <c r="BM36">
        <v>17.670000000000002</v>
      </c>
      <c r="BN36">
        <v>14.33</v>
      </c>
      <c r="BO36">
        <v>0</v>
      </c>
      <c r="BP36">
        <v>32</v>
      </c>
      <c r="BQ36">
        <v>21.3</v>
      </c>
      <c r="BR36">
        <v>18.59</v>
      </c>
      <c r="BS36">
        <v>0</v>
      </c>
      <c r="BT36">
        <v>39.9</v>
      </c>
      <c r="BU36">
        <v>391089200</v>
      </c>
      <c r="BV36">
        <v>210628020</v>
      </c>
      <c r="BW36">
        <v>58188908</v>
      </c>
      <c r="BX36">
        <v>3182544.5</v>
      </c>
      <c r="BY36">
        <v>0</v>
      </c>
      <c r="BZ36">
        <v>0</v>
      </c>
      <c r="CA36">
        <v>2512538.7999999998</v>
      </c>
      <c r="CB36">
        <v>0</v>
      </c>
      <c r="CC36">
        <v>0</v>
      </c>
      <c r="CD36">
        <v>12878642</v>
      </c>
      <c r="CE36">
        <v>88989810</v>
      </c>
      <c r="CF36">
        <v>0</v>
      </c>
      <c r="CG36">
        <v>500946.2</v>
      </c>
      <c r="CH36">
        <v>0</v>
      </c>
      <c r="CI36">
        <v>222240</v>
      </c>
      <c r="CJ36">
        <v>26864196</v>
      </c>
      <c r="CK36">
        <v>0</v>
      </c>
      <c r="CL36">
        <v>0</v>
      </c>
      <c r="CM36">
        <v>0</v>
      </c>
      <c r="CN36">
        <v>197749380</v>
      </c>
      <c r="CO36">
        <v>0</v>
      </c>
      <c r="CP36">
        <v>0</v>
      </c>
      <c r="CQ36">
        <v>28788.5</v>
      </c>
      <c r="CR36">
        <v>742.5</v>
      </c>
      <c r="CS36">
        <v>0</v>
      </c>
      <c r="CT36">
        <v>4811</v>
      </c>
      <c r="CU36">
        <v>0</v>
      </c>
      <c r="CV36">
        <v>0</v>
      </c>
      <c r="CW36">
        <v>11179.3</v>
      </c>
      <c r="CX36">
        <v>31735.200000000001</v>
      </c>
      <c r="CY36">
        <v>0</v>
      </c>
      <c r="CZ36">
        <v>4732.3999999999996</v>
      </c>
      <c r="DA36">
        <v>0</v>
      </c>
      <c r="DB36">
        <v>57.5</v>
      </c>
      <c r="DC36">
        <v>3666</v>
      </c>
      <c r="DD36">
        <v>0</v>
      </c>
      <c r="DE36">
        <v>0</v>
      </c>
      <c r="DF36">
        <v>0</v>
      </c>
      <c r="DG36">
        <v>91929.5</v>
      </c>
      <c r="DH36">
        <v>0</v>
      </c>
      <c r="DI36">
        <v>0</v>
      </c>
      <c r="DJ36">
        <v>167323.9</v>
      </c>
      <c r="DK36">
        <v>0</v>
      </c>
      <c r="DL36">
        <v>0</v>
      </c>
      <c r="DM36">
        <v>0</v>
      </c>
    </row>
    <row r="37" spans="1:117" x14ac:dyDescent="0.3">
      <c r="A37" t="s">
        <v>157</v>
      </c>
      <c r="B37">
        <v>2045</v>
      </c>
      <c r="C37">
        <v>366366400</v>
      </c>
      <c r="D37">
        <v>84505340</v>
      </c>
      <c r="E37">
        <v>0</v>
      </c>
      <c r="F37">
        <v>1114885.5</v>
      </c>
      <c r="G37">
        <v>451986642.39999998</v>
      </c>
      <c r="H37">
        <v>353199675.39999998</v>
      </c>
      <c r="I37">
        <v>212377720.5</v>
      </c>
      <c r="J37">
        <v>34537796</v>
      </c>
      <c r="K37">
        <v>23485232</v>
      </c>
      <c r="L37">
        <v>3.5900000000000001E-2</v>
      </c>
      <c r="M37">
        <v>5.3900000000000003E-2</v>
      </c>
      <c r="N37">
        <v>0.15</v>
      </c>
      <c r="O37">
        <v>86956.32</v>
      </c>
      <c r="P37">
        <v>87357.5</v>
      </c>
      <c r="Q37">
        <v>0.77</v>
      </c>
      <c r="R37">
        <v>0.72</v>
      </c>
      <c r="S37">
        <v>87.6</v>
      </c>
      <c r="T37">
        <v>2.1</v>
      </c>
      <c r="U37">
        <v>0.23</v>
      </c>
      <c r="V37">
        <v>10.8</v>
      </c>
      <c r="W37">
        <v>445.7</v>
      </c>
      <c r="X37">
        <v>0.05</v>
      </c>
      <c r="Y37">
        <v>87.7</v>
      </c>
      <c r="Z37">
        <v>24.1</v>
      </c>
      <c r="AA37">
        <v>111.8</v>
      </c>
      <c r="AB37">
        <v>113.2</v>
      </c>
      <c r="AC37">
        <v>2.8</v>
      </c>
      <c r="AD37">
        <v>0.32</v>
      </c>
      <c r="AE37">
        <v>13.9</v>
      </c>
      <c r="AF37">
        <v>573.1</v>
      </c>
      <c r="AG37">
        <v>7.0000000000000007E-2</v>
      </c>
      <c r="AH37">
        <v>113.4</v>
      </c>
      <c r="AI37">
        <v>31</v>
      </c>
      <c r="AJ37">
        <v>144.4</v>
      </c>
      <c r="AK37">
        <v>282.7</v>
      </c>
      <c r="AL37">
        <v>12.3</v>
      </c>
      <c r="AM37">
        <v>1.61</v>
      </c>
      <c r="AN37">
        <v>27.2</v>
      </c>
      <c r="AO37">
        <v>1257.8</v>
      </c>
      <c r="AP37">
        <v>0.13</v>
      </c>
      <c r="AQ37">
        <v>283.5</v>
      </c>
      <c r="AR37">
        <v>64.7</v>
      </c>
      <c r="AS37">
        <v>348.2</v>
      </c>
      <c r="AT37">
        <v>339.7</v>
      </c>
      <c r="AU37">
        <v>15.3</v>
      </c>
      <c r="AV37">
        <v>2.0299999999999998</v>
      </c>
      <c r="AW37">
        <v>32.5</v>
      </c>
      <c r="AX37">
        <v>1482.7</v>
      </c>
      <c r="AY37">
        <v>0.17</v>
      </c>
      <c r="AZ37">
        <v>340.7</v>
      </c>
      <c r="BA37">
        <v>76.8</v>
      </c>
      <c r="BB37">
        <v>417.4</v>
      </c>
      <c r="BC37">
        <v>38291498.799999997</v>
      </c>
      <c r="BD37">
        <v>909.5</v>
      </c>
      <c r="BE37">
        <v>101.2</v>
      </c>
      <c r="BF37">
        <v>4706909.9000000004</v>
      </c>
      <c r="BG37">
        <v>195009.9</v>
      </c>
      <c r="BH37">
        <v>22.7</v>
      </c>
      <c r="BI37">
        <v>38346223</v>
      </c>
      <c r="BJ37">
        <v>10524415.300000001</v>
      </c>
      <c r="BK37">
        <v>48870638.299999997</v>
      </c>
      <c r="BL37">
        <v>0</v>
      </c>
      <c r="BM37">
        <v>16.399999999999999</v>
      </c>
      <c r="BN37">
        <v>14.74</v>
      </c>
      <c r="BO37">
        <v>0</v>
      </c>
      <c r="BP37">
        <v>31.14</v>
      </c>
      <c r="BQ37">
        <v>20.170000000000002</v>
      </c>
      <c r="BR37">
        <v>19.53</v>
      </c>
      <c r="BS37">
        <v>0</v>
      </c>
      <c r="BT37">
        <v>39.700000000000003</v>
      </c>
      <c r="BU37">
        <v>441055650</v>
      </c>
      <c r="BV37">
        <v>239608930</v>
      </c>
      <c r="BW37">
        <v>71968584</v>
      </c>
      <c r="BX37">
        <v>2555359</v>
      </c>
      <c r="BY37">
        <v>0</v>
      </c>
      <c r="BZ37">
        <v>0</v>
      </c>
      <c r="CA37">
        <v>2057210.4</v>
      </c>
      <c r="CB37">
        <v>0</v>
      </c>
      <c r="CC37">
        <v>0</v>
      </c>
      <c r="CD37">
        <v>12067521</v>
      </c>
      <c r="CE37">
        <v>97104270</v>
      </c>
      <c r="CF37">
        <v>0</v>
      </c>
      <c r="CG37">
        <v>839837.9</v>
      </c>
      <c r="CH37">
        <v>0</v>
      </c>
      <c r="CI37">
        <v>221928.5</v>
      </c>
      <c r="CJ37">
        <v>26699508</v>
      </c>
      <c r="CK37">
        <v>0</v>
      </c>
      <c r="CL37">
        <v>0</v>
      </c>
      <c r="CM37">
        <v>0</v>
      </c>
      <c r="CN37">
        <v>227541400</v>
      </c>
      <c r="CO37">
        <v>0</v>
      </c>
      <c r="CP37">
        <v>0</v>
      </c>
      <c r="CQ37">
        <v>35139</v>
      </c>
      <c r="CR37">
        <v>667.6</v>
      </c>
      <c r="CS37">
        <v>0</v>
      </c>
      <c r="CT37">
        <v>4518</v>
      </c>
      <c r="CU37">
        <v>0</v>
      </c>
      <c r="CV37">
        <v>0</v>
      </c>
      <c r="CW37">
        <v>11569.5</v>
      </c>
      <c r="CX37">
        <v>31679.200000000001</v>
      </c>
      <c r="CY37">
        <v>0</v>
      </c>
      <c r="CZ37">
        <v>8215.7999999999993</v>
      </c>
      <c r="DA37">
        <v>0</v>
      </c>
      <c r="DB37">
        <v>57.5</v>
      </c>
      <c r="DC37">
        <v>3666</v>
      </c>
      <c r="DD37">
        <v>0</v>
      </c>
      <c r="DE37">
        <v>0</v>
      </c>
      <c r="DF37">
        <v>0</v>
      </c>
      <c r="DG37">
        <v>109442.5</v>
      </c>
      <c r="DH37">
        <v>0</v>
      </c>
      <c r="DI37">
        <v>0</v>
      </c>
      <c r="DJ37">
        <v>206451.8</v>
      </c>
      <c r="DK37">
        <v>0</v>
      </c>
      <c r="DL37">
        <v>0</v>
      </c>
      <c r="DM37">
        <v>0</v>
      </c>
    </row>
    <row r="38" spans="1:117" x14ac:dyDescent="0.3">
      <c r="A38" t="s">
        <v>157</v>
      </c>
      <c r="B38">
        <v>2050</v>
      </c>
      <c r="C38">
        <v>401562660</v>
      </c>
      <c r="D38">
        <v>96784630</v>
      </c>
      <c r="E38">
        <v>0</v>
      </c>
      <c r="F38">
        <v>1085133.3</v>
      </c>
      <c r="G38">
        <v>499432409.30000001</v>
      </c>
      <c r="H38">
        <v>387131019.39999998</v>
      </c>
      <c r="I38">
        <v>233089661.09999999</v>
      </c>
      <c r="J38">
        <v>34429736</v>
      </c>
      <c r="K38">
        <v>21814244</v>
      </c>
      <c r="L38">
        <v>3.5900000000000001E-2</v>
      </c>
      <c r="M38">
        <v>5.3900000000000003E-2</v>
      </c>
      <c r="N38">
        <v>0.15</v>
      </c>
      <c r="O38">
        <v>85656.23</v>
      </c>
      <c r="P38">
        <v>97276.9</v>
      </c>
      <c r="Q38">
        <v>0.78</v>
      </c>
      <c r="R38">
        <v>0.73</v>
      </c>
      <c r="S38">
        <v>86.6</v>
      </c>
      <c r="T38">
        <v>2</v>
      </c>
      <c r="U38">
        <v>0.23</v>
      </c>
      <c r="V38">
        <v>10.6</v>
      </c>
      <c r="W38">
        <v>441.8</v>
      </c>
      <c r="X38">
        <v>0.05</v>
      </c>
      <c r="Y38">
        <v>86.7</v>
      </c>
      <c r="Z38">
        <v>23.8</v>
      </c>
      <c r="AA38">
        <v>110.5</v>
      </c>
      <c r="AB38">
        <v>111</v>
      </c>
      <c r="AC38">
        <v>2.6</v>
      </c>
      <c r="AD38">
        <v>0.28999999999999998</v>
      </c>
      <c r="AE38">
        <v>13.7</v>
      </c>
      <c r="AF38">
        <v>565.6</v>
      </c>
      <c r="AG38">
        <v>7.0000000000000007E-2</v>
      </c>
      <c r="AH38">
        <v>111.1</v>
      </c>
      <c r="AI38">
        <v>30.6</v>
      </c>
      <c r="AJ38">
        <v>141.69999999999999</v>
      </c>
      <c r="AK38">
        <v>288.3</v>
      </c>
      <c r="AL38">
        <v>12.5</v>
      </c>
      <c r="AM38">
        <v>1.63</v>
      </c>
      <c r="AN38">
        <v>27.8</v>
      </c>
      <c r="AO38">
        <v>1284.2</v>
      </c>
      <c r="AP38">
        <v>0.13</v>
      </c>
      <c r="AQ38">
        <v>289.10000000000002</v>
      </c>
      <c r="AR38">
        <v>66.099999999999994</v>
      </c>
      <c r="AS38">
        <v>355.2</v>
      </c>
      <c r="AT38">
        <v>329</v>
      </c>
      <c r="AU38">
        <v>14.1</v>
      </c>
      <c r="AV38">
        <v>1.86</v>
      </c>
      <c r="AW38">
        <v>32.299999999999997</v>
      </c>
      <c r="AX38">
        <v>1460.2</v>
      </c>
      <c r="AY38">
        <v>0.17</v>
      </c>
      <c r="AZ38">
        <v>329.9</v>
      </c>
      <c r="BA38">
        <v>75.8</v>
      </c>
      <c r="BB38">
        <v>405.8</v>
      </c>
      <c r="BC38">
        <v>41820477.799999997</v>
      </c>
      <c r="BD38">
        <v>976.9</v>
      </c>
      <c r="BE38">
        <v>108</v>
      </c>
      <c r="BF38">
        <v>5121508.3</v>
      </c>
      <c r="BG38">
        <v>213434.1</v>
      </c>
      <c r="BH38">
        <v>24.3</v>
      </c>
      <c r="BI38">
        <v>41879059.899999999</v>
      </c>
      <c r="BJ38">
        <v>11488470.5</v>
      </c>
      <c r="BK38">
        <v>53367530.399999999</v>
      </c>
      <c r="BL38">
        <v>0</v>
      </c>
      <c r="BM38">
        <v>17.28</v>
      </c>
      <c r="BN38">
        <v>14.61</v>
      </c>
      <c r="BO38">
        <v>0</v>
      </c>
      <c r="BP38">
        <v>31.9</v>
      </c>
      <c r="BQ38">
        <v>21.48</v>
      </c>
      <c r="BR38">
        <v>19.53</v>
      </c>
      <c r="BS38">
        <v>0</v>
      </c>
      <c r="BT38">
        <v>41.02</v>
      </c>
      <c r="BU38">
        <v>486994370</v>
      </c>
      <c r="BV38">
        <v>266342750</v>
      </c>
      <c r="BW38">
        <v>82414590</v>
      </c>
      <c r="BX38">
        <v>2521530</v>
      </c>
      <c r="BY38">
        <v>0</v>
      </c>
      <c r="BZ38">
        <v>0</v>
      </c>
      <c r="CA38">
        <v>2045056.8</v>
      </c>
      <c r="CB38">
        <v>0</v>
      </c>
      <c r="CC38">
        <v>0</v>
      </c>
      <c r="CD38">
        <v>13106021</v>
      </c>
      <c r="CE38">
        <v>105599600</v>
      </c>
      <c r="CF38">
        <v>0</v>
      </c>
      <c r="CG38">
        <v>1200887.8999999999</v>
      </c>
      <c r="CH38">
        <v>0</v>
      </c>
      <c r="CI38">
        <v>221859</v>
      </c>
      <c r="CJ38">
        <v>26648120</v>
      </c>
      <c r="CK38">
        <v>0</v>
      </c>
      <c r="CL38">
        <v>0</v>
      </c>
      <c r="CM38">
        <v>0</v>
      </c>
      <c r="CN38">
        <v>253236700</v>
      </c>
      <c r="CO38">
        <v>0</v>
      </c>
      <c r="CP38">
        <v>0</v>
      </c>
      <c r="CQ38">
        <v>40529.199999999997</v>
      </c>
      <c r="CR38">
        <v>667.6</v>
      </c>
      <c r="CS38">
        <v>0</v>
      </c>
      <c r="CT38">
        <v>4225</v>
      </c>
      <c r="CU38">
        <v>0</v>
      </c>
      <c r="CV38">
        <v>0</v>
      </c>
      <c r="CW38">
        <v>12487.6</v>
      </c>
      <c r="CX38">
        <v>29953.599999999999</v>
      </c>
      <c r="CY38">
        <v>0</v>
      </c>
      <c r="CZ38">
        <v>13476.3</v>
      </c>
      <c r="DA38">
        <v>0</v>
      </c>
      <c r="DB38">
        <v>57.5</v>
      </c>
      <c r="DC38">
        <v>3666</v>
      </c>
      <c r="DD38">
        <v>0</v>
      </c>
      <c r="DE38">
        <v>0</v>
      </c>
      <c r="DF38">
        <v>0</v>
      </c>
      <c r="DG38">
        <v>123304.6</v>
      </c>
      <c r="DH38">
        <v>0</v>
      </c>
      <c r="DI38">
        <v>0</v>
      </c>
      <c r="DJ38">
        <v>236412.7</v>
      </c>
      <c r="DK38">
        <v>0</v>
      </c>
      <c r="DL38">
        <v>0</v>
      </c>
      <c r="DM38">
        <v>0</v>
      </c>
    </row>
    <row r="39" spans="1:117" x14ac:dyDescent="0.3">
      <c r="A39" t="s">
        <v>158</v>
      </c>
      <c r="B39">
        <v>2024</v>
      </c>
      <c r="C39">
        <v>33105814</v>
      </c>
      <c r="D39">
        <v>0</v>
      </c>
      <c r="E39">
        <v>0</v>
      </c>
      <c r="F39">
        <v>289679.40000000002</v>
      </c>
      <c r="G39">
        <v>33395494.300000001</v>
      </c>
      <c r="H39">
        <v>31915841.800000001</v>
      </c>
      <c r="I39">
        <v>25683030.899999999</v>
      </c>
      <c r="J39">
        <v>24228296</v>
      </c>
      <c r="K39">
        <v>27124918</v>
      </c>
      <c r="L39">
        <v>3.5900000000000001E-2</v>
      </c>
      <c r="M39">
        <v>5.3900000000000003E-2</v>
      </c>
      <c r="N39">
        <v>0.183</v>
      </c>
      <c r="O39">
        <v>25395.7</v>
      </c>
      <c r="P39">
        <v>8142.4</v>
      </c>
      <c r="Q39">
        <v>0.54</v>
      </c>
      <c r="R39">
        <v>0.66</v>
      </c>
      <c r="S39">
        <v>232.1</v>
      </c>
      <c r="T39">
        <v>12.6</v>
      </c>
      <c r="U39">
        <v>1.71</v>
      </c>
      <c r="V39">
        <v>23.2</v>
      </c>
      <c r="W39">
        <v>956.4</v>
      </c>
      <c r="X39">
        <v>0.17</v>
      </c>
      <c r="Y39">
        <v>232.9</v>
      </c>
      <c r="Z39">
        <v>51.8</v>
      </c>
      <c r="AA39">
        <v>284.7</v>
      </c>
      <c r="AB39">
        <v>223.4</v>
      </c>
      <c r="AC39">
        <v>16.8</v>
      </c>
      <c r="AD39">
        <v>2.38</v>
      </c>
      <c r="AE39">
        <v>18.399999999999999</v>
      </c>
      <c r="AF39">
        <v>770.6</v>
      </c>
      <c r="AG39">
        <v>0.17</v>
      </c>
      <c r="AH39">
        <v>224.6</v>
      </c>
      <c r="AI39">
        <v>41.5</v>
      </c>
      <c r="AJ39">
        <v>266</v>
      </c>
      <c r="AK39">
        <v>313.5</v>
      </c>
      <c r="AL39">
        <v>19.600000000000001</v>
      </c>
      <c r="AM39">
        <v>2.73</v>
      </c>
      <c r="AN39">
        <v>24.8</v>
      </c>
      <c r="AO39">
        <v>1189.0999999999999</v>
      </c>
      <c r="AP39">
        <v>0.16</v>
      </c>
      <c r="AQ39">
        <v>314.89999999999998</v>
      </c>
      <c r="AR39">
        <v>60.3</v>
      </c>
      <c r="AS39">
        <v>375.1</v>
      </c>
      <c r="AT39">
        <v>814.8</v>
      </c>
      <c r="AU39">
        <v>67.8</v>
      </c>
      <c r="AV39">
        <v>9.8000000000000007</v>
      </c>
      <c r="AW39">
        <v>50.8</v>
      </c>
      <c r="AX39">
        <v>2448.3000000000002</v>
      </c>
      <c r="AY39">
        <v>0.5</v>
      </c>
      <c r="AZ39">
        <v>819.5</v>
      </c>
      <c r="BA39">
        <v>123.9</v>
      </c>
      <c r="BB39">
        <v>943.4</v>
      </c>
      <c r="BC39">
        <v>8367676</v>
      </c>
      <c r="BD39">
        <v>452.2</v>
      </c>
      <c r="BE39">
        <v>61.4</v>
      </c>
      <c r="BF39">
        <v>838314.7</v>
      </c>
      <c r="BG39">
        <v>34496.199999999997</v>
      </c>
      <c r="BH39">
        <v>6</v>
      </c>
      <c r="BI39">
        <v>8397920.0999999996</v>
      </c>
      <c r="BJ39">
        <v>1867936.6</v>
      </c>
      <c r="BK39">
        <v>10265856.800000001</v>
      </c>
      <c r="BL39">
        <v>0</v>
      </c>
      <c r="BM39">
        <v>30.22</v>
      </c>
      <c r="BN39">
        <v>5.77</v>
      </c>
      <c r="BO39">
        <v>0</v>
      </c>
      <c r="BP39">
        <v>35.99</v>
      </c>
      <c r="BQ39">
        <v>32.01</v>
      </c>
      <c r="BR39">
        <v>6.28</v>
      </c>
      <c r="BS39">
        <v>0</v>
      </c>
      <c r="BT39">
        <v>38.29</v>
      </c>
      <c r="BU39">
        <v>36303904</v>
      </c>
      <c r="BV39">
        <v>7712463</v>
      </c>
      <c r="BW39">
        <v>0</v>
      </c>
      <c r="BX39">
        <v>963881.4</v>
      </c>
      <c r="BY39">
        <v>0</v>
      </c>
      <c r="BZ39">
        <v>0</v>
      </c>
      <c r="CA39">
        <v>3053459.5</v>
      </c>
      <c r="CB39">
        <v>0</v>
      </c>
      <c r="CC39">
        <v>0</v>
      </c>
      <c r="CD39">
        <v>81561.2</v>
      </c>
      <c r="CE39">
        <v>12960861</v>
      </c>
      <c r="CF39">
        <v>0</v>
      </c>
      <c r="CG39">
        <v>494861.5</v>
      </c>
      <c r="CH39">
        <v>0</v>
      </c>
      <c r="CI39">
        <v>1474158.4</v>
      </c>
      <c r="CJ39">
        <v>9559487</v>
      </c>
      <c r="CK39">
        <v>84732.800000000003</v>
      </c>
      <c r="CL39">
        <v>0</v>
      </c>
      <c r="CM39">
        <v>0</v>
      </c>
      <c r="CN39">
        <v>5368799.5</v>
      </c>
      <c r="CO39">
        <v>2262102.7999999998</v>
      </c>
      <c r="CP39">
        <v>0</v>
      </c>
      <c r="CQ39">
        <v>0</v>
      </c>
      <c r="CR39">
        <v>141.1</v>
      </c>
      <c r="CS39">
        <v>0</v>
      </c>
      <c r="CT39">
        <v>840.8</v>
      </c>
      <c r="CU39">
        <v>0</v>
      </c>
      <c r="CV39">
        <v>0</v>
      </c>
      <c r="CW39">
        <v>59.9</v>
      </c>
      <c r="CX39">
        <v>1982</v>
      </c>
      <c r="CY39">
        <v>0</v>
      </c>
      <c r="CZ39">
        <v>2024.1</v>
      </c>
      <c r="DA39">
        <v>0</v>
      </c>
      <c r="DB39">
        <v>304.89999999999998</v>
      </c>
      <c r="DC39">
        <v>1197.0999999999999</v>
      </c>
      <c r="DD39">
        <v>350.7</v>
      </c>
      <c r="DE39">
        <v>0</v>
      </c>
      <c r="DF39">
        <v>0</v>
      </c>
      <c r="DG39">
        <v>2517.6</v>
      </c>
      <c r="DH39">
        <v>0</v>
      </c>
      <c r="DI39">
        <v>734</v>
      </c>
      <c r="DJ39">
        <v>0</v>
      </c>
      <c r="DK39">
        <v>0</v>
      </c>
      <c r="DL39">
        <v>0</v>
      </c>
      <c r="DM39">
        <v>0</v>
      </c>
    </row>
    <row r="40" spans="1:117" x14ac:dyDescent="0.3">
      <c r="A40" t="s">
        <v>158</v>
      </c>
      <c r="B40">
        <v>2026</v>
      </c>
      <c r="C40">
        <v>33918336</v>
      </c>
      <c r="D40">
        <v>82875.8</v>
      </c>
      <c r="E40">
        <v>0</v>
      </c>
      <c r="F40">
        <v>334915</v>
      </c>
      <c r="G40">
        <v>34336128.200000003</v>
      </c>
      <c r="H40">
        <v>32699155.300000001</v>
      </c>
      <c r="I40">
        <v>25350977.399999999</v>
      </c>
      <c r="J40">
        <v>29084314</v>
      </c>
      <c r="K40">
        <v>30425456</v>
      </c>
      <c r="L40">
        <v>3.5900000000000001E-2</v>
      </c>
      <c r="M40">
        <v>5.3900000000000003E-2</v>
      </c>
      <c r="N40">
        <v>0.183</v>
      </c>
      <c r="O40">
        <v>55377.65</v>
      </c>
      <c r="P40">
        <v>8483.1</v>
      </c>
      <c r="Q40">
        <v>0.59</v>
      </c>
      <c r="R40">
        <v>0.72</v>
      </c>
      <c r="S40">
        <v>207.1</v>
      </c>
      <c r="T40">
        <v>11.4</v>
      </c>
      <c r="U40">
        <v>1.55</v>
      </c>
      <c r="V40">
        <v>20.9</v>
      </c>
      <c r="W40">
        <v>849.2</v>
      </c>
      <c r="X40">
        <v>0.15</v>
      </c>
      <c r="Y40">
        <v>207.9</v>
      </c>
      <c r="Z40">
        <v>46.3</v>
      </c>
      <c r="AA40">
        <v>254.2</v>
      </c>
      <c r="AB40">
        <v>181.7</v>
      </c>
      <c r="AC40">
        <v>13.8</v>
      </c>
      <c r="AD40">
        <v>1.95</v>
      </c>
      <c r="AE40">
        <v>15.3</v>
      </c>
      <c r="AF40">
        <v>624</v>
      </c>
      <c r="AG40">
        <v>0.15</v>
      </c>
      <c r="AH40">
        <v>182.6</v>
      </c>
      <c r="AI40">
        <v>33.9</v>
      </c>
      <c r="AJ40">
        <v>216.6</v>
      </c>
      <c r="AK40">
        <v>244.8</v>
      </c>
      <c r="AL40">
        <v>12</v>
      </c>
      <c r="AM40">
        <v>1.61</v>
      </c>
      <c r="AN40">
        <v>22.4</v>
      </c>
      <c r="AO40">
        <v>1037.9000000000001</v>
      </c>
      <c r="AP40">
        <v>0.12</v>
      </c>
      <c r="AQ40">
        <v>245.6</v>
      </c>
      <c r="AR40">
        <v>53.4</v>
      </c>
      <c r="AS40">
        <v>299</v>
      </c>
      <c r="AT40">
        <v>774.2</v>
      </c>
      <c r="AU40">
        <v>64.099999999999994</v>
      </c>
      <c r="AV40">
        <v>9.2100000000000009</v>
      </c>
      <c r="AW40">
        <v>48</v>
      </c>
      <c r="AX40">
        <v>2379.5</v>
      </c>
      <c r="AY40">
        <v>0.44</v>
      </c>
      <c r="AZ40">
        <v>778.6</v>
      </c>
      <c r="BA40">
        <v>119</v>
      </c>
      <c r="BB40">
        <v>897.6</v>
      </c>
      <c r="BC40">
        <v>7334736.4000000004</v>
      </c>
      <c r="BD40">
        <v>404</v>
      </c>
      <c r="BE40">
        <v>55</v>
      </c>
      <c r="BF40">
        <v>741227.6</v>
      </c>
      <c r="BG40">
        <v>30083.599999999999</v>
      </c>
      <c r="BH40">
        <v>5.5</v>
      </c>
      <c r="BI40">
        <v>7361782.5999999996</v>
      </c>
      <c r="BJ40">
        <v>1639211.2</v>
      </c>
      <c r="BK40">
        <v>9000993.8000000007</v>
      </c>
      <c r="BL40">
        <v>0</v>
      </c>
      <c r="BM40">
        <v>28.93</v>
      </c>
      <c r="BN40">
        <v>12.48</v>
      </c>
      <c r="BO40">
        <v>0</v>
      </c>
      <c r="BP40">
        <v>41.41</v>
      </c>
      <c r="BQ40">
        <v>30.67</v>
      </c>
      <c r="BR40">
        <v>13.6</v>
      </c>
      <c r="BS40">
        <v>0</v>
      </c>
      <c r="BT40">
        <v>44.27</v>
      </c>
      <c r="BU40">
        <v>35683010</v>
      </c>
      <c r="BV40">
        <v>8985151</v>
      </c>
      <c r="BW40">
        <v>70399.8</v>
      </c>
      <c r="BX40">
        <v>963664.8</v>
      </c>
      <c r="BY40">
        <v>0</v>
      </c>
      <c r="BZ40">
        <v>0</v>
      </c>
      <c r="CA40">
        <v>2763426.8</v>
      </c>
      <c r="CB40">
        <v>0</v>
      </c>
      <c r="CC40">
        <v>0</v>
      </c>
      <c r="CD40">
        <v>136023.79999999999</v>
      </c>
      <c r="CE40">
        <v>11560556</v>
      </c>
      <c r="CF40">
        <v>0</v>
      </c>
      <c r="CG40">
        <v>269176</v>
      </c>
      <c r="CH40">
        <v>0</v>
      </c>
      <c r="CI40">
        <v>1474449.4</v>
      </c>
      <c r="CJ40">
        <v>9549052</v>
      </c>
      <c r="CK40">
        <v>47132.2</v>
      </c>
      <c r="CL40">
        <v>0</v>
      </c>
      <c r="CM40">
        <v>0</v>
      </c>
      <c r="CN40">
        <v>6598472.5</v>
      </c>
      <c r="CO40">
        <v>2250654.5</v>
      </c>
      <c r="CP40">
        <v>0</v>
      </c>
      <c r="CQ40">
        <v>59.3</v>
      </c>
      <c r="CR40">
        <v>141.1</v>
      </c>
      <c r="CS40">
        <v>0</v>
      </c>
      <c r="CT40">
        <v>840.8</v>
      </c>
      <c r="CU40">
        <v>0</v>
      </c>
      <c r="CV40">
        <v>0</v>
      </c>
      <c r="CW40">
        <v>99.7</v>
      </c>
      <c r="CX40">
        <v>1982</v>
      </c>
      <c r="CY40">
        <v>0</v>
      </c>
      <c r="CZ40">
        <v>1968.8</v>
      </c>
      <c r="DA40">
        <v>0</v>
      </c>
      <c r="DB40">
        <v>304.89999999999998</v>
      </c>
      <c r="DC40">
        <v>1197.0999999999999</v>
      </c>
      <c r="DD40">
        <v>333.7</v>
      </c>
      <c r="DE40">
        <v>0</v>
      </c>
      <c r="DF40">
        <v>0</v>
      </c>
      <c r="DG40">
        <v>3127</v>
      </c>
      <c r="DH40">
        <v>0</v>
      </c>
      <c r="DI40">
        <v>734.2</v>
      </c>
      <c r="DJ40">
        <v>237.1</v>
      </c>
      <c r="DK40">
        <v>0</v>
      </c>
      <c r="DL40">
        <v>0</v>
      </c>
      <c r="DM40">
        <v>0</v>
      </c>
    </row>
    <row r="41" spans="1:117" x14ac:dyDescent="0.3">
      <c r="A41" t="s">
        <v>158</v>
      </c>
      <c r="B41">
        <v>2028</v>
      </c>
      <c r="C41">
        <v>35160868</v>
      </c>
      <c r="D41">
        <v>314395.5</v>
      </c>
      <c r="E41">
        <v>0</v>
      </c>
      <c r="F41">
        <v>389144.4</v>
      </c>
      <c r="G41">
        <v>35864407.600000001</v>
      </c>
      <c r="H41">
        <v>33897020.700000003</v>
      </c>
      <c r="I41">
        <v>26308920.600000001</v>
      </c>
      <c r="J41">
        <v>35394530</v>
      </c>
      <c r="K41">
        <v>30552672</v>
      </c>
      <c r="L41">
        <v>3.5900000000000001E-2</v>
      </c>
      <c r="M41">
        <v>5.3900000000000003E-2</v>
      </c>
      <c r="N41">
        <v>0.183</v>
      </c>
      <c r="O41">
        <v>71686.149999999994</v>
      </c>
      <c r="P41">
        <v>8736</v>
      </c>
      <c r="Q41">
        <v>0.69</v>
      </c>
      <c r="R41">
        <v>0.82</v>
      </c>
      <c r="S41">
        <v>146.80000000000001</v>
      </c>
      <c r="T41">
        <v>7</v>
      </c>
      <c r="U41">
        <v>0.93</v>
      </c>
      <c r="V41">
        <v>17.100000000000001</v>
      </c>
      <c r="W41">
        <v>640.20000000000005</v>
      </c>
      <c r="X41">
        <v>0.13</v>
      </c>
      <c r="Y41">
        <v>147.19999999999999</v>
      </c>
      <c r="Z41">
        <v>36.299999999999997</v>
      </c>
      <c r="AA41">
        <v>183.5</v>
      </c>
      <c r="AB41">
        <v>111.9</v>
      </c>
      <c r="AC41">
        <v>7.7</v>
      </c>
      <c r="AD41">
        <v>1.08</v>
      </c>
      <c r="AE41">
        <v>11.3</v>
      </c>
      <c r="AF41">
        <v>411.7</v>
      </c>
      <c r="AG41">
        <v>0.11</v>
      </c>
      <c r="AH41">
        <v>112.4</v>
      </c>
      <c r="AI41">
        <v>23.6</v>
      </c>
      <c r="AJ41">
        <v>136</v>
      </c>
      <c r="AK41">
        <v>196.6</v>
      </c>
      <c r="AL41">
        <v>5.3</v>
      </c>
      <c r="AM41">
        <v>0.63</v>
      </c>
      <c r="AN41">
        <v>22</v>
      </c>
      <c r="AO41">
        <v>975</v>
      </c>
      <c r="AP41">
        <v>0.09</v>
      </c>
      <c r="AQ41">
        <v>196.9</v>
      </c>
      <c r="AR41">
        <v>51.1</v>
      </c>
      <c r="AS41">
        <v>248</v>
      </c>
      <c r="AT41">
        <v>572.6</v>
      </c>
      <c r="AU41">
        <v>43.9</v>
      </c>
      <c r="AV41">
        <v>6.27</v>
      </c>
      <c r="AW41">
        <v>39.9</v>
      </c>
      <c r="AX41">
        <v>1879</v>
      </c>
      <c r="AY41">
        <v>0.35</v>
      </c>
      <c r="AZ41">
        <v>575.6</v>
      </c>
      <c r="BA41">
        <v>96</v>
      </c>
      <c r="BB41">
        <v>671.6</v>
      </c>
      <c r="BC41">
        <v>4501329</v>
      </c>
      <c r="BD41">
        <v>212.8</v>
      </c>
      <c r="BE41">
        <v>28.3</v>
      </c>
      <c r="BF41">
        <v>526573.1</v>
      </c>
      <c r="BG41">
        <v>19650.2</v>
      </c>
      <c r="BH41">
        <v>4.0999999999999996</v>
      </c>
      <c r="BI41">
        <v>4515403.3</v>
      </c>
      <c r="BJ41">
        <v>1113258.2</v>
      </c>
      <c r="BK41">
        <v>5628661.5999999996</v>
      </c>
      <c r="BL41">
        <v>0</v>
      </c>
      <c r="BM41">
        <v>22.31</v>
      </c>
      <c r="BN41">
        <v>15.18</v>
      </c>
      <c r="BO41">
        <v>0</v>
      </c>
      <c r="BP41">
        <v>37.49</v>
      </c>
      <c r="BQ41">
        <v>23.77</v>
      </c>
      <c r="BR41">
        <v>16.61</v>
      </c>
      <c r="BS41">
        <v>0</v>
      </c>
      <c r="BT41">
        <v>40.380000000000003</v>
      </c>
      <c r="BU41">
        <v>31019396</v>
      </c>
      <c r="BV41">
        <v>9555487</v>
      </c>
      <c r="BW41">
        <v>267602</v>
      </c>
      <c r="BX41">
        <v>908792.6</v>
      </c>
      <c r="BY41">
        <v>0</v>
      </c>
      <c r="BZ41">
        <v>0</v>
      </c>
      <c r="CA41">
        <v>1331350.8999999999</v>
      </c>
      <c r="CB41">
        <v>0</v>
      </c>
      <c r="CC41">
        <v>0</v>
      </c>
      <c r="CD41">
        <v>239940.4</v>
      </c>
      <c r="CE41">
        <v>8074875</v>
      </c>
      <c r="CF41">
        <v>0</v>
      </c>
      <c r="CG41">
        <v>145021.6</v>
      </c>
      <c r="CH41">
        <v>0</v>
      </c>
      <c r="CI41">
        <v>1448069.6</v>
      </c>
      <c r="CJ41">
        <v>9253710</v>
      </c>
      <c r="CK41">
        <v>34487.1</v>
      </c>
      <c r="CL41">
        <v>0</v>
      </c>
      <c r="CM41">
        <v>0</v>
      </c>
      <c r="CN41">
        <v>6957611</v>
      </c>
      <c r="CO41">
        <v>2357935.7999999998</v>
      </c>
      <c r="CP41">
        <v>0</v>
      </c>
      <c r="CQ41">
        <v>240.3</v>
      </c>
      <c r="CR41">
        <v>141.1</v>
      </c>
      <c r="CS41">
        <v>0</v>
      </c>
      <c r="CT41">
        <v>840.8</v>
      </c>
      <c r="CU41">
        <v>0</v>
      </c>
      <c r="CV41">
        <v>0</v>
      </c>
      <c r="CW41">
        <v>175.4</v>
      </c>
      <c r="CX41">
        <v>1982</v>
      </c>
      <c r="CY41">
        <v>0</v>
      </c>
      <c r="CZ41">
        <v>1883.4</v>
      </c>
      <c r="DA41">
        <v>0</v>
      </c>
      <c r="DB41">
        <v>308.89999999999998</v>
      </c>
      <c r="DC41">
        <v>1197.0999999999999</v>
      </c>
      <c r="DD41">
        <v>331.3</v>
      </c>
      <c r="DE41">
        <v>0</v>
      </c>
      <c r="DF41">
        <v>0</v>
      </c>
      <c r="DG41">
        <v>3332.3</v>
      </c>
      <c r="DH41">
        <v>0</v>
      </c>
      <c r="DI41">
        <v>762.9</v>
      </c>
      <c r="DJ41">
        <v>864.4</v>
      </c>
      <c r="DK41">
        <v>0</v>
      </c>
      <c r="DL41">
        <v>0</v>
      </c>
      <c r="DM41">
        <v>0</v>
      </c>
    </row>
    <row r="42" spans="1:117" x14ac:dyDescent="0.3">
      <c r="A42" t="s">
        <v>158</v>
      </c>
      <c r="B42">
        <v>2030</v>
      </c>
      <c r="C42">
        <v>36446044</v>
      </c>
      <c r="D42">
        <v>569017</v>
      </c>
      <c r="E42">
        <v>0</v>
      </c>
      <c r="F42">
        <v>437202.9</v>
      </c>
      <c r="G42">
        <v>37452265.5</v>
      </c>
      <c r="H42">
        <v>35135996.5</v>
      </c>
      <c r="I42">
        <v>22942773.399999999</v>
      </c>
      <c r="J42">
        <v>39577460</v>
      </c>
      <c r="K42">
        <v>35139268</v>
      </c>
      <c r="L42">
        <v>3.5900000000000001E-2</v>
      </c>
      <c r="M42">
        <v>5.3900000000000003E-2</v>
      </c>
      <c r="N42">
        <v>0.183</v>
      </c>
      <c r="O42">
        <v>79124.05</v>
      </c>
      <c r="P42">
        <v>9164.5</v>
      </c>
      <c r="Q42">
        <v>0.78</v>
      </c>
      <c r="R42">
        <v>0.87</v>
      </c>
      <c r="S42">
        <v>104.5</v>
      </c>
      <c r="T42">
        <v>5</v>
      </c>
      <c r="U42">
        <v>0.67</v>
      </c>
      <c r="V42">
        <v>12.3</v>
      </c>
      <c r="W42">
        <v>456.9</v>
      </c>
      <c r="X42">
        <v>0.1</v>
      </c>
      <c r="Y42">
        <v>104.9</v>
      </c>
      <c r="Z42">
        <v>26</v>
      </c>
      <c r="AA42">
        <v>130.80000000000001</v>
      </c>
      <c r="AB42">
        <v>80</v>
      </c>
      <c r="AC42">
        <v>5.5</v>
      </c>
      <c r="AD42">
        <v>0.77</v>
      </c>
      <c r="AE42">
        <v>8.3000000000000007</v>
      </c>
      <c r="AF42">
        <v>296.39999999999998</v>
      </c>
      <c r="AG42">
        <v>0.09</v>
      </c>
      <c r="AH42">
        <v>80.400000000000006</v>
      </c>
      <c r="AI42">
        <v>17.100000000000001</v>
      </c>
      <c r="AJ42">
        <v>97.5</v>
      </c>
      <c r="AK42">
        <v>183.4</v>
      </c>
      <c r="AL42">
        <v>7.8</v>
      </c>
      <c r="AM42">
        <v>1.02</v>
      </c>
      <c r="AN42">
        <v>18</v>
      </c>
      <c r="AO42">
        <v>819</v>
      </c>
      <c r="AP42">
        <v>0.09</v>
      </c>
      <c r="AQ42">
        <v>183.9</v>
      </c>
      <c r="AR42">
        <v>42.4</v>
      </c>
      <c r="AS42">
        <v>226.3</v>
      </c>
      <c r="AT42">
        <v>507.4</v>
      </c>
      <c r="AU42">
        <v>39.9</v>
      </c>
      <c r="AV42">
        <v>5.7</v>
      </c>
      <c r="AW42">
        <v>34.5</v>
      </c>
      <c r="AX42">
        <v>1643</v>
      </c>
      <c r="AY42">
        <v>0.31</v>
      </c>
      <c r="AZ42">
        <v>510.1</v>
      </c>
      <c r="BA42">
        <v>83.6</v>
      </c>
      <c r="BB42">
        <v>593.70000000000005</v>
      </c>
      <c r="BC42">
        <v>3400228.3</v>
      </c>
      <c r="BD42">
        <v>162.4</v>
      </c>
      <c r="BE42">
        <v>21.6</v>
      </c>
      <c r="BF42">
        <v>402631.4</v>
      </c>
      <c r="BG42">
        <v>14874.8</v>
      </c>
      <c r="BH42">
        <v>3.4</v>
      </c>
      <c r="BI42">
        <v>3410961</v>
      </c>
      <c r="BJ42">
        <v>846820.6</v>
      </c>
      <c r="BK42">
        <v>4257781.5999999996</v>
      </c>
      <c r="BL42">
        <v>0</v>
      </c>
      <c r="BM42">
        <v>19.350000000000001</v>
      </c>
      <c r="BN42">
        <v>15.84</v>
      </c>
      <c r="BO42">
        <v>0</v>
      </c>
      <c r="BP42">
        <v>35.19</v>
      </c>
      <c r="BQ42">
        <v>20.67</v>
      </c>
      <c r="BR42">
        <v>17.440000000000001</v>
      </c>
      <c r="BS42">
        <v>0</v>
      </c>
      <c r="BT42">
        <v>38.119999999999997</v>
      </c>
      <c r="BU42">
        <v>33009434</v>
      </c>
      <c r="BV42">
        <v>14509491</v>
      </c>
      <c r="BW42">
        <v>484946.2</v>
      </c>
      <c r="BX42">
        <v>408569.2</v>
      </c>
      <c r="BY42">
        <v>0</v>
      </c>
      <c r="BZ42">
        <v>0</v>
      </c>
      <c r="CA42">
        <v>1036786.2</v>
      </c>
      <c r="CB42">
        <v>0</v>
      </c>
      <c r="CC42">
        <v>0</v>
      </c>
      <c r="CD42">
        <v>437118.4</v>
      </c>
      <c r="CE42">
        <v>6221774</v>
      </c>
      <c r="CF42">
        <v>0</v>
      </c>
      <c r="CG42">
        <v>75194.8</v>
      </c>
      <c r="CH42">
        <v>0</v>
      </c>
      <c r="CI42">
        <v>1348373.6</v>
      </c>
      <c r="CJ42">
        <v>8924083</v>
      </c>
      <c r="CK42">
        <v>213.4</v>
      </c>
      <c r="CL42">
        <v>0</v>
      </c>
      <c r="CM42">
        <v>0</v>
      </c>
      <c r="CN42">
        <v>10393827</v>
      </c>
      <c r="CO42">
        <v>3678547.2</v>
      </c>
      <c r="CP42">
        <v>0</v>
      </c>
      <c r="CQ42">
        <v>436</v>
      </c>
      <c r="CR42">
        <v>79.400000000000006</v>
      </c>
      <c r="CS42">
        <v>0</v>
      </c>
      <c r="CT42">
        <v>840.8</v>
      </c>
      <c r="CU42">
        <v>0</v>
      </c>
      <c r="CV42">
        <v>0</v>
      </c>
      <c r="CW42">
        <v>318.7</v>
      </c>
      <c r="CX42">
        <v>1982</v>
      </c>
      <c r="CY42">
        <v>0</v>
      </c>
      <c r="CZ42">
        <v>1870.5</v>
      </c>
      <c r="DA42">
        <v>0</v>
      </c>
      <c r="DB42">
        <v>308.89999999999998</v>
      </c>
      <c r="DC42">
        <v>1197.0999999999999</v>
      </c>
      <c r="DD42">
        <v>123.8</v>
      </c>
      <c r="DE42">
        <v>0</v>
      </c>
      <c r="DF42">
        <v>0</v>
      </c>
      <c r="DG42">
        <v>4906.8999999999996</v>
      </c>
      <c r="DH42">
        <v>0</v>
      </c>
      <c r="DI42">
        <v>1095.9000000000001</v>
      </c>
      <c r="DJ42">
        <v>1503.1</v>
      </c>
      <c r="DK42">
        <v>0</v>
      </c>
      <c r="DL42">
        <v>0</v>
      </c>
      <c r="DM42">
        <v>0</v>
      </c>
    </row>
    <row r="43" spans="1:117" x14ac:dyDescent="0.3">
      <c r="A43" t="s">
        <v>158</v>
      </c>
      <c r="B43">
        <v>2035</v>
      </c>
      <c r="C43">
        <v>40622536</v>
      </c>
      <c r="D43">
        <v>1579394.5</v>
      </c>
      <c r="E43">
        <v>0</v>
      </c>
      <c r="F43">
        <v>436652.2</v>
      </c>
      <c r="G43">
        <v>42638582.299999997</v>
      </c>
      <c r="H43">
        <v>39162323.600000001</v>
      </c>
      <c r="I43">
        <v>23641248.399999999</v>
      </c>
      <c r="J43">
        <v>39641852</v>
      </c>
      <c r="K43">
        <v>35111444</v>
      </c>
      <c r="L43">
        <v>3.5900000000000001E-2</v>
      </c>
      <c r="M43">
        <v>5.3900000000000003E-2</v>
      </c>
      <c r="N43">
        <v>0.183</v>
      </c>
      <c r="O43">
        <v>91859.17</v>
      </c>
      <c r="P43">
        <v>10496.1</v>
      </c>
      <c r="Q43">
        <v>0.81</v>
      </c>
      <c r="R43">
        <v>0.88</v>
      </c>
      <c r="S43">
        <v>89.1</v>
      </c>
      <c r="T43">
        <v>4</v>
      </c>
      <c r="U43">
        <v>0.52</v>
      </c>
      <c r="V43">
        <v>10.8</v>
      </c>
      <c r="W43">
        <v>399.3</v>
      </c>
      <c r="X43">
        <v>0.09</v>
      </c>
      <c r="Y43">
        <v>89.4</v>
      </c>
      <c r="Z43">
        <v>22.7</v>
      </c>
      <c r="AA43">
        <v>112.1</v>
      </c>
      <c r="AB43">
        <v>65.2</v>
      </c>
      <c r="AC43">
        <v>3.9</v>
      </c>
      <c r="AD43">
        <v>0.53</v>
      </c>
      <c r="AE43">
        <v>7.4</v>
      </c>
      <c r="AF43">
        <v>261.60000000000002</v>
      </c>
      <c r="AG43">
        <v>7.0000000000000007E-2</v>
      </c>
      <c r="AH43">
        <v>65.5</v>
      </c>
      <c r="AI43">
        <v>15.2</v>
      </c>
      <c r="AJ43">
        <v>80.7</v>
      </c>
      <c r="AK43">
        <v>174.5</v>
      </c>
      <c r="AL43">
        <v>9.1</v>
      </c>
      <c r="AM43">
        <v>1.23</v>
      </c>
      <c r="AN43">
        <v>15.6</v>
      </c>
      <c r="AO43">
        <v>725.5</v>
      </c>
      <c r="AP43">
        <v>0.09</v>
      </c>
      <c r="AQ43">
        <v>175.1</v>
      </c>
      <c r="AR43">
        <v>37.200000000000003</v>
      </c>
      <c r="AS43">
        <v>212.3</v>
      </c>
      <c r="AT43">
        <v>458.1</v>
      </c>
      <c r="AU43">
        <v>34.6</v>
      </c>
      <c r="AV43">
        <v>4.9000000000000004</v>
      </c>
      <c r="AW43">
        <v>32.1</v>
      </c>
      <c r="AX43">
        <v>1548.5</v>
      </c>
      <c r="AY43">
        <v>0.26</v>
      </c>
      <c r="AZ43">
        <v>460.4</v>
      </c>
      <c r="BA43">
        <v>78.400000000000006</v>
      </c>
      <c r="BB43">
        <v>538.79999999999995</v>
      </c>
      <c r="BC43">
        <v>3341955.3</v>
      </c>
      <c r="BD43">
        <v>147.80000000000001</v>
      </c>
      <c r="BE43">
        <v>19.399999999999999</v>
      </c>
      <c r="BF43">
        <v>405734</v>
      </c>
      <c r="BG43">
        <v>14992.9</v>
      </c>
      <c r="BH43">
        <v>3.3</v>
      </c>
      <c r="BI43">
        <v>3351654.7</v>
      </c>
      <c r="BJ43">
        <v>853421.9</v>
      </c>
      <c r="BK43">
        <v>4205076.5999999996</v>
      </c>
      <c r="BL43">
        <v>0</v>
      </c>
      <c r="BM43">
        <v>17.79</v>
      </c>
      <c r="BN43">
        <v>17.84</v>
      </c>
      <c r="BO43">
        <v>0</v>
      </c>
      <c r="BP43">
        <v>35.64</v>
      </c>
      <c r="BQ43">
        <v>19.2</v>
      </c>
      <c r="BR43">
        <v>20.07</v>
      </c>
      <c r="BS43">
        <v>0</v>
      </c>
      <c r="BT43">
        <v>39.270000000000003</v>
      </c>
      <c r="BU43">
        <v>38091220</v>
      </c>
      <c r="BV43">
        <v>18997334</v>
      </c>
      <c r="BW43">
        <v>1348742.5</v>
      </c>
      <c r="BX43">
        <v>385677</v>
      </c>
      <c r="BY43">
        <v>0</v>
      </c>
      <c r="BZ43">
        <v>0</v>
      </c>
      <c r="CA43">
        <v>908392.9</v>
      </c>
      <c r="CB43">
        <v>0</v>
      </c>
      <c r="CC43">
        <v>0</v>
      </c>
      <c r="CD43">
        <v>964563.8</v>
      </c>
      <c r="CE43">
        <v>6062143</v>
      </c>
      <c r="CF43">
        <v>0</v>
      </c>
      <c r="CG43">
        <v>345030.7</v>
      </c>
      <c r="CH43">
        <v>0</v>
      </c>
      <c r="CI43">
        <v>1289685.8</v>
      </c>
      <c r="CJ43">
        <v>8754154</v>
      </c>
      <c r="CK43">
        <v>62</v>
      </c>
      <c r="CL43">
        <v>0</v>
      </c>
      <c r="CM43">
        <v>0</v>
      </c>
      <c r="CN43">
        <v>11901415</v>
      </c>
      <c r="CO43">
        <v>6131355</v>
      </c>
      <c r="CP43">
        <v>0</v>
      </c>
      <c r="CQ43">
        <v>1060</v>
      </c>
      <c r="CR43">
        <v>79.400000000000006</v>
      </c>
      <c r="CS43">
        <v>0</v>
      </c>
      <c r="CT43">
        <v>840.8</v>
      </c>
      <c r="CU43">
        <v>0</v>
      </c>
      <c r="CV43">
        <v>0</v>
      </c>
      <c r="CW43">
        <v>707</v>
      </c>
      <c r="CX43">
        <v>1982</v>
      </c>
      <c r="CY43">
        <v>0</v>
      </c>
      <c r="CZ43">
        <v>5363.5</v>
      </c>
      <c r="DA43">
        <v>0</v>
      </c>
      <c r="DB43">
        <v>308.89999999999998</v>
      </c>
      <c r="DC43">
        <v>1197.0999999999999</v>
      </c>
      <c r="DD43">
        <v>123.8</v>
      </c>
      <c r="DE43">
        <v>0</v>
      </c>
      <c r="DF43">
        <v>0</v>
      </c>
      <c r="DG43">
        <v>5714.5</v>
      </c>
      <c r="DH43">
        <v>0</v>
      </c>
      <c r="DI43">
        <v>1757.6</v>
      </c>
      <c r="DJ43">
        <v>3976.3</v>
      </c>
      <c r="DK43">
        <v>0</v>
      </c>
      <c r="DL43">
        <v>0</v>
      </c>
      <c r="DM43">
        <v>0</v>
      </c>
    </row>
    <row r="44" spans="1:117" x14ac:dyDescent="0.3">
      <c r="A44" t="s">
        <v>158</v>
      </c>
      <c r="B44">
        <v>2040</v>
      </c>
      <c r="C44">
        <v>45287864</v>
      </c>
      <c r="D44">
        <v>2277311.7999999998</v>
      </c>
      <c r="E44">
        <v>0</v>
      </c>
      <c r="F44">
        <v>476721.4</v>
      </c>
      <c r="G44">
        <v>48041898.600000001</v>
      </c>
      <c r="H44">
        <v>43659895.200000003</v>
      </c>
      <c r="I44">
        <v>19713858.600000001</v>
      </c>
      <c r="J44">
        <v>41180292</v>
      </c>
      <c r="K44">
        <v>40890980</v>
      </c>
      <c r="L44">
        <v>3.5900000000000001E-2</v>
      </c>
      <c r="M44">
        <v>5.3900000000000003E-2</v>
      </c>
      <c r="N44">
        <v>0.183</v>
      </c>
      <c r="O44">
        <v>89664.85</v>
      </c>
      <c r="P44">
        <v>11870.8</v>
      </c>
      <c r="Q44">
        <v>0.84</v>
      </c>
      <c r="R44">
        <v>0.9</v>
      </c>
      <c r="S44">
        <v>71.8</v>
      </c>
      <c r="T44">
        <v>2.8</v>
      </c>
      <c r="U44">
        <v>0.36</v>
      </c>
      <c r="V44">
        <v>8.9</v>
      </c>
      <c r="W44">
        <v>332.5</v>
      </c>
      <c r="X44">
        <v>7.0000000000000007E-2</v>
      </c>
      <c r="Y44">
        <v>72</v>
      </c>
      <c r="Z44">
        <v>18.8</v>
      </c>
      <c r="AA44">
        <v>90.8</v>
      </c>
      <c r="AB44">
        <v>53.1</v>
      </c>
      <c r="AC44">
        <v>2.8</v>
      </c>
      <c r="AD44">
        <v>0.38</v>
      </c>
      <c r="AE44">
        <v>6.5</v>
      </c>
      <c r="AF44">
        <v>224.3</v>
      </c>
      <c r="AG44">
        <v>0.06</v>
      </c>
      <c r="AH44">
        <v>53.3</v>
      </c>
      <c r="AI44">
        <v>13.2</v>
      </c>
      <c r="AJ44">
        <v>66.5</v>
      </c>
      <c r="AK44">
        <v>185.5</v>
      </c>
      <c r="AL44">
        <v>10</v>
      </c>
      <c r="AM44">
        <v>1.36</v>
      </c>
      <c r="AN44">
        <v>16.2</v>
      </c>
      <c r="AO44">
        <v>761.4</v>
      </c>
      <c r="AP44">
        <v>0.09</v>
      </c>
      <c r="AQ44">
        <v>186.2</v>
      </c>
      <c r="AR44">
        <v>38.9</v>
      </c>
      <c r="AS44">
        <v>225.1</v>
      </c>
      <c r="AT44">
        <v>395</v>
      </c>
      <c r="AU44">
        <v>27.5</v>
      </c>
      <c r="AV44">
        <v>3.87</v>
      </c>
      <c r="AW44">
        <v>29.9</v>
      </c>
      <c r="AX44">
        <v>1405.9</v>
      </c>
      <c r="AY44">
        <v>0.23</v>
      </c>
      <c r="AZ44">
        <v>396.8</v>
      </c>
      <c r="BA44">
        <v>71.900000000000006</v>
      </c>
      <c r="BB44">
        <v>468.7</v>
      </c>
      <c r="BC44">
        <v>3349188</v>
      </c>
      <c r="BD44">
        <v>132</v>
      </c>
      <c r="BE44">
        <v>16.899999999999999</v>
      </c>
      <c r="BF44">
        <v>417770.7</v>
      </c>
      <c r="BG44">
        <v>15529</v>
      </c>
      <c r="BH44">
        <v>3.2</v>
      </c>
      <c r="BI44">
        <v>3357747.9</v>
      </c>
      <c r="BJ44">
        <v>881419.6</v>
      </c>
      <c r="BK44">
        <v>4239167.5</v>
      </c>
      <c r="BL44">
        <v>0</v>
      </c>
      <c r="BM44">
        <v>15.32</v>
      </c>
      <c r="BN44">
        <v>17</v>
      </c>
      <c r="BO44">
        <v>0</v>
      </c>
      <c r="BP44">
        <v>32.33</v>
      </c>
      <c r="BQ44">
        <v>16.66</v>
      </c>
      <c r="BR44">
        <v>19.28</v>
      </c>
      <c r="BS44">
        <v>0</v>
      </c>
      <c r="BT44">
        <v>35.950000000000003</v>
      </c>
      <c r="BU44">
        <v>47772228</v>
      </c>
      <c r="BV44">
        <v>28328038</v>
      </c>
      <c r="BW44">
        <v>1951313.6</v>
      </c>
      <c r="BX44">
        <v>344768.7</v>
      </c>
      <c r="BY44">
        <v>0</v>
      </c>
      <c r="BZ44">
        <v>0</v>
      </c>
      <c r="CA44">
        <v>749150.7</v>
      </c>
      <c r="CB44">
        <v>0</v>
      </c>
      <c r="CC44">
        <v>0</v>
      </c>
      <c r="CD44">
        <v>1000901.1</v>
      </c>
      <c r="CE44">
        <v>6118043</v>
      </c>
      <c r="CF44">
        <v>0</v>
      </c>
      <c r="CG44">
        <v>560561.19999999995</v>
      </c>
      <c r="CH44">
        <v>0</v>
      </c>
      <c r="CI44">
        <v>1192918.8</v>
      </c>
      <c r="CJ44">
        <v>8527336</v>
      </c>
      <c r="CK44">
        <v>96.7</v>
      </c>
      <c r="CL44">
        <v>0</v>
      </c>
      <c r="CM44">
        <v>0</v>
      </c>
      <c r="CN44">
        <v>16494086</v>
      </c>
      <c r="CO44">
        <v>10833053</v>
      </c>
      <c r="CP44">
        <v>0</v>
      </c>
      <c r="CQ44">
        <v>1642.3</v>
      </c>
      <c r="CR44">
        <v>79.400000000000006</v>
      </c>
      <c r="CS44">
        <v>0</v>
      </c>
      <c r="CT44">
        <v>840.8</v>
      </c>
      <c r="CU44">
        <v>0</v>
      </c>
      <c r="CV44">
        <v>0</v>
      </c>
      <c r="CW44">
        <v>762.9</v>
      </c>
      <c r="CX44">
        <v>1982</v>
      </c>
      <c r="CY44">
        <v>0</v>
      </c>
      <c r="CZ44">
        <v>5722.6</v>
      </c>
      <c r="DA44">
        <v>0</v>
      </c>
      <c r="DB44">
        <v>308.89999999999998</v>
      </c>
      <c r="DC44">
        <v>1197.0999999999999</v>
      </c>
      <c r="DD44">
        <v>123.8</v>
      </c>
      <c r="DE44">
        <v>0</v>
      </c>
      <c r="DF44">
        <v>0</v>
      </c>
      <c r="DG44">
        <v>7841.1</v>
      </c>
      <c r="DH44">
        <v>0</v>
      </c>
      <c r="DI44">
        <v>2803</v>
      </c>
      <c r="DJ44">
        <v>5305.9</v>
      </c>
      <c r="DK44">
        <v>0</v>
      </c>
      <c r="DL44">
        <v>0</v>
      </c>
      <c r="DM44">
        <v>0</v>
      </c>
    </row>
    <row r="45" spans="1:117" x14ac:dyDescent="0.3">
      <c r="A45" t="s">
        <v>158</v>
      </c>
      <c r="B45">
        <v>2045</v>
      </c>
      <c r="C45">
        <v>49535024</v>
      </c>
      <c r="D45">
        <v>2243262.7999999998</v>
      </c>
      <c r="E45">
        <v>0</v>
      </c>
      <c r="F45">
        <v>476721.3</v>
      </c>
      <c r="G45">
        <v>52255008.299999997</v>
      </c>
      <c r="H45">
        <v>47754341.399999999</v>
      </c>
      <c r="I45">
        <v>20719853.899999999</v>
      </c>
      <c r="J45">
        <v>41431490</v>
      </c>
      <c r="K45">
        <v>42022548</v>
      </c>
      <c r="L45">
        <v>3.5900000000000001E-2</v>
      </c>
      <c r="M45">
        <v>5.3900000000000003E-2</v>
      </c>
      <c r="N45">
        <v>0.183</v>
      </c>
      <c r="O45">
        <v>87823.63</v>
      </c>
      <c r="P45">
        <v>13119.3</v>
      </c>
      <c r="Q45">
        <v>0.82</v>
      </c>
      <c r="R45">
        <v>0.89</v>
      </c>
      <c r="S45">
        <v>87.8</v>
      </c>
      <c r="T45">
        <v>3.2</v>
      </c>
      <c r="U45">
        <v>0.4</v>
      </c>
      <c r="V45">
        <v>10.6</v>
      </c>
      <c r="W45">
        <v>413.9</v>
      </c>
      <c r="X45">
        <v>7.0000000000000007E-2</v>
      </c>
      <c r="Y45">
        <v>88</v>
      </c>
      <c r="Z45">
        <v>22.9</v>
      </c>
      <c r="AA45">
        <v>110.9</v>
      </c>
      <c r="AB45">
        <v>60.5</v>
      </c>
      <c r="AC45">
        <v>2.9</v>
      </c>
      <c r="AD45">
        <v>0.38</v>
      </c>
      <c r="AE45">
        <v>7.1</v>
      </c>
      <c r="AF45">
        <v>264.7</v>
      </c>
      <c r="AG45">
        <v>0.06</v>
      </c>
      <c r="AH45">
        <v>60.7</v>
      </c>
      <c r="AI45">
        <v>15</v>
      </c>
      <c r="AJ45">
        <v>75.8</v>
      </c>
      <c r="AK45">
        <v>175.5</v>
      </c>
      <c r="AL45">
        <v>7.6</v>
      </c>
      <c r="AM45">
        <v>1</v>
      </c>
      <c r="AN45">
        <v>17.100000000000001</v>
      </c>
      <c r="AO45">
        <v>780.2</v>
      </c>
      <c r="AP45">
        <v>0.08</v>
      </c>
      <c r="AQ45">
        <v>176</v>
      </c>
      <c r="AR45">
        <v>40.4</v>
      </c>
      <c r="AS45">
        <v>216.4</v>
      </c>
      <c r="AT45">
        <v>387.6</v>
      </c>
      <c r="AU45">
        <v>26</v>
      </c>
      <c r="AV45">
        <v>3.65</v>
      </c>
      <c r="AW45">
        <v>30.2</v>
      </c>
      <c r="AX45">
        <v>1406.1</v>
      </c>
      <c r="AY45">
        <v>0.22</v>
      </c>
      <c r="AZ45">
        <v>389.4</v>
      </c>
      <c r="BA45">
        <v>72.099999999999994</v>
      </c>
      <c r="BB45">
        <v>461.5</v>
      </c>
      <c r="BC45">
        <v>4487210.8</v>
      </c>
      <c r="BD45">
        <v>164</v>
      </c>
      <c r="BE45">
        <v>20.7</v>
      </c>
      <c r="BF45">
        <v>541099.80000000005</v>
      </c>
      <c r="BG45">
        <v>21144.1</v>
      </c>
      <c r="BH45">
        <v>3.7</v>
      </c>
      <c r="BI45">
        <v>4497751.2</v>
      </c>
      <c r="BJ45">
        <v>1172206.8999999999</v>
      </c>
      <c r="BK45">
        <v>5669958.0999999996</v>
      </c>
      <c r="BL45">
        <v>0</v>
      </c>
      <c r="BM45">
        <v>14.77</v>
      </c>
      <c r="BN45">
        <v>17.05</v>
      </c>
      <c r="BO45">
        <v>0</v>
      </c>
      <c r="BP45">
        <v>31.82</v>
      </c>
      <c r="BQ45">
        <v>16.059999999999999</v>
      </c>
      <c r="BR45">
        <v>19.21</v>
      </c>
      <c r="BS45">
        <v>0</v>
      </c>
      <c r="BT45">
        <v>35.270000000000003</v>
      </c>
      <c r="BU45">
        <v>52988370</v>
      </c>
      <c r="BV45">
        <v>31535156</v>
      </c>
      <c r="BW45">
        <v>1894494.8</v>
      </c>
      <c r="BX45">
        <v>330534.40000000002</v>
      </c>
      <c r="BY45">
        <v>0</v>
      </c>
      <c r="BZ45">
        <v>0</v>
      </c>
      <c r="CA45">
        <v>861741.7</v>
      </c>
      <c r="CB45">
        <v>0</v>
      </c>
      <c r="CC45">
        <v>0</v>
      </c>
      <c r="CD45">
        <v>1019221.2</v>
      </c>
      <c r="CE45">
        <v>6897846.5</v>
      </c>
      <c r="CF45">
        <v>0</v>
      </c>
      <c r="CG45">
        <v>1910630.8</v>
      </c>
      <c r="CH45">
        <v>0</v>
      </c>
      <c r="CI45">
        <v>1146042.1000000001</v>
      </c>
      <c r="CJ45">
        <v>8411868</v>
      </c>
      <c r="CK45">
        <v>57</v>
      </c>
      <c r="CL45">
        <v>0</v>
      </c>
      <c r="CM45">
        <v>0</v>
      </c>
      <c r="CN45">
        <v>17867434</v>
      </c>
      <c r="CO45">
        <v>12648500</v>
      </c>
      <c r="CP45">
        <v>0</v>
      </c>
      <c r="CQ45">
        <v>1620.3</v>
      </c>
      <c r="CR45">
        <v>79.400000000000006</v>
      </c>
      <c r="CS45">
        <v>0</v>
      </c>
      <c r="CT45">
        <v>840.8</v>
      </c>
      <c r="CU45">
        <v>0</v>
      </c>
      <c r="CV45">
        <v>0</v>
      </c>
      <c r="CW45">
        <v>812.1</v>
      </c>
      <c r="CX45">
        <v>1982</v>
      </c>
      <c r="CY45">
        <v>0</v>
      </c>
      <c r="CZ45">
        <v>8195.7999999999993</v>
      </c>
      <c r="DA45">
        <v>0</v>
      </c>
      <c r="DB45">
        <v>308.89999999999998</v>
      </c>
      <c r="DC45">
        <v>1197.0999999999999</v>
      </c>
      <c r="DD45">
        <v>123.8</v>
      </c>
      <c r="DE45">
        <v>0</v>
      </c>
      <c r="DF45">
        <v>0</v>
      </c>
      <c r="DG45">
        <v>8706.2999999999993</v>
      </c>
      <c r="DH45">
        <v>0</v>
      </c>
      <c r="DI45">
        <v>3250.8</v>
      </c>
      <c r="DJ45">
        <v>5458.8</v>
      </c>
      <c r="DK45">
        <v>0</v>
      </c>
      <c r="DL45">
        <v>0</v>
      </c>
      <c r="DM45">
        <v>0</v>
      </c>
    </row>
    <row r="46" spans="1:117" x14ac:dyDescent="0.3">
      <c r="A46" t="s">
        <v>158</v>
      </c>
      <c r="B46">
        <v>2050</v>
      </c>
      <c r="C46">
        <v>53441464</v>
      </c>
      <c r="D46">
        <v>2668521</v>
      </c>
      <c r="E46">
        <v>0</v>
      </c>
      <c r="F46">
        <v>585250.6</v>
      </c>
      <c r="G46">
        <v>56695236.200000003</v>
      </c>
      <c r="H46">
        <v>51520344.100000001</v>
      </c>
      <c r="I46">
        <v>18619643.399999999</v>
      </c>
      <c r="J46">
        <v>49097904</v>
      </c>
      <c r="K46">
        <v>50592324</v>
      </c>
      <c r="L46">
        <v>3.5900000000000001E-2</v>
      </c>
      <c r="M46">
        <v>5.3900000000000003E-2</v>
      </c>
      <c r="N46">
        <v>0.183</v>
      </c>
      <c r="O46">
        <v>86201.84</v>
      </c>
      <c r="P46">
        <v>14245.7</v>
      </c>
      <c r="Q46">
        <v>0.79</v>
      </c>
      <c r="R46">
        <v>0.87</v>
      </c>
      <c r="S46">
        <v>108</v>
      </c>
      <c r="T46">
        <v>3.9</v>
      </c>
      <c r="U46">
        <v>0.49</v>
      </c>
      <c r="V46">
        <v>11.9</v>
      </c>
      <c r="W46">
        <v>507.9</v>
      </c>
      <c r="X46">
        <v>0.06</v>
      </c>
      <c r="Y46">
        <v>108.3</v>
      </c>
      <c r="Z46">
        <v>27</v>
      </c>
      <c r="AA46">
        <v>135.30000000000001</v>
      </c>
      <c r="AB46">
        <v>74</v>
      </c>
      <c r="AC46">
        <v>3.4</v>
      </c>
      <c r="AD46">
        <v>0.44</v>
      </c>
      <c r="AE46">
        <v>7.8</v>
      </c>
      <c r="AF46">
        <v>325.89999999999998</v>
      </c>
      <c r="AG46">
        <v>0.05</v>
      </c>
      <c r="AH46">
        <v>74.2</v>
      </c>
      <c r="AI46">
        <v>17.5</v>
      </c>
      <c r="AJ46">
        <v>91.7</v>
      </c>
      <c r="AK46">
        <v>190.3</v>
      </c>
      <c r="AL46">
        <v>7.4</v>
      </c>
      <c r="AM46">
        <v>0.95</v>
      </c>
      <c r="AN46">
        <v>19.3</v>
      </c>
      <c r="AO46">
        <v>873.8</v>
      </c>
      <c r="AP46">
        <v>0.09</v>
      </c>
      <c r="AQ46">
        <v>190.8</v>
      </c>
      <c r="AR46">
        <v>45.4</v>
      </c>
      <c r="AS46">
        <v>236.2</v>
      </c>
      <c r="AT46">
        <v>355.4</v>
      </c>
      <c r="AU46">
        <v>19.899999999999999</v>
      </c>
      <c r="AV46">
        <v>2.73</v>
      </c>
      <c r="AW46">
        <v>31</v>
      </c>
      <c r="AX46">
        <v>1420.7</v>
      </c>
      <c r="AY46">
        <v>0.19</v>
      </c>
      <c r="AZ46">
        <v>356.7</v>
      </c>
      <c r="BA46">
        <v>73.400000000000006</v>
      </c>
      <c r="BB46">
        <v>430.1</v>
      </c>
      <c r="BC46">
        <v>6079207.0999999996</v>
      </c>
      <c r="BD46">
        <v>221</v>
      </c>
      <c r="BE46">
        <v>27.9</v>
      </c>
      <c r="BF46">
        <v>667921.19999999995</v>
      </c>
      <c r="BG46">
        <v>28521.3</v>
      </c>
      <c r="BH46">
        <v>3.6</v>
      </c>
      <c r="BI46">
        <v>6093406.2999999998</v>
      </c>
      <c r="BJ46">
        <v>1518835.2</v>
      </c>
      <c r="BK46">
        <v>7612241.5999999996</v>
      </c>
      <c r="BL46">
        <v>0</v>
      </c>
      <c r="BM46">
        <v>14.66</v>
      </c>
      <c r="BN46">
        <v>17.03</v>
      </c>
      <c r="BO46">
        <v>0</v>
      </c>
      <c r="BP46">
        <v>31.69</v>
      </c>
      <c r="BQ46">
        <v>16</v>
      </c>
      <c r="BR46">
        <v>19.29</v>
      </c>
      <c r="BS46">
        <v>0</v>
      </c>
      <c r="BT46">
        <v>35.29</v>
      </c>
      <c r="BU46">
        <v>58404460</v>
      </c>
      <c r="BV46">
        <v>38075590</v>
      </c>
      <c r="BW46">
        <v>2280620.7999999998</v>
      </c>
      <c r="BX46">
        <v>317102.59999999998</v>
      </c>
      <c r="BY46">
        <v>0</v>
      </c>
      <c r="BZ46">
        <v>0</v>
      </c>
      <c r="CA46">
        <v>1147136.6000000001</v>
      </c>
      <c r="CB46">
        <v>0</v>
      </c>
      <c r="CC46">
        <v>0</v>
      </c>
      <c r="CD46">
        <v>1097330.8999999999</v>
      </c>
      <c r="CE46">
        <v>7180293.5</v>
      </c>
      <c r="CF46">
        <v>0</v>
      </c>
      <c r="CG46">
        <v>4099556.5</v>
      </c>
      <c r="CH46">
        <v>0</v>
      </c>
      <c r="CI46">
        <v>1109893.5</v>
      </c>
      <c r="CJ46">
        <v>4194213.5</v>
      </c>
      <c r="CK46">
        <v>52.1</v>
      </c>
      <c r="CL46">
        <v>0</v>
      </c>
      <c r="CM46">
        <v>0</v>
      </c>
      <c r="CN46">
        <v>18683102</v>
      </c>
      <c r="CO46">
        <v>18295160</v>
      </c>
      <c r="CP46">
        <v>0</v>
      </c>
      <c r="CQ46">
        <v>1765.6</v>
      </c>
      <c r="CR46">
        <v>79.400000000000006</v>
      </c>
      <c r="CS46">
        <v>0</v>
      </c>
      <c r="CT46">
        <v>840.8</v>
      </c>
      <c r="CU46">
        <v>0</v>
      </c>
      <c r="CV46">
        <v>0</v>
      </c>
      <c r="CW46">
        <v>891.3</v>
      </c>
      <c r="CX46">
        <v>1982</v>
      </c>
      <c r="CY46">
        <v>0</v>
      </c>
      <c r="CZ46">
        <v>9658.6</v>
      </c>
      <c r="DA46">
        <v>0</v>
      </c>
      <c r="DB46">
        <v>308.89999999999998</v>
      </c>
      <c r="DC46">
        <v>601.20000000000005</v>
      </c>
      <c r="DD46">
        <v>120.6</v>
      </c>
      <c r="DE46">
        <v>0</v>
      </c>
      <c r="DF46">
        <v>0</v>
      </c>
      <c r="DG46">
        <v>9185.1</v>
      </c>
      <c r="DH46">
        <v>0</v>
      </c>
      <c r="DI46">
        <v>4789</v>
      </c>
      <c r="DJ46">
        <v>6560.8</v>
      </c>
      <c r="DK46">
        <v>0</v>
      </c>
      <c r="DL46">
        <v>0</v>
      </c>
      <c r="DM46">
        <v>0</v>
      </c>
    </row>
    <row r="47" spans="1:117" x14ac:dyDescent="0.3">
      <c r="A47" t="s">
        <v>159</v>
      </c>
      <c r="B47">
        <v>2024</v>
      </c>
      <c r="C47">
        <v>200070450</v>
      </c>
      <c r="D47">
        <v>17191.7</v>
      </c>
      <c r="E47">
        <v>0</v>
      </c>
      <c r="F47">
        <v>3507163.5</v>
      </c>
      <c r="G47">
        <v>203594802.40000001</v>
      </c>
      <c r="H47">
        <v>192876588.5</v>
      </c>
      <c r="I47">
        <v>52730491.100000001</v>
      </c>
      <c r="J47">
        <v>209143950</v>
      </c>
      <c r="K47">
        <v>276467800</v>
      </c>
      <c r="L47">
        <v>3.5900000000000001E-2</v>
      </c>
      <c r="M47">
        <v>5.3999999999999999E-2</v>
      </c>
      <c r="N47">
        <v>0.17749999999999999</v>
      </c>
      <c r="O47">
        <v>11248.78</v>
      </c>
      <c r="P47">
        <v>43843.4</v>
      </c>
      <c r="Q47">
        <v>0.73</v>
      </c>
      <c r="R47">
        <v>0.72</v>
      </c>
      <c r="S47">
        <v>253</v>
      </c>
      <c r="T47">
        <v>26.7</v>
      </c>
      <c r="U47">
        <v>3.87</v>
      </c>
      <c r="V47">
        <v>10.8</v>
      </c>
      <c r="W47">
        <v>627</v>
      </c>
      <c r="X47">
        <v>0.14000000000000001</v>
      </c>
      <c r="Y47">
        <v>254.9</v>
      </c>
      <c r="Z47">
        <v>29.5</v>
      </c>
      <c r="AA47">
        <v>284.39999999999998</v>
      </c>
      <c r="AB47">
        <v>273.7</v>
      </c>
      <c r="AC47">
        <v>29</v>
      </c>
      <c r="AD47">
        <v>4.2</v>
      </c>
      <c r="AE47">
        <v>11.6</v>
      </c>
      <c r="AF47">
        <v>675.8</v>
      </c>
      <c r="AG47">
        <v>0.15</v>
      </c>
      <c r="AH47">
        <v>275.7</v>
      </c>
      <c r="AI47">
        <v>31.8</v>
      </c>
      <c r="AJ47">
        <v>307.5</v>
      </c>
      <c r="AK47">
        <v>279.89999999999998</v>
      </c>
      <c r="AL47">
        <v>23.5</v>
      </c>
      <c r="AM47">
        <v>3.35</v>
      </c>
      <c r="AN47">
        <v>16.8</v>
      </c>
      <c r="AO47">
        <v>873.9</v>
      </c>
      <c r="AP47">
        <v>0.14000000000000001</v>
      </c>
      <c r="AQ47">
        <v>281.5</v>
      </c>
      <c r="AR47">
        <v>42.9</v>
      </c>
      <c r="AS47">
        <v>324.39999999999998</v>
      </c>
      <c r="AT47">
        <v>752.1</v>
      </c>
      <c r="AU47">
        <v>64.7</v>
      </c>
      <c r="AV47">
        <v>9.3699999999999992</v>
      </c>
      <c r="AW47">
        <v>45</v>
      </c>
      <c r="AX47">
        <v>2201.1999999999998</v>
      </c>
      <c r="AY47">
        <v>0.46</v>
      </c>
      <c r="AZ47">
        <v>756.6</v>
      </c>
      <c r="BA47">
        <v>110.8</v>
      </c>
      <c r="BB47">
        <v>867.4</v>
      </c>
      <c r="BC47">
        <v>67981796</v>
      </c>
      <c r="BD47">
        <v>7180.8</v>
      </c>
      <c r="BE47">
        <v>1039.5</v>
      </c>
      <c r="BF47">
        <v>2900049.1</v>
      </c>
      <c r="BG47">
        <v>168506.7</v>
      </c>
      <c r="BH47">
        <v>37.700000000000003</v>
      </c>
      <c r="BI47">
        <v>68479565.200000003</v>
      </c>
      <c r="BJ47">
        <v>7931852.2999999998</v>
      </c>
      <c r="BK47">
        <v>76411417.400000006</v>
      </c>
      <c r="BL47">
        <v>0</v>
      </c>
      <c r="BM47">
        <v>26.01</v>
      </c>
      <c r="BN47">
        <v>2.2799999999999998</v>
      </c>
      <c r="BO47">
        <v>0</v>
      </c>
      <c r="BP47">
        <v>28.29</v>
      </c>
      <c r="BQ47">
        <v>27.6</v>
      </c>
      <c r="BR47">
        <v>2.4700000000000002</v>
      </c>
      <c r="BS47">
        <v>0</v>
      </c>
      <c r="BT47">
        <v>30.06</v>
      </c>
      <c r="BU47">
        <v>270936740</v>
      </c>
      <c r="BV47">
        <v>150864300</v>
      </c>
      <c r="BW47">
        <v>14649.1</v>
      </c>
      <c r="BX47">
        <v>1088046.3999999999</v>
      </c>
      <c r="BY47">
        <v>0</v>
      </c>
      <c r="BZ47">
        <v>14642598</v>
      </c>
      <c r="CA47">
        <v>57922024</v>
      </c>
      <c r="CB47">
        <v>0</v>
      </c>
      <c r="CC47">
        <v>0</v>
      </c>
      <c r="CD47">
        <v>1686073.4</v>
      </c>
      <c r="CE47">
        <v>15318952</v>
      </c>
      <c r="CF47">
        <v>0</v>
      </c>
      <c r="CG47">
        <v>895732.6</v>
      </c>
      <c r="CH47">
        <v>0</v>
      </c>
      <c r="CI47">
        <v>11216545</v>
      </c>
      <c r="CJ47">
        <v>18606334</v>
      </c>
      <c r="CK47">
        <v>367538.8</v>
      </c>
      <c r="CL47">
        <v>0</v>
      </c>
      <c r="CM47">
        <v>0</v>
      </c>
      <c r="CN47">
        <v>17677336</v>
      </c>
      <c r="CO47">
        <v>131500904</v>
      </c>
      <c r="CP47">
        <v>0</v>
      </c>
      <c r="CQ47">
        <v>21.6</v>
      </c>
      <c r="CR47">
        <v>198.1</v>
      </c>
      <c r="CS47">
        <v>0</v>
      </c>
      <c r="CT47">
        <v>15119.2</v>
      </c>
      <c r="CU47">
        <v>0</v>
      </c>
      <c r="CV47">
        <v>0</v>
      </c>
      <c r="CW47">
        <v>1230.5</v>
      </c>
      <c r="CX47">
        <v>4904.7</v>
      </c>
      <c r="CY47">
        <v>0</v>
      </c>
      <c r="CZ47">
        <v>6506</v>
      </c>
      <c r="DA47">
        <v>0</v>
      </c>
      <c r="DB47">
        <v>2954.5</v>
      </c>
      <c r="DC47">
        <v>2427</v>
      </c>
      <c r="DD47">
        <v>2056.5</v>
      </c>
      <c r="DE47">
        <v>0</v>
      </c>
      <c r="DF47">
        <v>0</v>
      </c>
      <c r="DG47">
        <v>8006.4</v>
      </c>
      <c r="DH47">
        <v>0</v>
      </c>
      <c r="DI47">
        <v>35829.300000000003</v>
      </c>
      <c r="DJ47">
        <v>43.2</v>
      </c>
      <c r="DK47">
        <v>0</v>
      </c>
      <c r="DL47">
        <v>0</v>
      </c>
      <c r="DM47">
        <v>0</v>
      </c>
    </row>
    <row r="48" spans="1:117" x14ac:dyDescent="0.3">
      <c r="A48" t="s">
        <v>159</v>
      </c>
      <c r="B48">
        <v>2026</v>
      </c>
      <c r="C48">
        <v>204556300</v>
      </c>
      <c r="D48">
        <v>1056970.2</v>
      </c>
      <c r="E48">
        <v>0</v>
      </c>
      <c r="F48">
        <v>4068404.8</v>
      </c>
      <c r="G48">
        <v>209681679.59999999</v>
      </c>
      <c r="H48">
        <v>197201170.19999999</v>
      </c>
      <c r="I48">
        <v>18990645.899999999</v>
      </c>
      <c r="J48">
        <v>245810100</v>
      </c>
      <c r="K48">
        <v>325399460</v>
      </c>
      <c r="L48">
        <v>3.5900000000000001E-2</v>
      </c>
      <c r="M48">
        <v>5.3999999999999999E-2</v>
      </c>
      <c r="N48">
        <v>0.17749999999999999</v>
      </c>
      <c r="O48">
        <v>51702.96</v>
      </c>
      <c r="P48">
        <v>44804.800000000003</v>
      </c>
      <c r="Q48">
        <v>0.81</v>
      </c>
      <c r="R48">
        <v>0.81</v>
      </c>
      <c r="S48">
        <v>168.7</v>
      </c>
      <c r="T48">
        <v>17.7</v>
      </c>
      <c r="U48">
        <v>2.57</v>
      </c>
      <c r="V48">
        <v>7.4</v>
      </c>
      <c r="W48">
        <v>421.1</v>
      </c>
      <c r="X48">
        <v>0.1</v>
      </c>
      <c r="Y48">
        <v>170</v>
      </c>
      <c r="Z48">
        <v>20</v>
      </c>
      <c r="AA48">
        <v>190</v>
      </c>
      <c r="AB48">
        <v>182.4</v>
      </c>
      <c r="AC48">
        <v>19.2</v>
      </c>
      <c r="AD48">
        <v>2.78</v>
      </c>
      <c r="AE48">
        <v>8.1</v>
      </c>
      <c r="AF48">
        <v>453.9</v>
      </c>
      <c r="AG48">
        <v>0.11</v>
      </c>
      <c r="AH48">
        <v>183.7</v>
      </c>
      <c r="AI48">
        <v>21.6</v>
      </c>
      <c r="AJ48">
        <v>205.4</v>
      </c>
      <c r="AK48">
        <v>180.1</v>
      </c>
      <c r="AL48">
        <v>13.3</v>
      </c>
      <c r="AM48">
        <v>1.88</v>
      </c>
      <c r="AN48">
        <v>12.5</v>
      </c>
      <c r="AO48">
        <v>619.4</v>
      </c>
      <c r="AP48">
        <v>0.09</v>
      </c>
      <c r="AQ48">
        <v>181</v>
      </c>
      <c r="AR48">
        <v>30.9</v>
      </c>
      <c r="AS48">
        <v>211.9</v>
      </c>
      <c r="AT48">
        <v>638.9</v>
      </c>
      <c r="AU48">
        <v>55.7</v>
      </c>
      <c r="AV48">
        <v>8.0399999999999991</v>
      </c>
      <c r="AW48">
        <v>37.299999999999997</v>
      </c>
      <c r="AX48">
        <v>1877.2</v>
      </c>
      <c r="AY48">
        <v>0.37</v>
      </c>
      <c r="AZ48">
        <v>642.79999999999995</v>
      </c>
      <c r="BA48">
        <v>93.3</v>
      </c>
      <c r="BB48">
        <v>736.1</v>
      </c>
      <c r="BC48">
        <v>48301473.399999999</v>
      </c>
      <c r="BD48">
        <v>5079.7</v>
      </c>
      <c r="BE48">
        <v>735.1</v>
      </c>
      <c r="BF48">
        <v>2131339.9</v>
      </c>
      <c r="BG48">
        <v>120564.7</v>
      </c>
      <c r="BH48">
        <v>27.8</v>
      </c>
      <c r="BI48">
        <v>48653531.700000003</v>
      </c>
      <c r="BJ48">
        <v>5731746.2999999998</v>
      </c>
      <c r="BK48">
        <v>54385278</v>
      </c>
      <c r="BL48">
        <v>0</v>
      </c>
      <c r="BM48">
        <v>21.65</v>
      </c>
      <c r="BN48">
        <v>10.3</v>
      </c>
      <c r="BO48">
        <v>0</v>
      </c>
      <c r="BP48">
        <v>31.95</v>
      </c>
      <c r="BQ48">
        <v>23.05</v>
      </c>
      <c r="BR48">
        <v>11.18</v>
      </c>
      <c r="BS48">
        <v>0</v>
      </c>
      <c r="BT48">
        <v>34.229999999999997</v>
      </c>
      <c r="BU48">
        <v>289305200</v>
      </c>
      <c r="BV48">
        <v>190691040</v>
      </c>
      <c r="BW48">
        <v>896398.1</v>
      </c>
      <c r="BX48">
        <v>1017560</v>
      </c>
      <c r="BY48">
        <v>0</v>
      </c>
      <c r="BZ48">
        <v>13585550</v>
      </c>
      <c r="CA48">
        <v>41105876</v>
      </c>
      <c r="CB48">
        <v>0</v>
      </c>
      <c r="CC48">
        <v>0</v>
      </c>
      <c r="CD48">
        <v>2134741.7999999998</v>
      </c>
      <c r="CE48">
        <v>11838403</v>
      </c>
      <c r="CF48">
        <v>0</v>
      </c>
      <c r="CG48">
        <v>465768.4</v>
      </c>
      <c r="CH48">
        <v>0</v>
      </c>
      <c r="CI48">
        <v>11626777</v>
      </c>
      <c r="CJ48">
        <v>17822624</v>
      </c>
      <c r="CK48">
        <v>255217.8</v>
      </c>
      <c r="CL48">
        <v>0</v>
      </c>
      <c r="CM48">
        <v>0</v>
      </c>
      <c r="CN48">
        <v>34641350</v>
      </c>
      <c r="CO48">
        <v>153914940</v>
      </c>
      <c r="CP48">
        <v>0</v>
      </c>
      <c r="CQ48">
        <v>696.6</v>
      </c>
      <c r="CR48">
        <v>198.1</v>
      </c>
      <c r="CS48">
        <v>0</v>
      </c>
      <c r="CT48">
        <v>14439.2</v>
      </c>
      <c r="CU48">
        <v>0</v>
      </c>
      <c r="CV48">
        <v>0</v>
      </c>
      <c r="CW48">
        <v>1585.2</v>
      </c>
      <c r="CX48">
        <v>4904.7</v>
      </c>
      <c r="CY48">
        <v>0</v>
      </c>
      <c r="CZ48">
        <v>5763.5</v>
      </c>
      <c r="DA48">
        <v>0</v>
      </c>
      <c r="DB48">
        <v>3144.5</v>
      </c>
      <c r="DC48">
        <v>2427</v>
      </c>
      <c r="DD48">
        <v>1936.1</v>
      </c>
      <c r="DE48">
        <v>0</v>
      </c>
      <c r="DF48">
        <v>0</v>
      </c>
      <c r="DG48">
        <v>16149</v>
      </c>
      <c r="DH48">
        <v>0</v>
      </c>
      <c r="DI48">
        <v>42849.7</v>
      </c>
      <c r="DJ48">
        <v>2743</v>
      </c>
      <c r="DK48">
        <v>0</v>
      </c>
      <c r="DL48">
        <v>0</v>
      </c>
      <c r="DM48">
        <v>0</v>
      </c>
    </row>
    <row r="49" spans="1:117" x14ac:dyDescent="0.3">
      <c r="A49" t="s">
        <v>159</v>
      </c>
      <c r="B49">
        <v>2028</v>
      </c>
      <c r="C49">
        <v>212553100</v>
      </c>
      <c r="D49">
        <v>3537822</v>
      </c>
      <c r="E49">
        <v>0</v>
      </c>
      <c r="F49">
        <v>4515136.5</v>
      </c>
      <c r="G49">
        <v>220606062.30000001</v>
      </c>
      <c r="H49">
        <v>204910482.5</v>
      </c>
      <c r="I49">
        <v>-42116763.700000003</v>
      </c>
      <c r="J49">
        <v>245506260</v>
      </c>
      <c r="K49">
        <v>368180130</v>
      </c>
      <c r="L49">
        <v>3.5900000000000001E-2</v>
      </c>
      <c r="M49">
        <v>5.3999999999999999E-2</v>
      </c>
      <c r="N49">
        <v>0.17760000000000001</v>
      </c>
      <c r="O49">
        <v>65069.7</v>
      </c>
      <c r="P49">
        <v>47171.8</v>
      </c>
      <c r="Q49">
        <v>0.91</v>
      </c>
      <c r="R49">
        <v>0.89</v>
      </c>
      <c r="S49">
        <v>83.8</v>
      </c>
      <c r="T49">
        <v>8.8000000000000007</v>
      </c>
      <c r="U49">
        <v>1.27</v>
      </c>
      <c r="V49">
        <v>3.9</v>
      </c>
      <c r="W49">
        <v>210.4</v>
      </c>
      <c r="X49">
        <v>0.05</v>
      </c>
      <c r="Y49">
        <v>84.4</v>
      </c>
      <c r="Z49">
        <v>10.199999999999999</v>
      </c>
      <c r="AA49">
        <v>94.6</v>
      </c>
      <c r="AB49">
        <v>100.9</v>
      </c>
      <c r="AC49">
        <v>10.6</v>
      </c>
      <c r="AD49">
        <v>1.54</v>
      </c>
      <c r="AE49">
        <v>4.8</v>
      </c>
      <c r="AF49">
        <v>252.5</v>
      </c>
      <c r="AG49">
        <v>0.06</v>
      </c>
      <c r="AH49">
        <v>101.6</v>
      </c>
      <c r="AI49">
        <v>12.3</v>
      </c>
      <c r="AJ49">
        <v>113.9</v>
      </c>
      <c r="AK49">
        <v>98.2</v>
      </c>
      <c r="AL49">
        <v>4.5</v>
      </c>
      <c r="AM49">
        <v>0.59</v>
      </c>
      <c r="AN49">
        <v>9.4</v>
      </c>
      <c r="AO49">
        <v>427.7</v>
      </c>
      <c r="AP49">
        <v>0.05</v>
      </c>
      <c r="AQ49">
        <v>98.5</v>
      </c>
      <c r="AR49">
        <v>22.1</v>
      </c>
      <c r="AS49">
        <v>120.6</v>
      </c>
      <c r="AT49">
        <v>486.1</v>
      </c>
      <c r="AU49">
        <v>40.6</v>
      </c>
      <c r="AV49">
        <v>5.83</v>
      </c>
      <c r="AW49">
        <v>30.4</v>
      </c>
      <c r="AX49">
        <v>1487.6</v>
      </c>
      <c r="AY49">
        <v>0.28999999999999998</v>
      </c>
      <c r="AZ49">
        <v>488.9</v>
      </c>
      <c r="BA49">
        <v>74.8</v>
      </c>
      <c r="BB49">
        <v>563.70000000000005</v>
      </c>
      <c r="BC49">
        <v>28353004.300000001</v>
      </c>
      <c r="BD49">
        <v>2974.4</v>
      </c>
      <c r="BE49">
        <v>430.3</v>
      </c>
      <c r="BF49">
        <v>1324649.1000000001</v>
      </c>
      <c r="BG49">
        <v>71198.7</v>
      </c>
      <c r="BH49">
        <v>17.600000000000001</v>
      </c>
      <c r="BI49">
        <v>28559121.5</v>
      </c>
      <c r="BJ49">
        <v>3451181.3</v>
      </c>
      <c r="BK49">
        <v>32010302.699999999</v>
      </c>
      <c r="BL49">
        <v>0</v>
      </c>
      <c r="BM49">
        <v>16.149999999999999</v>
      </c>
      <c r="BN49">
        <v>12.48</v>
      </c>
      <c r="BO49">
        <v>0</v>
      </c>
      <c r="BP49">
        <v>28.63</v>
      </c>
      <c r="BQ49">
        <v>17.32</v>
      </c>
      <c r="BR49">
        <v>13.67</v>
      </c>
      <c r="BS49">
        <v>0</v>
      </c>
      <c r="BT49">
        <v>30.99</v>
      </c>
      <c r="BU49">
        <v>343457120</v>
      </c>
      <c r="BV49">
        <v>262722850</v>
      </c>
      <c r="BW49">
        <v>3019372</v>
      </c>
      <c r="BX49">
        <v>834631.5</v>
      </c>
      <c r="BY49">
        <v>0</v>
      </c>
      <c r="BZ49">
        <v>16581179</v>
      </c>
      <c r="CA49">
        <v>24278094</v>
      </c>
      <c r="CB49">
        <v>0</v>
      </c>
      <c r="CC49">
        <v>0</v>
      </c>
      <c r="CD49">
        <v>2873261.2</v>
      </c>
      <c r="CE49">
        <v>7492726.5</v>
      </c>
      <c r="CF49">
        <v>0</v>
      </c>
      <c r="CG49">
        <v>143403.79999999999</v>
      </c>
      <c r="CH49">
        <v>0</v>
      </c>
      <c r="CI49">
        <v>11206562</v>
      </c>
      <c r="CJ49">
        <v>17044588</v>
      </c>
      <c r="CK49">
        <v>133725.6</v>
      </c>
      <c r="CL49">
        <v>0</v>
      </c>
      <c r="CM49">
        <v>0</v>
      </c>
      <c r="CN49">
        <v>45062076</v>
      </c>
      <c r="CO49">
        <v>214787490</v>
      </c>
      <c r="CP49">
        <v>0</v>
      </c>
      <c r="CQ49">
        <v>2292</v>
      </c>
      <c r="CR49">
        <v>162.1</v>
      </c>
      <c r="CS49">
        <v>0</v>
      </c>
      <c r="CT49">
        <v>14418.2</v>
      </c>
      <c r="CU49">
        <v>0</v>
      </c>
      <c r="CV49">
        <v>0</v>
      </c>
      <c r="CW49">
        <v>2155.3000000000002</v>
      </c>
      <c r="CX49">
        <v>4875.5</v>
      </c>
      <c r="CY49">
        <v>0</v>
      </c>
      <c r="CZ49">
        <v>5604.8</v>
      </c>
      <c r="DA49">
        <v>0</v>
      </c>
      <c r="DB49">
        <v>3144.5</v>
      </c>
      <c r="DC49">
        <v>2427</v>
      </c>
      <c r="DD49">
        <v>1640.1</v>
      </c>
      <c r="DE49">
        <v>0</v>
      </c>
      <c r="DF49">
        <v>0</v>
      </c>
      <c r="DG49">
        <v>21655.200000000001</v>
      </c>
      <c r="DH49">
        <v>0</v>
      </c>
      <c r="DI49">
        <v>62237.3</v>
      </c>
      <c r="DJ49">
        <v>9122.9</v>
      </c>
      <c r="DK49">
        <v>0</v>
      </c>
      <c r="DL49">
        <v>0</v>
      </c>
      <c r="DM49">
        <v>0</v>
      </c>
    </row>
    <row r="50" spans="1:117" x14ac:dyDescent="0.3">
      <c r="A50" t="s">
        <v>159</v>
      </c>
      <c r="B50">
        <v>2030</v>
      </c>
      <c r="C50">
        <v>219558940</v>
      </c>
      <c r="D50">
        <v>6903846.5</v>
      </c>
      <c r="E50">
        <v>0</v>
      </c>
      <c r="F50">
        <v>4863785.5</v>
      </c>
      <c r="G50">
        <v>231326556</v>
      </c>
      <c r="H50">
        <v>211664430.90000001</v>
      </c>
      <c r="I50">
        <v>-51786388</v>
      </c>
      <c r="J50">
        <v>268269360</v>
      </c>
      <c r="K50">
        <v>396232030</v>
      </c>
      <c r="L50">
        <v>3.5900000000000001E-2</v>
      </c>
      <c r="M50">
        <v>5.3999999999999999E-2</v>
      </c>
      <c r="N50">
        <v>0.17760000000000001</v>
      </c>
      <c r="O50">
        <v>73251.34</v>
      </c>
      <c r="P50">
        <v>49491.8</v>
      </c>
      <c r="Q50">
        <v>0.93</v>
      </c>
      <c r="R50">
        <v>0.93</v>
      </c>
      <c r="S50">
        <v>60.1</v>
      </c>
      <c r="T50">
        <v>6.4</v>
      </c>
      <c r="U50">
        <v>0.93</v>
      </c>
      <c r="V50">
        <v>2.8</v>
      </c>
      <c r="W50">
        <v>147.5</v>
      </c>
      <c r="X50">
        <v>0.04</v>
      </c>
      <c r="Y50">
        <v>60.5</v>
      </c>
      <c r="Z50">
        <v>7.2</v>
      </c>
      <c r="AA50">
        <v>67.7</v>
      </c>
      <c r="AB50">
        <v>68.5</v>
      </c>
      <c r="AC50">
        <v>7.3</v>
      </c>
      <c r="AD50">
        <v>1.06</v>
      </c>
      <c r="AE50">
        <v>3.3</v>
      </c>
      <c r="AF50">
        <v>168</v>
      </c>
      <c r="AG50">
        <v>0.05</v>
      </c>
      <c r="AH50">
        <v>69</v>
      </c>
      <c r="AI50">
        <v>8.3000000000000007</v>
      </c>
      <c r="AJ50">
        <v>77.3</v>
      </c>
      <c r="AK50">
        <v>107.2</v>
      </c>
      <c r="AL50">
        <v>5.6</v>
      </c>
      <c r="AM50">
        <v>0.76</v>
      </c>
      <c r="AN50">
        <v>9.5</v>
      </c>
      <c r="AO50">
        <v>443.3</v>
      </c>
      <c r="AP50">
        <v>0.05</v>
      </c>
      <c r="AQ50">
        <v>107.5</v>
      </c>
      <c r="AR50">
        <v>22.8</v>
      </c>
      <c r="AS50">
        <v>130.30000000000001</v>
      </c>
      <c r="AT50">
        <v>421.2</v>
      </c>
      <c r="AU50">
        <v>36.6</v>
      </c>
      <c r="AV50">
        <v>5.27</v>
      </c>
      <c r="AW50">
        <v>25</v>
      </c>
      <c r="AX50">
        <v>1253</v>
      </c>
      <c r="AY50">
        <v>0.25</v>
      </c>
      <c r="AZ50">
        <v>423.8</v>
      </c>
      <c r="BA50">
        <v>62.4</v>
      </c>
      <c r="BB50">
        <v>486.2</v>
      </c>
      <c r="BC50">
        <v>21199214.300000001</v>
      </c>
      <c r="BD50">
        <v>2264.6999999999998</v>
      </c>
      <c r="BE50">
        <v>328</v>
      </c>
      <c r="BF50">
        <v>987344.7</v>
      </c>
      <c r="BG50">
        <v>52087.1</v>
      </c>
      <c r="BH50">
        <v>13.9</v>
      </c>
      <c r="BI50">
        <v>21356236.699999999</v>
      </c>
      <c r="BJ50">
        <v>2543346.5</v>
      </c>
      <c r="BK50">
        <v>23899583.199999999</v>
      </c>
      <c r="BL50">
        <v>0</v>
      </c>
      <c r="BM50">
        <v>13.49</v>
      </c>
      <c r="BN50">
        <v>13.96</v>
      </c>
      <c r="BO50">
        <v>0</v>
      </c>
      <c r="BP50">
        <v>27.45</v>
      </c>
      <c r="BQ50">
        <v>14.58</v>
      </c>
      <c r="BR50">
        <v>15.49</v>
      </c>
      <c r="BS50">
        <v>0</v>
      </c>
      <c r="BT50">
        <v>30.07</v>
      </c>
      <c r="BU50">
        <v>359466180</v>
      </c>
      <c r="BV50">
        <v>283112930</v>
      </c>
      <c r="BW50">
        <v>5895573.5</v>
      </c>
      <c r="BX50">
        <v>669375.9</v>
      </c>
      <c r="BY50">
        <v>0</v>
      </c>
      <c r="BZ50">
        <v>19150044</v>
      </c>
      <c r="CA50">
        <v>18693010</v>
      </c>
      <c r="CB50">
        <v>0</v>
      </c>
      <c r="CC50">
        <v>0</v>
      </c>
      <c r="CD50">
        <v>4040584</v>
      </c>
      <c r="CE50">
        <v>4667449.5</v>
      </c>
      <c r="CF50">
        <v>0</v>
      </c>
      <c r="CG50">
        <v>69637.399999999994</v>
      </c>
      <c r="CH50">
        <v>0</v>
      </c>
      <c r="CI50">
        <v>10543163</v>
      </c>
      <c r="CJ50">
        <v>16595163</v>
      </c>
      <c r="CK50">
        <v>69825.100000000006</v>
      </c>
      <c r="CL50">
        <v>0</v>
      </c>
      <c r="CM50">
        <v>0</v>
      </c>
      <c r="CN50">
        <v>50803336</v>
      </c>
      <c r="CO50">
        <v>228269020</v>
      </c>
      <c r="CP50">
        <v>0</v>
      </c>
      <c r="CQ50">
        <v>4340.2</v>
      </c>
      <c r="CR50">
        <v>144.1</v>
      </c>
      <c r="CS50">
        <v>0</v>
      </c>
      <c r="CT50">
        <v>14056.2</v>
      </c>
      <c r="CU50">
        <v>0</v>
      </c>
      <c r="CV50">
        <v>0</v>
      </c>
      <c r="CW50">
        <v>3062.4</v>
      </c>
      <c r="CX50">
        <v>4731.1000000000004</v>
      </c>
      <c r="CY50">
        <v>0</v>
      </c>
      <c r="CZ50">
        <v>5098.3999999999996</v>
      </c>
      <c r="DA50">
        <v>0</v>
      </c>
      <c r="DB50">
        <v>3144.5</v>
      </c>
      <c r="DC50">
        <v>2427</v>
      </c>
      <c r="DD50">
        <v>1215.9000000000001</v>
      </c>
      <c r="DE50">
        <v>0</v>
      </c>
      <c r="DF50">
        <v>0</v>
      </c>
      <c r="DG50">
        <v>25387.3</v>
      </c>
      <c r="DH50">
        <v>0</v>
      </c>
      <c r="DI50">
        <v>70703</v>
      </c>
      <c r="DJ50">
        <v>17597.099999999999</v>
      </c>
      <c r="DK50">
        <v>0</v>
      </c>
      <c r="DL50">
        <v>0</v>
      </c>
      <c r="DM50">
        <v>0</v>
      </c>
    </row>
    <row r="51" spans="1:117" x14ac:dyDescent="0.3">
      <c r="A51" t="s">
        <v>159</v>
      </c>
      <c r="B51">
        <v>2035</v>
      </c>
      <c r="C51">
        <v>243980750</v>
      </c>
      <c r="D51">
        <v>10555443</v>
      </c>
      <c r="E51">
        <v>0</v>
      </c>
      <c r="F51">
        <v>5020360.2</v>
      </c>
      <c r="G51">
        <v>259556546.5</v>
      </c>
      <c r="H51">
        <v>235208096</v>
      </c>
      <c r="I51">
        <v>-62992202.5</v>
      </c>
      <c r="J51">
        <v>286790700</v>
      </c>
      <c r="K51">
        <v>415572030</v>
      </c>
      <c r="L51">
        <v>3.5900000000000001E-2</v>
      </c>
      <c r="M51">
        <v>5.3999999999999999E-2</v>
      </c>
      <c r="N51">
        <v>0.17760000000000001</v>
      </c>
      <c r="O51">
        <v>90395.04</v>
      </c>
      <c r="P51">
        <v>56397.2</v>
      </c>
      <c r="Q51">
        <v>0.96</v>
      </c>
      <c r="R51">
        <v>0.95</v>
      </c>
      <c r="S51">
        <v>37.9</v>
      </c>
      <c r="T51">
        <v>4</v>
      </c>
      <c r="U51">
        <v>0.59</v>
      </c>
      <c r="V51">
        <v>1.8</v>
      </c>
      <c r="W51">
        <v>93</v>
      </c>
      <c r="X51">
        <v>0.02</v>
      </c>
      <c r="Y51">
        <v>38.1</v>
      </c>
      <c r="Z51">
        <v>4.5999999999999996</v>
      </c>
      <c r="AA51">
        <v>42.7</v>
      </c>
      <c r="AB51">
        <v>43.4</v>
      </c>
      <c r="AC51">
        <v>4.5999999999999996</v>
      </c>
      <c r="AD51">
        <v>0.67</v>
      </c>
      <c r="AE51">
        <v>2.1</v>
      </c>
      <c r="AF51">
        <v>107.3</v>
      </c>
      <c r="AG51">
        <v>0.03</v>
      </c>
      <c r="AH51">
        <v>43.7</v>
      </c>
      <c r="AI51">
        <v>5.3</v>
      </c>
      <c r="AJ51">
        <v>49.1</v>
      </c>
      <c r="AK51">
        <v>110.2</v>
      </c>
      <c r="AL51">
        <v>6.5</v>
      </c>
      <c r="AM51">
        <v>0.89</v>
      </c>
      <c r="AN51">
        <v>9.3000000000000007</v>
      </c>
      <c r="AO51">
        <v>434.5</v>
      </c>
      <c r="AP51">
        <v>0.06</v>
      </c>
      <c r="AQ51">
        <v>110.6</v>
      </c>
      <c r="AR51">
        <v>22.3</v>
      </c>
      <c r="AS51">
        <v>132.9</v>
      </c>
      <c r="AT51">
        <v>363.7</v>
      </c>
      <c r="AU51">
        <v>30.8</v>
      </c>
      <c r="AV51">
        <v>4.42</v>
      </c>
      <c r="AW51">
        <v>22.1</v>
      </c>
      <c r="AX51">
        <v>1117.5999999999999</v>
      </c>
      <c r="AY51">
        <v>0.2</v>
      </c>
      <c r="AZ51">
        <v>365.9</v>
      </c>
      <c r="BA51">
        <v>55.5</v>
      </c>
      <c r="BB51">
        <v>421.3</v>
      </c>
      <c r="BC51">
        <v>14357110.9</v>
      </c>
      <c r="BD51">
        <v>1533.7</v>
      </c>
      <c r="BE51">
        <v>222.1</v>
      </c>
      <c r="BF51">
        <v>674658.1</v>
      </c>
      <c r="BG51">
        <v>35300.9</v>
      </c>
      <c r="BH51">
        <v>9.4</v>
      </c>
      <c r="BI51">
        <v>14463447.1</v>
      </c>
      <c r="BJ51">
        <v>1729197.6</v>
      </c>
      <c r="BK51">
        <v>16192644.699999999</v>
      </c>
      <c r="BL51">
        <v>0</v>
      </c>
      <c r="BM51">
        <v>11.9</v>
      </c>
      <c r="BN51">
        <v>17.14</v>
      </c>
      <c r="BO51">
        <v>0</v>
      </c>
      <c r="BP51">
        <v>29.03</v>
      </c>
      <c r="BQ51">
        <v>12.95</v>
      </c>
      <c r="BR51">
        <v>19.21</v>
      </c>
      <c r="BS51">
        <v>0</v>
      </c>
      <c r="BT51">
        <v>32.159999999999997</v>
      </c>
      <c r="BU51">
        <v>388452320</v>
      </c>
      <c r="BV51">
        <v>322548740</v>
      </c>
      <c r="BW51">
        <v>9026638</v>
      </c>
      <c r="BX51">
        <v>636268.19999999995</v>
      </c>
      <c r="BY51">
        <v>0</v>
      </c>
      <c r="BZ51">
        <v>18978490</v>
      </c>
      <c r="CA51">
        <v>12759816</v>
      </c>
      <c r="CB51">
        <v>0</v>
      </c>
      <c r="CC51">
        <v>0</v>
      </c>
      <c r="CD51">
        <v>6135648.5</v>
      </c>
      <c r="CE51">
        <v>3193880.8</v>
      </c>
      <c r="CF51">
        <v>0</v>
      </c>
      <c r="CG51">
        <v>63435.199999999997</v>
      </c>
      <c r="CH51">
        <v>0</v>
      </c>
      <c r="CI51">
        <v>10158597</v>
      </c>
      <c r="CJ51">
        <v>11049651</v>
      </c>
      <c r="CK51">
        <v>36789.199999999997</v>
      </c>
      <c r="CL51">
        <v>0</v>
      </c>
      <c r="CM51">
        <v>0</v>
      </c>
      <c r="CN51">
        <v>60154900</v>
      </c>
      <c r="CO51">
        <v>256258200</v>
      </c>
      <c r="CP51">
        <v>0</v>
      </c>
      <c r="CQ51">
        <v>6616.5</v>
      </c>
      <c r="CR51">
        <v>144.1</v>
      </c>
      <c r="CS51">
        <v>0</v>
      </c>
      <c r="CT51">
        <v>12644.1</v>
      </c>
      <c r="CU51">
        <v>0</v>
      </c>
      <c r="CV51">
        <v>0</v>
      </c>
      <c r="CW51">
        <v>4729.5</v>
      </c>
      <c r="CX51">
        <v>4731.1000000000004</v>
      </c>
      <c r="CY51">
        <v>0</v>
      </c>
      <c r="CZ51">
        <v>6025.1</v>
      </c>
      <c r="DA51">
        <v>0</v>
      </c>
      <c r="DB51">
        <v>3144.5</v>
      </c>
      <c r="DC51">
        <v>1657</v>
      </c>
      <c r="DD51">
        <v>1141.4000000000001</v>
      </c>
      <c r="DE51">
        <v>0</v>
      </c>
      <c r="DF51">
        <v>0</v>
      </c>
      <c r="DG51">
        <v>31751.7</v>
      </c>
      <c r="DH51">
        <v>0</v>
      </c>
      <c r="DI51">
        <v>85668</v>
      </c>
      <c r="DJ51">
        <v>26225.7</v>
      </c>
      <c r="DK51">
        <v>0</v>
      </c>
      <c r="DL51">
        <v>0</v>
      </c>
      <c r="DM51">
        <v>0</v>
      </c>
    </row>
    <row r="52" spans="1:117" x14ac:dyDescent="0.3">
      <c r="A52" t="s">
        <v>159</v>
      </c>
      <c r="B52">
        <v>2040</v>
      </c>
      <c r="C52">
        <v>271611650</v>
      </c>
      <c r="D52">
        <v>13842195</v>
      </c>
      <c r="E52">
        <v>0</v>
      </c>
      <c r="F52">
        <v>5393290.0999999996</v>
      </c>
      <c r="G52">
        <v>290847141.30000001</v>
      </c>
      <c r="H52">
        <v>261845319.80000001</v>
      </c>
      <c r="I52">
        <v>-75537642.400000006</v>
      </c>
      <c r="J52">
        <v>307836480</v>
      </c>
      <c r="K52">
        <v>445242980</v>
      </c>
      <c r="L52">
        <v>3.5900000000000001E-2</v>
      </c>
      <c r="M52">
        <v>5.3999999999999999E-2</v>
      </c>
      <c r="N52">
        <v>0.1777</v>
      </c>
      <c r="O52">
        <v>88124.15</v>
      </c>
      <c r="P52">
        <v>63701.1</v>
      </c>
      <c r="Q52">
        <v>0.97</v>
      </c>
      <c r="R52">
        <v>0.97</v>
      </c>
      <c r="S52">
        <v>25</v>
      </c>
      <c r="T52">
        <v>2.6</v>
      </c>
      <c r="U52">
        <v>0.38</v>
      </c>
      <c r="V52">
        <v>1.2</v>
      </c>
      <c r="W52">
        <v>62.8</v>
      </c>
      <c r="X52">
        <v>0.02</v>
      </c>
      <c r="Y52">
        <v>25.2</v>
      </c>
      <c r="Z52">
        <v>3.1</v>
      </c>
      <c r="AA52">
        <v>28.3</v>
      </c>
      <c r="AB52">
        <v>28.1</v>
      </c>
      <c r="AC52">
        <v>2.9</v>
      </c>
      <c r="AD52">
        <v>0.42</v>
      </c>
      <c r="AE52">
        <v>1.5</v>
      </c>
      <c r="AF52">
        <v>71.5</v>
      </c>
      <c r="AG52">
        <v>0.02</v>
      </c>
      <c r="AH52">
        <v>28.3</v>
      </c>
      <c r="AI52">
        <v>3.6</v>
      </c>
      <c r="AJ52">
        <v>31.9</v>
      </c>
      <c r="AK52">
        <v>126.4</v>
      </c>
      <c r="AL52">
        <v>7</v>
      </c>
      <c r="AM52">
        <v>0.96</v>
      </c>
      <c r="AN52">
        <v>11</v>
      </c>
      <c r="AO52">
        <v>511.7</v>
      </c>
      <c r="AP52">
        <v>7.0000000000000007E-2</v>
      </c>
      <c r="AQ52">
        <v>126.9</v>
      </c>
      <c r="AR52">
        <v>26.3</v>
      </c>
      <c r="AS52">
        <v>153.1</v>
      </c>
      <c r="AT52">
        <v>294.60000000000002</v>
      </c>
      <c r="AU52">
        <v>23.3</v>
      </c>
      <c r="AV52">
        <v>3.33</v>
      </c>
      <c r="AW52">
        <v>19.399999999999999</v>
      </c>
      <c r="AX52">
        <v>952.1</v>
      </c>
      <c r="AY52">
        <v>0.17</v>
      </c>
      <c r="AZ52">
        <v>296.2</v>
      </c>
      <c r="BA52">
        <v>47.9</v>
      </c>
      <c r="BB52">
        <v>344.1</v>
      </c>
      <c r="BC52">
        <v>10319335.1</v>
      </c>
      <c r="BD52">
        <v>1084.9000000000001</v>
      </c>
      <c r="BE52">
        <v>156.9</v>
      </c>
      <c r="BF52">
        <v>515882.4</v>
      </c>
      <c r="BG52">
        <v>25952.9</v>
      </c>
      <c r="BH52">
        <v>7</v>
      </c>
      <c r="BI52">
        <v>10394510.5</v>
      </c>
      <c r="BJ52">
        <v>1291190.8</v>
      </c>
      <c r="BK52">
        <v>11685701.300000001</v>
      </c>
      <c r="BL52">
        <v>0</v>
      </c>
      <c r="BM52">
        <v>9.7799999999999994</v>
      </c>
      <c r="BN52">
        <v>16.739999999999998</v>
      </c>
      <c r="BO52">
        <v>0</v>
      </c>
      <c r="BP52">
        <v>26.52</v>
      </c>
      <c r="BQ52">
        <v>10.71</v>
      </c>
      <c r="BR52">
        <v>18.89</v>
      </c>
      <c r="BS52">
        <v>0</v>
      </c>
      <c r="BT52">
        <v>29.6</v>
      </c>
      <c r="BU52">
        <v>428390300</v>
      </c>
      <c r="BV52">
        <v>366384770</v>
      </c>
      <c r="BW52">
        <v>11763522</v>
      </c>
      <c r="BX52">
        <v>599138.80000000005</v>
      </c>
      <c r="BY52">
        <v>0</v>
      </c>
      <c r="BZ52">
        <v>19200620</v>
      </c>
      <c r="CA52">
        <v>9111308</v>
      </c>
      <c r="CB52">
        <v>0</v>
      </c>
      <c r="CC52">
        <v>0</v>
      </c>
      <c r="CD52">
        <v>6591245.5</v>
      </c>
      <c r="CE52">
        <v>2746204.8</v>
      </c>
      <c r="CF52">
        <v>0</v>
      </c>
      <c r="CG52">
        <v>80242.2</v>
      </c>
      <c r="CH52">
        <v>0</v>
      </c>
      <c r="CI52">
        <v>9505415</v>
      </c>
      <c r="CJ52">
        <v>8970752</v>
      </c>
      <c r="CK52">
        <v>28321.8</v>
      </c>
      <c r="CL52">
        <v>0</v>
      </c>
      <c r="CM52">
        <v>0</v>
      </c>
      <c r="CN52">
        <v>85020130</v>
      </c>
      <c r="CO52">
        <v>274773400</v>
      </c>
      <c r="CP52">
        <v>0</v>
      </c>
      <c r="CQ52">
        <v>8364.2000000000007</v>
      </c>
      <c r="CR52">
        <v>144.1</v>
      </c>
      <c r="CS52">
        <v>0</v>
      </c>
      <c r="CT52">
        <v>12305</v>
      </c>
      <c r="CU52">
        <v>0</v>
      </c>
      <c r="CV52">
        <v>0</v>
      </c>
      <c r="CW52">
        <v>5230.7</v>
      </c>
      <c r="CX52">
        <v>4731.1000000000004</v>
      </c>
      <c r="CY52">
        <v>0</v>
      </c>
      <c r="CZ52">
        <v>6456.9</v>
      </c>
      <c r="DA52">
        <v>0</v>
      </c>
      <c r="DB52">
        <v>3144.5</v>
      </c>
      <c r="DC52">
        <v>1385.6</v>
      </c>
      <c r="DD52">
        <v>1119.2</v>
      </c>
      <c r="DE52">
        <v>0</v>
      </c>
      <c r="DF52">
        <v>0</v>
      </c>
      <c r="DG52">
        <v>50355.3</v>
      </c>
      <c r="DH52">
        <v>0</v>
      </c>
      <c r="DI52">
        <v>96050.9</v>
      </c>
      <c r="DJ52">
        <v>31775</v>
      </c>
      <c r="DK52">
        <v>0</v>
      </c>
      <c r="DL52">
        <v>0</v>
      </c>
      <c r="DM52">
        <v>0</v>
      </c>
    </row>
    <row r="53" spans="1:117" x14ac:dyDescent="0.3">
      <c r="A53" t="s">
        <v>159</v>
      </c>
      <c r="B53">
        <v>2045</v>
      </c>
      <c r="C53">
        <v>297083600</v>
      </c>
      <c r="D53">
        <v>20128740</v>
      </c>
      <c r="E53">
        <v>0</v>
      </c>
      <c r="F53">
        <v>5565408.5999999996</v>
      </c>
      <c r="G53">
        <v>322777724</v>
      </c>
      <c r="H53">
        <v>286401193</v>
      </c>
      <c r="I53">
        <v>-73066485.200000003</v>
      </c>
      <c r="J53">
        <v>329388220</v>
      </c>
      <c r="K53">
        <v>461447780</v>
      </c>
      <c r="L53">
        <v>3.5900000000000001E-2</v>
      </c>
      <c r="M53">
        <v>5.3999999999999999E-2</v>
      </c>
      <c r="N53">
        <v>0.17780000000000001</v>
      </c>
      <c r="O53">
        <v>87234.26</v>
      </c>
      <c r="P53">
        <v>70270.899999999994</v>
      </c>
      <c r="Q53">
        <v>0.97</v>
      </c>
      <c r="R53">
        <v>0.97</v>
      </c>
      <c r="S53">
        <v>22.8</v>
      </c>
      <c r="T53">
        <v>2.2999999999999998</v>
      </c>
      <c r="U53">
        <v>0.33</v>
      </c>
      <c r="V53">
        <v>1</v>
      </c>
      <c r="W53">
        <v>59.7</v>
      </c>
      <c r="X53">
        <v>0.01</v>
      </c>
      <c r="Y53">
        <v>22.9</v>
      </c>
      <c r="Z53">
        <v>2.8</v>
      </c>
      <c r="AA53">
        <v>25.7</v>
      </c>
      <c r="AB53">
        <v>25.5</v>
      </c>
      <c r="AC53">
        <v>2.5</v>
      </c>
      <c r="AD53">
        <v>0.37</v>
      </c>
      <c r="AE53">
        <v>1.2</v>
      </c>
      <c r="AF53">
        <v>68.400000000000006</v>
      </c>
      <c r="AG53">
        <v>0.01</v>
      </c>
      <c r="AH53">
        <v>25.7</v>
      </c>
      <c r="AI53">
        <v>3.3</v>
      </c>
      <c r="AJ53">
        <v>29</v>
      </c>
      <c r="AK53">
        <v>107.9</v>
      </c>
      <c r="AL53">
        <v>5.0999999999999996</v>
      </c>
      <c r="AM53">
        <v>0.67</v>
      </c>
      <c r="AN53">
        <v>10.4</v>
      </c>
      <c r="AO53">
        <v>467.8</v>
      </c>
      <c r="AP53">
        <v>0.06</v>
      </c>
      <c r="AQ53">
        <v>108.2</v>
      </c>
      <c r="AR53">
        <v>24.4</v>
      </c>
      <c r="AS53">
        <v>132.6</v>
      </c>
      <c r="AT53">
        <v>281</v>
      </c>
      <c r="AU53">
        <v>20.8</v>
      </c>
      <c r="AV53">
        <v>2.95</v>
      </c>
      <c r="AW53">
        <v>19.8</v>
      </c>
      <c r="AX53">
        <v>955.6</v>
      </c>
      <c r="AY53">
        <v>0.16</v>
      </c>
      <c r="AZ53">
        <v>282.39999999999998</v>
      </c>
      <c r="BA53">
        <v>48.3</v>
      </c>
      <c r="BB53">
        <v>330.8</v>
      </c>
      <c r="BC53">
        <v>9973098.5</v>
      </c>
      <c r="BD53">
        <v>1009.2</v>
      </c>
      <c r="BE53">
        <v>145.6</v>
      </c>
      <c r="BF53">
        <v>458913.6</v>
      </c>
      <c r="BG53">
        <v>26153.5</v>
      </c>
      <c r="BH53">
        <v>5</v>
      </c>
      <c r="BI53">
        <v>10042918.4</v>
      </c>
      <c r="BJ53">
        <v>1239651.1000000001</v>
      </c>
      <c r="BK53">
        <v>11282569.4</v>
      </c>
      <c r="BL53">
        <v>0</v>
      </c>
      <c r="BM53">
        <v>9.27</v>
      </c>
      <c r="BN53">
        <v>16.510000000000002</v>
      </c>
      <c r="BO53">
        <v>0</v>
      </c>
      <c r="BP53">
        <v>25.78</v>
      </c>
      <c r="BQ53">
        <v>10.27</v>
      </c>
      <c r="BR53">
        <v>18.93</v>
      </c>
      <c r="BS53">
        <v>0</v>
      </c>
      <c r="BT53">
        <v>29.19</v>
      </c>
      <c r="BU53">
        <v>454885200</v>
      </c>
      <c r="BV53">
        <v>395844220</v>
      </c>
      <c r="BW53">
        <v>17185348</v>
      </c>
      <c r="BX53">
        <v>595537.80000000005</v>
      </c>
      <c r="BY53">
        <v>0</v>
      </c>
      <c r="BZ53">
        <v>19773928</v>
      </c>
      <c r="CA53">
        <v>8349560</v>
      </c>
      <c r="CB53">
        <v>0</v>
      </c>
      <c r="CC53">
        <v>0</v>
      </c>
      <c r="CD53">
        <v>7071611</v>
      </c>
      <c r="CE53">
        <v>3695706.5</v>
      </c>
      <c r="CF53">
        <v>0</v>
      </c>
      <c r="CG53">
        <v>107138.1</v>
      </c>
      <c r="CH53">
        <v>0</v>
      </c>
      <c r="CI53">
        <v>9315047</v>
      </c>
      <c r="CJ53">
        <v>0</v>
      </c>
      <c r="CK53">
        <v>18722.900000000001</v>
      </c>
      <c r="CL53">
        <v>0</v>
      </c>
      <c r="CM53">
        <v>0</v>
      </c>
      <c r="CN53">
        <v>93419430</v>
      </c>
      <c r="CO53">
        <v>295353180</v>
      </c>
      <c r="CP53">
        <v>0</v>
      </c>
      <c r="CQ53">
        <v>12074.9</v>
      </c>
      <c r="CR53">
        <v>144.1</v>
      </c>
      <c r="CS53">
        <v>0</v>
      </c>
      <c r="CT53">
        <v>10991.7</v>
      </c>
      <c r="CU53">
        <v>0</v>
      </c>
      <c r="CV53">
        <v>0</v>
      </c>
      <c r="CW53">
        <v>5763.2</v>
      </c>
      <c r="CX53">
        <v>4571.1000000000004</v>
      </c>
      <c r="CY53">
        <v>0</v>
      </c>
      <c r="CZ53">
        <v>9689.2000000000007</v>
      </c>
      <c r="DA53">
        <v>0</v>
      </c>
      <c r="DB53">
        <v>3144.5</v>
      </c>
      <c r="DC53">
        <v>0</v>
      </c>
      <c r="DD53">
        <v>842.7</v>
      </c>
      <c r="DE53">
        <v>0</v>
      </c>
      <c r="DF53">
        <v>0</v>
      </c>
      <c r="DG53">
        <v>58204.7</v>
      </c>
      <c r="DH53">
        <v>0</v>
      </c>
      <c r="DI53">
        <v>106348.7</v>
      </c>
      <c r="DJ53">
        <v>45885.9</v>
      </c>
      <c r="DK53">
        <v>0</v>
      </c>
      <c r="DL53">
        <v>0</v>
      </c>
      <c r="DM53">
        <v>0</v>
      </c>
    </row>
    <row r="54" spans="1:117" x14ac:dyDescent="0.3">
      <c r="A54" t="s">
        <v>159</v>
      </c>
      <c r="B54">
        <v>2050</v>
      </c>
      <c r="C54">
        <v>320984580</v>
      </c>
      <c r="D54">
        <v>22272628</v>
      </c>
      <c r="E54">
        <v>0</v>
      </c>
      <c r="F54">
        <v>6032704.2999999998</v>
      </c>
      <c r="G54">
        <v>349289898.60000002</v>
      </c>
      <c r="H54">
        <v>309442782.60000002</v>
      </c>
      <c r="I54">
        <v>-82278865.299999997</v>
      </c>
      <c r="J54">
        <v>359011300</v>
      </c>
      <c r="K54">
        <v>499752130</v>
      </c>
      <c r="L54">
        <v>3.5900000000000001E-2</v>
      </c>
      <c r="M54">
        <v>5.3999999999999999E-2</v>
      </c>
      <c r="N54">
        <v>0.17780000000000001</v>
      </c>
      <c r="O54">
        <v>85859.19</v>
      </c>
      <c r="P54">
        <v>76661.899999999994</v>
      </c>
      <c r="Q54">
        <v>0.98</v>
      </c>
      <c r="R54">
        <v>0.97</v>
      </c>
      <c r="S54">
        <v>17.7</v>
      </c>
      <c r="T54">
        <v>1.7</v>
      </c>
      <c r="U54">
        <v>0.24</v>
      </c>
      <c r="V54">
        <v>0.9</v>
      </c>
      <c r="W54">
        <v>49.3</v>
      </c>
      <c r="X54">
        <v>0.01</v>
      </c>
      <c r="Y54">
        <v>17.8</v>
      </c>
      <c r="Z54">
        <v>2.4</v>
      </c>
      <c r="AA54">
        <v>20.2</v>
      </c>
      <c r="AB54">
        <v>20.2</v>
      </c>
      <c r="AC54">
        <v>1.9</v>
      </c>
      <c r="AD54">
        <v>0.27</v>
      </c>
      <c r="AE54">
        <v>1.1000000000000001</v>
      </c>
      <c r="AF54">
        <v>58.9</v>
      </c>
      <c r="AG54">
        <v>0.01</v>
      </c>
      <c r="AH54">
        <v>20.3</v>
      </c>
      <c r="AI54">
        <v>2.9</v>
      </c>
      <c r="AJ54">
        <v>23.2</v>
      </c>
      <c r="AK54">
        <v>117.7</v>
      </c>
      <c r="AL54">
        <v>5.0999999999999996</v>
      </c>
      <c r="AM54">
        <v>0.67</v>
      </c>
      <c r="AN54">
        <v>11.7</v>
      </c>
      <c r="AO54">
        <v>524.29999999999995</v>
      </c>
      <c r="AP54">
        <v>0.06</v>
      </c>
      <c r="AQ54">
        <v>118</v>
      </c>
      <c r="AR54">
        <v>27.3</v>
      </c>
      <c r="AS54">
        <v>145.30000000000001</v>
      </c>
      <c r="AT54">
        <v>244.6</v>
      </c>
      <c r="AU54">
        <v>15.6</v>
      </c>
      <c r="AV54">
        <v>2.17</v>
      </c>
      <c r="AW54">
        <v>19.399999999999999</v>
      </c>
      <c r="AX54">
        <v>917.8</v>
      </c>
      <c r="AY54">
        <v>0.13</v>
      </c>
      <c r="AZ54">
        <v>245.7</v>
      </c>
      <c r="BA54">
        <v>46.8</v>
      </c>
      <c r="BB54">
        <v>292.5</v>
      </c>
      <c r="BC54">
        <v>8328671.4000000004</v>
      </c>
      <c r="BD54">
        <v>798.5</v>
      </c>
      <c r="BE54">
        <v>114.8</v>
      </c>
      <c r="BF54">
        <v>417125.4</v>
      </c>
      <c r="BG54">
        <v>23224.9</v>
      </c>
      <c r="BH54">
        <v>4.0999999999999996</v>
      </c>
      <c r="BI54">
        <v>8383797.7000000002</v>
      </c>
      <c r="BJ54">
        <v>1110352</v>
      </c>
      <c r="BK54">
        <v>9494149.5999999996</v>
      </c>
      <c r="BL54">
        <v>0</v>
      </c>
      <c r="BM54">
        <v>8.94</v>
      </c>
      <c r="BN54">
        <v>16.28</v>
      </c>
      <c r="BO54">
        <v>0</v>
      </c>
      <c r="BP54">
        <v>25.23</v>
      </c>
      <c r="BQ54">
        <v>9.93</v>
      </c>
      <c r="BR54">
        <v>18.7</v>
      </c>
      <c r="BS54">
        <v>0</v>
      </c>
      <c r="BT54">
        <v>28.63</v>
      </c>
      <c r="BU54">
        <v>490028860</v>
      </c>
      <c r="BV54">
        <v>431568800</v>
      </c>
      <c r="BW54">
        <v>19013684</v>
      </c>
      <c r="BX54">
        <v>335998.4</v>
      </c>
      <c r="BY54">
        <v>0</v>
      </c>
      <c r="BZ54">
        <v>19047430</v>
      </c>
      <c r="CA54">
        <v>6532542.5</v>
      </c>
      <c r="CB54">
        <v>0</v>
      </c>
      <c r="CC54">
        <v>0</v>
      </c>
      <c r="CD54">
        <v>7582112</v>
      </c>
      <c r="CE54">
        <v>4175698.8</v>
      </c>
      <c r="CF54">
        <v>0</v>
      </c>
      <c r="CG54">
        <v>177769.9</v>
      </c>
      <c r="CH54">
        <v>0</v>
      </c>
      <c r="CI54">
        <v>9155238</v>
      </c>
      <c r="CJ54">
        <v>0</v>
      </c>
      <c r="CK54">
        <v>21748.1</v>
      </c>
      <c r="CL54">
        <v>0</v>
      </c>
      <c r="CM54">
        <v>0</v>
      </c>
      <c r="CN54">
        <v>103338550</v>
      </c>
      <c r="CO54">
        <v>320648100</v>
      </c>
      <c r="CP54">
        <v>0</v>
      </c>
      <c r="CQ54">
        <v>12776.9</v>
      </c>
      <c r="CR54">
        <v>111.1</v>
      </c>
      <c r="CS54">
        <v>0</v>
      </c>
      <c r="CT54">
        <v>9338.1</v>
      </c>
      <c r="CU54">
        <v>0</v>
      </c>
      <c r="CV54">
        <v>0</v>
      </c>
      <c r="CW54">
        <v>6281.9</v>
      </c>
      <c r="CX54">
        <v>4520.1000000000004</v>
      </c>
      <c r="CY54">
        <v>0</v>
      </c>
      <c r="CZ54">
        <v>14571.1</v>
      </c>
      <c r="DA54">
        <v>0</v>
      </c>
      <c r="DB54">
        <v>3144.5</v>
      </c>
      <c r="DC54">
        <v>0</v>
      </c>
      <c r="DD54">
        <v>604.1</v>
      </c>
      <c r="DE54">
        <v>0</v>
      </c>
      <c r="DF54">
        <v>0</v>
      </c>
      <c r="DG54">
        <v>66649.3</v>
      </c>
      <c r="DH54">
        <v>0</v>
      </c>
      <c r="DI54">
        <v>116463.4</v>
      </c>
      <c r="DJ54">
        <v>48838.9</v>
      </c>
      <c r="DK54">
        <v>0</v>
      </c>
      <c r="DL54">
        <v>0</v>
      </c>
      <c r="DM54">
        <v>0</v>
      </c>
    </row>
    <row r="55" spans="1:117" x14ac:dyDescent="0.3">
      <c r="A55" t="s">
        <v>160</v>
      </c>
      <c r="B55">
        <v>2024</v>
      </c>
      <c r="C55">
        <v>124082770</v>
      </c>
      <c r="D55">
        <v>119736.6</v>
      </c>
      <c r="E55">
        <v>1726188.8</v>
      </c>
      <c r="F55">
        <v>706908.3</v>
      </c>
      <c r="G55">
        <v>126635598.09999999</v>
      </c>
      <c r="H55">
        <v>119621587.5</v>
      </c>
      <c r="I55">
        <v>103277547.90000001</v>
      </c>
      <c r="J55">
        <v>50255276</v>
      </c>
      <c r="K55">
        <v>54086950</v>
      </c>
      <c r="L55">
        <v>3.5900000000000001E-2</v>
      </c>
      <c r="M55">
        <v>5.3999999999999999E-2</v>
      </c>
      <c r="N55">
        <v>0.13500000000000001</v>
      </c>
      <c r="O55">
        <v>9517.61</v>
      </c>
      <c r="P55">
        <v>28175.5</v>
      </c>
      <c r="Q55">
        <v>0.69</v>
      </c>
      <c r="R55">
        <v>0.69</v>
      </c>
      <c r="S55">
        <v>122.3</v>
      </c>
      <c r="T55">
        <v>2.6</v>
      </c>
      <c r="U55">
        <v>0.27</v>
      </c>
      <c r="V55">
        <v>18</v>
      </c>
      <c r="W55">
        <v>637.5</v>
      </c>
      <c r="X55">
        <v>0.1</v>
      </c>
      <c r="Y55">
        <v>122.5</v>
      </c>
      <c r="Z55">
        <v>37.1</v>
      </c>
      <c r="AA55">
        <v>159.6</v>
      </c>
      <c r="AB55">
        <v>129.5</v>
      </c>
      <c r="AC55">
        <v>2.8</v>
      </c>
      <c r="AD55">
        <v>0.31</v>
      </c>
      <c r="AE55">
        <v>19</v>
      </c>
      <c r="AF55">
        <v>671.3</v>
      </c>
      <c r="AG55">
        <v>0.11</v>
      </c>
      <c r="AH55">
        <v>129.69999999999999</v>
      </c>
      <c r="AI55">
        <v>39</v>
      </c>
      <c r="AJ55">
        <v>168.7</v>
      </c>
      <c r="AK55">
        <v>286.10000000000002</v>
      </c>
      <c r="AL55">
        <v>6.9</v>
      </c>
      <c r="AM55">
        <v>0.81</v>
      </c>
      <c r="AN55">
        <v>32.799999999999997</v>
      </c>
      <c r="AO55">
        <v>1418.7</v>
      </c>
      <c r="AP55">
        <v>0.15</v>
      </c>
      <c r="AQ55">
        <v>286.5</v>
      </c>
      <c r="AR55">
        <v>75.099999999999994</v>
      </c>
      <c r="AS55">
        <v>361.6</v>
      </c>
      <c r="AT55">
        <v>634.1</v>
      </c>
      <c r="AU55">
        <v>37.200000000000003</v>
      </c>
      <c r="AV55">
        <v>5.24</v>
      </c>
      <c r="AW55">
        <v>53.8</v>
      </c>
      <c r="AX55">
        <v>2388.3000000000002</v>
      </c>
      <c r="AY55">
        <v>0.38</v>
      </c>
      <c r="AZ55">
        <v>636.70000000000005</v>
      </c>
      <c r="BA55">
        <v>125</v>
      </c>
      <c r="BB55">
        <v>761.7</v>
      </c>
      <c r="BC55">
        <v>15867529.5</v>
      </c>
      <c r="BD55">
        <v>334.5</v>
      </c>
      <c r="BE55">
        <v>35.5</v>
      </c>
      <c r="BF55">
        <v>2338877.9</v>
      </c>
      <c r="BG55">
        <v>82676</v>
      </c>
      <c r="BH55">
        <v>13.5</v>
      </c>
      <c r="BI55">
        <v>15887174.9</v>
      </c>
      <c r="BJ55">
        <v>4806299.0999999996</v>
      </c>
      <c r="BK55">
        <v>20693474.100000001</v>
      </c>
      <c r="BL55">
        <v>0</v>
      </c>
      <c r="BM55">
        <v>31.64</v>
      </c>
      <c r="BN55">
        <v>1.94</v>
      </c>
      <c r="BO55">
        <v>0.87</v>
      </c>
      <c r="BP55">
        <v>34.450000000000003</v>
      </c>
      <c r="BQ55">
        <v>33.57</v>
      </c>
      <c r="BR55">
        <v>2.13</v>
      </c>
      <c r="BS55">
        <v>0.94</v>
      </c>
      <c r="BT55">
        <v>36.65</v>
      </c>
      <c r="BU55">
        <v>130528430</v>
      </c>
      <c r="BV55">
        <v>23358050</v>
      </c>
      <c r="BW55">
        <v>101880.5</v>
      </c>
      <c r="BX55">
        <v>6460556.5</v>
      </c>
      <c r="BY55">
        <v>0</v>
      </c>
      <c r="BZ55">
        <v>25294152</v>
      </c>
      <c r="CA55">
        <v>312292.59999999998</v>
      </c>
      <c r="CB55">
        <v>0</v>
      </c>
      <c r="CC55">
        <v>0</v>
      </c>
      <c r="CD55">
        <v>5799717.5</v>
      </c>
      <c r="CE55">
        <v>39445710</v>
      </c>
      <c r="CF55">
        <v>0</v>
      </c>
      <c r="CG55">
        <v>91940</v>
      </c>
      <c r="CH55">
        <v>0</v>
      </c>
      <c r="CI55">
        <v>7545270.5</v>
      </c>
      <c r="CJ55">
        <v>26513108</v>
      </c>
      <c r="CK55">
        <v>27108.3</v>
      </c>
      <c r="CL55">
        <v>1378363.5</v>
      </c>
      <c r="CM55">
        <v>0</v>
      </c>
      <c r="CN55">
        <v>5494761</v>
      </c>
      <c r="CO55">
        <v>6136636</v>
      </c>
      <c r="CP55">
        <v>5926936</v>
      </c>
      <c r="CQ55">
        <v>132</v>
      </c>
      <c r="CR55">
        <v>1068.5999999999999</v>
      </c>
      <c r="CS55">
        <v>0</v>
      </c>
      <c r="CT55">
        <v>438.5</v>
      </c>
      <c r="CU55">
        <v>0</v>
      </c>
      <c r="CV55">
        <v>0</v>
      </c>
      <c r="CW55">
        <v>4369.7</v>
      </c>
      <c r="CX55">
        <v>12900.2</v>
      </c>
      <c r="CY55">
        <v>0</v>
      </c>
      <c r="CZ55">
        <v>2257.1</v>
      </c>
      <c r="DA55">
        <v>0</v>
      </c>
      <c r="DB55">
        <v>1957.5</v>
      </c>
      <c r="DC55">
        <v>3320.9</v>
      </c>
      <c r="DD55">
        <v>2515.6</v>
      </c>
      <c r="DE55">
        <v>1797.4</v>
      </c>
      <c r="DF55">
        <v>0</v>
      </c>
      <c r="DG55">
        <v>2896.9</v>
      </c>
      <c r="DH55">
        <v>1546</v>
      </c>
      <c r="DI55">
        <v>1834.9</v>
      </c>
      <c r="DJ55">
        <v>284.8</v>
      </c>
      <c r="DK55">
        <v>17974</v>
      </c>
      <c r="DL55">
        <v>0</v>
      </c>
      <c r="DM55">
        <v>0</v>
      </c>
    </row>
    <row r="56" spans="1:117" x14ac:dyDescent="0.3">
      <c r="A56" t="s">
        <v>160</v>
      </c>
      <c r="B56">
        <v>2026</v>
      </c>
      <c r="C56">
        <v>126361170</v>
      </c>
      <c r="D56">
        <v>166571.70000000001</v>
      </c>
      <c r="E56">
        <v>2183227</v>
      </c>
      <c r="F56">
        <v>682326.8</v>
      </c>
      <c r="G56">
        <v>129393289.3</v>
      </c>
      <c r="H56">
        <v>121818052.3</v>
      </c>
      <c r="I56">
        <v>98028162.700000003</v>
      </c>
      <c r="J56">
        <v>46700760</v>
      </c>
      <c r="K56">
        <v>55765576</v>
      </c>
      <c r="L56">
        <v>3.5900000000000001E-2</v>
      </c>
      <c r="M56">
        <v>5.3999999999999999E-2</v>
      </c>
      <c r="N56">
        <v>0.13500000000000001</v>
      </c>
      <c r="O56">
        <v>43276.82</v>
      </c>
      <c r="P56">
        <v>29026.7</v>
      </c>
      <c r="Q56">
        <v>0.71</v>
      </c>
      <c r="R56">
        <v>0.71</v>
      </c>
      <c r="S56">
        <v>115.8</v>
      </c>
      <c r="T56">
        <v>2.2999999999999998</v>
      </c>
      <c r="U56">
        <v>0.24</v>
      </c>
      <c r="V56">
        <v>17.100000000000001</v>
      </c>
      <c r="W56">
        <v>606.5</v>
      </c>
      <c r="X56">
        <v>0.1</v>
      </c>
      <c r="Y56">
        <v>115.9</v>
      </c>
      <c r="Z56">
        <v>35.200000000000003</v>
      </c>
      <c r="AA56">
        <v>151.19999999999999</v>
      </c>
      <c r="AB56">
        <v>121.7</v>
      </c>
      <c r="AC56">
        <v>2.5</v>
      </c>
      <c r="AD56">
        <v>0.27</v>
      </c>
      <c r="AE56">
        <v>18</v>
      </c>
      <c r="AF56">
        <v>635.29999999999995</v>
      </c>
      <c r="AG56">
        <v>0.1</v>
      </c>
      <c r="AH56">
        <v>121.8</v>
      </c>
      <c r="AI56">
        <v>37</v>
      </c>
      <c r="AJ56">
        <v>158.80000000000001</v>
      </c>
      <c r="AK56">
        <v>249.5</v>
      </c>
      <c r="AL56">
        <v>5.4</v>
      </c>
      <c r="AM56">
        <v>0.6</v>
      </c>
      <c r="AN56">
        <v>29.1</v>
      </c>
      <c r="AO56">
        <v>1263.5999999999999</v>
      </c>
      <c r="AP56">
        <v>0.12</v>
      </c>
      <c r="AQ56">
        <v>249.8</v>
      </c>
      <c r="AR56">
        <v>66.8</v>
      </c>
      <c r="AS56">
        <v>316.60000000000002</v>
      </c>
      <c r="AT56">
        <v>601.5</v>
      </c>
      <c r="AU56">
        <v>34.9</v>
      </c>
      <c r="AV56">
        <v>4.87</v>
      </c>
      <c r="AW56">
        <v>51</v>
      </c>
      <c r="AX56">
        <v>2312</v>
      </c>
      <c r="AY56">
        <v>0.34</v>
      </c>
      <c r="AZ56">
        <v>603.9</v>
      </c>
      <c r="BA56">
        <v>120</v>
      </c>
      <c r="BB56">
        <v>723.9</v>
      </c>
      <c r="BC56">
        <v>15942095.6</v>
      </c>
      <c r="BD56">
        <v>322</v>
      </c>
      <c r="BE56">
        <v>33.5</v>
      </c>
      <c r="BF56">
        <v>2360101.9</v>
      </c>
      <c r="BG56">
        <v>83492.100000000006</v>
      </c>
      <c r="BH56">
        <v>13.5</v>
      </c>
      <c r="BI56">
        <v>15960829.1</v>
      </c>
      <c r="BJ56">
        <v>4851849.3</v>
      </c>
      <c r="BK56">
        <v>20812678.5</v>
      </c>
      <c r="BL56">
        <v>0</v>
      </c>
      <c r="BM56">
        <v>29.19</v>
      </c>
      <c r="BN56">
        <v>8.68</v>
      </c>
      <c r="BO56">
        <v>1.04</v>
      </c>
      <c r="BP56">
        <v>38.909999999999997</v>
      </c>
      <c r="BQ56">
        <v>31.02</v>
      </c>
      <c r="BR56">
        <v>9.56</v>
      </c>
      <c r="BS56">
        <v>1.1200000000000001</v>
      </c>
      <c r="BT56">
        <v>41.71</v>
      </c>
      <c r="BU56">
        <v>138566580</v>
      </c>
      <c r="BV56">
        <v>31365126</v>
      </c>
      <c r="BW56">
        <v>141188.9</v>
      </c>
      <c r="BX56">
        <v>6460198.5</v>
      </c>
      <c r="BY56">
        <v>0</v>
      </c>
      <c r="BZ56">
        <v>24594830</v>
      </c>
      <c r="CA56">
        <v>187443</v>
      </c>
      <c r="CB56">
        <v>0</v>
      </c>
      <c r="CC56">
        <v>0</v>
      </c>
      <c r="CD56">
        <v>6513590</v>
      </c>
      <c r="CE56">
        <v>39898270</v>
      </c>
      <c r="CF56">
        <v>0</v>
      </c>
      <c r="CG56">
        <v>105904.2</v>
      </c>
      <c r="CH56">
        <v>0</v>
      </c>
      <c r="CI56">
        <v>7538735</v>
      </c>
      <c r="CJ56">
        <v>26467188</v>
      </c>
      <c r="CK56">
        <v>31834.7</v>
      </c>
      <c r="CL56">
        <v>1775847.8</v>
      </c>
      <c r="CM56">
        <v>0</v>
      </c>
      <c r="CN56">
        <v>5726964</v>
      </c>
      <c r="CO56">
        <v>7017337</v>
      </c>
      <c r="CP56">
        <v>12107235</v>
      </c>
      <c r="CQ56">
        <v>164.5</v>
      </c>
      <c r="CR56">
        <v>1068.5999999999999</v>
      </c>
      <c r="CS56">
        <v>0</v>
      </c>
      <c r="CT56">
        <v>438.5</v>
      </c>
      <c r="CU56">
        <v>0</v>
      </c>
      <c r="CV56">
        <v>0</v>
      </c>
      <c r="CW56">
        <v>4944.3999999999996</v>
      </c>
      <c r="CX56">
        <v>12900.2</v>
      </c>
      <c r="CY56">
        <v>0</v>
      </c>
      <c r="CZ56">
        <v>2241.1</v>
      </c>
      <c r="DA56">
        <v>0</v>
      </c>
      <c r="DB56">
        <v>1957.5</v>
      </c>
      <c r="DC56">
        <v>3320.9</v>
      </c>
      <c r="DD56">
        <v>2499.4</v>
      </c>
      <c r="DE56">
        <v>1797.4</v>
      </c>
      <c r="DF56">
        <v>0</v>
      </c>
      <c r="DG56">
        <v>3047.1</v>
      </c>
      <c r="DH56">
        <v>3154</v>
      </c>
      <c r="DI56">
        <v>2057.3000000000002</v>
      </c>
      <c r="DJ56">
        <v>414.9</v>
      </c>
      <c r="DK56">
        <v>17974</v>
      </c>
      <c r="DL56">
        <v>0</v>
      </c>
      <c r="DM56">
        <v>0</v>
      </c>
    </row>
    <row r="57" spans="1:117" x14ac:dyDescent="0.3">
      <c r="A57" t="s">
        <v>160</v>
      </c>
      <c r="B57">
        <v>2028</v>
      </c>
      <c r="C57">
        <v>131122216</v>
      </c>
      <c r="D57">
        <v>1390930.1</v>
      </c>
      <c r="E57">
        <v>2190296.2000000002</v>
      </c>
      <c r="F57">
        <v>564283.4</v>
      </c>
      <c r="G57">
        <v>135267727.40000001</v>
      </c>
      <c r="H57">
        <v>126407906.40000001</v>
      </c>
      <c r="I57">
        <v>96175089.700000003</v>
      </c>
      <c r="J57">
        <v>35609950</v>
      </c>
      <c r="K57">
        <v>49325080</v>
      </c>
      <c r="L57">
        <v>3.5900000000000001E-2</v>
      </c>
      <c r="M57">
        <v>5.3999999999999999E-2</v>
      </c>
      <c r="N57">
        <v>0.13500000000000001</v>
      </c>
      <c r="O57">
        <v>65359.33</v>
      </c>
      <c r="P57">
        <v>30700.5</v>
      </c>
      <c r="Q57">
        <v>0.72</v>
      </c>
      <c r="R57">
        <v>0.7</v>
      </c>
      <c r="S57">
        <v>113.3</v>
      </c>
      <c r="T57">
        <v>2.2000000000000002</v>
      </c>
      <c r="U57">
        <v>0.22</v>
      </c>
      <c r="V57">
        <v>16.7</v>
      </c>
      <c r="W57">
        <v>596.5</v>
      </c>
      <c r="X57">
        <v>0.09</v>
      </c>
      <c r="Y57">
        <v>113.4</v>
      </c>
      <c r="Z57">
        <v>34.5</v>
      </c>
      <c r="AA57">
        <v>147.9</v>
      </c>
      <c r="AB57">
        <v>126.7</v>
      </c>
      <c r="AC57">
        <v>2.5</v>
      </c>
      <c r="AD57">
        <v>0.25</v>
      </c>
      <c r="AE57">
        <v>18.600000000000001</v>
      </c>
      <c r="AF57">
        <v>666.2</v>
      </c>
      <c r="AG57">
        <v>0.1</v>
      </c>
      <c r="AH57">
        <v>126.8</v>
      </c>
      <c r="AI57">
        <v>38.5</v>
      </c>
      <c r="AJ57">
        <v>165.4</v>
      </c>
      <c r="AK57">
        <v>215.9</v>
      </c>
      <c r="AL57">
        <v>4.0999999999999996</v>
      </c>
      <c r="AM57">
        <v>0.42</v>
      </c>
      <c r="AN57">
        <v>25.5</v>
      </c>
      <c r="AO57">
        <v>1123.0999999999999</v>
      </c>
      <c r="AP57">
        <v>0.1</v>
      </c>
      <c r="AQ57">
        <v>216.2</v>
      </c>
      <c r="AR57">
        <v>59</v>
      </c>
      <c r="AS57">
        <v>275.2</v>
      </c>
      <c r="AT57">
        <v>546.70000000000005</v>
      </c>
      <c r="AU57">
        <v>27.4</v>
      </c>
      <c r="AV57">
        <v>3.74</v>
      </c>
      <c r="AW57">
        <v>50.2</v>
      </c>
      <c r="AX57">
        <v>2251.1999999999998</v>
      </c>
      <c r="AY57">
        <v>0.3</v>
      </c>
      <c r="AZ57">
        <v>548.6</v>
      </c>
      <c r="BA57">
        <v>117.4</v>
      </c>
      <c r="BB57">
        <v>666</v>
      </c>
      <c r="BC57">
        <v>16779859.600000001</v>
      </c>
      <c r="BD57">
        <v>320.89999999999998</v>
      </c>
      <c r="BE57">
        <v>32.5</v>
      </c>
      <c r="BF57">
        <v>2473849.7999999998</v>
      </c>
      <c r="BG57">
        <v>88372</v>
      </c>
      <c r="BH57">
        <v>13.9</v>
      </c>
      <c r="BI57">
        <v>16798287.5</v>
      </c>
      <c r="BJ57">
        <v>5111118.3</v>
      </c>
      <c r="BK57">
        <v>21909405.800000001</v>
      </c>
      <c r="BL57">
        <v>0</v>
      </c>
      <c r="BM57">
        <v>25.87</v>
      </c>
      <c r="BN57">
        <v>12.93</v>
      </c>
      <c r="BO57">
        <v>0.64</v>
      </c>
      <c r="BP57">
        <v>39.43</v>
      </c>
      <c r="BQ57">
        <v>27.57</v>
      </c>
      <c r="BR57">
        <v>14.35</v>
      </c>
      <c r="BS57">
        <v>0.69</v>
      </c>
      <c r="BT57">
        <v>42.61</v>
      </c>
      <c r="BU57">
        <v>149136000</v>
      </c>
      <c r="BV57">
        <v>39092636</v>
      </c>
      <c r="BW57">
        <v>1162835</v>
      </c>
      <c r="BX57">
        <v>6446727.5</v>
      </c>
      <c r="BY57">
        <v>0</v>
      </c>
      <c r="BZ57">
        <v>24319910</v>
      </c>
      <c r="CA57">
        <v>33099.4</v>
      </c>
      <c r="CB57">
        <v>0</v>
      </c>
      <c r="CC57">
        <v>0</v>
      </c>
      <c r="CD57">
        <v>7254941.5</v>
      </c>
      <c r="CE57">
        <v>42112100</v>
      </c>
      <c r="CF57">
        <v>0</v>
      </c>
      <c r="CG57">
        <v>111200.5</v>
      </c>
      <c r="CH57">
        <v>0</v>
      </c>
      <c r="CI57">
        <v>7595889</v>
      </c>
      <c r="CJ57">
        <v>26421396</v>
      </c>
      <c r="CK57">
        <v>46246.3</v>
      </c>
      <c r="CL57">
        <v>1793964.4</v>
      </c>
      <c r="CM57">
        <v>0</v>
      </c>
      <c r="CN57">
        <v>6114495.5</v>
      </c>
      <c r="CO57">
        <v>7112241</v>
      </c>
      <c r="CP57">
        <v>18610960</v>
      </c>
      <c r="CQ57">
        <v>999.7</v>
      </c>
      <c r="CR57">
        <v>1068.5999999999999</v>
      </c>
      <c r="CS57">
        <v>0</v>
      </c>
      <c r="CT57">
        <v>438.5</v>
      </c>
      <c r="CU57">
        <v>0</v>
      </c>
      <c r="CV57">
        <v>0</v>
      </c>
      <c r="CW57">
        <v>5545.9</v>
      </c>
      <c r="CX57">
        <v>12900.2</v>
      </c>
      <c r="CY57">
        <v>0</v>
      </c>
      <c r="CZ57">
        <v>2236.1999999999998</v>
      </c>
      <c r="DA57">
        <v>0</v>
      </c>
      <c r="DB57">
        <v>1973.5</v>
      </c>
      <c r="DC57">
        <v>3320.9</v>
      </c>
      <c r="DD57">
        <v>2488.1999999999998</v>
      </c>
      <c r="DE57">
        <v>1770</v>
      </c>
      <c r="DF57">
        <v>0</v>
      </c>
      <c r="DG57">
        <v>3269.6</v>
      </c>
      <c r="DH57">
        <v>4796</v>
      </c>
      <c r="DI57">
        <v>2091</v>
      </c>
      <c r="DJ57">
        <v>3755.7</v>
      </c>
      <c r="DK57">
        <v>17700</v>
      </c>
      <c r="DL57">
        <v>0</v>
      </c>
      <c r="DM57">
        <v>0</v>
      </c>
    </row>
    <row r="58" spans="1:117" x14ac:dyDescent="0.3">
      <c r="A58" t="s">
        <v>160</v>
      </c>
      <c r="B58">
        <v>2030</v>
      </c>
      <c r="C58">
        <v>135838400</v>
      </c>
      <c r="D58">
        <v>3624419.5</v>
      </c>
      <c r="E58">
        <v>2420030</v>
      </c>
      <c r="F58">
        <v>567901.9</v>
      </c>
      <c r="G58">
        <v>142450749</v>
      </c>
      <c r="H58">
        <v>130954448.7</v>
      </c>
      <c r="I58">
        <v>94879142.400000006</v>
      </c>
      <c r="J58">
        <v>38326500</v>
      </c>
      <c r="K58">
        <v>49745690</v>
      </c>
      <c r="L58">
        <v>3.5900000000000001E-2</v>
      </c>
      <c r="M58">
        <v>5.3999999999999999E-2</v>
      </c>
      <c r="N58">
        <v>0.13500000000000001</v>
      </c>
      <c r="O58">
        <v>94064.13</v>
      </c>
      <c r="P58">
        <v>32502.6</v>
      </c>
      <c r="Q58">
        <v>0.75</v>
      </c>
      <c r="R58">
        <v>0.73</v>
      </c>
      <c r="S58">
        <v>96.8</v>
      </c>
      <c r="T58">
        <v>1.8</v>
      </c>
      <c r="U58">
        <v>0.18</v>
      </c>
      <c r="V58">
        <v>14.5</v>
      </c>
      <c r="W58">
        <v>511.1</v>
      </c>
      <c r="X58">
        <v>0.08</v>
      </c>
      <c r="Y58">
        <v>96.9</v>
      </c>
      <c r="Z58">
        <v>29.7</v>
      </c>
      <c r="AA58">
        <v>126.6</v>
      </c>
      <c r="AB58">
        <v>108.2</v>
      </c>
      <c r="AC58">
        <v>2.1</v>
      </c>
      <c r="AD58">
        <v>0.21</v>
      </c>
      <c r="AE58">
        <v>16.2</v>
      </c>
      <c r="AF58">
        <v>570.5</v>
      </c>
      <c r="AG58">
        <v>0.09</v>
      </c>
      <c r="AH58">
        <v>108.4</v>
      </c>
      <c r="AI58">
        <v>33.200000000000003</v>
      </c>
      <c r="AJ58">
        <v>141.6</v>
      </c>
      <c r="AK58">
        <v>191.5</v>
      </c>
      <c r="AL58">
        <v>3.7</v>
      </c>
      <c r="AM58">
        <v>0.38</v>
      </c>
      <c r="AN58">
        <v>22.6</v>
      </c>
      <c r="AO58">
        <v>992.8</v>
      </c>
      <c r="AP58">
        <v>0.09</v>
      </c>
      <c r="AQ58">
        <v>191.7</v>
      </c>
      <c r="AR58">
        <v>52.2</v>
      </c>
      <c r="AS58">
        <v>243.9</v>
      </c>
      <c r="AT58">
        <v>502.7</v>
      </c>
      <c r="AU58">
        <v>23.7</v>
      </c>
      <c r="AV58">
        <v>3.21</v>
      </c>
      <c r="AW58">
        <v>47.8</v>
      </c>
      <c r="AX58">
        <v>2116.6</v>
      </c>
      <c r="AY58">
        <v>0.28000000000000003</v>
      </c>
      <c r="AZ58">
        <v>504.3</v>
      </c>
      <c r="BA58">
        <v>110.9</v>
      </c>
      <c r="BB58">
        <v>615.20000000000005</v>
      </c>
      <c r="BC58">
        <v>14804318.699999999</v>
      </c>
      <c r="BD58">
        <v>279.7</v>
      </c>
      <c r="BE58">
        <v>28.1</v>
      </c>
      <c r="BF58">
        <v>2212431.9</v>
      </c>
      <c r="BG58">
        <v>78159.7</v>
      </c>
      <c r="BH58">
        <v>12.8</v>
      </c>
      <c r="BI58">
        <v>14820324.9</v>
      </c>
      <c r="BJ58">
        <v>4545081.5999999996</v>
      </c>
      <c r="BK58">
        <v>19365406.5</v>
      </c>
      <c r="BL58">
        <v>0</v>
      </c>
      <c r="BM58">
        <v>24.21</v>
      </c>
      <c r="BN58">
        <v>18.45</v>
      </c>
      <c r="BO58">
        <v>0.19</v>
      </c>
      <c r="BP58">
        <v>42.85</v>
      </c>
      <c r="BQ58">
        <v>25.98</v>
      </c>
      <c r="BR58">
        <v>20.8</v>
      </c>
      <c r="BS58">
        <v>0.21</v>
      </c>
      <c r="BT58">
        <v>46.98</v>
      </c>
      <c r="BU58">
        <v>154066100</v>
      </c>
      <c r="BV58">
        <v>47571610</v>
      </c>
      <c r="BW58">
        <v>3107523.2</v>
      </c>
      <c r="BX58">
        <v>5677017</v>
      </c>
      <c r="BY58">
        <v>0</v>
      </c>
      <c r="BZ58">
        <v>23874786</v>
      </c>
      <c r="CA58">
        <v>0</v>
      </c>
      <c r="CB58">
        <v>0</v>
      </c>
      <c r="CC58">
        <v>0</v>
      </c>
      <c r="CD58">
        <v>8249582.5</v>
      </c>
      <c r="CE58">
        <v>38075650</v>
      </c>
      <c r="CF58">
        <v>0</v>
      </c>
      <c r="CG58">
        <v>103894</v>
      </c>
      <c r="CH58">
        <v>0</v>
      </c>
      <c r="CI58">
        <v>7546689.5</v>
      </c>
      <c r="CJ58">
        <v>26124536</v>
      </c>
      <c r="CK58">
        <v>32893.199999999997</v>
      </c>
      <c r="CL58">
        <v>1951507.2</v>
      </c>
      <c r="CM58">
        <v>0</v>
      </c>
      <c r="CN58">
        <v>6459583</v>
      </c>
      <c r="CO58">
        <v>10316681</v>
      </c>
      <c r="CP58">
        <v>22545760</v>
      </c>
      <c r="CQ58">
        <v>2250.5</v>
      </c>
      <c r="CR58">
        <v>973.5</v>
      </c>
      <c r="CS58">
        <v>0</v>
      </c>
      <c r="CT58">
        <v>438.5</v>
      </c>
      <c r="CU58">
        <v>0</v>
      </c>
      <c r="CV58">
        <v>0</v>
      </c>
      <c r="CW58">
        <v>6338.3</v>
      </c>
      <c r="CX58">
        <v>13404.1</v>
      </c>
      <c r="CY58">
        <v>0</v>
      </c>
      <c r="CZ58">
        <v>2228.6</v>
      </c>
      <c r="DA58">
        <v>0</v>
      </c>
      <c r="DB58">
        <v>1981.5</v>
      </c>
      <c r="DC58">
        <v>3320.9</v>
      </c>
      <c r="DD58">
        <v>1928.2</v>
      </c>
      <c r="DE58">
        <v>1768</v>
      </c>
      <c r="DF58">
        <v>0</v>
      </c>
      <c r="DG58">
        <v>3470.8</v>
      </c>
      <c r="DH58">
        <v>5786</v>
      </c>
      <c r="DI58">
        <v>2944.2</v>
      </c>
      <c r="DJ58">
        <v>9368.7999999999993</v>
      </c>
      <c r="DK58">
        <v>17680</v>
      </c>
      <c r="DL58">
        <v>0</v>
      </c>
      <c r="DM58">
        <v>0</v>
      </c>
    </row>
    <row r="59" spans="1:117" x14ac:dyDescent="0.3">
      <c r="A59" t="s">
        <v>160</v>
      </c>
      <c r="B59">
        <v>2035</v>
      </c>
      <c r="C59">
        <v>152897540</v>
      </c>
      <c r="D59">
        <v>5883418</v>
      </c>
      <c r="E59">
        <v>2554102</v>
      </c>
      <c r="F59">
        <v>606172</v>
      </c>
      <c r="G59">
        <v>161941222.19999999</v>
      </c>
      <c r="H59">
        <v>147399826.30000001</v>
      </c>
      <c r="I59">
        <v>103583797.90000001</v>
      </c>
      <c r="J59">
        <v>44472170</v>
      </c>
      <c r="K59">
        <v>43404130</v>
      </c>
      <c r="L59">
        <v>3.5900000000000001E-2</v>
      </c>
      <c r="M59">
        <v>5.3999999999999999E-2</v>
      </c>
      <c r="N59">
        <v>0.13500000000000001</v>
      </c>
      <c r="O59">
        <v>100046.54</v>
      </c>
      <c r="P59">
        <v>38295.4</v>
      </c>
      <c r="Q59">
        <v>0.77</v>
      </c>
      <c r="R59">
        <v>0.78</v>
      </c>
      <c r="S59">
        <v>90.2</v>
      </c>
      <c r="T59">
        <v>1.7</v>
      </c>
      <c r="U59">
        <v>0.17</v>
      </c>
      <c r="V59">
        <v>13</v>
      </c>
      <c r="W59">
        <v>475.6</v>
      </c>
      <c r="X59">
        <v>0.08</v>
      </c>
      <c r="Y59">
        <v>90.3</v>
      </c>
      <c r="Z59">
        <v>27.2</v>
      </c>
      <c r="AA59">
        <v>117.5</v>
      </c>
      <c r="AB59">
        <v>91.3</v>
      </c>
      <c r="AC59">
        <v>1.8</v>
      </c>
      <c r="AD59">
        <v>0.18</v>
      </c>
      <c r="AE59">
        <v>13.3</v>
      </c>
      <c r="AF59">
        <v>480.2</v>
      </c>
      <c r="AG59">
        <v>0.08</v>
      </c>
      <c r="AH59">
        <v>91.4</v>
      </c>
      <c r="AI59">
        <v>27.6</v>
      </c>
      <c r="AJ59">
        <v>119</v>
      </c>
      <c r="AK59">
        <v>170.1</v>
      </c>
      <c r="AL59">
        <v>3.4</v>
      </c>
      <c r="AM59">
        <v>0.35</v>
      </c>
      <c r="AN59">
        <v>20.100000000000001</v>
      </c>
      <c r="AO59">
        <v>879.4</v>
      </c>
      <c r="AP59">
        <v>0.08</v>
      </c>
      <c r="AQ59">
        <v>170.3</v>
      </c>
      <c r="AR59">
        <v>46.3</v>
      </c>
      <c r="AS59">
        <v>216.6</v>
      </c>
      <c r="AT59">
        <v>460.8</v>
      </c>
      <c r="AU59">
        <v>17.8</v>
      </c>
      <c r="AV59">
        <v>2.33</v>
      </c>
      <c r="AW59">
        <v>47.4</v>
      </c>
      <c r="AX59">
        <v>2074</v>
      </c>
      <c r="AY59">
        <v>0.25</v>
      </c>
      <c r="AZ59">
        <v>462</v>
      </c>
      <c r="BA59">
        <v>109.2</v>
      </c>
      <c r="BB59">
        <v>571.20000000000005</v>
      </c>
      <c r="BC59">
        <v>14406421.699999999</v>
      </c>
      <c r="BD59">
        <v>272.7</v>
      </c>
      <c r="BE59">
        <v>27.4</v>
      </c>
      <c r="BF59">
        <v>2077991.8</v>
      </c>
      <c r="BG59">
        <v>75946.5</v>
      </c>
      <c r="BH59">
        <v>12.2</v>
      </c>
      <c r="BI59">
        <v>14422040.5</v>
      </c>
      <c r="BJ59">
        <v>4344526.5</v>
      </c>
      <c r="BK59">
        <v>18766567</v>
      </c>
      <c r="BL59">
        <v>0</v>
      </c>
      <c r="BM59">
        <v>23.67</v>
      </c>
      <c r="BN59">
        <v>20.05</v>
      </c>
      <c r="BO59">
        <v>0.45</v>
      </c>
      <c r="BP59">
        <v>44.17</v>
      </c>
      <c r="BQ59">
        <v>25.51</v>
      </c>
      <c r="BR59">
        <v>22.85</v>
      </c>
      <c r="BS59">
        <v>0.5</v>
      </c>
      <c r="BT59">
        <v>48.86</v>
      </c>
      <c r="BU59">
        <v>161031870</v>
      </c>
      <c r="BV59">
        <v>58357428</v>
      </c>
      <c r="BW59">
        <v>5052053.5</v>
      </c>
      <c r="BX59">
        <v>3748921.5</v>
      </c>
      <c r="BY59">
        <v>0</v>
      </c>
      <c r="BZ59">
        <v>21656050</v>
      </c>
      <c r="CA59">
        <v>3935.6</v>
      </c>
      <c r="CB59">
        <v>0</v>
      </c>
      <c r="CC59">
        <v>0</v>
      </c>
      <c r="CD59">
        <v>9284482</v>
      </c>
      <c r="CE59">
        <v>35719740</v>
      </c>
      <c r="CF59">
        <v>0</v>
      </c>
      <c r="CG59">
        <v>952990.2</v>
      </c>
      <c r="CH59">
        <v>0</v>
      </c>
      <c r="CI59">
        <v>7467097</v>
      </c>
      <c r="CJ59">
        <v>25956366</v>
      </c>
      <c r="CK59">
        <v>37481.599999999999</v>
      </c>
      <c r="CL59">
        <v>2079819.8</v>
      </c>
      <c r="CM59">
        <v>0</v>
      </c>
      <c r="CN59">
        <v>6688897.5</v>
      </c>
      <c r="CO59">
        <v>10176670</v>
      </c>
      <c r="CP59">
        <v>32207372</v>
      </c>
      <c r="CQ59">
        <v>3562.5</v>
      </c>
      <c r="CR59">
        <v>717.7</v>
      </c>
      <c r="CS59">
        <v>0</v>
      </c>
      <c r="CT59">
        <v>330.5</v>
      </c>
      <c r="CU59">
        <v>0</v>
      </c>
      <c r="CV59">
        <v>0</v>
      </c>
      <c r="CW59">
        <v>7295.3</v>
      </c>
      <c r="CX59">
        <v>13308</v>
      </c>
      <c r="CY59">
        <v>0</v>
      </c>
      <c r="CZ59">
        <v>7054.3</v>
      </c>
      <c r="DA59">
        <v>0</v>
      </c>
      <c r="DB59">
        <v>1981.5</v>
      </c>
      <c r="DC59">
        <v>3320.9</v>
      </c>
      <c r="DD59">
        <v>1797.6</v>
      </c>
      <c r="DE59">
        <v>1768</v>
      </c>
      <c r="DF59">
        <v>0</v>
      </c>
      <c r="DG59">
        <v>3679.5</v>
      </c>
      <c r="DH59">
        <v>8186</v>
      </c>
      <c r="DI59">
        <v>2944.2</v>
      </c>
      <c r="DJ59">
        <v>15842</v>
      </c>
      <c r="DK59">
        <v>17680</v>
      </c>
      <c r="DL59">
        <v>0</v>
      </c>
      <c r="DM59">
        <v>0</v>
      </c>
    </row>
    <row r="60" spans="1:117" x14ac:dyDescent="0.3">
      <c r="A60" t="s">
        <v>160</v>
      </c>
      <c r="B60">
        <v>2040</v>
      </c>
      <c r="C60">
        <v>172452750</v>
      </c>
      <c r="D60">
        <v>9667892</v>
      </c>
      <c r="E60">
        <v>2425297</v>
      </c>
      <c r="F60">
        <v>663441.9</v>
      </c>
      <c r="G60">
        <v>185209391.30000001</v>
      </c>
      <c r="H60">
        <v>166251359.59999999</v>
      </c>
      <c r="I60">
        <v>119935964.90000001</v>
      </c>
      <c r="J60">
        <v>53863764</v>
      </c>
      <c r="K60">
        <v>42376964</v>
      </c>
      <c r="L60">
        <v>3.5900000000000001E-2</v>
      </c>
      <c r="M60">
        <v>5.3999999999999999E-2</v>
      </c>
      <c r="N60">
        <v>0.13500000000000001</v>
      </c>
      <c r="O60">
        <v>98517.21</v>
      </c>
      <c r="P60">
        <v>44330.400000000001</v>
      </c>
      <c r="Q60">
        <v>0.76</v>
      </c>
      <c r="R60">
        <v>0.77</v>
      </c>
      <c r="S60">
        <v>94.9</v>
      </c>
      <c r="T60">
        <v>1.8</v>
      </c>
      <c r="U60">
        <v>0.18</v>
      </c>
      <c r="V60">
        <v>13.3</v>
      </c>
      <c r="W60">
        <v>499</v>
      </c>
      <c r="X60">
        <v>0.08</v>
      </c>
      <c r="Y60">
        <v>95</v>
      </c>
      <c r="Z60">
        <v>28.2</v>
      </c>
      <c r="AA60">
        <v>123.1</v>
      </c>
      <c r="AB60">
        <v>94.6</v>
      </c>
      <c r="AC60">
        <v>1.8</v>
      </c>
      <c r="AD60">
        <v>0.18</v>
      </c>
      <c r="AE60">
        <v>13.3</v>
      </c>
      <c r="AF60">
        <v>496.2</v>
      </c>
      <c r="AG60">
        <v>0.08</v>
      </c>
      <c r="AH60">
        <v>94.7</v>
      </c>
      <c r="AI60">
        <v>28.1</v>
      </c>
      <c r="AJ60">
        <v>122.8</v>
      </c>
      <c r="AK60">
        <v>152.9</v>
      </c>
      <c r="AL60">
        <v>3</v>
      </c>
      <c r="AM60">
        <v>0.32</v>
      </c>
      <c r="AN60">
        <v>18</v>
      </c>
      <c r="AO60">
        <v>790.6</v>
      </c>
      <c r="AP60">
        <v>7.0000000000000007E-2</v>
      </c>
      <c r="AQ60">
        <v>153.1</v>
      </c>
      <c r="AR60">
        <v>41.6</v>
      </c>
      <c r="AS60">
        <v>194.7</v>
      </c>
      <c r="AT60">
        <v>459</v>
      </c>
      <c r="AU60">
        <v>15</v>
      </c>
      <c r="AV60">
        <v>1.93</v>
      </c>
      <c r="AW60">
        <v>49.8</v>
      </c>
      <c r="AX60">
        <v>2131.3000000000002</v>
      </c>
      <c r="AY60">
        <v>0.26</v>
      </c>
      <c r="AZ60">
        <v>460</v>
      </c>
      <c r="BA60">
        <v>113.4</v>
      </c>
      <c r="BB60">
        <v>573.4</v>
      </c>
      <c r="BC60">
        <v>16349539.300000001</v>
      </c>
      <c r="BD60">
        <v>309.5</v>
      </c>
      <c r="BE60">
        <v>31.2</v>
      </c>
      <c r="BF60">
        <v>2286674.4</v>
      </c>
      <c r="BG60">
        <v>86006.5</v>
      </c>
      <c r="BH60">
        <v>13</v>
      </c>
      <c r="BI60">
        <v>16367281.199999999</v>
      </c>
      <c r="BJ60">
        <v>4853215.9000000004</v>
      </c>
      <c r="BK60">
        <v>21220497.100000001</v>
      </c>
      <c r="BL60">
        <v>0</v>
      </c>
      <c r="BM60">
        <v>23.37</v>
      </c>
      <c r="BN60">
        <v>19.899999999999999</v>
      </c>
      <c r="BO60">
        <v>0.3</v>
      </c>
      <c r="BP60">
        <v>43.56</v>
      </c>
      <c r="BQ60">
        <v>25.28</v>
      </c>
      <c r="BR60">
        <v>23.01</v>
      </c>
      <c r="BS60">
        <v>0.33</v>
      </c>
      <c r="BT60">
        <v>48.61</v>
      </c>
      <c r="BU60">
        <v>173778080</v>
      </c>
      <c r="BV60">
        <v>65273428</v>
      </c>
      <c r="BW60">
        <v>8303347</v>
      </c>
      <c r="BX60">
        <v>3206753.8</v>
      </c>
      <c r="BY60">
        <v>0</v>
      </c>
      <c r="BZ60">
        <v>20462288</v>
      </c>
      <c r="CA60">
        <v>0</v>
      </c>
      <c r="CB60">
        <v>0</v>
      </c>
      <c r="CC60">
        <v>0</v>
      </c>
      <c r="CD60">
        <v>9295364</v>
      </c>
      <c r="CE60">
        <v>39686450</v>
      </c>
      <c r="CF60">
        <v>0</v>
      </c>
      <c r="CG60">
        <v>1437040.1</v>
      </c>
      <c r="CH60">
        <v>0</v>
      </c>
      <c r="CI60">
        <v>7441553</v>
      </c>
      <c r="CJ60">
        <v>25950008</v>
      </c>
      <c r="CK60">
        <v>67048.7</v>
      </c>
      <c r="CL60">
        <v>1950170.2</v>
      </c>
      <c r="CM60">
        <v>0</v>
      </c>
      <c r="CN60">
        <v>12148059</v>
      </c>
      <c r="CO60">
        <v>12054563</v>
      </c>
      <c r="CP60">
        <v>31775440</v>
      </c>
      <c r="CQ60">
        <v>5868.6</v>
      </c>
      <c r="CR60">
        <v>644.79999999999995</v>
      </c>
      <c r="CS60">
        <v>0</v>
      </c>
      <c r="CT60">
        <v>330.5</v>
      </c>
      <c r="CU60">
        <v>0</v>
      </c>
      <c r="CV60">
        <v>0</v>
      </c>
      <c r="CW60">
        <v>7541.9</v>
      </c>
      <c r="CX60">
        <v>13002.9</v>
      </c>
      <c r="CY60">
        <v>0</v>
      </c>
      <c r="CZ60">
        <v>10332.9</v>
      </c>
      <c r="DA60">
        <v>0</v>
      </c>
      <c r="DB60">
        <v>1981.5</v>
      </c>
      <c r="DC60">
        <v>3320.9</v>
      </c>
      <c r="DD60">
        <v>1797.6</v>
      </c>
      <c r="DE60">
        <v>1768</v>
      </c>
      <c r="DF60">
        <v>0</v>
      </c>
      <c r="DG60">
        <v>6270.7</v>
      </c>
      <c r="DH60">
        <v>8186</v>
      </c>
      <c r="DI60">
        <v>3391.2</v>
      </c>
      <c r="DJ60">
        <v>26039</v>
      </c>
      <c r="DK60">
        <v>17680</v>
      </c>
      <c r="DL60">
        <v>0</v>
      </c>
      <c r="DM60">
        <v>0</v>
      </c>
    </row>
    <row r="61" spans="1:117" x14ac:dyDescent="0.3">
      <c r="A61" t="s">
        <v>160</v>
      </c>
      <c r="B61">
        <v>2045</v>
      </c>
      <c r="C61">
        <v>191145470</v>
      </c>
      <c r="D61">
        <v>13470602</v>
      </c>
      <c r="E61">
        <v>2370715.2000000002</v>
      </c>
      <c r="F61">
        <v>674534.1</v>
      </c>
      <c r="G61">
        <v>207661329.5</v>
      </c>
      <c r="H61">
        <v>184271402.5</v>
      </c>
      <c r="I61">
        <v>130205437.7</v>
      </c>
      <c r="J61">
        <v>56918324</v>
      </c>
      <c r="K61">
        <v>44007730</v>
      </c>
      <c r="L61">
        <v>3.5900000000000001E-2</v>
      </c>
      <c r="M61">
        <v>5.3999999999999999E-2</v>
      </c>
      <c r="N61">
        <v>0.13500000000000001</v>
      </c>
      <c r="O61">
        <v>95818.97</v>
      </c>
      <c r="P61">
        <v>49964.7</v>
      </c>
      <c r="Q61">
        <v>0.76</v>
      </c>
      <c r="R61">
        <v>0.76</v>
      </c>
      <c r="S61">
        <v>98.6</v>
      </c>
      <c r="T61">
        <v>1.9</v>
      </c>
      <c r="U61">
        <v>0.19</v>
      </c>
      <c r="V61">
        <v>13.5</v>
      </c>
      <c r="W61">
        <v>518</v>
      </c>
      <c r="X61">
        <v>7.0000000000000007E-2</v>
      </c>
      <c r="Y61">
        <v>98.7</v>
      </c>
      <c r="Z61">
        <v>28.9</v>
      </c>
      <c r="AA61">
        <v>127.7</v>
      </c>
      <c r="AB61">
        <v>100.6</v>
      </c>
      <c r="AC61">
        <v>1.9</v>
      </c>
      <c r="AD61">
        <v>0.2</v>
      </c>
      <c r="AE61">
        <v>13.8</v>
      </c>
      <c r="AF61">
        <v>526.6</v>
      </c>
      <c r="AG61">
        <v>0.08</v>
      </c>
      <c r="AH61">
        <v>100.7</v>
      </c>
      <c r="AI61">
        <v>29.5</v>
      </c>
      <c r="AJ61">
        <v>130.30000000000001</v>
      </c>
      <c r="AK61">
        <v>139.19999999999999</v>
      </c>
      <c r="AL61">
        <v>2.8</v>
      </c>
      <c r="AM61">
        <v>0.28999999999999998</v>
      </c>
      <c r="AN61">
        <v>16.399999999999999</v>
      </c>
      <c r="AO61">
        <v>721.3</v>
      </c>
      <c r="AP61">
        <v>0.06</v>
      </c>
      <c r="AQ61">
        <v>139.4</v>
      </c>
      <c r="AR61">
        <v>37.9</v>
      </c>
      <c r="AS61">
        <v>177.2</v>
      </c>
      <c r="AT61">
        <v>464.6</v>
      </c>
      <c r="AU61">
        <v>13.9</v>
      </c>
      <c r="AV61">
        <v>1.74</v>
      </c>
      <c r="AW61">
        <v>51.6</v>
      </c>
      <c r="AX61">
        <v>2200.9</v>
      </c>
      <c r="AY61">
        <v>0.26</v>
      </c>
      <c r="AZ61">
        <v>465.5</v>
      </c>
      <c r="BA61">
        <v>117.3</v>
      </c>
      <c r="BB61">
        <v>582.79999999999995</v>
      </c>
      <c r="BC61">
        <v>19053117.5</v>
      </c>
      <c r="BD61">
        <v>360.8</v>
      </c>
      <c r="BE61">
        <v>36.4</v>
      </c>
      <c r="BF61">
        <v>2602777</v>
      </c>
      <c r="BG61">
        <v>100075.2</v>
      </c>
      <c r="BH61">
        <v>14.2</v>
      </c>
      <c r="BI61">
        <v>19073814.399999999</v>
      </c>
      <c r="BJ61">
        <v>5588886.5999999996</v>
      </c>
      <c r="BK61">
        <v>24662700.899999999</v>
      </c>
      <c r="BL61">
        <v>0</v>
      </c>
      <c r="BM61">
        <v>22.51</v>
      </c>
      <c r="BN61">
        <v>19.3</v>
      </c>
      <c r="BO61">
        <v>0.2</v>
      </c>
      <c r="BP61">
        <v>42.02</v>
      </c>
      <c r="BQ61">
        <v>24.46</v>
      </c>
      <c r="BR61">
        <v>22.59</v>
      </c>
      <c r="BS61">
        <v>0.22</v>
      </c>
      <c r="BT61">
        <v>47.28</v>
      </c>
      <c r="BU61">
        <v>194777440</v>
      </c>
      <c r="BV61">
        <v>77455890</v>
      </c>
      <c r="BW61">
        <v>11400371</v>
      </c>
      <c r="BX61">
        <v>3165990.8</v>
      </c>
      <c r="BY61">
        <v>0</v>
      </c>
      <c r="BZ61">
        <v>20502366</v>
      </c>
      <c r="CA61">
        <v>0</v>
      </c>
      <c r="CB61">
        <v>0</v>
      </c>
      <c r="CC61">
        <v>0</v>
      </c>
      <c r="CD61">
        <v>9429689</v>
      </c>
      <c r="CE61">
        <v>43934510</v>
      </c>
      <c r="CF61">
        <v>0</v>
      </c>
      <c r="CG61">
        <v>3062537.2</v>
      </c>
      <c r="CH61">
        <v>0</v>
      </c>
      <c r="CI61">
        <v>7425026.5</v>
      </c>
      <c r="CJ61">
        <v>25844160</v>
      </c>
      <c r="CK61">
        <v>89558</v>
      </c>
      <c r="CL61">
        <v>1897031.8</v>
      </c>
      <c r="CM61">
        <v>0</v>
      </c>
      <c r="CN61">
        <v>21172960</v>
      </c>
      <c r="CO61">
        <v>15504638</v>
      </c>
      <c r="CP61">
        <v>31348602</v>
      </c>
      <c r="CQ61">
        <v>8633.6</v>
      </c>
      <c r="CR61">
        <v>644.79999999999995</v>
      </c>
      <c r="CS61">
        <v>0</v>
      </c>
      <c r="CT61">
        <v>0</v>
      </c>
      <c r="CU61">
        <v>0</v>
      </c>
      <c r="CV61">
        <v>0</v>
      </c>
      <c r="CW61">
        <v>7884.1</v>
      </c>
      <c r="CX61">
        <v>12646.8</v>
      </c>
      <c r="CY61">
        <v>0</v>
      </c>
      <c r="CZ61">
        <v>13704.7</v>
      </c>
      <c r="DA61">
        <v>0</v>
      </c>
      <c r="DB61">
        <v>1981.5</v>
      </c>
      <c r="DC61">
        <v>3320.9</v>
      </c>
      <c r="DD61">
        <v>1237.5999999999999</v>
      </c>
      <c r="DE61">
        <v>1768</v>
      </c>
      <c r="DF61">
        <v>0</v>
      </c>
      <c r="DG61">
        <v>10449.1</v>
      </c>
      <c r="DH61">
        <v>8186</v>
      </c>
      <c r="DI61">
        <v>4190.8</v>
      </c>
      <c r="DJ61">
        <v>37982.400000000001</v>
      </c>
      <c r="DK61">
        <v>17680</v>
      </c>
      <c r="DL61">
        <v>0</v>
      </c>
      <c r="DM61">
        <v>0</v>
      </c>
    </row>
    <row r="62" spans="1:117" x14ac:dyDescent="0.3">
      <c r="A62" t="s">
        <v>160</v>
      </c>
      <c r="B62">
        <v>2050</v>
      </c>
      <c r="C62">
        <v>209457900</v>
      </c>
      <c r="D62">
        <v>17234604</v>
      </c>
      <c r="E62">
        <v>2776317.2</v>
      </c>
      <c r="F62">
        <v>778091.8</v>
      </c>
      <c r="G62">
        <v>230246910.09999999</v>
      </c>
      <c r="H62">
        <v>201925051.80000001</v>
      </c>
      <c r="I62">
        <v>134820352.80000001</v>
      </c>
      <c r="J62">
        <v>67550200</v>
      </c>
      <c r="K62">
        <v>55343572</v>
      </c>
      <c r="L62">
        <v>3.5900000000000001E-2</v>
      </c>
      <c r="M62">
        <v>5.3999999999999999E-2</v>
      </c>
      <c r="N62">
        <v>0.13500000000000001</v>
      </c>
      <c r="O62">
        <v>94425.89</v>
      </c>
      <c r="P62">
        <v>55753.3</v>
      </c>
      <c r="Q62">
        <v>0.77</v>
      </c>
      <c r="R62">
        <v>0.77</v>
      </c>
      <c r="S62">
        <v>93.9</v>
      </c>
      <c r="T62">
        <v>1.8</v>
      </c>
      <c r="U62">
        <v>0.18</v>
      </c>
      <c r="V62">
        <v>12.7</v>
      </c>
      <c r="W62">
        <v>492.8</v>
      </c>
      <c r="X62">
        <v>7.0000000000000007E-2</v>
      </c>
      <c r="Y62">
        <v>94</v>
      </c>
      <c r="Z62">
        <v>27.4</v>
      </c>
      <c r="AA62">
        <v>121.4</v>
      </c>
      <c r="AB62">
        <v>97.5</v>
      </c>
      <c r="AC62">
        <v>1.9</v>
      </c>
      <c r="AD62">
        <v>0.19</v>
      </c>
      <c r="AE62">
        <v>13.2</v>
      </c>
      <c r="AF62">
        <v>511.1</v>
      </c>
      <c r="AG62">
        <v>7.0000000000000007E-2</v>
      </c>
      <c r="AH62">
        <v>97.6</v>
      </c>
      <c r="AI62">
        <v>28.5</v>
      </c>
      <c r="AJ62">
        <v>126</v>
      </c>
      <c r="AK62">
        <v>134.6</v>
      </c>
      <c r="AL62">
        <v>2.7</v>
      </c>
      <c r="AM62">
        <v>0.28000000000000003</v>
      </c>
      <c r="AN62">
        <v>15.8</v>
      </c>
      <c r="AO62">
        <v>697.8</v>
      </c>
      <c r="AP62">
        <v>0.06</v>
      </c>
      <c r="AQ62">
        <v>134.80000000000001</v>
      </c>
      <c r="AR62">
        <v>36.6</v>
      </c>
      <c r="AS62">
        <v>171.4</v>
      </c>
      <c r="AT62">
        <v>446.6</v>
      </c>
      <c r="AU62">
        <v>11.3</v>
      </c>
      <c r="AV62">
        <v>1.34</v>
      </c>
      <c r="AW62">
        <v>51.2</v>
      </c>
      <c r="AX62">
        <v>2197.6999999999998</v>
      </c>
      <c r="AY62">
        <v>0.24</v>
      </c>
      <c r="AZ62">
        <v>447.3</v>
      </c>
      <c r="BA62">
        <v>116.7</v>
      </c>
      <c r="BB62">
        <v>564</v>
      </c>
      <c r="BC62">
        <v>20304196.600000001</v>
      </c>
      <c r="BD62">
        <v>384.7</v>
      </c>
      <c r="BE62">
        <v>38.9</v>
      </c>
      <c r="BF62">
        <v>2744822.1</v>
      </c>
      <c r="BG62">
        <v>106567.9</v>
      </c>
      <c r="BH62">
        <v>14.7</v>
      </c>
      <c r="BI62">
        <v>20326268.300000001</v>
      </c>
      <c r="BJ62">
        <v>5924552</v>
      </c>
      <c r="BK62">
        <v>26250820.199999999</v>
      </c>
      <c r="BL62">
        <v>0</v>
      </c>
      <c r="BM62">
        <v>22.33</v>
      </c>
      <c r="BN62">
        <v>18.91</v>
      </c>
      <c r="BO62">
        <v>0.16</v>
      </c>
      <c r="BP62">
        <v>41.4</v>
      </c>
      <c r="BQ62">
        <v>24.49</v>
      </c>
      <c r="BR62">
        <v>22.4</v>
      </c>
      <c r="BS62">
        <v>0.18</v>
      </c>
      <c r="BT62">
        <v>47.07</v>
      </c>
      <c r="BU62">
        <v>218044720</v>
      </c>
      <c r="BV62">
        <v>95426560</v>
      </c>
      <c r="BW62">
        <v>14672830</v>
      </c>
      <c r="BX62">
        <v>3061273.2</v>
      </c>
      <c r="BY62">
        <v>0</v>
      </c>
      <c r="BZ62">
        <v>20510316</v>
      </c>
      <c r="CA62">
        <v>0</v>
      </c>
      <c r="CB62">
        <v>0</v>
      </c>
      <c r="CC62">
        <v>0</v>
      </c>
      <c r="CD62">
        <v>9654941</v>
      </c>
      <c r="CE62">
        <v>44016240</v>
      </c>
      <c r="CF62">
        <v>0</v>
      </c>
      <c r="CG62">
        <v>5226202</v>
      </c>
      <c r="CH62">
        <v>0</v>
      </c>
      <c r="CI62">
        <v>7153912</v>
      </c>
      <c r="CJ62">
        <v>25600176</v>
      </c>
      <c r="CK62">
        <v>103355.8</v>
      </c>
      <c r="CL62">
        <v>2273866</v>
      </c>
      <c r="CM62">
        <v>0</v>
      </c>
      <c r="CN62">
        <v>32558064</v>
      </c>
      <c r="CO62">
        <v>22257288</v>
      </c>
      <c r="CP62">
        <v>30956262</v>
      </c>
      <c r="CQ62">
        <v>10340.1</v>
      </c>
      <c r="CR62">
        <v>644.79999999999995</v>
      </c>
      <c r="CS62">
        <v>0</v>
      </c>
      <c r="CT62">
        <v>0</v>
      </c>
      <c r="CU62">
        <v>0</v>
      </c>
      <c r="CV62">
        <v>0</v>
      </c>
      <c r="CW62">
        <v>8333.2000000000007</v>
      </c>
      <c r="CX62">
        <v>11164.3</v>
      </c>
      <c r="CY62">
        <v>0</v>
      </c>
      <c r="CZ62">
        <v>18584.400000000001</v>
      </c>
      <c r="DA62">
        <v>0</v>
      </c>
      <c r="DB62">
        <v>1981.5</v>
      </c>
      <c r="DC62">
        <v>3320.9</v>
      </c>
      <c r="DD62">
        <v>746.5</v>
      </c>
      <c r="DE62">
        <v>1768</v>
      </c>
      <c r="DF62">
        <v>0</v>
      </c>
      <c r="DG62">
        <v>15739.2</v>
      </c>
      <c r="DH62">
        <v>8186</v>
      </c>
      <c r="DI62">
        <v>5901.3</v>
      </c>
      <c r="DJ62">
        <v>47786</v>
      </c>
      <c r="DK62">
        <v>17680</v>
      </c>
      <c r="DL62">
        <v>0</v>
      </c>
      <c r="DM62">
        <v>0</v>
      </c>
    </row>
    <row r="63" spans="1:117" x14ac:dyDescent="0.3">
      <c r="A63" t="s">
        <v>161</v>
      </c>
      <c r="B63">
        <v>2024</v>
      </c>
      <c r="C63">
        <v>281183360</v>
      </c>
      <c r="D63">
        <v>600558.80000000005</v>
      </c>
      <c r="E63">
        <v>225154.3</v>
      </c>
      <c r="F63">
        <v>5604575.7000000002</v>
      </c>
      <c r="G63">
        <v>287613639.10000002</v>
      </c>
      <c r="H63">
        <v>271071486.30000001</v>
      </c>
      <c r="I63">
        <v>241495120.19999999</v>
      </c>
      <c r="J63">
        <v>235828700</v>
      </c>
      <c r="K63">
        <v>238878900</v>
      </c>
      <c r="L63">
        <v>3.5999999999999997E-2</v>
      </c>
      <c r="M63">
        <v>5.3999999999999999E-2</v>
      </c>
      <c r="N63">
        <v>0.14349999999999999</v>
      </c>
      <c r="O63">
        <v>48927.56</v>
      </c>
      <c r="P63">
        <v>53424.7</v>
      </c>
      <c r="Q63">
        <v>0.76</v>
      </c>
      <c r="R63">
        <v>0.76</v>
      </c>
      <c r="S63">
        <v>187.6</v>
      </c>
      <c r="T63">
        <v>17.7</v>
      </c>
      <c r="U63">
        <v>2.54</v>
      </c>
      <c r="V63">
        <v>9.9</v>
      </c>
      <c r="W63">
        <v>533.79999999999995</v>
      </c>
      <c r="X63">
        <v>0.1</v>
      </c>
      <c r="Y63">
        <v>188.8</v>
      </c>
      <c r="Z63">
        <v>25.8</v>
      </c>
      <c r="AA63">
        <v>214.6</v>
      </c>
      <c r="AB63">
        <v>193.5</v>
      </c>
      <c r="AC63">
        <v>18.3</v>
      </c>
      <c r="AD63">
        <v>2.63</v>
      </c>
      <c r="AE63">
        <v>10.1</v>
      </c>
      <c r="AF63">
        <v>547.79999999999995</v>
      </c>
      <c r="AG63">
        <v>0.1</v>
      </c>
      <c r="AH63">
        <v>194.8</v>
      </c>
      <c r="AI63">
        <v>26.5</v>
      </c>
      <c r="AJ63">
        <v>221.2</v>
      </c>
      <c r="AK63">
        <v>257.89999999999998</v>
      </c>
      <c r="AL63">
        <v>7.2</v>
      </c>
      <c r="AM63">
        <v>0.84</v>
      </c>
      <c r="AN63">
        <v>28.4</v>
      </c>
      <c r="AO63">
        <v>1274.9000000000001</v>
      </c>
      <c r="AP63">
        <v>0.11</v>
      </c>
      <c r="AQ63">
        <v>258.39999999999998</v>
      </c>
      <c r="AR63">
        <v>66.400000000000006</v>
      </c>
      <c r="AS63">
        <v>324.8</v>
      </c>
      <c r="AT63">
        <v>645.5</v>
      </c>
      <c r="AU63">
        <v>47.5</v>
      </c>
      <c r="AV63">
        <v>6.7</v>
      </c>
      <c r="AW63">
        <v>44.8</v>
      </c>
      <c r="AX63">
        <v>2237.1999999999998</v>
      </c>
      <c r="AY63">
        <v>0.32</v>
      </c>
      <c r="AZ63">
        <v>648.79999999999995</v>
      </c>
      <c r="BA63">
        <v>111.5</v>
      </c>
      <c r="BB63">
        <v>760.3</v>
      </c>
      <c r="BC63">
        <v>54105385.600000001</v>
      </c>
      <c r="BD63">
        <v>5105.3999999999996</v>
      </c>
      <c r="BE63">
        <v>732.6</v>
      </c>
      <c r="BF63">
        <v>2839618.8</v>
      </c>
      <c r="BG63">
        <v>153860.29999999999</v>
      </c>
      <c r="BH63">
        <v>28.3</v>
      </c>
      <c r="BI63">
        <v>54457528.600000001</v>
      </c>
      <c r="BJ63">
        <v>7432383.9000000004</v>
      </c>
      <c r="BK63">
        <v>61889912.399999999</v>
      </c>
      <c r="BL63">
        <v>0</v>
      </c>
      <c r="BM63">
        <v>27.99</v>
      </c>
      <c r="BN63">
        <v>8.65</v>
      </c>
      <c r="BO63">
        <v>0</v>
      </c>
      <c r="BP63">
        <v>36.64</v>
      </c>
      <c r="BQ63">
        <v>29.65</v>
      </c>
      <c r="BR63">
        <v>9.33</v>
      </c>
      <c r="BS63">
        <v>0</v>
      </c>
      <c r="BT63">
        <v>38.99</v>
      </c>
      <c r="BU63">
        <v>290765950</v>
      </c>
      <c r="BV63">
        <v>46118520</v>
      </c>
      <c r="BW63">
        <v>505985.8</v>
      </c>
      <c r="BX63">
        <v>1885351.4</v>
      </c>
      <c r="BY63">
        <v>0</v>
      </c>
      <c r="BZ63">
        <v>8772366</v>
      </c>
      <c r="CA63">
        <v>39724610</v>
      </c>
      <c r="CB63">
        <v>0</v>
      </c>
      <c r="CC63">
        <v>221969.5</v>
      </c>
      <c r="CD63">
        <v>2596831.7999999998</v>
      </c>
      <c r="CE63">
        <v>29595284</v>
      </c>
      <c r="CF63">
        <v>0</v>
      </c>
      <c r="CG63">
        <v>45988</v>
      </c>
      <c r="CH63">
        <v>5848751.5</v>
      </c>
      <c r="CI63">
        <v>149053870</v>
      </c>
      <c r="CJ63">
        <v>9025404</v>
      </c>
      <c r="CK63">
        <v>5179.7</v>
      </c>
      <c r="CL63">
        <v>184640.7</v>
      </c>
      <c r="CM63">
        <v>0</v>
      </c>
      <c r="CN63">
        <v>13444891</v>
      </c>
      <c r="CO63">
        <v>29854826</v>
      </c>
      <c r="CP63">
        <v>0</v>
      </c>
      <c r="CQ63">
        <v>609.29999999999995</v>
      </c>
      <c r="CR63">
        <v>312.3</v>
      </c>
      <c r="CS63">
        <v>0</v>
      </c>
      <c r="CT63">
        <v>7986.4</v>
      </c>
      <c r="CU63">
        <v>0</v>
      </c>
      <c r="CV63">
        <v>110</v>
      </c>
      <c r="CW63">
        <v>1861.6</v>
      </c>
      <c r="CX63">
        <v>9059.2000000000007</v>
      </c>
      <c r="CY63">
        <v>0</v>
      </c>
      <c r="CZ63">
        <v>2648.9</v>
      </c>
      <c r="DA63">
        <v>785.4</v>
      </c>
      <c r="DB63">
        <v>36898.699999999997</v>
      </c>
      <c r="DC63">
        <v>1151</v>
      </c>
      <c r="DD63">
        <v>617</v>
      </c>
      <c r="DE63">
        <v>314</v>
      </c>
      <c r="DF63">
        <v>0</v>
      </c>
      <c r="DG63">
        <v>5392.1</v>
      </c>
      <c r="DH63">
        <v>0</v>
      </c>
      <c r="DI63">
        <v>11185.6</v>
      </c>
      <c r="DJ63">
        <v>1805.3</v>
      </c>
      <c r="DK63">
        <v>3140</v>
      </c>
      <c r="DL63">
        <v>0</v>
      </c>
      <c r="DM63">
        <v>0</v>
      </c>
    </row>
    <row r="64" spans="1:117" x14ac:dyDescent="0.3">
      <c r="A64" t="s">
        <v>161</v>
      </c>
      <c r="B64">
        <v>2026</v>
      </c>
      <c r="C64">
        <v>291023330</v>
      </c>
      <c r="D64">
        <v>1692228</v>
      </c>
      <c r="E64">
        <v>373425.1</v>
      </c>
      <c r="F64">
        <v>6381488.7000000002</v>
      </c>
      <c r="G64">
        <v>299470459.39999998</v>
      </c>
      <c r="H64">
        <v>280557594.69999999</v>
      </c>
      <c r="I64">
        <v>248825922.40000001</v>
      </c>
      <c r="J64">
        <v>273090400</v>
      </c>
      <c r="K64">
        <v>264517680</v>
      </c>
      <c r="L64">
        <v>3.5999999999999997E-2</v>
      </c>
      <c r="M64">
        <v>5.3999999999999999E-2</v>
      </c>
      <c r="N64">
        <v>0.14349999999999999</v>
      </c>
      <c r="O64">
        <v>62643.65</v>
      </c>
      <c r="P64">
        <v>55770.5</v>
      </c>
      <c r="Q64">
        <v>0.8</v>
      </c>
      <c r="R64">
        <v>0.8</v>
      </c>
      <c r="S64">
        <v>151.69999999999999</v>
      </c>
      <c r="T64">
        <v>13.9</v>
      </c>
      <c r="U64">
        <v>2</v>
      </c>
      <c r="V64">
        <v>8.4</v>
      </c>
      <c r="W64">
        <v>443.6</v>
      </c>
      <c r="X64">
        <v>0.08</v>
      </c>
      <c r="Y64">
        <v>152.69999999999999</v>
      </c>
      <c r="Z64">
        <v>21.6</v>
      </c>
      <c r="AA64">
        <v>174.3</v>
      </c>
      <c r="AB64">
        <v>157.80000000000001</v>
      </c>
      <c r="AC64">
        <v>14.7</v>
      </c>
      <c r="AD64">
        <v>2.11</v>
      </c>
      <c r="AE64">
        <v>8.5</v>
      </c>
      <c r="AF64">
        <v>453.5</v>
      </c>
      <c r="AG64">
        <v>0.08</v>
      </c>
      <c r="AH64">
        <v>158.80000000000001</v>
      </c>
      <c r="AI64">
        <v>22</v>
      </c>
      <c r="AJ64">
        <v>180.9</v>
      </c>
      <c r="AK64">
        <v>199.9</v>
      </c>
      <c r="AL64">
        <v>6.8</v>
      </c>
      <c r="AM64">
        <v>0.84</v>
      </c>
      <c r="AN64">
        <v>20.9</v>
      </c>
      <c r="AO64">
        <v>949.8</v>
      </c>
      <c r="AP64">
        <v>0.09</v>
      </c>
      <c r="AQ64">
        <v>200.4</v>
      </c>
      <c r="AR64">
        <v>49.2</v>
      </c>
      <c r="AS64">
        <v>249.6</v>
      </c>
      <c r="AT64">
        <v>600.1</v>
      </c>
      <c r="AU64">
        <v>42.8</v>
      </c>
      <c r="AV64">
        <v>6</v>
      </c>
      <c r="AW64">
        <v>42.9</v>
      </c>
      <c r="AX64">
        <v>2129.3000000000002</v>
      </c>
      <c r="AY64">
        <v>0.3</v>
      </c>
      <c r="AZ64">
        <v>603</v>
      </c>
      <c r="BA64">
        <v>106.4</v>
      </c>
      <c r="BB64">
        <v>709.4</v>
      </c>
      <c r="BC64">
        <v>43764656.700000003</v>
      </c>
      <c r="BD64">
        <v>4025.2</v>
      </c>
      <c r="BE64">
        <v>576.5</v>
      </c>
      <c r="BF64">
        <v>2419432.6</v>
      </c>
      <c r="BG64">
        <v>127816.2</v>
      </c>
      <c r="BH64">
        <v>23.2</v>
      </c>
      <c r="BI64">
        <v>44041982.399999999</v>
      </c>
      <c r="BJ64">
        <v>6234697.7000000002</v>
      </c>
      <c r="BK64">
        <v>50276680.100000001</v>
      </c>
      <c r="BL64">
        <v>0</v>
      </c>
      <c r="BM64">
        <v>27.2</v>
      </c>
      <c r="BN64">
        <v>11.08</v>
      </c>
      <c r="BO64">
        <v>0</v>
      </c>
      <c r="BP64">
        <v>38.270000000000003</v>
      </c>
      <c r="BQ64">
        <v>28.86</v>
      </c>
      <c r="BR64">
        <v>12.02</v>
      </c>
      <c r="BS64">
        <v>0</v>
      </c>
      <c r="BT64">
        <v>40.880000000000003</v>
      </c>
      <c r="BU64">
        <v>290912580</v>
      </c>
      <c r="BV64">
        <v>50644536</v>
      </c>
      <c r="BW64">
        <v>1432079.1</v>
      </c>
      <c r="BX64">
        <v>1861951</v>
      </c>
      <c r="BY64">
        <v>0</v>
      </c>
      <c r="BZ64">
        <v>10671111</v>
      </c>
      <c r="CA64">
        <v>31509100</v>
      </c>
      <c r="CB64">
        <v>0</v>
      </c>
      <c r="CC64">
        <v>220199.5</v>
      </c>
      <c r="CD64">
        <v>3607382.5</v>
      </c>
      <c r="CE64">
        <v>27074428</v>
      </c>
      <c r="CF64">
        <v>0</v>
      </c>
      <c r="CG64">
        <v>40851.4</v>
      </c>
      <c r="CH64">
        <v>5848751.5</v>
      </c>
      <c r="CI64">
        <v>152575000</v>
      </c>
      <c r="CJ64">
        <v>8955408</v>
      </c>
      <c r="CK64">
        <v>3113.5</v>
      </c>
      <c r="CL64">
        <v>296226.5</v>
      </c>
      <c r="CM64">
        <v>0</v>
      </c>
      <c r="CN64">
        <v>17117536</v>
      </c>
      <c r="CO64">
        <v>29699418</v>
      </c>
      <c r="CP64">
        <v>0</v>
      </c>
      <c r="CQ64">
        <v>1318.7</v>
      </c>
      <c r="CR64">
        <v>312.3</v>
      </c>
      <c r="CS64">
        <v>0</v>
      </c>
      <c r="CT64">
        <v>6223.5</v>
      </c>
      <c r="CU64">
        <v>0</v>
      </c>
      <c r="CV64">
        <v>110</v>
      </c>
      <c r="CW64">
        <v>2640.9</v>
      </c>
      <c r="CX64">
        <v>9478.5</v>
      </c>
      <c r="CY64">
        <v>0</v>
      </c>
      <c r="CZ64">
        <v>2648.9</v>
      </c>
      <c r="DA64">
        <v>785.4</v>
      </c>
      <c r="DB64">
        <v>37894.400000000001</v>
      </c>
      <c r="DC64">
        <v>1151</v>
      </c>
      <c r="DD64">
        <v>617</v>
      </c>
      <c r="DE64">
        <v>359.3</v>
      </c>
      <c r="DF64">
        <v>0</v>
      </c>
      <c r="DG64">
        <v>6731.4</v>
      </c>
      <c r="DH64">
        <v>0</v>
      </c>
      <c r="DI64">
        <v>11187</v>
      </c>
      <c r="DJ64">
        <v>4643</v>
      </c>
      <c r="DK64">
        <v>3593.4</v>
      </c>
      <c r="DL64">
        <v>0</v>
      </c>
      <c r="DM64">
        <v>0</v>
      </c>
    </row>
    <row r="65" spans="1:117" x14ac:dyDescent="0.3">
      <c r="A65" t="s">
        <v>161</v>
      </c>
      <c r="B65">
        <v>2028</v>
      </c>
      <c r="C65">
        <v>304192300</v>
      </c>
      <c r="D65">
        <v>3415220.8</v>
      </c>
      <c r="E65">
        <v>527678.6</v>
      </c>
      <c r="F65">
        <v>7671141.7999999998</v>
      </c>
      <c r="G65">
        <v>315806328.60000002</v>
      </c>
      <c r="H65">
        <v>293253018.5</v>
      </c>
      <c r="I65">
        <v>257623539.69999999</v>
      </c>
      <c r="J65">
        <v>334737180</v>
      </c>
      <c r="K65">
        <v>306853060</v>
      </c>
      <c r="L65">
        <v>3.5999999999999997E-2</v>
      </c>
      <c r="M65">
        <v>5.3999999999999999E-2</v>
      </c>
      <c r="N65">
        <v>0.14349999999999999</v>
      </c>
      <c r="O65">
        <v>71398.320000000007</v>
      </c>
      <c r="P65">
        <v>59441.599999999999</v>
      </c>
      <c r="Q65">
        <v>0.84</v>
      </c>
      <c r="R65">
        <v>0.85</v>
      </c>
      <c r="S65">
        <v>119.9</v>
      </c>
      <c r="T65">
        <v>11</v>
      </c>
      <c r="U65">
        <v>1.58</v>
      </c>
      <c r="V65">
        <v>6.7</v>
      </c>
      <c r="W65">
        <v>349.7</v>
      </c>
      <c r="X65">
        <v>0.06</v>
      </c>
      <c r="Y65">
        <v>120.6</v>
      </c>
      <c r="Z65">
        <v>17.100000000000001</v>
      </c>
      <c r="AA65">
        <v>137.69999999999999</v>
      </c>
      <c r="AB65">
        <v>117.2</v>
      </c>
      <c r="AC65">
        <v>11</v>
      </c>
      <c r="AD65">
        <v>1.58</v>
      </c>
      <c r="AE65">
        <v>6.3</v>
      </c>
      <c r="AF65">
        <v>334.8</v>
      </c>
      <c r="AG65">
        <v>0.06</v>
      </c>
      <c r="AH65">
        <v>118</v>
      </c>
      <c r="AI65">
        <v>16.3</v>
      </c>
      <c r="AJ65">
        <v>134.30000000000001</v>
      </c>
      <c r="AK65">
        <v>139.30000000000001</v>
      </c>
      <c r="AL65">
        <v>5.4</v>
      </c>
      <c r="AM65">
        <v>0.7</v>
      </c>
      <c r="AN65">
        <v>13.9</v>
      </c>
      <c r="AO65">
        <v>639.4</v>
      </c>
      <c r="AP65">
        <v>0.06</v>
      </c>
      <c r="AQ65">
        <v>139.69999999999999</v>
      </c>
      <c r="AR65">
        <v>33</v>
      </c>
      <c r="AS65">
        <v>172.7</v>
      </c>
      <c r="AT65">
        <v>549.29999999999995</v>
      </c>
      <c r="AU65">
        <v>39.5</v>
      </c>
      <c r="AV65">
        <v>5.56</v>
      </c>
      <c r="AW65">
        <v>39.200000000000003</v>
      </c>
      <c r="AX65">
        <v>1934.2</v>
      </c>
      <c r="AY65">
        <v>0.28000000000000003</v>
      </c>
      <c r="AZ65">
        <v>552</v>
      </c>
      <c r="BA65">
        <v>96.9</v>
      </c>
      <c r="BB65">
        <v>648.9</v>
      </c>
      <c r="BC65">
        <v>34141296.899999999</v>
      </c>
      <c r="BD65">
        <v>3147.4</v>
      </c>
      <c r="BE65">
        <v>450.8</v>
      </c>
      <c r="BF65">
        <v>1893101.3</v>
      </c>
      <c r="BG65">
        <v>99519.5</v>
      </c>
      <c r="BH65">
        <v>18.5</v>
      </c>
      <c r="BI65">
        <v>34358167.700000003</v>
      </c>
      <c r="BJ65">
        <v>4863825.2</v>
      </c>
      <c r="BK65">
        <v>39221993</v>
      </c>
      <c r="BL65">
        <v>0</v>
      </c>
      <c r="BM65">
        <v>24.03</v>
      </c>
      <c r="BN65">
        <v>12.69</v>
      </c>
      <c r="BO65">
        <v>0</v>
      </c>
      <c r="BP65">
        <v>36.72</v>
      </c>
      <c r="BQ65">
        <v>25.6</v>
      </c>
      <c r="BR65">
        <v>13.87</v>
      </c>
      <c r="BS65">
        <v>0</v>
      </c>
      <c r="BT65">
        <v>39.47</v>
      </c>
      <c r="BU65">
        <v>287849730</v>
      </c>
      <c r="BV65">
        <v>58182790</v>
      </c>
      <c r="BW65">
        <v>2904904.2</v>
      </c>
      <c r="BX65">
        <v>1359456.5</v>
      </c>
      <c r="BY65">
        <v>0</v>
      </c>
      <c r="BZ65">
        <v>10471012</v>
      </c>
      <c r="CA65">
        <v>24784346</v>
      </c>
      <c r="CB65">
        <v>0</v>
      </c>
      <c r="CC65">
        <v>222112.6</v>
      </c>
      <c r="CD65">
        <v>4756776</v>
      </c>
      <c r="CE65">
        <v>21131520</v>
      </c>
      <c r="CF65">
        <v>0</v>
      </c>
      <c r="CG65">
        <v>22689.4</v>
      </c>
      <c r="CH65">
        <v>7832711</v>
      </c>
      <c r="CI65">
        <v>151943580</v>
      </c>
      <c r="CJ65">
        <v>8792619</v>
      </c>
      <c r="CK65">
        <v>447.1</v>
      </c>
      <c r="CL65">
        <v>423655.4</v>
      </c>
      <c r="CM65">
        <v>0</v>
      </c>
      <c r="CN65">
        <v>20616536</v>
      </c>
      <c r="CO65">
        <v>32587364</v>
      </c>
      <c r="CP65">
        <v>0</v>
      </c>
      <c r="CQ65">
        <v>2463.1999999999998</v>
      </c>
      <c r="CR65">
        <v>250.7</v>
      </c>
      <c r="CS65">
        <v>0</v>
      </c>
      <c r="CT65">
        <v>6140.6</v>
      </c>
      <c r="CU65">
        <v>0</v>
      </c>
      <c r="CV65">
        <v>110</v>
      </c>
      <c r="CW65">
        <v>3518.5</v>
      </c>
      <c r="CX65">
        <v>9478.5</v>
      </c>
      <c r="CY65">
        <v>0</v>
      </c>
      <c r="CZ65">
        <v>2648.9</v>
      </c>
      <c r="DA65">
        <v>1051.8</v>
      </c>
      <c r="DB65">
        <v>38149.300000000003</v>
      </c>
      <c r="DC65">
        <v>1151</v>
      </c>
      <c r="DD65">
        <v>391</v>
      </c>
      <c r="DE65">
        <v>359.3</v>
      </c>
      <c r="DF65">
        <v>0</v>
      </c>
      <c r="DG65">
        <v>8012</v>
      </c>
      <c r="DH65">
        <v>0</v>
      </c>
      <c r="DI65">
        <v>11936.7</v>
      </c>
      <c r="DJ65">
        <v>9220.9</v>
      </c>
      <c r="DK65">
        <v>3593.4</v>
      </c>
      <c r="DL65">
        <v>0</v>
      </c>
      <c r="DM65">
        <v>0</v>
      </c>
    </row>
    <row r="66" spans="1:117" x14ac:dyDescent="0.3">
      <c r="A66" t="s">
        <v>161</v>
      </c>
      <c r="B66">
        <v>2030</v>
      </c>
      <c r="C66">
        <v>318545280</v>
      </c>
      <c r="D66">
        <v>5096602</v>
      </c>
      <c r="E66">
        <v>600470.5</v>
      </c>
      <c r="F66">
        <v>9084488.3000000007</v>
      </c>
      <c r="G66">
        <v>333326824.69999999</v>
      </c>
      <c r="H66">
        <v>307089863.80000001</v>
      </c>
      <c r="I66">
        <v>265824296.59999999</v>
      </c>
      <c r="J66">
        <v>403401020</v>
      </c>
      <c r="K66">
        <v>353825200</v>
      </c>
      <c r="L66">
        <v>3.5999999999999997E-2</v>
      </c>
      <c r="M66">
        <v>5.3999999999999999E-2</v>
      </c>
      <c r="N66">
        <v>0.14349999999999999</v>
      </c>
      <c r="O66">
        <v>73063.37</v>
      </c>
      <c r="P66">
        <v>63418.2</v>
      </c>
      <c r="Q66">
        <v>0.87</v>
      </c>
      <c r="R66">
        <v>0.91</v>
      </c>
      <c r="S66">
        <v>100.7</v>
      </c>
      <c r="T66">
        <v>9.4</v>
      </c>
      <c r="U66">
        <v>1.35</v>
      </c>
      <c r="V66">
        <v>5.5</v>
      </c>
      <c r="W66">
        <v>289.39999999999998</v>
      </c>
      <c r="X66">
        <v>0.06</v>
      </c>
      <c r="Y66">
        <v>101.3</v>
      </c>
      <c r="Z66">
        <v>14.1</v>
      </c>
      <c r="AA66">
        <v>115.5</v>
      </c>
      <c r="AB66">
        <v>74.099999999999994</v>
      </c>
      <c r="AC66">
        <v>7.3</v>
      </c>
      <c r="AD66">
        <v>1.05</v>
      </c>
      <c r="AE66">
        <v>3.5</v>
      </c>
      <c r="AF66">
        <v>200.5</v>
      </c>
      <c r="AG66">
        <v>0.04</v>
      </c>
      <c r="AH66">
        <v>74.599999999999994</v>
      </c>
      <c r="AI66">
        <v>9.5</v>
      </c>
      <c r="AJ66">
        <v>84.2</v>
      </c>
      <c r="AK66">
        <v>100.6</v>
      </c>
      <c r="AL66">
        <v>3.8</v>
      </c>
      <c r="AM66">
        <v>0.48</v>
      </c>
      <c r="AN66">
        <v>10.199999999999999</v>
      </c>
      <c r="AO66">
        <v>466.6</v>
      </c>
      <c r="AP66">
        <v>0.05</v>
      </c>
      <c r="AQ66">
        <v>100.9</v>
      </c>
      <c r="AR66">
        <v>24.1</v>
      </c>
      <c r="AS66">
        <v>125</v>
      </c>
      <c r="AT66">
        <v>448.1</v>
      </c>
      <c r="AU66">
        <v>31.5</v>
      </c>
      <c r="AV66">
        <v>4.42</v>
      </c>
      <c r="AW66">
        <v>33.299999999999997</v>
      </c>
      <c r="AX66">
        <v>1603.8</v>
      </c>
      <c r="AY66">
        <v>0.24</v>
      </c>
      <c r="AZ66">
        <v>450.3</v>
      </c>
      <c r="BA66">
        <v>81.2</v>
      </c>
      <c r="BB66">
        <v>531.5</v>
      </c>
      <c r="BC66">
        <v>28197317.800000001</v>
      </c>
      <c r="BD66">
        <v>2639.8</v>
      </c>
      <c r="BE66">
        <v>378.6</v>
      </c>
      <c r="BF66">
        <v>1535980.6</v>
      </c>
      <c r="BG66">
        <v>80940.899999999994</v>
      </c>
      <c r="BH66">
        <v>15.5</v>
      </c>
      <c r="BI66">
        <v>28379333.899999999</v>
      </c>
      <c r="BJ66">
        <v>3952256</v>
      </c>
      <c r="BK66">
        <v>32331589.800000001</v>
      </c>
      <c r="BL66">
        <v>0</v>
      </c>
      <c r="BM66">
        <v>21.66</v>
      </c>
      <c r="BN66">
        <v>13.12</v>
      </c>
      <c r="BO66">
        <v>0</v>
      </c>
      <c r="BP66">
        <v>34.79</v>
      </c>
      <c r="BQ66">
        <v>23.21</v>
      </c>
      <c r="BR66">
        <v>14.45</v>
      </c>
      <c r="BS66">
        <v>0</v>
      </c>
      <c r="BT66">
        <v>37.659999999999997</v>
      </c>
      <c r="BU66">
        <v>283605860</v>
      </c>
      <c r="BV66">
        <v>67502530</v>
      </c>
      <c r="BW66">
        <v>4316831.5</v>
      </c>
      <c r="BX66">
        <v>1108500.5</v>
      </c>
      <c r="BY66">
        <v>0</v>
      </c>
      <c r="BZ66">
        <v>10241216</v>
      </c>
      <c r="CA66">
        <v>20924070</v>
      </c>
      <c r="CB66">
        <v>0</v>
      </c>
      <c r="CC66">
        <v>222570.3</v>
      </c>
      <c r="CD66">
        <v>6530920.5</v>
      </c>
      <c r="CE66">
        <v>16295949</v>
      </c>
      <c r="CF66">
        <v>0</v>
      </c>
      <c r="CG66">
        <v>27897</v>
      </c>
      <c r="CH66">
        <v>7832711</v>
      </c>
      <c r="CI66">
        <v>146438980</v>
      </c>
      <c r="CJ66">
        <v>8442606</v>
      </c>
      <c r="CK66">
        <v>220.9</v>
      </c>
      <c r="CL66">
        <v>474342</v>
      </c>
      <c r="CM66">
        <v>0</v>
      </c>
      <c r="CN66">
        <v>24735178</v>
      </c>
      <c r="CO66">
        <v>36013860</v>
      </c>
      <c r="CP66">
        <v>0</v>
      </c>
      <c r="CQ66">
        <v>3437.9</v>
      </c>
      <c r="CR66">
        <v>228.2</v>
      </c>
      <c r="CS66">
        <v>0</v>
      </c>
      <c r="CT66">
        <v>6140.6</v>
      </c>
      <c r="CU66">
        <v>0</v>
      </c>
      <c r="CV66">
        <v>110</v>
      </c>
      <c r="CW66">
        <v>4891.8</v>
      </c>
      <c r="CX66">
        <v>9146.7000000000007</v>
      </c>
      <c r="CY66">
        <v>0</v>
      </c>
      <c r="CZ66">
        <v>2648.9</v>
      </c>
      <c r="DA66">
        <v>1051.8</v>
      </c>
      <c r="DB66">
        <v>38169.199999999997</v>
      </c>
      <c r="DC66">
        <v>1151</v>
      </c>
      <c r="DD66">
        <v>145.6</v>
      </c>
      <c r="DE66">
        <v>359.3</v>
      </c>
      <c r="DF66">
        <v>0</v>
      </c>
      <c r="DG66">
        <v>9730.2999999999993</v>
      </c>
      <c r="DH66">
        <v>0</v>
      </c>
      <c r="DI66">
        <v>12764.2</v>
      </c>
      <c r="DJ66">
        <v>13353.7</v>
      </c>
      <c r="DK66">
        <v>3593.4</v>
      </c>
      <c r="DL66">
        <v>0</v>
      </c>
      <c r="DM66">
        <v>0</v>
      </c>
    </row>
    <row r="67" spans="1:117" x14ac:dyDescent="0.3">
      <c r="A67" t="s">
        <v>161</v>
      </c>
      <c r="B67">
        <v>2035</v>
      </c>
      <c r="C67">
        <v>366223580</v>
      </c>
      <c r="D67">
        <v>11503089</v>
      </c>
      <c r="E67">
        <v>5025402.5</v>
      </c>
      <c r="F67">
        <v>10061888</v>
      </c>
      <c r="G67">
        <v>392813955.39999998</v>
      </c>
      <c r="H67">
        <v>353053626.5</v>
      </c>
      <c r="I67">
        <v>267793896.19999999</v>
      </c>
      <c r="J67">
        <v>438620580</v>
      </c>
      <c r="K67">
        <v>397149700</v>
      </c>
      <c r="L67">
        <v>3.5999999999999997E-2</v>
      </c>
      <c r="M67">
        <v>5.3999999999999999E-2</v>
      </c>
      <c r="N67">
        <v>0.14349999999999999</v>
      </c>
      <c r="O67">
        <v>93552.45</v>
      </c>
      <c r="P67">
        <v>74805.600000000006</v>
      </c>
      <c r="Q67">
        <v>0.88</v>
      </c>
      <c r="R67">
        <v>0.92</v>
      </c>
      <c r="S67">
        <v>81.7</v>
      </c>
      <c r="T67">
        <v>6.8</v>
      </c>
      <c r="U67">
        <v>0.97</v>
      </c>
      <c r="V67">
        <v>5.0999999999999996</v>
      </c>
      <c r="W67">
        <v>260.3</v>
      </c>
      <c r="X67">
        <v>0.04</v>
      </c>
      <c r="Y67">
        <v>82.2</v>
      </c>
      <c r="Z67">
        <v>12.9</v>
      </c>
      <c r="AA67">
        <v>95.1</v>
      </c>
      <c r="AB67">
        <v>60.1</v>
      </c>
      <c r="AC67">
        <v>5.6</v>
      </c>
      <c r="AD67">
        <v>0.8</v>
      </c>
      <c r="AE67">
        <v>3.2</v>
      </c>
      <c r="AF67">
        <v>174.3</v>
      </c>
      <c r="AG67">
        <v>0.03</v>
      </c>
      <c r="AH67">
        <v>60.5</v>
      </c>
      <c r="AI67">
        <v>8.4</v>
      </c>
      <c r="AJ67">
        <v>68.8</v>
      </c>
      <c r="AK67">
        <v>77.5</v>
      </c>
      <c r="AL67">
        <v>2.6</v>
      </c>
      <c r="AM67">
        <v>0.32</v>
      </c>
      <c r="AN67">
        <v>8.1999999999999993</v>
      </c>
      <c r="AO67">
        <v>369.8</v>
      </c>
      <c r="AP67">
        <v>0.03</v>
      </c>
      <c r="AQ67">
        <v>77.599999999999994</v>
      </c>
      <c r="AR67">
        <v>19.2</v>
      </c>
      <c r="AS67">
        <v>96.9</v>
      </c>
      <c r="AT67">
        <v>391.7</v>
      </c>
      <c r="AU67">
        <v>26.1</v>
      </c>
      <c r="AV67">
        <v>3.63</v>
      </c>
      <c r="AW67">
        <v>30.5</v>
      </c>
      <c r="AX67">
        <v>1448.4</v>
      </c>
      <c r="AY67">
        <v>0.21</v>
      </c>
      <c r="AZ67">
        <v>393.4</v>
      </c>
      <c r="BA67">
        <v>73.7</v>
      </c>
      <c r="BB67">
        <v>467.2</v>
      </c>
      <c r="BC67">
        <v>28307783.300000001</v>
      </c>
      <c r="BD67">
        <v>2370.4</v>
      </c>
      <c r="BE67">
        <v>336.9</v>
      </c>
      <c r="BF67">
        <v>1777964.1</v>
      </c>
      <c r="BG67">
        <v>90090</v>
      </c>
      <c r="BH67">
        <v>15.3</v>
      </c>
      <c r="BI67">
        <v>28470386.600000001</v>
      </c>
      <c r="BJ67">
        <v>4466819.5</v>
      </c>
      <c r="BK67">
        <v>32937206.100000001</v>
      </c>
      <c r="BL67">
        <v>0</v>
      </c>
      <c r="BM67">
        <v>19.03</v>
      </c>
      <c r="BN67">
        <v>16.93</v>
      </c>
      <c r="BO67">
        <v>0</v>
      </c>
      <c r="BP67">
        <v>35.96</v>
      </c>
      <c r="BQ67">
        <v>20.68</v>
      </c>
      <c r="BR67">
        <v>19.190000000000001</v>
      </c>
      <c r="BS67">
        <v>0</v>
      </c>
      <c r="BT67">
        <v>39.880000000000003</v>
      </c>
      <c r="BU67">
        <v>351272060</v>
      </c>
      <c r="BV67">
        <v>125020056</v>
      </c>
      <c r="BW67">
        <v>9788695</v>
      </c>
      <c r="BX67">
        <v>727706.6</v>
      </c>
      <c r="BY67">
        <v>0</v>
      </c>
      <c r="BZ67">
        <v>9762453</v>
      </c>
      <c r="CA67">
        <v>18163240</v>
      </c>
      <c r="CB67">
        <v>0</v>
      </c>
      <c r="CC67">
        <v>221879.9</v>
      </c>
      <c r="CD67">
        <v>8588158</v>
      </c>
      <c r="CE67">
        <v>24790768</v>
      </c>
      <c r="CF67">
        <v>0</v>
      </c>
      <c r="CG67">
        <v>144288.4</v>
      </c>
      <c r="CH67">
        <v>7830384</v>
      </c>
      <c r="CI67">
        <v>142723310</v>
      </c>
      <c r="CJ67">
        <v>8250481</v>
      </c>
      <c r="CK67">
        <v>317</v>
      </c>
      <c r="CL67">
        <v>4070351.2</v>
      </c>
      <c r="CM67">
        <v>0</v>
      </c>
      <c r="CN67">
        <v>50656044</v>
      </c>
      <c r="CO67">
        <v>65553976</v>
      </c>
      <c r="CP67">
        <v>0</v>
      </c>
      <c r="CQ67">
        <v>6777.2</v>
      </c>
      <c r="CR67">
        <v>182.9</v>
      </c>
      <c r="CS67">
        <v>0</v>
      </c>
      <c r="CT67">
        <v>5682.6</v>
      </c>
      <c r="CU67">
        <v>0</v>
      </c>
      <c r="CV67">
        <v>110</v>
      </c>
      <c r="CW67">
        <v>6590.1</v>
      </c>
      <c r="CX67">
        <v>12257.2</v>
      </c>
      <c r="CY67">
        <v>0</v>
      </c>
      <c r="CZ67">
        <v>6026.6</v>
      </c>
      <c r="DA67">
        <v>1051.8</v>
      </c>
      <c r="DB67">
        <v>38201.5</v>
      </c>
      <c r="DC67">
        <v>1151</v>
      </c>
      <c r="DD67">
        <v>145.6</v>
      </c>
      <c r="DE67">
        <v>2426</v>
      </c>
      <c r="DF67">
        <v>0</v>
      </c>
      <c r="DG67">
        <v>19236.8</v>
      </c>
      <c r="DH67">
        <v>0</v>
      </c>
      <c r="DI67">
        <v>19827.2</v>
      </c>
      <c r="DJ67">
        <v>31786.9</v>
      </c>
      <c r="DK67">
        <v>24260.3</v>
      </c>
      <c r="DL67">
        <v>0</v>
      </c>
      <c r="DM67">
        <v>0</v>
      </c>
    </row>
    <row r="68" spans="1:117" x14ac:dyDescent="0.3">
      <c r="A68" t="s">
        <v>161</v>
      </c>
      <c r="B68">
        <v>2040</v>
      </c>
      <c r="C68">
        <v>423117600</v>
      </c>
      <c r="D68">
        <v>23798914</v>
      </c>
      <c r="E68">
        <v>5387474.5</v>
      </c>
      <c r="F68">
        <v>10231146.1</v>
      </c>
      <c r="G68">
        <v>462535132.10000002</v>
      </c>
      <c r="H68">
        <v>407901606.39999998</v>
      </c>
      <c r="I68">
        <v>288786334.69999999</v>
      </c>
      <c r="J68">
        <v>460738200</v>
      </c>
      <c r="K68">
        <v>399777280</v>
      </c>
      <c r="L68">
        <v>3.5900000000000001E-2</v>
      </c>
      <c r="M68">
        <v>5.3999999999999999E-2</v>
      </c>
      <c r="N68">
        <v>0.14349999999999999</v>
      </c>
      <c r="O68">
        <v>91928.72</v>
      </c>
      <c r="P68">
        <v>89344.5</v>
      </c>
      <c r="Q68">
        <v>0.9</v>
      </c>
      <c r="R68">
        <v>0.95</v>
      </c>
      <c r="S68">
        <v>65.5</v>
      </c>
      <c r="T68">
        <v>5.2</v>
      </c>
      <c r="U68">
        <v>0.74</v>
      </c>
      <c r="V68">
        <v>4.4000000000000004</v>
      </c>
      <c r="W68">
        <v>217.1</v>
      </c>
      <c r="X68">
        <v>0.04</v>
      </c>
      <c r="Y68">
        <v>65.900000000000006</v>
      </c>
      <c r="Z68">
        <v>10.9</v>
      </c>
      <c r="AA68">
        <v>76.7</v>
      </c>
      <c r="AB68">
        <v>41.2</v>
      </c>
      <c r="AC68">
        <v>4</v>
      </c>
      <c r="AD68">
        <v>0.57999999999999996</v>
      </c>
      <c r="AE68">
        <v>2</v>
      </c>
      <c r="AF68">
        <v>113.4</v>
      </c>
      <c r="AG68">
        <v>0.02</v>
      </c>
      <c r="AH68">
        <v>41.5</v>
      </c>
      <c r="AI68">
        <v>5.3</v>
      </c>
      <c r="AJ68">
        <v>46.8</v>
      </c>
      <c r="AK68">
        <v>66.900000000000006</v>
      </c>
      <c r="AL68">
        <v>2.4</v>
      </c>
      <c r="AM68">
        <v>0.3</v>
      </c>
      <c r="AN68">
        <v>6.9</v>
      </c>
      <c r="AO68">
        <v>314.89999999999998</v>
      </c>
      <c r="AP68">
        <v>0.03</v>
      </c>
      <c r="AQ68">
        <v>67.099999999999994</v>
      </c>
      <c r="AR68">
        <v>16.3</v>
      </c>
      <c r="AS68">
        <v>83.4</v>
      </c>
      <c r="AT68">
        <v>338.9</v>
      </c>
      <c r="AU68">
        <v>19.899999999999999</v>
      </c>
      <c r="AV68">
        <v>2.72</v>
      </c>
      <c r="AW68">
        <v>28.9</v>
      </c>
      <c r="AX68">
        <v>1342</v>
      </c>
      <c r="AY68">
        <v>0.18</v>
      </c>
      <c r="AZ68">
        <v>340.2</v>
      </c>
      <c r="BA68">
        <v>69</v>
      </c>
      <c r="BB68">
        <v>409.2</v>
      </c>
      <c r="BC68">
        <v>25880133.399999999</v>
      </c>
      <c r="BD68">
        <v>2063.5</v>
      </c>
      <c r="BE68">
        <v>292</v>
      </c>
      <c r="BF68">
        <v>1724934.1</v>
      </c>
      <c r="BG68">
        <v>85654.9</v>
      </c>
      <c r="BH68">
        <v>14</v>
      </c>
      <c r="BI68">
        <v>26021343.800000001</v>
      </c>
      <c r="BJ68">
        <v>4281280.5999999996</v>
      </c>
      <c r="BK68">
        <v>30302624.399999999</v>
      </c>
      <c r="BL68">
        <v>0</v>
      </c>
      <c r="BM68">
        <v>17.53</v>
      </c>
      <c r="BN68">
        <v>16.71</v>
      </c>
      <c r="BO68">
        <v>1.94</v>
      </c>
      <c r="BP68">
        <v>36.17</v>
      </c>
      <c r="BQ68">
        <v>19.32</v>
      </c>
      <c r="BR68">
        <v>19.38</v>
      </c>
      <c r="BS68">
        <v>2.12</v>
      </c>
      <c r="BT68">
        <v>40.82</v>
      </c>
      <c r="BU68">
        <v>401317150</v>
      </c>
      <c r="BV68">
        <v>173748800</v>
      </c>
      <c r="BW68">
        <v>20251576</v>
      </c>
      <c r="BX68">
        <v>668014.9</v>
      </c>
      <c r="BY68">
        <v>0</v>
      </c>
      <c r="BZ68">
        <v>9581913</v>
      </c>
      <c r="CA68">
        <v>15631410</v>
      </c>
      <c r="CB68">
        <v>0</v>
      </c>
      <c r="CC68">
        <v>215181.4</v>
      </c>
      <c r="CD68">
        <v>8654746</v>
      </c>
      <c r="CE68">
        <v>24811726</v>
      </c>
      <c r="CF68">
        <v>0</v>
      </c>
      <c r="CG68">
        <v>523099.5</v>
      </c>
      <c r="CH68">
        <v>7031905</v>
      </c>
      <c r="CI68">
        <v>136686560</v>
      </c>
      <c r="CJ68">
        <v>8130449.5</v>
      </c>
      <c r="CK68">
        <v>305</v>
      </c>
      <c r="CL68">
        <v>4251399.5</v>
      </c>
      <c r="CM68">
        <v>0</v>
      </c>
      <c r="CN68">
        <v>81959990</v>
      </c>
      <c r="CO68">
        <v>82918870</v>
      </c>
      <c r="CP68">
        <v>0</v>
      </c>
      <c r="CQ68">
        <v>14423.8</v>
      </c>
      <c r="CR68">
        <v>182.9</v>
      </c>
      <c r="CS68">
        <v>0</v>
      </c>
      <c r="CT68">
        <v>5526.6</v>
      </c>
      <c r="CU68">
        <v>0</v>
      </c>
      <c r="CV68">
        <v>110</v>
      </c>
      <c r="CW68">
        <v>6894.1</v>
      </c>
      <c r="CX68">
        <v>11388.7</v>
      </c>
      <c r="CY68">
        <v>0</v>
      </c>
      <c r="CZ68">
        <v>14232.5</v>
      </c>
      <c r="DA68">
        <v>948.9</v>
      </c>
      <c r="DB68">
        <v>38238.800000000003</v>
      </c>
      <c r="DC68">
        <v>1151</v>
      </c>
      <c r="DD68">
        <v>131.6</v>
      </c>
      <c r="DE68">
        <v>2573.3000000000002</v>
      </c>
      <c r="DF68">
        <v>0</v>
      </c>
      <c r="DG68">
        <v>31541.1</v>
      </c>
      <c r="DH68">
        <v>0</v>
      </c>
      <c r="DI68">
        <v>22650.9</v>
      </c>
      <c r="DJ68">
        <v>69391.399999999994</v>
      </c>
      <c r="DK68">
        <v>25732.9</v>
      </c>
      <c r="DL68">
        <v>0</v>
      </c>
      <c r="DM68">
        <v>0</v>
      </c>
    </row>
    <row r="69" spans="1:117" x14ac:dyDescent="0.3">
      <c r="A69" t="s">
        <v>161</v>
      </c>
      <c r="B69">
        <v>2045</v>
      </c>
      <c r="C69">
        <v>480117500</v>
      </c>
      <c r="D69">
        <v>33246774</v>
      </c>
      <c r="E69">
        <v>5703244</v>
      </c>
      <c r="F69">
        <v>11566689.4</v>
      </c>
      <c r="G69">
        <v>530634197.30000001</v>
      </c>
      <c r="H69">
        <v>462851637.80000001</v>
      </c>
      <c r="I69">
        <v>316680411.89999998</v>
      </c>
      <c r="J69">
        <v>534939650</v>
      </c>
      <c r="K69">
        <v>446465120</v>
      </c>
      <c r="L69">
        <v>3.5900000000000001E-2</v>
      </c>
      <c r="M69">
        <v>5.3999999999999999E-2</v>
      </c>
      <c r="N69">
        <v>0.14349999999999999</v>
      </c>
      <c r="O69">
        <v>90038.17</v>
      </c>
      <c r="P69">
        <v>103749.5</v>
      </c>
      <c r="Q69">
        <v>0.91</v>
      </c>
      <c r="R69">
        <v>0.96</v>
      </c>
      <c r="S69">
        <v>55.8</v>
      </c>
      <c r="T69">
        <v>4.0999999999999996</v>
      </c>
      <c r="U69">
        <v>0.57999999999999996</v>
      </c>
      <c r="V69">
        <v>4</v>
      </c>
      <c r="W69">
        <v>194.1</v>
      </c>
      <c r="X69">
        <v>0.03</v>
      </c>
      <c r="Y69">
        <v>56.1</v>
      </c>
      <c r="Z69">
        <v>9.8000000000000007</v>
      </c>
      <c r="AA69">
        <v>65.900000000000006</v>
      </c>
      <c r="AB69">
        <v>32.1</v>
      </c>
      <c r="AC69">
        <v>3.1</v>
      </c>
      <c r="AD69">
        <v>0.44</v>
      </c>
      <c r="AE69">
        <v>1.6</v>
      </c>
      <c r="AF69">
        <v>90.2</v>
      </c>
      <c r="AG69">
        <v>0.02</v>
      </c>
      <c r="AH69">
        <v>32.299999999999997</v>
      </c>
      <c r="AI69">
        <v>4.3</v>
      </c>
      <c r="AJ69">
        <v>36.6</v>
      </c>
      <c r="AK69">
        <v>63.5</v>
      </c>
      <c r="AL69">
        <v>2.1</v>
      </c>
      <c r="AM69">
        <v>0.26</v>
      </c>
      <c r="AN69">
        <v>6.7</v>
      </c>
      <c r="AO69">
        <v>304.10000000000002</v>
      </c>
      <c r="AP69">
        <v>0.03</v>
      </c>
      <c r="AQ69">
        <v>63.6</v>
      </c>
      <c r="AR69">
        <v>15.8</v>
      </c>
      <c r="AS69">
        <v>79.400000000000006</v>
      </c>
      <c r="AT69">
        <v>315.8</v>
      </c>
      <c r="AU69">
        <v>17.3</v>
      </c>
      <c r="AV69">
        <v>2.36</v>
      </c>
      <c r="AW69">
        <v>27.9</v>
      </c>
      <c r="AX69">
        <v>1289.2</v>
      </c>
      <c r="AY69">
        <v>0.16</v>
      </c>
      <c r="AZ69">
        <v>316.89999999999998</v>
      </c>
      <c r="BA69">
        <v>66.3</v>
      </c>
      <c r="BB69">
        <v>383.2</v>
      </c>
      <c r="BC69">
        <v>24227317.5</v>
      </c>
      <c r="BD69">
        <v>1806.7</v>
      </c>
      <c r="BE69">
        <v>254.1</v>
      </c>
      <c r="BF69">
        <v>1731568.1</v>
      </c>
      <c r="BG69">
        <v>84152.4</v>
      </c>
      <c r="BH69">
        <v>13.1</v>
      </c>
      <c r="BI69">
        <v>24350513.100000001</v>
      </c>
      <c r="BJ69">
        <v>4242896.7</v>
      </c>
      <c r="BK69">
        <v>28593409.699999999</v>
      </c>
      <c r="BL69">
        <v>0</v>
      </c>
      <c r="BM69">
        <v>16.77</v>
      </c>
      <c r="BN69">
        <v>16.48</v>
      </c>
      <c r="BO69">
        <v>1.55</v>
      </c>
      <c r="BP69">
        <v>34.799999999999997</v>
      </c>
      <c r="BQ69">
        <v>18.52</v>
      </c>
      <c r="BR69">
        <v>19.309999999999999</v>
      </c>
      <c r="BS69">
        <v>1.71</v>
      </c>
      <c r="BT69">
        <v>39.54</v>
      </c>
      <c r="BU69">
        <v>441697800</v>
      </c>
      <c r="BV69">
        <v>213953800</v>
      </c>
      <c r="BW69">
        <v>28234586</v>
      </c>
      <c r="BX69">
        <v>622559</v>
      </c>
      <c r="BY69">
        <v>0</v>
      </c>
      <c r="BZ69">
        <v>9902913</v>
      </c>
      <c r="CA69">
        <v>13398121</v>
      </c>
      <c r="CB69">
        <v>0</v>
      </c>
      <c r="CC69">
        <v>194756.4</v>
      </c>
      <c r="CD69">
        <v>8774335</v>
      </c>
      <c r="CE69">
        <v>25450434</v>
      </c>
      <c r="CF69">
        <v>0</v>
      </c>
      <c r="CG69">
        <v>1210007.1000000001</v>
      </c>
      <c r="CH69">
        <v>6369765</v>
      </c>
      <c r="CI69">
        <v>129970510</v>
      </c>
      <c r="CJ69">
        <v>8006360</v>
      </c>
      <c r="CK69">
        <v>86.4</v>
      </c>
      <c r="CL69">
        <v>4578663.5</v>
      </c>
      <c r="CM69">
        <v>0</v>
      </c>
      <c r="CN69">
        <v>107130820</v>
      </c>
      <c r="CO69">
        <v>97853880</v>
      </c>
      <c r="CP69">
        <v>0</v>
      </c>
      <c r="CQ69">
        <v>19832.599999999999</v>
      </c>
      <c r="CR69">
        <v>182.9</v>
      </c>
      <c r="CS69">
        <v>0</v>
      </c>
      <c r="CT69">
        <v>5232.7</v>
      </c>
      <c r="CU69">
        <v>0</v>
      </c>
      <c r="CV69">
        <v>110</v>
      </c>
      <c r="CW69">
        <v>7214.3</v>
      </c>
      <c r="CX69">
        <v>11388.7</v>
      </c>
      <c r="CY69">
        <v>0</v>
      </c>
      <c r="CZ69">
        <v>24732.5</v>
      </c>
      <c r="DA69">
        <v>867.3</v>
      </c>
      <c r="DB69">
        <v>38269.800000000003</v>
      </c>
      <c r="DC69">
        <v>1151</v>
      </c>
      <c r="DD69">
        <v>131.6</v>
      </c>
      <c r="DE69">
        <v>2718.2</v>
      </c>
      <c r="DF69">
        <v>0</v>
      </c>
      <c r="DG69">
        <v>41635.1</v>
      </c>
      <c r="DH69">
        <v>0</v>
      </c>
      <c r="DI69">
        <v>25899.4</v>
      </c>
      <c r="DJ69">
        <v>99300</v>
      </c>
      <c r="DK69">
        <v>27181.9</v>
      </c>
      <c r="DL69">
        <v>0</v>
      </c>
      <c r="DM69">
        <v>0</v>
      </c>
    </row>
    <row r="70" spans="1:117" x14ac:dyDescent="0.3">
      <c r="A70" t="s">
        <v>161</v>
      </c>
      <c r="B70">
        <v>2050</v>
      </c>
      <c r="C70">
        <v>537353540</v>
      </c>
      <c r="D70">
        <v>44023430</v>
      </c>
      <c r="E70">
        <v>5653526</v>
      </c>
      <c r="F70">
        <v>12965162.800000001</v>
      </c>
      <c r="G70">
        <v>599995640.60000002</v>
      </c>
      <c r="H70">
        <v>518029421</v>
      </c>
      <c r="I70">
        <v>313213034.60000002</v>
      </c>
      <c r="J70">
        <v>602544640</v>
      </c>
      <c r="K70">
        <v>519756350</v>
      </c>
      <c r="L70">
        <v>3.5900000000000001E-2</v>
      </c>
      <c r="M70">
        <v>5.3999999999999999E-2</v>
      </c>
      <c r="N70">
        <v>0.14349999999999999</v>
      </c>
      <c r="O70">
        <v>88972.52</v>
      </c>
      <c r="P70">
        <v>118584.1</v>
      </c>
      <c r="Q70">
        <v>0.93</v>
      </c>
      <c r="R70">
        <v>0.97</v>
      </c>
      <c r="S70">
        <v>42.4</v>
      </c>
      <c r="T70">
        <v>2.7</v>
      </c>
      <c r="U70">
        <v>0.37</v>
      </c>
      <c r="V70">
        <v>3.5</v>
      </c>
      <c r="W70">
        <v>163</v>
      </c>
      <c r="X70">
        <v>0.02</v>
      </c>
      <c r="Y70">
        <v>42.6</v>
      </c>
      <c r="Z70">
        <v>8.4</v>
      </c>
      <c r="AA70">
        <v>51</v>
      </c>
      <c r="AB70">
        <v>23.1</v>
      </c>
      <c r="AC70">
        <v>2</v>
      </c>
      <c r="AD70">
        <v>0.28999999999999998</v>
      </c>
      <c r="AE70">
        <v>1.3</v>
      </c>
      <c r="AF70">
        <v>70.2</v>
      </c>
      <c r="AG70">
        <v>0.01</v>
      </c>
      <c r="AH70">
        <v>23.2</v>
      </c>
      <c r="AI70">
        <v>3.4</v>
      </c>
      <c r="AJ70">
        <v>26.6</v>
      </c>
      <c r="AK70">
        <v>67.3</v>
      </c>
      <c r="AL70">
        <v>2.2000000000000002</v>
      </c>
      <c r="AM70">
        <v>0.27</v>
      </c>
      <c r="AN70">
        <v>7.2</v>
      </c>
      <c r="AO70">
        <v>322.7</v>
      </c>
      <c r="AP70">
        <v>0.03</v>
      </c>
      <c r="AQ70">
        <v>67.5</v>
      </c>
      <c r="AR70">
        <v>16.8</v>
      </c>
      <c r="AS70">
        <v>84.2</v>
      </c>
      <c r="AT70">
        <v>294.7</v>
      </c>
      <c r="AU70">
        <v>13.6</v>
      </c>
      <c r="AV70">
        <v>1.79</v>
      </c>
      <c r="AW70">
        <v>28.3</v>
      </c>
      <c r="AX70">
        <v>1288</v>
      </c>
      <c r="AY70">
        <v>0.15</v>
      </c>
      <c r="AZ70">
        <v>295.60000000000002</v>
      </c>
      <c r="BA70">
        <v>66.8</v>
      </c>
      <c r="BB70">
        <v>362.4</v>
      </c>
      <c r="BC70">
        <v>21471712.300000001</v>
      </c>
      <c r="BD70">
        <v>1357</v>
      </c>
      <c r="BE70">
        <v>187.5</v>
      </c>
      <c r="BF70">
        <v>1765350.3999999999</v>
      </c>
      <c r="BG70">
        <v>82332</v>
      </c>
      <c r="BH70">
        <v>11.7</v>
      </c>
      <c r="BI70">
        <v>21563329.300000001</v>
      </c>
      <c r="BJ70">
        <v>4222030.8</v>
      </c>
      <c r="BK70">
        <v>25785360.100000001</v>
      </c>
      <c r="BL70">
        <v>0</v>
      </c>
      <c r="BM70">
        <v>17.239999999999998</v>
      </c>
      <c r="BN70">
        <v>16.07</v>
      </c>
      <c r="BO70">
        <v>0.35</v>
      </c>
      <c r="BP70">
        <v>33.659999999999997</v>
      </c>
      <c r="BQ70">
        <v>19.16</v>
      </c>
      <c r="BR70">
        <v>19.02</v>
      </c>
      <c r="BS70">
        <v>0.4</v>
      </c>
      <c r="BT70">
        <v>38.58</v>
      </c>
      <c r="BU70">
        <v>516730720</v>
      </c>
      <c r="BV70">
        <v>286782600</v>
      </c>
      <c r="BW70">
        <v>37371570</v>
      </c>
      <c r="BX70">
        <v>600820.5</v>
      </c>
      <c r="BY70">
        <v>0</v>
      </c>
      <c r="BZ70">
        <v>9889438</v>
      </c>
      <c r="CA70">
        <v>9410402</v>
      </c>
      <c r="CB70">
        <v>0</v>
      </c>
      <c r="CC70">
        <v>0</v>
      </c>
      <c r="CD70">
        <v>8951480</v>
      </c>
      <c r="CE70">
        <v>25966848</v>
      </c>
      <c r="CF70">
        <v>0</v>
      </c>
      <c r="CG70">
        <v>3282976</v>
      </c>
      <c r="CH70">
        <v>5348263</v>
      </c>
      <c r="CI70">
        <v>125607384</v>
      </c>
      <c r="CJ70">
        <v>7952295</v>
      </c>
      <c r="CK70">
        <v>0</v>
      </c>
      <c r="CL70">
        <v>4518133</v>
      </c>
      <c r="CM70">
        <v>0</v>
      </c>
      <c r="CN70">
        <v>135575940</v>
      </c>
      <c r="CO70">
        <v>142255180</v>
      </c>
      <c r="CP70">
        <v>0</v>
      </c>
      <c r="CQ70">
        <v>25215.5</v>
      </c>
      <c r="CR70">
        <v>182.9</v>
      </c>
      <c r="CS70">
        <v>0</v>
      </c>
      <c r="CT70">
        <v>3699.7</v>
      </c>
      <c r="CU70">
        <v>0</v>
      </c>
      <c r="CV70">
        <v>0</v>
      </c>
      <c r="CW70">
        <v>7594.7</v>
      </c>
      <c r="CX70">
        <v>10769.8</v>
      </c>
      <c r="CY70">
        <v>0</v>
      </c>
      <c r="CZ70">
        <v>34558.199999999997</v>
      </c>
      <c r="DA70">
        <v>735.4</v>
      </c>
      <c r="DB70">
        <v>38294.400000000001</v>
      </c>
      <c r="DC70">
        <v>1151</v>
      </c>
      <c r="DD70">
        <v>11.4</v>
      </c>
      <c r="DE70">
        <v>2718.2</v>
      </c>
      <c r="DF70">
        <v>0</v>
      </c>
      <c r="DG70">
        <v>51971.1</v>
      </c>
      <c r="DH70">
        <v>0</v>
      </c>
      <c r="DI70">
        <v>38721.300000000003</v>
      </c>
      <c r="DJ70">
        <v>130613.7</v>
      </c>
      <c r="DK70">
        <v>27181.9</v>
      </c>
      <c r="DL70">
        <v>0</v>
      </c>
      <c r="DM70">
        <v>0</v>
      </c>
    </row>
    <row r="71" spans="1:117" x14ac:dyDescent="0.3">
      <c r="A71" t="s">
        <v>162</v>
      </c>
      <c r="B71">
        <v>2024</v>
      </c>
      <c r="C71">
        <v>155323820</v>
      </c>
      <c r="D71">
        <v>1668714.6</v>
      </c>
      <c r="E71">
        <v>1829499.2</v>
      </c>
      <c r="F71">
        <v>442900.8</v>
      </c>
      <c r="G71">
        <v>159264932.40000001</v>
      </c>
      <c r="H71">
        <v>149739433.90000001</v>
      </c>
      <c r="I71">
        <v>131650612.3</v>
      </c>
      <c r="J71">
        <v>28162884</v>
      </c>
      <c r="K71">
        <v>13840230</v>
      </c>
      <c r="L71">
        <v>3.5900000000000001E-2</v>
      </c>
      <c r="M71">
        <v>5.3999999999999999E-2</v>
      </c>
      <c r="N71">
        <v>0.15</v>
      </c>
      <c r="O71">
        <v>9844.83</v>
      </c>
      <c r="P71">
        <v>35142.300000000003</v>
      </c>
      <c r="Q71">
        <v>0.68</v>
      </c>
      <c r="R71">
        <v>0.65</v>
      </c>
      <c r="S71">
        <v>162.80000000000001</v>
      </c>
      <c r="T71">
        <v>5.3</v>
      </c>
      <c r="U71">
        <v>0.78</v>
      </c>
      <c r="V71">
        <v>20.9</v>
      </c>
      <c r="W71">
        <v>673.4</v>
      </c>
      <c r="X71">
        <v>0.19</v>
      </c>
      <c r="Y71">
        <v>163.19999999999999</v>
      </c>
      <c r="Z71">
        <v>41</v>
      </c>
      <c r="AA71">
        <v>204.1</v>
      </c>
      <c r="AB71">
        <v>184.3</v>
      </c>
      <c r="AC71">
        <v>6.3</v>
      </c>
      <c r="AD71">
        <v>0.9</v>
      </c>
      <c r="AE71">
        <v>23.1</v>
      </c>
      <c r="AF71">
        <v>773.1</v>
      </c>
      <c r="AG71">
        <v>0.2</v>
      </c>
      <c r="AH71">
        <v>184.7</v>
      </c>
      <c r="AI71">
        <v>46.2</v>
      </c>
      <c r="AJ71">
        <v>230.8</v>
      </c>
      <c r="AK71">
        <v>249</v>
      </c>
      <c r="AL71">
        <v>7.8</v>
      </c>
      <c r="AM71">
        <v>1.02</v>
      </c>
      <c r="AN71">
        <v>27.4</v>
      </c>
      <c r="AO71">
        <v>1141.8</v>
      </c>
      <c r="AP71">
        <v>0.15</v>
      </c>
      <c r="AQ71">
        <v>249.5</v>
      </c>
      <c r="AR71">
        <v>61.5</v>
      </c>
      <c r="AS71">
        <v>311</v>
      </c>
      <c r="AT71">
        <v>691.9</v>
      </c>
      <c r="AU71">
        <v>41.7</v>
      </c>
      <c r="AV71">
        <v>6.08</v>
      </c>
      <c r="AW71">
        <v>59.7</v>
      </c>
      <c r="AX71">
        <v>2402.6</v>
      </c>
      <c r="AY71">
        <v>0.54</v>
      </c>
      <c r="AZ71">
        <v>694.8</v>
      </c>
      <c r="BA71">
        <v>131.5</v>
      </c>
      <c r="BB71">
        <v>826.3</v>
      </c>
      <c r="BC71">
        <v>23327752.899999999</v>
      </c>
      <c r="BD71">
        <v>757.4</v>
      </c>
      <c r="BE71">
        <v>111.1</v>
      </c>
      <c r="BF71">
        <v>2988140.9</v>
      </c>
      <c r="BG71">
        <v>96612.2</v>
      </c>
      <c r="BH71">
        <v>27.1</v>
      </c>
      <c r="BI71">
        <v>23380648.199999999</v>
      </c>
      <c r="BJ71">
        <v>5874594.9000000004</v>
      </c>
      <c r="BK71">
        <v>29255243.199999999</v>
      </c>
      <c r="BL71">
        <v>0</v>
      </c>
      <c r="BM71">
        <v>33.340000000000003</v>
      </c>
      <c r="BN71">
        <v>1.99</v>
      </c>
      <c r="BO71">
        <v>5.48</v>
      </c>
      <c r="BP71">
        <v>40.81</v>
      </c>
      <c r="BQ71">
        <v>35.47</v>
      </c>
      <c r="BR71">
        <v>2.19</v>
      </c>
      <c r="BS71">
        <v>5.79</v>
      </c>
      <c r="BT71">
        <v>43.45</v>
      </c>
      <c r="BU71">
        <v>145090400</v>
      </c>
      <c r="BV71">
        <v>27614320</v>
      </c>
      <c r="BW71">
        <v>1422539.9</v>
      </c>
      <c r="BX71">
        <v>2012466.8</v>
      </c>
      <c r="BY71">
        <v>0</v>
      </c>
      <c r="BZ71">
        <v>13724098</v>
      </c>
      <c r="CA71">
        <v>1671968.4</v>
      </c>
      <c r="CB71">
        <v>0</v>
      </c>
      <c r="CC71">
        <v>0</v>
      </c>
      <c r="CD71">
        <v>2489187</v>
      </c>
      <c r="CE71">
        <v>36563612</v>
      </c>
      <c r="CF71">
        <v>0</v>
      </c>
      <c r="CG71">
        <v>1401580.1</v>
      </c>
      <c r="CH71">
        <v>0</v>
      </c>
      <c r="CI71">
        <v>26825972</v>
      </c>
      <c r="CJ71">
        <v>25580692</v>
      </c>
      <c r="CK71">
        <v>6781995</v>
      </c>
      <c r="CL71">
        <v>1491155.6</v>
      </c>
      <c r="CM71">
        <v>0</v>
      </c>
      <c r="CN71">
        <v>7687428</v>
      </c>
      <c r="CO71">
        <v>16954940</v>
      </c>
      <c r="CP71">
        <v>482764.3</v>
      </c>
      <c r="CQ71">
        <v>1857.5</v>
      </c>
      <c r="CR71">
        <v>394.6</v>
      </c>
      <c r="CS71">
        <v>0</v>
      </c>
      <c r="CT71">
        <v>445</v>
      </c>
      <c r="CU71">
        <v>0</v>
      </c>
      <c r="CV71">
        <v>0</v>
      </c>
      <c r="CW71">
        <v>1928.7</v>
      </c>
      <c r="CX71">
        <v>9682.5</v>
      </c>
      <c r="CY71">
        <v>0</v>
      </c>
      <c r="CZ71">
        <v>2825.2</v>
      </c>
      <c r="DA71">
        <v>0</v>
      </c>
      <c r="DB71">
        <v>4550.6000000000004</v>
      </c>
      <c r="DC71">
        <v>3203</v>
      </c>
      <c r="DD71">
        <v>11144.5</v>
      </c>
      <c r="DE71">
        <v>1427.1</v>
      </c>
      <c r="DF71">
        <v>0</v>
      </c>
      <c r="DG71">
        <v>3928.6</v>
      </c>
      <c r="DH71">
        <v>130</v>
      </c>
      <c r="DI71">
        <v>5119.5</v>
      </c>
      <c r="DJ71">
        <v>3837</v>
      </c>
      <c r="DK71">
        <v>14271</v>
      </c>
      <c r="DL71">
        <v>0</v>
      </c>
      <c r="DM71">
        <v>0</v>
      </c>
    </row>
    <row r="72" spans="1:117" x14ac:dyDescent="0.3">
      <c r="A72" t="s">
        <v>162</v>
      </c>
      <c r="B72">
        <v>2026</v>
      </c>
      <c r="C72">
        <v>157615540</v>
      </c>
      <c r="D72">
        <v>2118466.5</v>
      </c>
      <c r="E72">
        <v>1318466.6000000001</v>
      </c>
      <c r="F72">
        <v>478793</v>
      </c>
      <c r="G72">
        <v>161531263.80000001</v>
      </c>
      <c r="H72">
        <v>151948616.5</v>
      </c>
      <c r="I72">
        <v>123164328.09999999</v>
      </c>
      <c r="J72">
        <v>24831888</v>
      </c>
      <c r="K72">
        <v>21144220</v>
      </c>
      <c r="L72">
        <v>3.5900000000000001E-2</v>
      </c>
      <c r="M72">
        <v>5.3999999999999999E-2</v>
      </c>
      <c r="N72">
        <v>0.15</v>
      </c>
      <c r="O72">
        <v>44691.21</v>
      </c>
      <c r="P72">
        <v>35737.1</v>
      </c>
      <c r="Q72">
        <v>0.75</v>
      </c>
      <c r="R72">
        <v>0.72</v>
      </c>
      <c r="S72">
        <v>116.1</v>
      </c>
      <c r="T72">
        <v>3.5</v>
      </c>
      <c r="U72">
        <v>0.48</v>
      </c>
      <c r="V72">
        <v>15.3</v>
      </c>
      <c r="W72">
        <v>514</v>
      </c>
      <c r="X72">
        <v>0.13</v>
      </c>
      <c r="Y72">
        <v>116.3</v>
      </c>
      <c r="Z72">
        <v>30.6</v>
      </c>
      <c r="AA72">
        <v>146.9</v>
      </c>
      <c r="AB72">
        <v>134.5</v>
      </c>
      <c r="AC72">
        <v>4.2</v>
      </c>
      <c r="AD72">
        <v>0.57999999999999996</v>
      </c>
      <c r="AE72">
        <v>17.3</v>
      </c>
      <c r="AF72">
        <v>597.4</v>
      </c>
      <c r="AG72">
        <v>0.14000000000000001</v>
      </c>
      <c r="AH72">
        <v>134.80000000000001</v>
      </c>
      <c r="AI72">
        <v>35.200000000000003</v>
      </c>
      <c r="AJ72">
        <v>170</v>
      </c>
      <c r="AK72">
        <v>210.1</v>
      </c>
      <c r="AL72">
        <v>5.8</v>
      </c>
      <c r="AM72">
        <v>0.75</v>
      </c>
      <c r="AN72">
        <v>23.8</v>
      </c>
      <c r="AO72">
        <v>983.6</v>
      </c>
      <c r="AP72">
        <v>0.13</v>
      </c>
      <c r="AQ72">
        <v>210.5</v>
      </c>
      <c r="AR72">
        <v>53.2</v>
      </c>
      <c r="AS72">
        <v>263.7</v>
      </c>
      <c r="AT72">
        <v>649.6</v>
      </c>
      <c r="AU72">
        <v>38.9</v>
      </c>
      <c r="AV72">
        <v>5.58</v>
      </c>
      <c r="AW72">
        <v>55.6</v>
      </c>
      <c r="AX72">
        <v>2333.8000000000002</v>
      </c>
      <c r="AY72">
        <v>0.46</v>
      </c>
      <c r="AZ72">
        <v>652.29999999999995</v>
      </c>
      <c r="BA72">
        <v>125.2</v>
      </c>
      <c r="BB72">
        <v>777.6</v>
      </c>
      <c r="BC72">
        <v>18146247.5</v>
      </c>
      <c r="BD72">
        <v>543.29999999999995</v>
      </c>
      <c r="BE72">
        <v>75.2</v>
      </c>
      <c r="BF72">
        <v>2387013.9</v>
      </c>
      <c r="BG72">
        <v>80387.7</v>
      </c>
      <c r="BH72">
        <v>19.7</v>
      </c>
      <c r="BI72">
        <v>18182970</v>
      </c>
      <c r="BJ72">
        <v>4787956.2</v>
      </c>
      <c r="BK72">
        <v>22970926.199999999</v>
      </c>
      <c r="BL72">
        <v>0</v>
      </c>
      <c r="BM72">
        <v>30.73</v>
      </c>
      <c r="BN72">
        <v>8.86</v>
      </c>
      <c r="BO72">
        <v>0</v>
      </c>
      <c r="BP72">
        <v>39.590000000000003</v>
      </c>
      <c r="BQ72">
        <v>32.700000000000003</v>
      </c>
      <c r="BR72">
        <v>9.76</v>
      </c>
      <c r="BS72">
        <v>0</v>
      </c>
      <c r="BT72">
        <v>42.46</v>
      </c>
      <c r="BU72">
        <v>157991920</v>
      </c>
      <c r="BV72">
        <v>38366936</v>
      </c>
      <c r="BW72">
        <v>1802821.6</v>
      </c>
      <c r="BX72">
        <v>2005208.2</v>
      </c>
      <c r="BY72">
        <v>0</v>
      </c>
      <c r="BZ72">
        <v>22659312</v>
      </c>
      <c r="CA72">
        <v>1159360.6000000001</v>
      </c>
      <c r="CB72">
        <v>0</v>
      </c>
      <c r="CC72">
        <v>0</v>
      </c>
      <c r="CD72">
        <v>2848871.8</v>
      </c>
      <c r="CE72">
        <v>33140372</v>
      </c>
      <c r="CF72">
        <v>0</v>
      </c>
      <c r="CG72">
        <v>907384.2</v>
      </c>
      <c r="CH72">
        <v>0</v>
      </c>
      <c r="CI72">
        <v>27633596</v>
      </c>
      <c r="CJ72">
        <v>25558522</v>
      </c>
      <c r="CK72">
        <v>3710215.5</v>
      </c>
      <c r="CL72">
        <v>1048188</v>
      </c>
      <c r="CM72">
        <v>0</v>
      </c>
      <c r="CN72">
        <v>7570019</v>
      </c>
      <c r="CO72">
        <v>16863508</v>
      </c>
      <c r="CP72">
        <v>11084536</v>
      </c>
      <c r="CQ72">
        <v>2148.8000000000002</v>
      </c>
      <c r="CR72">
        <v>394.6</v>
      </c>
      <c r="CS72">
        <v>0</v>
      </c>
      <c r="CT72">
        <v>445</v>
      </c>
      <c r="CU72">
        <v>0</v>
      </c>
      <c r="CV72">
        <v>0</v>
      </c>
      <c r="CW72">
        <v>2234.8000000000002</v>
      </c>
      <c r="CX72">
        <v>9682.5</v>
      </c>
      <c r="CY72">
        <v>0</v>
      </c>
      <c r="CZ72">
        <v>2253.8000000000002</v>
      </c>
      <c r="DA72">
        <v>0</v>
      </c>
      <c r="DB72">
        <v>4671.1000000000004</v>
      </c>
      <c r="DC72">
        <v>3203</v>
      </c>
      <c r="DD72">
        <v>10734</v>
      </c>
      <c r="DE72">
        <v>1427.1</v>
      </c>
      <c r="DF72">
        <v>0</v>
      </c>
      <c r="DG72">
        <v>3928.6</v>
      </c>
      <c r="DH72">
        <v>3088</v>
      </c>
      <c r="DI72">
        <v>5119.5</v>
      </c>
      <c r="DJ72">
        <v>5018.3</v>
      </c>
      <c r="DK72">
        <v>14271</v>
      </c>
      <c r="DL72">
        <v>0</v>
      </c>
      <c r="DM72">
        <v>0</v>
      </c>
    </row>
    <row r="73" spans="1:117" x14ac:dyDescent="0.3">
      <c r="A73" t="s">
        <v>162</v>
      </c>
      <c r="B73">
        <v>2028</v>
      </c>
      <c r="C73">
        <v>162513000</v>
      </c>
      <c r="D73">
        <v>2918465</v>
      </c>
      <c r="E73">
        <v>1831153.6</v>
      </c>
      <c r="F73">
        <v>565569.4</v>
      </c>
      <c r="G73">
        <v>167828184</v>
      </c>
      <c r="H73">
        <v>156669829.40000001</v>
      </c>
      <c r="I73">
        <v>124763105.09999999</v>
      </c>
      <c r="J73">
        <v>29077332</v>
      </c>
      <c r="K73">
        <v>25324720</v>
      </c>
      <c r="L73">
        <v>3.5900000000000001E-2</v>
      </c>
      <c r="M73">
        <v>5.3999999999999999E-2</v>
      </c>
      <c r="N73">
        <v>0.15</v>
      </c>
      <c r="O73">
        <v>62800.43</v>
      </c>
      <c r="P73">
        <v>37130.9</v>
      </c>
      <c r="Q73">
        <v>0.78</v>
      </c>
      <c r="R73">
        <v>0.76</v>
      </c>
      <c r="S73">
        <v>102.4</v>
      </c>
      <c r="T73">
        <v>2.8</v>
      </c>
      <c r="U73">
        <v>0.38</v>
      </c>
      <c r="V73">
        <v>13.9</v>
      </c>
      <c r="W73">
        <v>463.1</v>
      </c>
      <c r="X73">
        <v>0.11</v>
      </c>
      <c r="Y73">
        <v>102.6</v>
      </c>
      <c r="Z73">
        <v>27.7</v>
      </c>
      <c r="AA73">
        <v>130.30000000000001</v>
      </c>
      <c r="AB73">
        <v>115.3</v>
      </c>
      <c r="AC73">
        <v>3.3</v>
      </c>
      <c r="AD73">
        <v>0.45</v>
      </c>
      <c r="AE73">
        <v>15.3</v>
      </c>
      <c r="AF73">
        <v>520.9</v>
      </c>
      <c r="AG73">
        <v>0.12</v>
      </c>
      <c r="AH73">
        <v>115.5</v>
      </c>
      <c r="AI73">
        <v>30.9</v>
      </c>
      <c r="AJ73">
        <v>146.4</v>
      </c>
      <c r="AK73">
        <v>134.19999999999999</v>
      </c>
      <c r="AL73">
        <v>3</v>
      </c>
      <c r="AM73">
        <v>0.36</v>
      </c>
      <c r="AN73">
        <v>15.7</v>
      </c>
      <c r="AO73">
        <v>660.9</v>
      </c>
      <c r="AP73">
        <v>0.08</v>
      </c>
      <c r="AQ73">
        <v>134.4</v>
      </c>
      <c r="AR73">
        <v>35.5</v>
      </c>
      <c r="AS73">
        <v>169.9</v>
      </c>
      <c r="AT73">
        <v>580.4</v>
      </c>
      <c r="AU73">
        <v>29.6</v>
      </c>
      <c r="AV73">
        <v>4.18</v>
      </c>
      <c r="AW73">
        <v>54.3</v>
      </c>
      <c r="AX73">
        <v>2260.5</v>
      </c>
      <c r="AY73">
        <v>0.4</v>
      </c>
      <c r="AZ73">
        <v>582.4</v>
      </c>
      <c r="BA73">
        <v>121.7</v>
      </c>
      <c r="BB73">
        <v>704.2</v>
      </c>
      <c r="BC73">
        <v>16634043.699999999</v>
      </c>
      <c r="BD73">
        <v>449.4</v>
      </c>
      <c r="BE73">
        <v>61.5</v>
      </c>
      <c r="BF73">
        <v>2257157.1</v>
      </c>
      <c r="BG73">
        <v>75260.5</v>
      </c>
      <c r="BH73">
        <v>18.5</v>
      </c>
      <c r="BI73">
        <v>16664217.199999999</v>
      </c>
      <c r="BJ73">
        <v>4504976.4000000004</v>
      </c>
      <c r="BK73">
        <v>21169193.5</v>
      </c>
      <c r="BL73">
        <v>0</v>
      </c>
      <c r="BM73">
        <v>26.9</v>
      </c>
      <c r="BN73">
        <v>12.31</v>
      </c>
      <c r="BO73">
        <v>0</v>
      </c>
      <c r="BP73">
        <v>39.22</v>
      </c>
      <c r="BQ73">
        <v>28.7</v>
      </c>
      <c r="BR73">
        <v>13.66</v>
      </c>
      <c r="BS73">
        <v>0</v>
      </c>
      <c r="BT73">
        <v>42.36</v>
      </c>
      <c r="BU73">
        <v>164207630</v>
      </c>
      <c r="BV73">
        <v>43065080</v>
      </c>
      <c r="BW73">
        <v>2519897.5</v>
      </c>
      <c r="BX73">
        <v>1994894.8</v>
      </c>
      <c r="BY73">
        <v>0</v>
      </c>
      <c r="BZ73">
        <v>25173490</v>
      </c>
      <c r="CA73">
        <v>606499.5</v>
      </c>
      <c r="CB73">
        <v>0</v>
      </c>
      <c r="CC73">
        <v>0</v>
      </c>
      <c r="CD73">
        <v>3403371.5</v>
      </c>
      <c r="CE73">
        <v>31699098</v>
      </c>
      <c r="CF73">
        <v>0</v>
      </c>
      <c r="CG73">
        <v>824523.8</v>
      </c>
      <c r="CH73">
        <v>0</v>
      </c>
      <c r="CI73">
        <v>27928172</v>
      </c>
      <c r="CJ73">
        <v>25488708</v>
      </c>
      <c r="CK73">
        <v>3405164.8</v>
      </c>
      <c r="CL73">
        <v>1502101.2</v>
      </c>
      <c r="CM73">
        <v>0</v>
      </c>
      <c r="CN73">
        <v>7462459</v>
      </c>
      <c r="CO73">
        <v>16772566</v>
      </c>
      <c r="CP73">
        <v>15426682</v>
      </c>
      <c r="CQ73">
        <v>2675.1</v>
      </c>
      <c r="CR73">
        <v>394.6</v>
      </c>
      <c r="CS73">
        <v>0</v>
      </c>
      <c r="CT73">
        <v>445</v>
      </c>
      <c r="CU73">
        <v>0</v>
      </c>
      <c r="CV73">
        <v>0</v>
      </c>
      <c r="CW73">
        <v>2680.8</v>
      </c>
      <c r="CX73">
        <v>9682.5</v>
      </c>
      <c r="CY73">
        <v>0</v>
      </c>
      <c r="CZ73">
        <v>1901.2</v>
      </c>
      <c r="DA73">
        <v>0</v>
      </c>
      <c r="DB73">
        <v>4732.3</v>
      </c>
      <c r="DC73">
        <v>3203</v>
      </c>
      <c r="DD73">
        <v>10629.6</v>
      </c>
      <c r="DE73">
        <v>1427.1</v>
      </c>
      <c r="DF73">
        <v>0</v>
      </c>
      <c r="DG73">
        <v>3928.6</v>
      </c>
      <c r="DH73">
        <v>4318</v>
      </c>
      <c r="DI73">
        <v>5119.5</v>
      </c>
      <c r="DJ73">
        <v>7123.4</v>
      </c>
      <c r="DK73">
        <v>14271</v>
      </c>
      <c r="DL73">
        <v>0</v>
      </c>
      <c r="DM73">
        <v>0</v>
      </c>
    </row>
    <row r="74" spans="1:117" x14ac:dyDescent="0.3">
      <c r="A74" t="s">
        <v>162</v>
      </c>
      <c r="B74">
        <v>2030</v>
      </c>
      <c r="C74">
        <v>168107140</v>
      </c>
      <c r="D74">
        <v>5590845</v>
      </c>
      <c r="E74">
        <v>1971495.2</v>
      </c>
      <c r="F74">
        <v>586697.30000000005</v>
      </c>
      <c r="G74">
        <v>176256174.80000001</v>
      </c>
      <c r="H74">
        <v>162062604.90000001</v>
      </c>
      <c r="I74">
        <v>114550899.5</v>
      </c>
      <c r="J74">
        <v>26234502</v>
      </c>
      <c r="K74">
        <v>30511968</v>
      </c>
      <c r="L74">
        <v>3.5900000000000001E-2</v>
      </c>
      <c r="M74">
        <v>5.3999999999999999E-2</v>
      </c>
      <c r="N74">
        <v>0.15</v>
      </c>
      <c r="O74">
        <v>73062.490000000005</v>
      </c>
      <c r="P74">
        <v>38637.199999999997</v>
      </c>
      <c r="Q74">
        <v>0.82</v>
      </c>
      <c r="R74">
        <v>0.9</v>
      </c>
      <c r="S74">
        <v>84.7</v>
      </c>
      <c r="T74">
        <v>2.2000000000000002</v>
      </c>
      <c r="U74">
        <v>0.31</v>
      </c>
      <c r="V74">
        <v>11.7</v>
      </c>
      <c r="W74">
        <v>379.5</v>
      </c>
      <c r="X74">
        <v>0.1</v>
      </c>
      <c r="Y74">
        <v>84.9</v>
      </c>
      <c r="Z74">
        <v>23.1</v>
      </c>
      <c r="AA74">
        <v>107.9</v>
      </c>
      <c r="AB74">
        <v>49.5</v>
      </c>
      <c r="AC74">
        <v>1.4</v>
      </c>
      <c r="AD74">
        <v>0.19</v>
      </c>
      <c r="AE74">
        <v>6.7</v>
      </c>
      <c r="AF74">
        <v>220.9</v>
      </c>
      <c r="AG74">
        <v>0.06</v>
      </c>
      <c r="AH74">
        <v>49.6</v>
      </c>
      <c r="AI74">
        <v>13.3</v>
      </c>
      <c r="AJ74">
        <v>62.9</v>
      </c>
      <c r="AK74">
        <v>79.2</v>
      </c>
      <c r="AL74">
        <v>1.8</v>
      </c>
      <c r="AM74">
        <v>0.22</v>
      </c>
      <c r="AN74">
        <v>9.4</v>
      </c>
      <c r="AO74">
        <v>383.7</v>
      </c>
      <c r="AP74">
        <v>0.05</v>
      </c>
      <c r="AQ74">
        <v>79.3</v>
      </c>
      <c r="AR74">
        <v>20.8</v>
      </c>
      <c r="AS74">
        <v>100.1</v>
      </c>
      <c r="AT74">
        <v>546</v>
      </c>
      <c r="AU74">
        <v>27</v>
      </c>
      <c r="AV74">
        <v>3.81</v>
      </c>
      <c r="AW74">
        <v>52.2</v>
      </c>
      <c r="AX74">
        <v>2141.4</v>
      </c>
      <c r="AY74">
        <v>0.39</v>
      </c>
      <c r="AZ74">
        <v>547.79999999999995</v>
      </c>
      <c r="BA74">
        <v>116.2</v>
      </c>
      <c r="BB74">
        <v>664</v>
      </c>
      <c r="BC74">
        <v>15140291.699999999</v>
      </c>
      <c r="BD74">
        <v>402.3</v>
      </c>
      <c r="BE74">
        <v>56</v>
      </c>
      <c r="BF74">
        <v>2097710.1</v>
      </c>
      <c r="BG74">
        <v>67800.899999999994</v>
      </c>
      <c r="BH74">
        <v>18</v>
      </c>
      <c r="BI74">
        <v>15167567.5</v>
      </c>
      <c r="BJ74">
        <v>4123081.1</v>
      </c>
      <c r="BK74">
        <v>19290648.600000001</v>
      </c>
      <c r="BL74">
        <v>0</v>
      </c>
      <c r="BM74">
        <v>25.54</v>
      </c>
      <c r="BN74">
        <v>13.39</v>
      </c>
      <c r="BO74">
        <v>3.19</v>
      </c>
      <c r="BP74">
        <v>42.12</v>
      </c>
      <c r="BQ74">
        <v>27.44</v>
      </c>
      <c r="BR74">
        <v>15.05</v>
      </c>
      <c r="BS74">
        <v>3.38</v>
      </c>
      <c r="BT74">
        <v>45.87</v>
      </c>
      <c r="BU74">
        <v>180624690</v>
      </c>
      <c r="BV74">
        <v>61705270</v>
      </c>
      <c r="BW74">
        <v>4723330.5</v>
      </c>
      <c r="BX74">
        <v>1961062.8</v>
      </c>
      <c r="BY74">
        <v>0</v>
      </c>
      <c r="BZ74">
        <v>24763826</v>
      </c>
      <c r="CA74">
        <v>414425.1</v>
      </c>
      <c r="CB74">
        <v>0</v>
      </c>
      <c r="CC74">
        <v>0</v>
      </c>
      <c r="CD74">
        <v>4275024</v>
      </c>
      <c r="CE74">
        <v>28210400</v>
      </c>
      <c r="CF74">
        <v>0</v>
      </c>
      <c r="CG74">
        <v>833810</v>
      </c>
      <c r="CH74">
        <v>0</v>
      </c>
      <c r="CI74">
        <v>27743686</v>
      </c>
      <c r="CJ74">
        <v>25199000</v>
      </c>
      <c r="CK74">
        <v>3488283.2</v>
      </c>
      <c r="CL74">
        <v>1581585.2</v>
      </c>
      <c r="CM74">
        <v>0</v>
      </c>
      <c r="CN74">
        <v>25401616</v>
      </c>
      <c r="CO74">
        <v>16682117</v>
      </c>
      <c r="CP74">
        <v>15346520</v>
      </c>
      <c r="CQ74">
        <v>4061.8</v>
      </c>
      <c r="CR74">
        <v>394.6</v>
      </c>
      <c r="CS74">
        <v>0</v>
      </c>
      <c r="CT74">
        <v>370</v>
      </c>
      <c r="CU74">
        <v>0</v>
      </c>
      <c r="CV74">
        <v>0</v>
      </c>
      <c r="CW74">
        <v>3362.3</v>
      </c>
      <c r="CX74">
        <v>9682.5</v>
      </c>
      <c r="CY74">
        <v>0</v>
      </c>
      <c r="CZ74">
        <v>1884.1</v>
      </c>
      <c r="DA74">
        <v>0</v>
      </c>
      <c r="DB74">
        <v>4739.5</v>
      </c>
      <c r="DC74">
        <v>3203</v>
      </c>
      <c r="DD74">
        <v>9999.2999999999993</v>
      </c>
      <c r="DE74">
        <v>1427.1</v>
      </c>
      <c r="DF74">
        <v>0</v>
      </c>
      <c r="DG74">
        <v>12897.6</v>
      </c>
      <c r="DH74">
        <v>4318</v>
      </c>
      <c r="DI74">
        <v>5119.5</v>
      </c>
      <c r="DJ74">
        <v>14698.3</v>
      </c>
      <c r="DK74">
        <v>14271</v>
      </c>
      <c r="DL74">
        <v>0</v>
      </c>
      <c r="DM74">
        <v>0</v>
      </c>
    </row>
    <row r="75" spans="1:117" x14ac:dyDescent="0.3">
      <c r="A75" t="s">
        <v>162</v>
      </c>
      <c r="B75">
        <v>2035</v>
      </c>
      <c r="C75">
        <v>188153490</v>
      </c>
      <c r="D75">
        <v>10065476</v>
      </c>
      <c r="E75">
        <v>2000913.6</v>
      </c>
      <c r="F75">
        <v>657889.30000000005</v>
      </c>
      <c r="G75">
        <v>200877764.19999999</v>
      </c>
      <c r="H75">
        <v>181387290.59999999</v>
      </c>
      <c r="I75">
        <v>113573716</v>
      </c>
      <c r="J75">
        <v>27884294</v>
      </c>
      <c r="K75">
        <v>35595780</v>
      </c>
      <c r="L75">
        <v>3.5900000000000001E-2</v>
      </c>
      <c r="M75">
        <v>5.3999999999999999E-2</v>
      </c>
      <c r="N75">
        <v>0.15</v>
      </c>
      <c r="O75">
        <v>95078.41</v>
      </c>
      <c r="P75">
        <v>43568</v>
      </c>
      <c r="Q75">
        <v>0.84</v>
      </c>
      <c r="R75">
        <v>0.95</v>
      </c>
      <c r="S75">
        <v>65.900000000000006</v>
      </c>
      <c r="T75">
        <v>1.4</v>
      </c>
      <c r="U75">
        <v>0.17</v>
      </c>
      <c r="V75">
        <v>9.3000000000000007</v>
      </c>
      <c r="W75">
        <v>324.2</v>
      </c>
      <c r="X75">
        <v>7.0000000000000007E-2</v>
      </c>
      <c r="Y75">
        <v>66</v>
      </c>
      <c r="Z75">
        <v>18.899999999999999</v>
      </c>
      <c r="AA75">
        <v>85</v>
      </c>
      <c r="AB75">
        <v>22.4</v>
      </c>
      <c r="AC75">
        <v>0.5</v>
      </c>
      <c r="AD75">
        <v>7.0000000000000007E-2</v>
      </c>
      <c r="AE75">
        <v>3</v>
      </c>
      <c r="AF75">
        <v>108.9</v>
      </c>
      <c r="AG75">
        <v>0.02</v>
      </c>
      <c r="AH75">
        <v>22.4</v>
      </c>
      <c r="AI75">
        <v>6.3</v>
      </c>
      <c r="AJ75">
        <v>28.7</v>
      </c>
      <c r="AK75">
        <v>24.1</v>
      </c>
      <c r="AL75">
        <v>0.6</v>
      </c>
      <c r="AM75">
        <v>7.0000000000000007E-2</v>
      </c>
      <c r="AN75">
        <v>2.8</v>
      </c>
      <c r="AO75">
        <v>116.5</v>
      </c>
      <c r="AP75">
        <v>0.01</v>
      </c>
      <c r="AQ75">
        <v>24.1</v>
      </c>
      <c r="AR75">
        <v>6.3</v>
      </c>
      <c r="AS75">
        <v>30.4</v>
      </c>
      <c r="AT75">
        <v>485.1</v>
      </c>
      <c r="AU75">
        <v>21.6</v>
      </c>
      <c r="AV75">
        <v>2.95</v>
      </c>
      <c r="AW75">
        <v>47.8</v>
      </c>
      <c r="AX75">
        <v>2043.2</v>
      </c>
      <c r="AY75">
        <v>0.3</v>
      </c>
      <c r="AZ75">
        <v>486.5</v>
      </c>
      <c r="BA75">
        <v>108.8</v>
      </c>
      <c r="BB75">
        <v>595.29999999999995</v>
      </c>
      <c r="BC75">
        <v>13538867.300000001</v>
      </c>
      <c r="BD75">
        <v>286.10000000000002</v>
      </c>
      <c r="BE75">
        <v>34.5</v>
      </c>
      <c r="BF75">
        <v>1902955.9</v>
      </c>
      <c r="BG75">
        <v>66740.7</v>
      </c>
      <c r="BH75">
        <v>13.8</v>
      </c>
      <c r="BI75">
        <v>13556807.1</v>
      </c>
      <c r="BJ75">
        <v>3895599.9</v>
      </c>
      <c r="BK75">
        <v>17452406.899999999</v>
      </c>
      <c r="BL75">
        <v>0</v>
      </c>
      <c r="BM75">
        <v>23.49</v>
      </c>
      <c r="BN75">
        <v>17.21</v>
      </c>
      <c r="BO75">
        <v>1.89</v>
      </c>
      <c r="BP75">
        <v>42.59</v>
      </c>
      <c r="BQ75">
        <v>25.45</v>
      </c>
      <c r="BR75">
        <v>19.66</v>
      </c>
      <c r="BS75">
        <v>2.0099999999999998</v>
      </c>
      <c r="BT75">
        <v>47.11</v>
      </c>
      <c r="BU75">
        <v>208712320</v>
      </c>
      <c r="BV75">
        <v>87304050</v>
      </c>
      <c r="BW75">
        <v>8587086</v>
      </c>
      <c r="BX75">
        <v>1506783.8</v>
      </c>
      <c r="BY75">
        <v>0</v>
      </c>
      <c r="BZ75">
        <v>24044820</v>
      </c>
      <c r="CA75">
        <v>0</v>
      </c>
      <c r="CB75">
        <v>0</v>
      </c>
      <c r="CC75">
        <v>0</v>
      </c>
      <c r="CD75">
        <v>5264557.5</v>
      </c>
      <c r="CE75">
        <v>31161808</v>
      </c>
      <c r="CF75">
        <v>0</v>
      </c>
      <c r="CG75">
        <v>642655.9</v>
      </c>
      <c r="CH75">
        <v>0</v>
      </c>
      <c r="CI75">
        <v>27323588</v>
      </c>
      <c r="CJ75">
        <v>24941010</v>
      </c>
      <c r="CK75">
        <v>1592315.2</v>
      </c>
      <c r="CL75">
        <v>1608202.9</v>
      </c>
      <c r="CM75">
        <v>0</v>
      </c>
      <c r="CN75">
        <v>33781890</v>
      </c>
      <c r="CO75">
        <v>16661789</v>
      </c>
      <c r="CP75">
        <v>31595812</v>
      </c>
      <c r="CQ75">
        <v>6054.5</v>
      </c>
      <c r="CR75">
        <v>339.6</v>
      </c>
      <c r="CS75">
        <v>0</v>
      </c>
      <c r="CT75">
        <v>0</v>
      </c>
      <c r="CU75">
        <v>0</v>
      </c>
      <c r="CV75">
        <v>0</v>
      </c>
      <c r="CW75">
        <v>4221.7</v>
      </c>
      <c r="CX75">
        <v>10733.2</v>
      </c>
      <c r="CY75">
        <v>0</v>
      </c>
      <c r="CZ75">
        <v>1952.3</v>
      </c>
      <c r="DA75">
        <v>0</v>
      </c>
      <c r="DB75">
        <v>4753.8</v>
      </c>
      <c r="DC75">
        <v>3203</v>
      </c>
      <c r="DD75">
        <v>9050.6</v>
      </c>
      <c r="DE75">
        <v>1427.1</v>
      </c>
      <c r="DF75">
        <v>0</v>
      </c>
      <c r="DG75">
        <v>17442.7</v>
      </c>
      <c r="DH75">
        <v>9000</v>
      </c>
      <c r="DI75">
        <v>5156.1000000000004</v>
      </c>
      <c r="DJ75">
        <v>28173.1</v>
      </c>
      <c r="DK75">
        <v>14271</v>
      </c>
      <c r="DL75">
        <v>0</v>
      </c>
      <c r="DM75">
        <v>0</v>
      </c>
    </row>
    <row r="76" spans="1:117" x14ac:dyDescent="0.3">
      <c r="A76" t="s">
        <v>162</v>
      </c>
      <c r="B76">
        <v>2040</v>
      </c>
      <c r="C76">
        <v>211780350</v>
      </c>
      <c r="D76">
        <v>14456061</v>
      </c>
      <c r="E76">
        <v>2159244</v>
      </c>
      <c r="F76">
        <v>673237.9</v>
      </c>
      <c r="G76">
        <v>229068894.59999999</v>
      </c>
      <c r="H76">
        <v>204163474.5</v>
      </c>
      <c r="I76">
        <v>108402857</v>
      </c>
      <c r="J76">
        <v>18872156</v>
      </c>
      <c r="K76">
        <v>46807884</v>
      </c>
      <c r="L76">
        <v>3.5999999999999997E-2</v>
      </c>
      <c r="M76">
        <v>5.3999999999999999E-2</v>
      </c>
      <c r="N76">
        <v>0.15</v>
      </c>
      <c r="O76">
        <v>96501.68</v>
      </c>
      <c r="P76">
        <v>48796.7</v>
      </c>
      <c r="Q76">
        <v>0.82</v>
      </c>
      <c r="R76">
        <v>1</v>
      </c>
      <c r="S76">
        <v>75.7</v>
      </c>
      <c r="T76">
        <v>1.6</v>
      </c>
      <c r="U76">
        <v>0.19</v>
      </c>
      <c r="V76">
        <v>10.1</v>
      </c>
      <c r="W76">
        <v>375</v>
      </c>
      <c r="X76">
        <v>7.0000000000000007E-2</v>
      </c>
      <c r="Y76">
        <v>75.8</v>
      </c>
      <c r="Z76">
        <v>21.3</v>
      </c>
      <c r="AA76">
        <v>97.1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7.5</v>
      </c>
      <c r="AL76">
        <v>0.2</v>
      </c>
      <c r="AM76">
        <v>0.02</v>
      </c>
      <c r="AN76">
        <v>0.9</v>
      </c>
      <c r="AO76">
        <v>38</v>
      </c>
      <c r="AP76">
        <v>0</v>
      </c>
      <c r="AQ76">
        <v>7.5</v>
      </c>
      <c r="AR76">
        <v>2</v>
      </c>
      <c r="AS76">
        <v>9.5</v>
      </c>
      <c r="AT76">
        <v>464.4</v>
      </c>
      <c r="AU76">
        <v>18.2</v>
      </c>
      <c r="AV76">
        <v>2.4300000000000002</v>
      </c>
      <c r="AW76">
        <v>48.1</v>
      </c>
      <c r="AX76">
        <v>2040.9</v>
      </c>
      <c r="AY76">
        <v>0.28999999999999998</v>
      </c>
      <c r="AZ76">
        <v>465.6</v>
      </c>
      <c r="BA76">
        <v>109</v>
      </c>
      <c r="BB76">
        <v>574.6</v>
      </c>
      <c r="BC76">
        <v>19121351.699999999</v>
      </c>
      <c r="BD76">
        <v>397.1</v>
      </c>
      <c r="BE76">
        <v>46.7</v>
      </c>
      <c r="BF76">
        <v>2562340.5</v>
      </c>
      <c r="BG76">
        <v>95048.6</v>
      </c>
      <c r="BH76">
        <v>16.7</v>
      </c>
      <c r="BI76">
        <v>19145930.100000001</v>
      </c>
      <c r="BJ76">
        <v>5399339.0999999996</v>
      </c>
      <c r="BK76">
        <v>24545269.300000001</v>
      </c>
      <c r="BL76">
        <v>0</v>
      </c>
      <c r="BM76">
        <v>22.04</v>
      </c>
      <c r="BN76">
        <v>17.88</v>
      </c>
      <c r="BO76">
        <v>2.69</v>
      </c>
      <c r="BP76">
        <v>42.6</v>
      </c>
      <c r="BQ76">
        <v>24.08</v>
      </c>
      <c r="BR76">
        <v>20.69</v>
      </c>
      <c r="BS76">
        <v>2.89</v>
      </c>
      <c r="BT76">
        <v>47.66</v>
      </c>
      <c r="BU76">
        <v>257232690</v>
      </c>
      <c r="BV76">
        <v>120666030</v>
      </c>
      <c r="BW76">
        <v>12295237</v>
      </c>
      <c r="BX76">
        <v>1471275.6</v>
      </c>
      <c r="BY76">
        <v>0</v>
      </c>
      <c r="BZ76">
        <v>23035360</v>
      </c>
      <c r="CA76">
        <v>0</v>
      </c>
      <c r="CB76">
        <v>0</v>
      </c>
      <c r="CC76">
        <v>0</v>
      </c>
      <c r="CD76">
        <v>5379280</v>
      </c>
      <c r="CE76">
        <v>40766670</v>
      </c>
      <c r="CF76">
        <v>0</v>
      </c>
      <c r="CG76">
        <v>3699440.8</v>
      </c>
      <c r="CH76">
        <v>0</v>
      </c>
      <c r="CI76">
        <v>26999984</v>
      </c>
      <c r="CJ76">
        <v>24676794</v>
      </c>
      <c r="CK76">
        <v>1902090.8</v>
      </c>
      <c r="CL76">
        <v>1719797.8</v>
      </c>
      <c r="CM76">
        <v>0</v>
      </c>
      <c r="CN76">
        <v>57764940</v>
      </c>
      <c r="CO76">
        <v>26383208</v>
      </c>
      <c r="CP76">
        <v>31138612</v>
      </c>
      <c r="CQ76">
        <v>7813.8</v>
      </c>
      <c r="CR76">
        <v>339.6</v>
      </c>
      <c r="CS76">
        <v>0</v>
      </c>
      <c r="CT76">
        <v>0</v>
      </c>
      <c r="CU76">
        <v>0</v>
      </c>
      <c r="CV76">
        <v>0</v>
      </c>
      <c r="CW76">
        <v>4506.8999999999996</v>
      </c>
      <c r="CX76">
        <v>12042.6</v>
      </c>
      <c r="CY76">
        <v>0</v>
      </c>
      <c r="CZ76">
        <v>4679</v>
      </c>
      <c r="DA76">
        <v>0</v>
      </c>
      <c r="DB76">
        <v>4769.3</v>
      </c>
      <c r="DC76">
        <v>3203</v>
      </c>
      <c r="DD76">
        <v>6235</v>
      </c>
      <c r="DE76">
        <v>1427.1</v>
      </c>
      <c r="DF76">
        <v>0</v>
      </c>
      <c r="DG76">
        <v>29598.799999999999</v>
      </c>
      <c r="DH76">
        <v>9000</v>
      </c>
      <c r="DI76">
        <v>7374.4</v>
      </c>
      <c r="DJ76">
        <v>41231.699999999997</v>
      </c>
      <c r="DK76">
        <v>14271</v>
      </c>
      <c r="DL76">
        <v>0</v>
      </c>
      <c r="DM76">
        <v>0</v>
      </c>
    </row>
    <row r="77" spans="1:117" x14ac:dyDescent="0.3">
      <c r="A77" t="s">
        <v>162</v>
      </c>
      <c r="B77">
        <v>2045</v>
      </c>
      <c r="C77">
        <v>232947120</v>
      </c>
      <c r="D77">
        <v>19366184</v>
      </c>
      <c r="E77">
        <v>2240189.5</v>
      </c>
      <c r="F77">
        <v>713968.2</v>
      </c>
      <c r="G77">
        <v>255267469.69999999</v>
      </c>
      <c r="H77">
        <v>224568203.19999999</v>
      </c>
      <c r="I77">
        <v>118725365.40000001</v>
      </c>
      <c r="J77">
        <v>16005058</v>
      </c>
      <c r="K77">
        <v>53289544</v>
      </c>
      <c r="L77">
        <v>3.5999999999999997E-2</v>
      </c>
      <c r="M77">
        <v>5.3999999999999999E-2</v>
      </c>
      <c r="N77">
        <v>0.15</v>
      </c>
      <c r="O77">
        <v>94585.53</v>
      </c>
      <c r="P77">
        <v>53946.5</v>
      </c>
      <c r="Q77">
        <v>0.79</v>
      </c>
      <c r="R77">
        <v>1</v>
      </c>
      <c r="S77">
        <v>90.7</v>
      </c>
      <c r="T77">
        <v>1.9</v>
      </c>
      <c r="U77">
        <v>0.22</v>
      </c>
      <c r="V77">
        <v>11.8</v>
      </c>
      <c r="W77">
        <v>448.5</v>
      </c>
      <c r="X77">
        <v>7.0000000000000007E-2</v>
      </c>
      <c r="Y77">
        <v>90.8</v>
      </c>
      <c r="Z77">
        <v>25.2</v>
      </c>
      <c r="AA77">
        <v>116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476.5</v>
      </c>
      <c r="AU77">
        <v>16.8</v>
      </c>
      <c r="AV77">
        <v>2.2200000000000002</v>
      </c>
      <c r="AW77">
        <v>50.9</v>
      </c>
      <c r="AX77">
        <v>2146.6</v>
      </c>
      <c r="AY77">
        <v>0.28999999999999998</v>
      </c>
      <c r="AZ77">
        <v>477.6</v>
      </c>
      <c r="BA77">
        <v>115</v>
      </c>
      <c r="BB77">
        <v>592.6</v>
      </c>
      <c r="BC77">
        <v>26139935.699999999</v>
      </c>
      <c r="BD77">
        <v>544.20000000000005</v>
      </c>
      <c r="BE77">
        <v>64.2</v>
      </c>
      <c r="BF77">
        <v>3399877</v>
      </c>
      <c r="BG77">
        <v>129517.5</v>
      </c>
      <c r="BH77">
        <v>21</v>
      </c>
      <c r="BI77">
        <v>26173673.899999999</v>
      </c>
      <c r="BJ77">
        <v>7265222.4000000004</v>
      </c>
      <c r="BK77">
        <v>33438896.300000001</v>
      </c>
      <c r="BL77">
        <v>0</v>
      </c>
      <c r="BM77">
        <v>21.4</v>
      </c>
      <c r="BN77">
        <v>18.03</v>
      </c>
      <c r="BO77">
        <v>1.52</v>
      </c>
      <c r="BP77">
        <v>40.950000000000003</v>
      </c>
      <c r="BQ77">
        <v>23.46</v>
      </c>
      <c r="BR77">
        <v>21.18</v>
      </c>
      <c r="BS77">
        <v>1.62</v>
      </c>
      <c r="BT77">
        <v>46.27</v>
      </c>
      <c r="BU77">
        <v>292803260</v>
      </c>
      <c r="BV77">
        <v>136542110</v>
      </c>
      <c r="BW77">
        <v>16507154</v>
      </c>
      <c r="BX77">
        <v>1469692.1</v>
      </c>
      <c r="BY77">
        <v>0</v>
      </c>
      <c r="BZ77">
        <v>23074822</v>
      </c>
      <c r="CA77">
        <v>0</v>
      </c>
      <c r="CB77">
        <v>0</v>
      </c>
      <c r="CC77">
        <v>0</v>
      </c>
      <c r="CD77">
        <v>6139105.5</v>
      </c>
      <c r="CE77">
        <v>50869090</v>
      </c>
      <c r="CF77">
        <v>0</v>
      </c>
      <c r="CG77">
        <v>8172601</v>
      </c>
      <c r="CH77">
        <v>0</v>
      </c>
      <c r="CI77">
        <v>27125674</v>
      </c>
      <c r="CJ77">
        <v>24639800</v>
      </c>
      <c r="CK77">
        <v>2595776.7999999998</v>
      </c>
      <c r="CL77">
        <v>1806547.8</v>
      </c>
      <c r="CM77">
        <v>0</v>
      </c>
      <c r="CN77">
        <v>68178290</v>
      </c>
      <c r="CO77">
        <v>31559820</v>
      </c>
      <c r="CP77">
        <v>30664890</v>
      </c>
      <c r="CQ77">
        <v>10756.9</v>
      </c>
      <c r="CR77">
        <v>339.6</v>
      </c>
      <c r="CS77">
        <v>0</v>
      </c>
      <c r="CT77">
        <v>0</v>
      </c>
      <c r="CU77">
        <v>0</v>
      </c>
      <c r="CV77">
        <v>0</v>
      </c>
      <c r="CW77">
        <v>5240.2</v>
      </c>
      <c r="CX77">
        <v>12997.2</v>
      </c>
      <c r="CY77">
        <v>0</v>
      </c>
      <c r="CZ77">
        <v>7121.6</v>
      </c>
      <c r="DA77">
        <v>0</v>
      </c>
      <c r="DB77">
        <v>4790.5</v>
      </c>
      <c r="DC77">
        <v>3203</v>
      </c>
      <c r="DD77">
        <v>4920.6000000000004</v>
      </c>
      <c r="DE77">
        <v>1427.1</v>
      </c>
      <c r="DF77">
        <v>0</v>
      </c>
      <c r="DG77">
        <v>35554.5</v>
      </c>
      <c r="DH77">
        <v>9000</v>
      </c>
      <c r="DI77">
        <v>8776.9</v>
      </c>
      <c r="DJ77">
        <v>55241.3</v>
      </c>
      <c r="DK77">
        <v>14271</v>
      </c>
      <c r="DL77">
        <v>0</v>
      </c>
      <c r="DM77">
        <v>0</v>
      </c>
    </row>
    <row r="78" spans="1:117" x14ac:dyDescent="0.3">
      <c r="A78" t="s">
        <v>162</v>
      </c>
      <c r="B78">
        <v>2050</v>
      </c>
      <c r="C78">
        <v>252594940</v>
      </c>
      <c r="D78">
        <v>27046940</v>
      </c>
      <c r="E78">
        <v>2503796.5</v>
      </c>
      <c r="F78">
        <v>761291</v>
      </c>
      <c r="G78">
        <v>282906971.10000002</v>
      </c>
      <c r="H78">
        <v>243509000.59999999</v>
      </c>
      <c r="I78">
        <v>121408739</v>
      </c>
      <c r="J78">
        <v>16986776</v>
      </c>
      <c r="K78">
        <v>56783750</v>
      </c>
      <c r="L78">
        <v>3.5999999999999997E-2</v>
      </c>
      <c r="M78">
        <v>5.3999999999999999E-2</v>
      </c>
      <c r="N78">
        <v>0.15</v>
      </c>
      <c r="O78">
        <v>93229.89</v>
      </c>
      <c r="P78">
        <v>59880.2</v>
      </c>
      <c r="Q78">
        <v>0.78</v>
      </c>
      <c r="R78">
        <v>1</v>
      </c>
      <c r="S78">
        <v>96</v>
      </c>
      <c r="T78">
        <v>1.9</v>
      </c>
      <c r="U78">
        <v>0.19</v>
      </c>
      <c r="V78">
        <v>12</v>
      </c>
      <c r="W78">
        <v>496.8</v>
      </c>
      <c r="X78">
        <v>0.06</v>
      </c>
      <c r="Y78">
        <v>96.2</v>
      </c>
      <c r="Z78">
        <v>26.8</v>
      </c>
      <c r="AA78">
        <v>123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449.8</v>
      </c>
      <c r="AU78">
        <v>13</v>
      </c>
      <c r="AV78">
        <v>1.63</v>
      </c>
      <c r="AW78">
        <v>50.4</v>
      </c>
      <c r="AX78">
        <v>2136.1</v>
      </c>
      <c r="AY78">
        <v>0.26</v>
      </c>
      <c r="AZ78">
        <v>450.7</v>
      </c>
      <c r="BA78">
        <v>114.1</v>
      </c>
      <c r="BB78">
        <v>564.79999999999995</v>
      </c>
      <c r="BC78">
        <v>30554382.699999999</v>
      </c>
      <c r="BD78">
        <v>589.5</v>
      </c>
      <c r="BE78">
        <v>61.5</v>
      </c>
      <c r="BF78">
        <v>3811710.9</v>
      </c>
      <c r="BG78">
        <v>158116</v>
      </c>
      <c r="BH78">
        <v>17.8</v>
      </c>
      <c r="BI78">
        <v>30588747.800000001</v>
      </c>
      <c r="BJ78">
        <v>8528421.1999999993</v>
      </c>
      <c r="BK78">
        <v>39117169</v>
      </c>
      <c r="BL78">
        <v>0</v>
      </c>
      <c r="BM78">
        <v>20.62</v>
      </c>
      <c r="BN78">
        <v>17.690000000000001</v>
      </c>
      <c r="BO78">
        <v>0.99</v>
      </c>
      <c r="BP78">
        <v>39.29</v>
      </c>
      <c r="BQ78">
        <v>22.99</v>
      </c>
      <c r="BR78">
        <v>21.25</v>
      </c>
      <c r="BS78">
        <v>1.07</v>
      </c>
      <c r="BT78">
        <v>45.32</v>
      </c>
      <c r="BU78">
        <v>322956860</v>
      </c>
      <c r="BV78">
        <v>161498240</v>
      </c>
      <c r="BW78">
        <v>23034096</v>
      </c>
      <c r="BX78">
        <v>1415974.5</v>
      </c>
      <c r="BY78">
        <v>0</v>
      </c>
      <c r="BZ78">
        <v>23067128</v>
      </c>
      <c r="CA78">
        <v>0</v>
      </c>
      <c r="CB78">
        <v>0</v>
      </c>
      <c r="CC78">
        <v>0</v>
      </c>
      <c r="CD78">
        <v>6511819</v>
      </c>
      <c r="CE78">
        <v>50224296</v>
      </c>
      <c r="CF78">
        <v>0</v>
      </c>
      <c r="CG78">
        <v>19741274</v>
      </c>
      <c r="CH78">
        <v>0</v>
      </c>
      <c r="CI78">
        <v>26185952</v>
      </c>
      <c r="CJ78">
        <v>15078731</v>
      </c>
      <c r="CK78">
        <v>685520.8</v>
      </c>
      <c r="CL78">
        <v>2025671.6</v>
      </c>
      <c r="CM78">
        <v>0</v>
      </c>
      <c r="CN78">
        <v>90047340</v>
      </c>
      <c r="CO78">
        <v>34886870</v>
      </c>
      <c r="CP78">
        <v>30052202</v>
      </c>
      <c r="CQ78">
        <v>14199.4</v>
      </c>
      <c r="CR78">
        <v>339.6</v>
      </c>
      <c r="CS78">
        <v>0</v>
      </c>
      <c r="CT78">
        <v>0</v>
      </c>
      <c r="CU78">
        <v>0</v>
      </c>
      <c r="CV78">
        <v>0</v>
      </c>
      <c r="CW78">
        <v>5880.6</v>
      </c>
      <c r="CX78">
        <v>10323</v>
      </c>
      <c r="CY78">
        <v>0</v>
      </c>
      <c r="CZ78">
        <v>14302.3</v>
      </c>
      <c r="DA78">
        <v>0</v>
      </c>
      <c r="DB78">
        <v>4804.8</v>
      </c>
      <c r="DC78">
        <v>1991.6</v>
      </c>
      <c r="DD78">
        <v>1427.1</v>
      </c>
      <c r="DE78">
        <v>1427.1</v>
      </c>
      <c r="DF78">
        <v>0</v>
      </c>
      <c r="DG78">
        <v>47442.9</v>
      </c>
      <c r="DH78">
        <v>9000</v>
      </c>
      <c r="DI78">
        <v>9767.5</v>
      </c>
      <c r="DJ78">
        <v>76359.600000000006</v>
      </c>
      <c r="DK78">
        <v>14271</v>
      </c>
      <c r="DL78">
        <v>0</v>
      </c>
      <c r="DM78">
        <v>0</v>
      </c>
    </row>
    <row r="79" spans="1:117" x14ac:dyDescent="0.3">
      <c r="A79" t="s">
        <v>163</v>
      </c>
      <c r="B79">
        <v>2024</v>
      </c>
      <c r="C79">
        <v>294821630</v>
      </c>
      <c r="D79">
        <v>1059085.5</v>
      </c>
      <c r="E79">
        <v>1332420.8</v>
      </c>
      <c r="F79">
        <v>1549450.4</v>
      </c>
      <c r="G79">
        <v>298762598.30000001</v>
      </c>
      <c r="H79">
        <v>284221335.69999999</v>
      </c>
      <c r="I79">
        <v>249727140.5</v>
      </c>
      <c r="J79">
        <v>76535230</v>
      </c>
      <c r="K79">
        <v>113953520</v>
      </c>
      <c r="L79">
        <v>3.5900000000000001E-2</v>
      </c>
      <c r="M79">
        <v>5.3999999999999999E-2</v>
      </c>
      <c r="N79">
        <v>0.14599999999999999</v>
      </c>
      <c r="O79">
        <v>10713.66</v>
      </c>
      <c r="P79">
        <v>69313.5</v>
      </c>
      <c r="Q79">
        <v>0.47</v>
      </c>
      <c r="R79">
        <v>0.46</v>
      </c>
      <c r="S79">
        <v>233.8</v>
      </c>
      <c r="T79">
        <v>8.9</v>
      </c>
      <c r="U79">
        <v>1.1299999999999999</v>
      </c>
      <c r="V79">
        <v>26.6</v>
      </c>
      <c r="W79">
        <v>1084</v>
      </c>
      <c r="X79">
        <v>0.17</v>
      </c>
      <c r="Y79">
        <v>234.4</v>
      </c>
      <c r="Z79">
        <v>58.9</v>
      </c>
      <c r="AA79">
        <v>293.3</v>
      </c>
      <c r="AB79">
        <v>251.9</v>
      </c>
      <c r="AC79">
        <v>10.4</v>
      </c>
      <c r="AD79">
        <v>1.35</v>
      </c>
      <c r="AE79">
        <v>27.8</v>
      </c>
      <c r="AF79">
        <v>1141.3</v>
      </c>
      <c r="AG79">
        <v>0.18</v>
      </c>
      <c r="AH79">
        <v>252.5</v>
      </c>
      <c r="AI79">
        <v>61.8</v>
      </c>
      <c r="AJ79">
        <v>314.39999999999998</v>
      </c>
      <c r="AK79">
        <v>357</v>
      </c>
      <c r="AL79">
        <v>21.1</v>
      </c>
      <c r="AM79">
        <v>2.95</v>
      </c>
      <c r="AN79">
        <v>29.8</v>
      </c>
      <c r="AO79">
        <v>1363.2</v>
      </c>
      <c r="AP79">
        <v>0.2</v>
      </c>
      <c r="AQ79">
        <v>358.4</v>
      </c>
      <c r="AR79">
        <v>70.400000000000006</v>
      </c>
      <c r="AS79">
        <v>428.9</v>
      </c>
      <c r="AT79">
        <v>727</v>
      </c>
      <c r="AU79">
        <v>52.4</v>
      </c>
      <c r="AV79">
        <v>7.51</v>
      </c>
      <c r="AW79">
        <v>52.7</v>
      </c>
      <c r="AX79">
        <v>2431.3000000000002</v>
      </c>
      <c r="AY79">
        <v>0.44</v>
      </c>
      <c r="AZ79">
        <v>730.6</v>
      </c>
      <c r="BA79">
        <v>125.2</v>
      </c>
      <c r="BB79">
        <v>855.8</v>
      </c>
      <c r="BC79">
        <v>78167966.299999997</v>
      </c>
      <c r="BD79">
        <v>2967.9</v>
      </c>
      <c r="BE79">
        <v>379.6</v>
      </c>
      <c r="BF79">
        <v>8887048.9000000004</v>
      </c>
      <c r="BG79">
        <v>362336.4</v>
      </c>
      <c r="BH79">
        <v>56.5</v>
      </c>
      <c r="BI79">
        <v>78360050.700000003</v>
      </c>
      <c r="BJ79">
        <v>19700097.600000001</v>
      </c>
      <c r="BK79">
        <v>98060148.299999997</v>
      </c>
      <c r="BL79">
        <v>0</v>
      </c>
      <c r="BM79">
        <v>31.66</v>
      </c>
      <c r="BN79">
        <v>2.29</v>
      </c>
      <c r="BO79">
        <v>7.0000000000000007E-2</v>
      </c>
      <c r="BP79">
        <v>34.020000000000003</v>
      </c>
      <c r="BQ79">
        <v>33.58</v>
      </c>
      <c r="BR79">
        <v>2.4900000000000002</v>
      </c>
      <c r="BS79">
        <v>0.08</v>
      </c>
      <c r="BT79">
        <v>36.15</v>
      </c>
      <c r="BU79">
        <v>336315900</v>
      </c>
      <c r="BV79">
        <v>49035456</v>
      </c>
      <c r="BW79">
        <v>889047.1</v>
      </c>
      <c r="BX79">
        <v>2687975.2</v>
      </c>
      <c r="BY79">
        <v>0</v>
      </c>
      <c r="BZ79">
        <v>0</v>
      </c>
      <c r="CA79">
        <v>14482765</v>
      </c>
      <c r="CB79">
        <v>0</v>
      </c>
      <c r="CC79">
        <v>0</v>
      </c>
      <c r="CD79">
        <v>7439097</v>
      </c>
      <c r="CE79">
        <v>162719340</v>
      </c>
      <c r="CF79">
        <v>0</v>
      </c>
      <c r="CG79">
        <v>768310.3</v>
      </c>
      <c r="CH79">
        <v>0</v>
      </c>
      <c r="CI79">
        <v>4541532.5</v>
      </c>
      <c r="CJ79">
        <v>99557010</v>
      </c>
      <c r="CK79">
        <v>556985.59999999998</v>
      </c>
      <c r="CL79">
        <v>1077489.3999999999</v>
      </c>
      <c r="CM79">
        <v>0</v>
      </c>
      <c r="CN79">
        <v>22116730</v>
      </c>
      <c r="CO79">
        <v>10218395</v>
      </c>
      <c r="CP79">
        <v>9261237</v>
      </c>
      <c r="CQ79">
        <v>1277.7</v>
      </c>
      <c r="CR79">
        <v>588.6</v>
      </c>
      <c r="CS79">
        <v>0</v>
      </c>
      <c r="CT79">
        <v>8088.9</v>
      </c>
      <c r="CU79">
        <v>0</v>
      </c>
      <c r="CV79">
        <v>0</v>
      </c>
      <c r="CW79">
        <v>5439.1</v>
      </c>
      <c r="CX79">
        <v>28321.4</v>
      </c>
      <c r="CY79">
        <v>0</v>
      </c>
      <c r="CZ79">
        <v>5760</v>
      </c>
      <c r="DA79">
        <v>0</v>
      </c>
      <c r="DB79">
        <v>1371.9</v>
      </c>
      <c r="DC79">
        <v>12467.7</v>
      </c>
      <c r="DD79">
        <v>8075.6</v>
      </c>
      <c r="DE79">
        <v>1992</v>
      </c>
      <c r="DF79">
        <v>0</v>
      </c>
      <c r="DG79">
        <v>10754.1</v>
      </c>
      <c r="DH79">
        <v>3331.1</v>
      </c>
      <c r="DI79">
        <v>2954.4</v>
      </c>
      <c r="DJ79">
        <v>2555.4</v>
      </c>
      <c r="DK79">
        <v>19920</v>
      </c>
      <c r="DL79">
        <v>0</v>
      </c>
      <c r="DM79">
        <v>0</v>
      </c>
    </row>
    <row r="80" spans="1:117" x14ac:dyDescent="0.3">
      <c r="A80" t="s">
        <v>163</v>
      </c>
      <c r="B80">
        <v>2026</v>
      </c>
      <c r="C80">
        <v>298601020</v>
      </c>
      <c r="D80">
        <v>1969067.8</v>
      </c>
      <c r="E80">
        <v>1942327.8</v>
      </c>
      <c r="F80">
        <v>1667878</v>
      </c>
      <c r="G80">
        <v>304180309.19999999</v>
      </c>
      <c r="H80">
        <v>287864678.80000001</v>
      </c>
      <c r="I80">
        <v>247005624.40000001</v>
      </c>
      <c r="J80">
        <v>81049050</v>
      </c>
      <c r="K80">
        <v>112032180</v>
      </c>
      <c r="L80">
        <v>3.5900000000000001E-2</v>
      </c>
      <c r="M80">
        <v>5.3999999999999999E-2</v>
      </c>
      <c r="N80">
        <v>0.14599999999999999</v>
      </c>
      <c r="O80">
        <v>46803.1</v>
      </c>
      <c r="P80">
        <v>70520.7</v>
      </c>
      <c r="Q80">
        <v>0.5</v>
      </c>
      <c r="R80">
        <v>0.5</v>
      </c>
      <c r="S80">
        <v>215.4</v>
      </c>
      <c r="T80">
        <v>7.6</v>
      </c>
      <c r="U80">
        <v>0.96</v>
      </c>
      <c r="V80">
        <v>25.2</v>
      </c>
      <c r="W80">
        <v>1017.4</v>
      </c>
      <c r="X80">
        <v>0.16</v>
      </c>
      <c r="Y80">
        <v>215.9</v>
      </c>
      <c r="Z80">
        <v>55.6</v>
      </c>
      <c r="AA80">
        <v>271.5</v>
      </c>
      <c r="AB80">
        <v>228.2</v>
      </c>
      <c r="AC80">
        <v>8.6999999999999993</v>
      </c>
      <c r="AD80">
        <v>1.1100000000000001</v>
      </c>
      <c r="AE80">
        <v>26.1</v>
      </c>
      <c r="AF80">
        <v>1058</v>
      </c>
      <c r="AG80">
        <v>0.17</v>
      </c>
      <c r="AH80">
        <v>228.7</v>
      </c>
      <c r="AI80">
        <v>57.7</v>
      </c>
      <c r="AJ80">
        <v>286.39999999999998</v>
      </c>
      <c r="AK80">
        <v>306.5</v>
      </c>
      <c r="AL80">
        <v>14</v>
      </c>
      <c r="AM80">
        <v>1.88</v>
      </c>
      <c r="AN80">
        <v>29.1</v>
      </c>
      <c r="AO80">
        <v>1314.7</v>
      </c>
      <c r="AP80">
        <v>0.16</v>
      </c>
      <c r="AQ80">
        <v>307.5</v>
      </c>
      <c r="AR80">
        <v>68.3</v>
      </c>
      <c r="AS80">
        <v>375.8</v>
      </c>
      <c r="AT80">
        <v>687.6</v>
      </c>
      <c r="AU80">
        <v>49.1</v>
      </c>
      <c r="AV80">
        <v>6.98</v>
      </c>
      <c r="AW80">
        <v>49.7</v>
      </c>
      <c r="AX80">
        <v>2358.1999999999998</v>
      </c>
      <c r="AY80">
        <v>0.39</v>
      </c>
      <c r="AZ80">
        <v>690.9</v>
      </c>
      <c r="BA80">
        <v>120.1</v>
      </c>
      <c r="BB80">
        <v>811</v>
      </c>
      <c r="BC80">
        <v>71781282.799999997</v>
      </c>
      <c r="BD80">
        <v>2540.9</v>
      </c>
      <c r="BE80">
        <v>319.89999999999998</v>
      </c>
      <c r="BF80">
        <v>8404179.4000000004</v>
      </c>
      <c r="BG80">
        <v>338967.4</v>
      </c>
      <c r="BH80">
        <v>53.3</v>
      </c>
      <c r="BI80">
        <v>71944338.799999997</v>
      </c>
      <c r="BJ80">
        <v>18519950.300000001</v>
      </c>
      <c r="BK80">
        <v>90464289.099999994</v>
      </c>
      <c r="BL80">
        <v>0</v>
      </c>
      <c r="BM80">
        <v>30.01</v>
      </c>
      <c r="BN80">
        <v>9.92</v>
      </c>
      <c r="BO80">
        <v>0.31</v>
      </c>
      <c r="BP80">
        <v>40.24</v>
      </c>
      <c r="BQ80">
        <v>31.88</v>
      </c>
      <c r="BR80">
        <v>10.88</v>
      </c>
      <c r="BS80">
        <v>0.33</v>
      </c>
      <c r="BT80">
        <v>43.08</v>
      </c>
      <c r="BU80">
        <v>335321060</v>
      </c>
      <c r="BV80">
        <v>57174680</v>
      </c>
      <c r="BW80">
        <v>1677783.2</v>
      </c>
      <c r="BX80">
        <v>2685536.5</v>
      </c>
      <c r="BY80">
        <v>0</v>
      </c>
      <c r="BZ80">
        <v>0</v>
      </c>
      <c r="CA80">
        <v>11574337</v>
      </c>
      <c r="CB80">
        <v>0</v>
      </c>
      <c r="CC80">
        <v>0</v>
      </c>
      <c r="CD80">
        <v>9486132</v>
      </c>
      <c r="CE80">
        <v>155428720</v>
      </c>
      <c r="CF80">
        <v>0</v>
      </c>
      <c r="CG80">
        <v>559884</v>
      </c>
      <c r="CH80">
        <v>0</v>
      </c>
      <c r="CI80">
        <v>4730131.5</v>
      </c>
      <c r="CJ80">
        <v>99479780</v>
      </c>
      <c r="CK80">
        <v>429423.2</v>
      </c>
      <c r="CL80">
        <v>1580769</v>
      </c>
      <c r="CM80">
        <v>0</v>
      </c>
      <c r="CN80">
        <v>21807864</v>
      </c>
      <c r="CO80">
        <v>10163292</v>
      </c>
      <c r="CP80">
        <v>15717395</v>
      </c>
      <c r="CQ80">
        <v>2047.6</v>
      </c>
      <c r="CR80">
        <v>588.6</v>
      </c>
      <c r="CS80">
        <v>0</v>
      </c>
      <c r="CT80">
        <v>8088.9</v>
      </c>
      <c r="CU80">
        <v>0</v>
      </c>
      <c r="CV80">
        <v>0</v>
      </c>
      <c r="CW80">
        <v>6959</v>
      </c>
      <c r="CX80">
        <v>28321.4</v>
      </c>
      <c r="CY80">
        <v>0</v>
      </c>
      <c r="CZ80">
        <v>5590.4</v>
      </c>
      <c r="DA80">
        <v>0</v>
      </c>
      <c r="DB80">
        <v>1424.9</v>
      </c>
      <c r="DC80">
        <v>12467.7</v>
      </c>
      <c r="DD80">
        <v>8075.6</v>
      </c>
      <c r="DE80">
        <v>1992</v>
      </c>
      <c r="DF80">
        <v>0</v>
      </c>
      <c r="DG80">
        <v>10754.1</v>
      </c>
      <c r="DH80">
        <v>5105.1000000000004</v>
      </c>
      <c r="DI80">
        <v>2954.4</v>
      </c>
      <c r="DJ80">
        <v>4564.3</v>
      </c>
      <c r="DK80">
        <v>19920</v>
      </c>
      <c r="DL80">
        <v>0</v>
      </c>
      <c r="DM80">
        <v>0</v>
      </c>
    </row>
    <row r="81" spans="1:117" x14ac:dyDescent="0.3">
      <c r="A81" t="s">
        <v>163</v>
      </c>
      <c r="B81">
        <v>2028</v>
      </c>
      <c r="C81">
        <v>307373950</v>
      </c>
      <c r="D81">
        <v>3868324.8</v>
      </c>
      <c r="E81">
        <v>2407739</v>
      </c>
      <c r="F81">
        <v>1911997.6</v>
      </c>
      <c r="G81">
        <v>315561998.19999999</v>
      </c>
      <c r="H81">
        <v>296321962.69999999</v>
      </c>
      <c r="I81">
        <v>246465387.30000001</v>
      </c>
      <c r="J81">
        <v>95384660</v>
      </c>
      <c r="K81">
        <v>123147820</v>
      </c>
      <c r="L81">
        <v>3.5900000000000001E-2</v>
      </c>
      <c r="M81">
        <v>5.3999999999999999E-2</v>
      </c>
      <c r="N81">
        <v>0.14599999999999999</v>
      </c>
      <c r="O81">
        <v>65655.820000000007</v>
      </c>
      <c r="P81">
        <v>73392.2</v>
      </c>
      <c r="Q81">
        <v>0.53</v>
      </c>
      <c r="R81">
        <v>0.53</v>
      </c>
      <c r="S81">
        <v>196.9</v>
      </c>
      <c r="T81">
        <v>6.1</v>
      </c>
      <c r="U81">
        <v>0.74</v>
      </c>
      <c r="V81">
        <v>24</v>
      </c>
      <c r="W81">
        <v>959.1</v>
      </c>
      <c r="X81">
        <v>0.15</v>
      </c>
      <c r="Y81">
        <v>197.3</v>
      </c>
      <c r="Z81">
        <v>52.7</v>
      </c>
      <c r="AA81">
        <v>250</v>
      </c>
      <c r="AB81">
        <v>206.6</v>
      </c>
      <c r="AC81">
        <v>6.9</v>
      </c>
      <c r="AD81">
        <v>0.86</v>
      </c>
      <c r="AE81">
        <v>24.6</v>
      </c>
      <c r="AF81">
        <v>987</v>
      </c>
      <c r="AG81">
        <v>0.16</v>
      </c>
      <c r="AH81">
        <v>207</v>
      </c>
      <c r="AI81">
        <v>54.1</v>
      </c>
      <c r="AJ81">
        <v>261.10000000000002</v>
      </c>
      <c r="AK81">
        <v>244.4</v>
      </c>
      <c r="AL81">
        <v>6</v>
      </c>
      <c r="AM81">
        <v>0.68</v>
      </c>
      <c r="AN81">
        <v>27.8</v>
      </c>
      <c r="AO81">
        <v>1227.7</v>
      </c>
      <c r="AP81">
        <v>0.11</v>
      </c>
      <c r="AQ81">
        <v>244.8</v>
      </c>
      <c r="AR81">
        <v>64.400000000000006</v>
      </c>
      <c r="AS81">
        <v>309.2</v>
      </c>
      <c r="AT81">
        <v>617.4</v>
      </c>
      <c r="AU81">
        <v>39.5</v>
      </c>
      <c r="AV81">
        <v>5.54</v>
      </c>
      <c r="AW81">
        <v>48.9</v>
      </c>
      <c r="AX81">
        <v>2274.3000000000002</v>
      </c>
      <c r="AY81">
        <v>0.34</v>
      </c>
      <c r="AZ81">
        <v>620.1</v>
      </c>
      <c r="BA81">
        <v>116.7</v>
      </c>
      <c r="BB81">
        <v>736.8</v>
      </c>
      <c r="BC81">
        <v>67213525.5</v>
      </c>
      <c r="BD81">
        <v>2072.8000000000002</v>
      </c>
      <c r="BE81">
        <v>252.2</v>
      </c>
      <c r="BF81">
        <v>8207154.7999999998</v>
      </c>
      <c r="BG81">
        <v>327292.40000000002</v>
      </c>
      <c r="BH81">
        <v>50.9</v>
      </c>
      <c r="BI81">
        <v>67344142.200000003</v>
      </c>
      <c r="BJ81">
        <v>17974362.699999999</v>
      </c>
      <c r="BK81">
        <v>85318504.900000006</v>
      </c>
      <c r="BL81">
        <v>0</v>
      </c>
      <c r="BM81">
        <v>26.91</v>
      </c>
      <c r="BN81">
        <v>13.79</v>
      </c>
      <c r="BO81">
        <v>0.26</v>
      </c>
      <c r="BP81">
        <v>40.96</v>
      </c>
      <c r="BQ81">
        <v>28.65</v>
      </c>
      <c r="BR81">
        <v>15.24</v>
      </c>
      <c r="BS81">
        <v>0.27</v>
      </c>
      <c r="BT81">
        <v>44.16</v>
      </c>
      <c r="BU81">
        <v>343520220</v>
      </c>
      <c r="BV81">
        <v>69096610</v>
      </c>
      <c r="BW81">
        <v>3276753.8</v>
      </c>
      <c r="BX81">
        <v>2666077.5</v>
      </c>
      <c r="BY81">
        <v>0</v>
      </c>
      <c r="BZ81">
        <v>0</v>
      </c>
      <c r="CA81">
        <v>7943589.5</v>
      </c>
      <c r="CB81">
        <v>0</v>
      </c>
      <c r="CC81">
        <v>0</v>
      </c>
      <c r="CD81">
        <v>11954482</v>
      </c>
      <c r="CE81">
        <v>153762220</v>
      </c>
      <c r="CF81">
        <v>0</v>
      </c>
      <c r="CG81">
        <v>524798.4</v>
      </c>
      <c r="CH81">
        <v>0</v>
      </c>
      <c r="CI81">
        <v>4706429</v>
      </c>
      <c r="CJ81">
        <v>99174480</v>
      </c>
      <c r="CK81">
        <v>382553.2</v>
      </c>
      <c r="CL81">
        <v>1986708.6</v>
      </c>
      <c r="CM81">
        <v>0</v>
      </c>
      <c r="CN81">
        <v>21505280</v>
      </c>
      <c r="CO81">
        <v>10108480</v>
      </c>
      <c r="CP81">
        <v>25528368</v>
      </c>
      <c r="CQ81">
        <v>3236.6</v>
      </c>
      <c r="CR81">
        <v>588.6</v>
      </c>
      <c r="CS81">
        <v>0</v>
      </c>
      <c r="CT81">
        <v>8088.9</v>
      </c>
      <c r="CU81">
        <v>0</v>
      </c>
      <c r="CV81">
        <v>0</v>
      </c>
      <c r="CW81">
        <v>8807</v>
      </c>
      <c r="CX81">
        <v>28321.4</v>
      </c>
      <c r="CY81">
        <v>0</v>
      </c>
      <c r="CZ81">
        <v>5263.5</v>
      </c>
      <c r="DA81">
        <v>0</v>
      </c>
      <c r="DB81">
        <v>1424.9</v>
      </c>
      <c r="DC81">
        <v>12467.7</v>
      </c>
      <c r="DD81">
        <v>8063.2</v>
      </c>
      <c r="DE81">
        <v>1992</v>
      </c>
      <c r="DF81">
        <v>0</v>
      </c>
      <c r="DG81">
        <v>10754.1</v>
      </c>
      <c r="DH81">
        <v>7763.1</v>
      </c>
      <c r="DI81">
        <v>2954.4</v>
      </c>
      <c r="DJ81">
        <v>9247.1</v>
      </c>
      <c r="DK81">
        <v>19920</v>
      </c>
      <c r="DL81">
        <v>0</v>
      </c>
      <c r="DM81">
        <v>0</v>
      </c>
    </row>
    <row r="82" spans="1:117" x14ac:dyDescent="0.3">
      <c r="A82" t="s">
        <v>163</v>
      </c>
      <c r="B82">
        <v>2030</v>
      </c>
      <c r="C82">
        <v>317124260</v>
      </c>
      <c r="D82">
        <v>3882680.5</v>
      </c>
      <c r="E82">
        <v>2448525.5</v>
      </c>
      <c r="F82">
        <v>1833005.4</v>
      </c>
      <c r="G82">
        <v>325288470.39999998</v>
      </c>
      <c r="H82">
        <v>305721430.5</v>
      </c>
      <c r="I82">
        <v>253258302</v>
      </c>
      <c r="J82">
        <v>103109290</v>
      </c>
      <c r="K82">
        <v>110577660</v>
      </c>
      <c r="L82">
        <v>3.5900000000000001E-2</v>
      </c>
      <c r="M82">
        <v>5.3999999999999999E-2</v>
      </c>
      <c r="N82">
        <v>0.14599999999999999</v>
      </c>
      <c r="O82">
        <v>76099.17</v>
      </c>
      <c r="P82">
        <v>76499.199999999997</v>
      </c>
      <c r="Q82">
        <v>0.55000000000000004</v>
      </c>
      <c r="R82">
        <v>0.56000000000000005</v>
      </c>
      <c r="S82">
        <v>186.7</v>
      </c>
      <c r="T82">
        <v>5.7</v>
      </c>
      <c r="U82">
        <v>0.69</v>
      </c>
      <c r="V82">
        <v>23</v>
      </c>
      <c r="W82">
        <v>911.2</v>
      </c>
      <c r="X82">
        <v>0.15</v>
      </c>
      <c r="Y82">
        <v>187</v>
      </c>
      <c r="Z82">
        <v>50.2</v>
      </c>
      <c r="AA82">
        <v>237.3</v>
      </c>
      <c r="AB82">
        <v>192.8</v>
      </c>
      <c r="AC82">
        <v>6.5</v>
      </c>
      <c r="AD82">
        <v>0.81</v>
      </c>
      <c r="AE82">
        <v>23.2</v>
      </c>
      <c r="AF82">
        <v>922.1</v>
      </c>
      <c r="AG82">
        <v>0.15</v>
      </c>
      <c r="AH82">
        <v>193.3</v>
      </c>
      <c r="AI82">
        <v>50.7</v>
      </c>
      <c r="AJ82">
        <v>244</v>
      </c>
      <c r="AK82">
        <v>250.4</v>
      </c>
      <c r="AL82">
        <v>8.1999999999999993</v>
      </c>
      <c r="AM82">
        <v>1.02</v>
      </c>
      <c r="AN82">
        <v>26.6</v>
      </c>
      <c r="AO82">
        <v>1192.3</v>
      </c>
      <c r="AP82">
        <v>0.12</v>
      </c>
      <c r="AQ82">
        <v>250.9</v>
      </c>
      <c r="AR82">
        <v>62.1</v>
      </c>
      <c r="AS82">
        <v>313</v>
      </c>
      <c r="AT82">
        <v>581.5</v>
      </c>
      <c r="AU82">
        <v>36.9</v>
      </c>
      <c r="AV82">
        <v>5.18</v>
      </c>
      <c r="AW82">
        <v>46.4</v>
      </c>
      <c r="AX82">
        <v>2154.3000000000002</v>
      </c>
      <c r="AY82">
        <v>0.32</v>
      </c>
      <c r="AZ82">
        <v>584</v>
      </c>
      <c r="BA82">
        <v>110.7</v>
      </c>
      <c r="BB82">
        <v>694.7</v>
      </c>
      <c r="BC82">
        <v>61696559.600000001</v>
      </c>
      <c r="BD82">
        <v>1887.6</v>
      </c>
      <c r="BE82">
        <v>229.1</v>
      </c>
      <c r="BF82">
        <v>7615376.5999999996</v>
      </c>
      <c r="BG82">
        <v>301168.3</v>
      </c>
      <c r="BH82">
        <v>48.1</v>
      </c>
      <c r="BI82">
        <v>61815346.200000003</v>
      </c>
      <c r="BJ82">
        <v>16603326.1</v>
      </c>
      <c r="BK82">
        <v>78418672.299999997</v>
      </c>
      <c r="BL82">
        <v>0</v>
      </c>
      <c r="BM82">
        <v>25.64</v>
      </c>
      <c r="BN82">
        <v>16.079999999999998</v>
      </c>
      <c r="BO82">
        <v>0.36</v>
      </c>
      <c r="BP82">
        <v>42.07</v>
      </c>
      <c r="BQ82">
        <v>27.34</v>
      </c>
      <c r="BR82">
        <v>17.75</v>
      </c>
      <c r="BS82">
        <v>0.38</v>
      </c>
      <c r="BT82">
        <v>45.47</v>
      </c>
      <c r="BU82">
        <v>332903800</v>
      </c>
      <c r="BV82">
        <v>72030170</v>
      </c>
      <c r="BW82">
        <v>3295891.5</v>
      </c>
      <c r="BX82">
        <v>2609695.7999999998</v>
      </c>
      <c r="BY82">
        <v>0</v>
      </c>
      <c r="BZ82">
        <v>0</v>
      </c>
      <c r="CA82">
        <v>7227874.5</v>
      </c>
      <c r="CB82">
        <v>0</v>
      </c>
      <c r="CC82">
        <v>0</v>
      </c>
      <c r="CD82">
        <v>15240096</v>
      </c>
      <c r="CE82">
        <v>142134500</v>
      </c>
      <c r="CF82">
        <v>0</v>
      </c>
      <c r="CG82">
        <v>494073.8</v>
      </c>
      <c r="CH82">
        <v>0</v>
      </c>
      <c r="CI82">
        <v>4628421</v>
      </c>
      <c r="CJ82">
        <v>98209420</v>
      </c>
      <c r="CK82">
        <v>313047.8</v>
      </c>
      <c r="CL82">
        <v>1960710.2</v>
      </c>
      <c r="CM82">
        <v>0</v>
      </c>
      <c r="CN82">
        <v>21262140</v>
      </c>
      <c r="CO82">
        <v>10053970</v>
      </c>
      <c r="CP82">
        <v>25473960</v>
      </c>
      <c r="CQ82">
        <v>3242.3</v>
      </c>
      <c r="CR82">
        <v>588.6</v>
      </c>
      <c r="CS82">
        <v>0</v>
      </c>
      <c r="CT82">
        <v>8088.9</v>
      </c>
      <c r="CU82">
        <v>0</v>
      </c>
      <c r="CV82">
        <v>0</v>
      </c>
      <c r="CW82">
        <v>11260.3</v>
      </c>
      <c r="CX82">
        <v>27927.4</v>
      </c>
      <c r="CY82">
        <v>0</v>
      </c>
      <c r="CZ82">
        <v>5568.7</v>
      </c>
      <c r="DA82">
        <v>0</v>
      </c>
      <c r="DB82">
        <v>1424.9</v>
      </c>
      <c r="DC82">
        <v>12467.7</v>
      </c>
      <c r="DD82">
        <v>6932.7</v>
      </c>
      <c r="DE82">
        <v>1992</v>
      </c>
      <c r="DF82">
        <v>0</v>
      </c>
      <c r="DG82">
        <v>10778.5</v>
      </c>
      <c r="DH82">
        <v>7763.1</v>
      </c>
      <c r="DI82">
        <v>2954.4</v>
      </c>
      <c r="DJ82">
        <v>9283.5</v>
      </c>
      <c r="DK82">
        <v>19920</v>
      </c>
      <c r="DL82">
        <v>0</v>
      </c>
      <c r="DM82">
        <v>0</v>
      </c>
    </row>
    <row r="83" spans="1:117" x14ac:dyDescent="0.3">
      <c r="A83" t="s">
        <v>163</v>
      </c>
      <c r="B83">
        <v>2035</v>
      </c>
      <c r="C83">
        <v>351563170</v>
      </c>
      <c r="D83">
        <v>7216145</v>
      </c>
      <c r="E83">
        <v>2966417.5</v>
      </c>
      <c r="F83">
        <v>2316379.1</v>
      </c>
      <c r="G83">
        <v>364062111.19999999</v>
      </c>
      <c r="H83">
        <v>338920971.69999999</v>
      </c>
      <c r="I83">
        <v>269219588.39999998</v>
      </c>
      <c r="J83">
        <v>142754060</v>
      </c>
      <c r="K83">
        <v>123666010</v>
      </c>
      <c r="L83">
        <v>3.5900000000000001E-2</v>
      </c>
      <c r="M83">
        <v>5.3999999999999999E-2</v>
      </c>
      <c r="N83">
        <v>0.14599999999999999</v>
      </c>
      <c r="O83">
        <v>95304.69</v>
      </c>
      <c r="P83">
        <v>86752.4</v>
      </c>
      <c r="Q83">
        <v>0.6</v>
      </c>
      <c r="R83">
        <v>0.62</v>
      </c>
      <c r="S83">
        <v>166.9</v>
      </c>
      <c r="T83">
        <v>5.4</v>
      </c>
      <c r="U83">
        <v>0.66</v>
      </c>
      <c r="V83">
        <v>20.5</v>
      </c>
      <c r="W83">
        <v>807.5</v>
      </c>
      <c r="X83">
        <v>0.13</v>
      </c>
      <c r="Y83">
        <v>167.3</v>
      </c>
      <c r="Z83">
        <v>44.6</v>
      </c>
      <c r="AA83">
        <v>211.9</v>
      </c>
      <c r="AB83">
        <v>168.6</v>
      </c>
      <c r="AC83">
        <v>5.9</v>
      </c>
      <c r="AD83">
        <v>0.74</v>
      </c>
      <c r="AE83">
        <v>20.2</v>
      </c>
      <c r="AF83">
        <v>799.1</v>
      </c>
      <c r="AG83">
        <v>0.13</v>
      </c>
      <c r="AH83">
        <v>168.9</v>
      </c>
      <c r="AI83">
        <v>44.1</v>
      </c>
      <c r="AJ83">
        <v>213</v>
      </c>
      <c r="AK83">
        <v>255</v>
      </c>
      <c r="AL83">
        <v>9.8000000000000007</v>
      </c>
      <c r="AM83">
        <v>1.26</v>
      </c>
      <c r="AN83">
        <v>25.7</v>
      </c>
      <c r="AO83">
        <v>1168</v>
      </c>
      <c r="AP83">
        <v>0.12</v>
      </c>
      <c r="AQ83">
        <v>255.6</v>
      </c>
      <c r="AR83">
        <v>60.6</v>
      </c>
      <c r="AS83">
        <v>316.10000000000002</v>
      </c>
      <c r="AT83">
        <v>540.6</v>
      </c>
      <c r="AU83">
        <v>33.6</v>
      </c>
      <c r="AV83">
        <v>4.6900000000000004</v>
      </c>
      <c r="AW83">
        <v>43.7</v>
      </c>
      <c r="AX83">
        <v>2042.4</v>
      </c>
      <c r="AY83">
        <v>0.28999999999999998</v>
      </c>
      <c r="AZ83">
        <v>542.9</v>
      </c>
      <c r="BA83">
        <v>104.6</v>
      </c>
      <c r="BB83">
        <v>647.5</v>
      </c>
      <c r="BC83">
        <v>57129002.200000003</v>
      </c>
      <c r="BD83">
        <v>1834.8</v>
      </c>
      <c r="BE83">
        <v>225.4</v>
      </c>
      <c r="BF83">
        <v>7029636.9000000004</v>
      </c>
      <c r="BG83">
        <v>276346.7</v>
      </c>
      <c r="BH83">
        <v>45.8</v>
      </c>
      <c r="BI83">
        <v>57245221.399999999</v>
      </c>
      <c r="BJ83">
        <v>15277267.6</v>
      </c>
      <c r="BK83">
        <v>72522489</v>
      </c>
      <c r="BL83">
        <v>0</v>
      </c>
      <c r="BM83">
        <v>24.04</v>
      </c>
      <c r="BN83">
        <v>20.190000000000001</v>
      </c>
      <c r="BO83">
        <v>0.05</v>
      </c>
      <c r="BP83">
        <v>44.28</v>
      </c>
      <c r="BQ83">
        <v>25.79</v>
      </c>
      <c r="BR83">
        <v>22.47</v>
      </c>
      <c r="BS83">
        <v>0.05</v>
      </c>
      <c r="BT83">
        <v>48.32</v>
      </c>
      <c r="BU83">
        <v>345084380</v>
      </c>
      <c r="BV83">
        <v>94842520</v>
      </c>
      <c r="BW83">
        <v>6161279</v>
      </c>
      <c r="BX83">
        <v>2519939.5</v>
      </c>
      <c r="BY83">
        <v>0</v>
      </c>
      <c r="BZ83">
        <v>0</v>
      </c>
      <c r="CA83">
        <v>7608415</v>
      </c>
      <c r="CB83">
        <v>0</v>
      </c>
      <c r="CC83">
        <v>0</v>
      </c>
      <c r="CD83">
        <v>16540984</v>
      </c>
      <c r="CE83">
        <v>128778900</v>
      </c>
      <c r="CF83">
        <v>0</v>
      </c>
      <c r="CG83">
        <v>1097549.5</v>
      </c>
      <c r="CH83">
        <v>0</v>
      </c>
      <c r="CI83">
        <v>4419364.5</v>
      </c>
      <c r="CJ83">
        <v>97021590</v>
      </c>
      <c r="CK83">
        <v>254894.9</v>
      </c>
      <c r="CL83">
        <v>2379931.2000000002</v>
      </c>
      <c r="CM83">
        <v>0</v>
      </c>
      <c r="CN83">
        <v>21651380</v>
      </c>
      <c r="CO83">
        <v>10072818</v>
      </c>
      <c r="CP83">
        <v>46577340</v>
      </c>
      <c r="CQ83">
        <v>5156.1000000000004</v>
      </c>
      <c r="CR83">
        <v>588.6</v>
      </c>
      <c r="CS83">
        <v>0</v>
      </c>
      <c r="CT83">
        <v>8032.5</v>
      </c>
      <c r="CU83">
        <v>0</v>
      </c>
      <c r="CV83">
        <v>0</v>
      </c>
      <c r="CW83">
        <v>12542.6</v>
      </c>
      <c r="CX83">
        <v>27823.4</v>
      </c>
      <c r="CY83">
        <v>0</v>
      </c>
      <c r="CZ83">
        <v>8098.3</v>
      </c>
      <c r="DA83">
        <v>0</v>
      </c>
      <c r="DB83">
        <v>1428.9</v>
      </c>
      <c r="DC83">
        <v>12467.7</v>
      </c>
      <c r="DD83">
        <v>6928.4</v>
      </c>
      <c r="DE83">
        <v>1992</v>
      </c>
      <c r="DF83">
        <v>0</v>
      </c>
      <c r="DG83">
        <v>11256.3</v>
      </c>
      <c r="DH83">
        <v>14205.1</v>
      </c>
      <c r="DI83">
        <v>2954.4</v>
      </c>
      <c r="DJ83">
        <v>17193.099999999999</v>
      </c>
      <c r="DK83">
        <v>19920</v>
      </c>
      <c r="DL83">
        <v>0</v>
      </c>
      <c r="DM83">
        <v>0</v>
      </c>
    </row>
    <row r="84" spans="1:117" x14ac:dyDescent="0.3">
      <c r="A84" t="s">
        <v>163</v>
      </c>
      <c r="B84">
        <v>2040</v>
      </c>
      <c r="C84">
        <v>391003100</v>
      </c>
      <c r="D84">
        <v>13336154</v>
      </c>
      <c r="E84">
        <v>3104282.5</v>
      </c>
      <c r="F84">
        <v>2357655.4</v>
      </c>
      <c r="G84">
        <v>409801185.60000002</v>
      </c>
      <c r="H84">
        <v>376941355.5</v>
      </c>
      <c r="I84">
        <v>310069370.89999998</v>
      </c>
      <c r="J84">
        <v>159140830</v>
      </c>
      <c r="K84">
        <v>109474920</v>
      </c>
      <c r="L84">
        <v>3.5900000000000001E-2</v>
      </c>
      <c r="M84">
        <v>5.3999999999999999E-2</v>
      </c>
      <c r="N84">
        <v>0.14599999999999999</v>
      </c>
      <c r="O84">
        <v>96689.7</v>
      </c>
      <c r="P84">
        <v>99746.5</v>
      </c>
      <c r="Q84">
        <v>0.6</v>
      </c>
      <c r="R84">
        <v>0.63</v>
      </c>
      <c r="S84">
        <v>164.2</v>
      </c>
      <c r="T84">
        <v>4.7</v>
      </c>
      <c r="U84">
        <v>0.56000000000000005</v>
      </c>
      <c r="V84">
        <v>20.6</v>
      </c>
      <c r="W84">
        <v>810.8</v>
      </c>
      <c r="X84">
        <v>0.13</v>
      </c>
      <c r="Y84">
        <v>164.5</v>
      </c>
      <c r="Z84">
        <v>44.8</v>
      </c>
      <c r="AA84">
        <v>209.3</v>
      </c>
      <c r="AB84">
        <v>163.19999999999999</v>
      </c>
      <c r="AC84">
        <v>5.0999999999999996</v>
      </c>
      <c r="AD84">
        <v>0.62</v>
      </c>
      <c r="AE84">
        <v>20.100000000000001</v>
      </c>
      <c r="AF84">
        <v>792.7</v>
      </c>
      <c r="AG84">
        <v>0.13</v>
      </c>
      <c r="AH84">
        <v>163.6</v>
      </c>
      <c r="AI84">
        <v>43.7</v>
      </c>
      <c r="AJ84">
        <v>207.3</v>
      </c>
      <c r="AK84">
        <v>259.60000000000002</v>
      </c>
      <c r="AL84">
        <v>9.4</v>
      </c>
      <c r="AM84">
        <v>1.19</v>
      </c>
      <c r="AN84">
        <v>26.7</v>
      </c>
      <c r="AO84">
        <v>1208.8</v>
      </c>
      <c r="AP84">
        <v>0.12</v>
      </c>
      <c r="AQ84">
        <v>260.2</v>
      </c>
      <c r="AR84">
        <v>62.8</v>
      </c>
      <c r="AS84">
        <v>322.89999999999998</v>
      </c>
      <c r="AT84">
        <v>525</v>
      </c>
      <c r="AU84">
        <v>29.9</v>
      </c>
      <c r="AV84">
        <v>4.1399999999999997</v>
      </c>
      <c r="AW84">
        <v>45.2</v>
      </c>
      <c r="AX84">
        <v>2057.4</v>
      </c>
      <c r="AY84">
        <v>0.28999999999999998</v>
      </c>
      <c r="AZ84">
        <v>527</v>
      </c>
      <c r="BA84">
        <v>106.5</v>
      </c>
      <c r="BB84">
        <v>633.6</v>
      </c>
      <c r="BC84">
        <v>58531113.200000003</v>
      </c>
      <c r="BD84">
        <v>1679.3</v>
      </c>
      <c r="BE84">
        <v>200.2</v>
      </c>
      <c r="BF84">
        <v>7358069</v>
      </c>
      <c r="BG84">
        <v>289227.09999999998</v>
      </c>
      <c r="BH84">
        <v>46.4</v>
      </c>
      <c r="BI84">
        <v>58635811.200000003</v>
      </c>
      <c r="BJ84">
        <v>15989692.1</v>
      </c>
      <c r="BK84">
        <v>74625503.400000006</v>
      </c>
      <c r="BL84">
        <v>0</v>
      </c>
      <c r="BM84">
        <v>23.22</v>
      </c>
      <c r="BN84">
        <v>20.48</v>
      </c>
      <c r="BO84">
        <v>0.12</v>
      </c>
      <c r="BP84">
        <v>43.82</v>
      </c>
      <c r="BQ84">
        <v>25.04</v>
      </c>
      <c r="BR84">
        <v>23.09</v>
      </c>
      <c r="BS84">
        <v>0.13</v>
      </c>
      <c r="BT84">
        <v>48.26</v>
      </c>
      <c r="BU84">
        <v>360164860</v>
      </c>
      <c r="BV84">
        <v>99731816</v>
      </c>
      <c r="BW84">
        <v>11394952</v>
      </c>
      <c r="BX84">
        <v>2475035.7999999998</v>
      </c>
      <c r="BY84">
        <v>0</v>
      </c>
      <c r="BZ84">
        <v>0</v>
      </c>
      <c r="CA84">
        <v>5795080.5</v>
      </c>
      <c r="CB84">
        <v>0</v>
      </c>
      <c r="CC84">
        <v>0</v>
      </c>
      <c r="CD84">
        <v>16120275</v>
      </c>
      <c r="CE84">
        <v>133601300</v>
      </c>
      <c r="CF84">
        <v>0</v>
      </c>
      <c r="CG84">
        <v>3230341.2</v>
      </c>
      <c r="CH84">
        <v>0</v>
      </c>
      <c r="CI84">
        <v>4367286</v>
      </c>
      <c r="CJ84">
        <v>96730610</v>
      </c>
      <c r="CK84">
        <v>342270.9</v>
      </c>
      <c r="CL84">
        <v>2496187.5</v>
      </c>
      <c r="CM84">
        <v>0</v>
      </c>
      <c r="CN84">
        <v>21730688</v>
      </c>
      <c r="CO84">
        <v>15505362</v>
      </c>
      <c r="CP84">
        <v>46375490</v>
      </c>
      <c r="CQ84">
        <v>8212.4</v>
      </c>
      <c r="CR84">
        <v>588.6</v>
      </c>
      <c r="CS84">
        <v>0</v>
      </c>
      <c r="CT84">
        <v>7950.1</v>
      </c>
      <c r="CU84">
        <v>0</v>
      </c>
      <c r="CV84">
        <v>0</v>
      </c>
      <c r="CW84">
        <v>12648.8</v>
      </c>
      <c r="CX84">
        <v>27808.400000000001</v>
      </c>
      <c r="CY84">
        <v>0</v>
      </c>
      <c r="CZ84">
        <v>11829.7</v>
      </c>
      <c r="DA84">
        <v>0</v>
      </c>
      <c r="DB84">
        <v>1428.9</v>
      </c>
      <c r="DC84">
        <v>12467.7</v>
      </c>
      <c r="DD84">
        <v>6116.8</v>
      </c>
      <c r="DE84">
        <v>1992</v>
      </c>
      <c r="DF84">
        <v>0</v>
      </c>
      <c r="DG84">
        <v>11596.5</v>
      </c>
      <c r="DH84">
        <v>14205.1</v>
      </c>
      <c r="DI84">
        <v>4147.7</v>
      </c>
      <c r="DJ84">
        <v>32570.6</v>
      </c>
      <c r="DK84">
        <v>19920</v>
      </c>
      <c r="DL84">
        <v>0</v>
      </c>
      <c r="DM84">
        <v>0</v>
      </c>
    </row>
    <row r="85" spans="1:117" x14ac:dyDescent="0.3">
      <c r="A85" t="s">
        <v>163</v>
      </c>
      <c r="B85">
        <v>2045</v>
      </c>
      <c r="C85">
        <v>426551400</v>
      </c>
      <c r="D85">
        <v>18051002</v>
      </c>
      <c r="E85">
        <v>3087260.8</v>
      </c>
      <c r="F85">
        <v>2503397.7000000002</v>
      </c>
      <c r="G85">
        <v>450193042.60000002</v>
      </c>
      <c r="H85">
        <v>411210255</v>
      </c>
      <c r="I85">
        <v>340650974.60000002</v>
      </c>
      <c r="J85">
        <v>167803220</v>
      </c>
      <c r="K85">
        <v>112316720</v>
      </c>
      <c r="L85">
        <v>3.5900000000000001E-2</v>
      </c>
      <c r="M85">
        <v>5.3999999999999999E-2</v>
      </c>
      <c r="N85">
        <v>0.14599999999999999</v>
      </c>
      <c r="O85">
        <v>95518.12</v>
      </c>
      <c r="P85">
        <v>111429.2</v>
      </c>
      <c r="Q85">
        <v>0.59</v>
      </c>
      <c r="R85">
        <v>0.61</v>
      </c>
      <c r="S85">
        <v>177.4</v>
      </c>
      <c r="T85">
        <v>5.0999999999999996</v>
      </c>
      <c r="U85">
        <v>0.6</v>
      </c>
      <c r="V85">
        <v>21.9</v>
      </c>
      <c r="W85">
        <v>876.2</v>
      </c>
      <c r="X85">
        <v>0.13</v>
      </c>
      <c r="Y85">
        <v>177.7</v>
      </c>
      <c r="Z85">
        <v>48</v>
      </c>
      <c r="AA85">
        <v>225.7</v>
      </c>
      <c r="AB85">
        <v>174.2</v>
      </c>
      <c r="AC85">
        <v>5.0999999999999996</v>
      </c>
      <c r="AD85">
        <v>0.62</v>
      </c>
      <c r="AE85">
        <v>21.3</v>
      </c>
      <c r="AF85">
        <v>853.9</v>
      </c>
      <c r="AG85">
        <v>0.13</v>
      </c>
      <c r="AH85">
        <v>174.5</v>
      </c>
      <c r="AI85">
        <v>46.8</v>
      </c>
      <c r="AJ85">
        <v>221.3</v>
      </c>
      <c r="AK85">
        <v>250.4</v>
      </c>
      <c r="AL85">
        <v>6.9</v>
      </c>
      <c r="AM85">
        <v>0.81</v>
      </c>
      <c r="AN85">
        <v>27.7</v>
      </c>
      <c r="AO85">
        <v>1237.0999999999999</v>
      </c>
      <c r="AP85">
        <v>0.11</v>
      </c>
      <c r="AQ85">
        <v>250.8</v>
      </c>
      <c r="AR85">
        <v>64.599999999999994</v>
      </c>
      <c r="AS85">
        <v>315.39999999999998</v>
      </c>
      <c r="AT85">
        <v>554.9</v>
      </c>
      <c r="AU85">
        <v>31.8</v>
      </c>
      <c r="AV85">
        <v>4.3899999999999997</v>
      </c>
      <c r="AW85">
        <v>47.5</v>
      </c>
      <c r="AX85">
        <v>2178.8000000000002</v>
      </c>
      <c r="AY85">
        <v>0.3</v>
      </c>
      <c r="AZ85">
        <v>557.1</v>
      </c>
      <c r="BA85">
        <v>112.5</v>
      </c>
      <c r="BB85">
        <v>669.6</v>
      </c>
      <c r="BC85">
        <v>69267539.200000003</v>
      </c>
      <c r="BD85">
        <v>1974.3</v>
      </c>
      <c r="BE85">
        <v>234.9</v>
      </c>
      <c r="BF85">
        <v>8547584.4000000004</v>
      </c>
      <c r="BG85">
        <v>342282.7</v>
      </c>
      <c r="BH85">
        <v>51.3</v>
      </c>
      <c r="BI85">
        <v>69390512.400000006</v>
      </c>
      <c r="BJ85">
        <v>18761602.699999999</v>
      </c>
      <c r="BK85">
        <v>88152115.099999994</v>
      </c>
      <c r="BL85">
        <v>0</v>
      </c>
      <c r="BM85">
        <v>23.21</v>
      </c>
      <c r="BN85">
        <v>20.29</v>
      </c>
      <c r="BO85">
        <v>0.11</v>
      </c>
      <c r="BP85">
        <v>43.61</v>
      </c>
      <c r="BQ85">
        <v>25.08</v>
      </c>
      <c r="BR85">
        <v>23.05</v>
      </c>
      <c r="BS85">
        <v>0.12</v>
      </c>
      <c r="BT85">
        <v>48.24</v>
      </c>
      <c r="BU85">
        <v>394784450</v>
      </c>
      <c r="BV85">
        <v>109542060</v>
      </c>
      <c r="BW85">
        <v>15357560</v>
      </c>
      <c r="BX85">
        <v>2488817.5</v>
      </c>
      <c r="BY85">
        <v>0</v>
      </c>
      <c r="BZ85">
        <v>0</v>
      </c>
      <c r="CA85">
        <v>6346911</v>
      </c>
      <c r="CB85">
        <v>0</v>
      </c>
      <c r="CC85">
        <v>0</v>
      </c>
      <c r="CD85">
        <v>15883685</v>
      </c>
      <c r="CE85">
        <v>143062000</v>
      </c>
      <c r="CF85">
        <v>0</v>
      </c>
      <c r="CG85">
        <v>13687522</v>
      </c>
      <c r="CH85">
        <v>0</v>
      </c>
      <c r="CI85">
        <v>4374036.5</v>
      </c>
      <c r="CJ85">
        <v>97037030</v>
      </c>
      <c r="CK85">
        <v>405821.2</v>
      </c>
      <c r="CL85">
        <v>2482673.2000000002</v>
      </c>
      <c r="CM85">
        <v>0</v>
      </c>
      <c r="CN85">
        <v>28800396</v>
      </c>
      <c r="CO85">
        <v>18900204</v>
      </c>
      <c r="CP85">
        <v>45957780</v>
      </c>
      <c r="CQ85">
        <v>10703.6</v>
      </c>
      <c r="CR85">
        <v>588.6</v>
      </c>
      <c r="CS85">
        <v>0</v>
      </c>
      <c r="CT85">
        <v>5599.1</v>
      </c>
      <c r="CU85">
        <v>0</v>
      </c>
      <c r="CV85">
        <v>0</v>
      </c>
      <c r="CW85">
        <v>12874.5</v>
      </c>
      <c r="CX85">
        <v>27498.9</v>
      </c>
      <c r="CY85">
        <v>0</v>
      </c>
      <c r="CZ85">
        <v>20848.599999999999</v>
      </c>
      <c r="DA85">
        <v>0</v>
      </c>
      <c r="DB85">
        <v>1428.9</v>
      </c>
      <c r="DC85">
        <v>12467.7</v>
      </c>
      <c r="DD85">
        <v>5196.2</v>
      </c>
      <c r="DE85">
        <v>1992</v>
      </c>
      <c r="DF85">
        <v>0</v>
      </c>
      <c r="DG85">
        <v>14692.1</v>
      </c>
      <c r="DH85">
        <v>14205.1</v>
      </c>
      <c r="DI85">
        <v>4939.6000000000004</v>
      </c>
      <c r="DJ85">
        <v>45953.4</v>
      </c>
      <c r="DK85">
        <v>19920</v>
      </c>
      <c r="DL85">
        <v>0</v>
      </c>
      <c r="DM85">
        <v>0</v>
      </c>
    </row>
    <row r="86" spans="1:117" x14ac:dyDescent="0.3">
      <c r="A86" t="s">
        <v>163</v>
      </c>
      <c r="B86">
        <v>2050</v>
      </c>
      <c r="C86">
        <v>460685000</v>
      </c>
      <c r="D86">
        <v>28113840</v>
      </c>
      <c r="E86">
        <v>3280723.5</v>
      </c>
      <c r="F86">
        <v>2614131</v>
      </c>
      <c r="G86">
        <v>494693697</v>
      </c>
      <c r="H86">
        <v>444115865.80000001</v>
      </c>
      <c r="I86">
        <v>359719877.5</v>
      </c>
      <c r="J86">
        <v>176073890</v>
      </c>
      <c r="K86">
        <v>120399256</v>
      </c>
      <c r="L86">
        <v>3.5900000000000001E-2</v>
      </c>
      <c r="M86">
        <v>5.3999999999999999E-2</v>
      </c>
      <c r="N86">
        <v>0.14599999999999999</v>
      </c>
      <c r="O86">
        <v>94051.12</v>
      </c>
      <c r="P86">
        <v>122538</v>
      </c>
      <c r="Q86">
        <v>0.6</v>
      </c>
      <c r="R86">
        <v>0.62</v>
      </c>
      <c r="S86">
        <v>167.6</v>
      </c>
      <c r="T86">
        <v>3.5</v>
      </c>
      <c r="U86">
        <v>0.37</v>
      </c>
      <c r="V86">
        <v>21.7</v>
      </c>
      <c r="W86">
        <v>869.3</v>
      </c>
      <c r="X86">
        <v>0.12</v>
      </c>
      <c r="Y86">
        <v>167.9</v>
      </c>
      <c r="Z86">
        <v>47.6</v>
      </c>
      <c r="AA86">
        <v>215.5</v>
      </c>
      <c r="AB86">
        <v>166.4</v>
      </c>
      <c r="AC86">
        <v>3.6</v>
      </c>
      <c r="AD86">
        <v>0.38</v>
      </c>
      <c r="AE86">
        <v>21.4</v>
      </c>
      <c r="AF86">
        <v>859.2</v>
      </c>
      <c r="AG86">
        <v>0.12</v>
      </c>
      <c r="AH86">
        <v>166.6</v>
      </c>
      <c r="AI86">
        <v>47</v>
      </c>
      <c r="AJ86">
        <v>213.6</v>
      </c>
      <c r="AK86">
        <v>243.9</v>
      </c>
      <c r="AL86">
        <v>5.4</v>
      </c>
      <c r="AM86">
        <v>0.57999999999999996</v>
      </c>
      <c r="AN86">
        <v>28.2</v>
      </c>
      <c r="AO86">
        <v>1247.2</v>
      </c>
      <c r="AP86">
        <v>0.11</v>
      </c>
      <c r="AQ86">
        <v>244.2</v>
      </c>
      <c r="AR86">
        <v>65.400000000000006</v>
      </c>
      <c r="AS86">
        <v>309.5</v>
      </c>
      <c r="AT86">
        <v>506.9</v>
      </c>
      <c r="AU86">
        <v>21.3</v>
      </c>
      <c r="AV86">
        <v>2.8</v>
      </c>
      <c r="AW86">
        <v>50.3</v>
      </c>
      <c r="AX86">
        <v>2249.5</v>
      </c>
      <c r="AY86">
        <v>0.26</v>
      </c>
      <c r="AZ86">
        <v>508.3</v>
      </c>
      <c r="BA86">
        <v>117.4</v>
      </c>
      <c r="BB86">
        <v>625.70000000000005</v>
      </c>
      <c r="BC86">
        <v>72779239.400000006</v>
      </c>
      <c r="BD86">
        <v>1520.3</v>
      </c>
      <c r="BE86">
        <v>160.9</v>
      </c>
      <c r="BF86">
        <v>9423822.1999999993</v>
      </c>
      <c r="BG86">
        <v>377466.7</v>
      </c>
      <c r="BH86">
        <v>52.1</v>
      </c>
      <c r="BI86">
        <v>72868457.900000006</v>
      </c>
      <c r="BJ86">
        <v>20686558.399999999</v>
      </c>
      <c r="BK86">
        <v>93555016.400000006</v>
      </c>
      <c r="BL86">
        <v>0</v>
      </c>
      <c r="BM86">
        <v>23.48</v>
      </c>
      <c r="BN86">
        <v>19.87</v>
      </c>
      <c r="BO86">
        <v>0</v>
      </c>
      <c r="BP86">
        <v>43.35</v>
      </c>
      <c r="BQ86">
        <v>25.56</v>
      </c>
      <c r="BR86">
        <v>22.99</v>
      </c>
      <c r="BS86">
        <v>0</v>
      </c>
      <c r="BT86">
        <v>48.55</v>
      </c>
      <c r="BU86">
        <v>439182140</v>
      </c>
      <c r="BV86">
        <v>134973820</v>
      </c>
      <c r="BW86">
        <v>23954674</v>
      </c>
      <c r="BX86">
        <v>2453744.5</v>
      </c>
      <c r="BY86">
        <v>0</v>
      </c>
      <c r="BZ86">
        <v>0</v>
      </c>
      <c r="CA86">
        <v>1357748.8</v>
      </c>
      <c r="CB86">
        <v>0</v>
      </c>
      <c r="CC86">
        <v>0</v>
      </c>
      <c r="CD86">
        <v>15912666</v>
      </c>
      <c r="CE86">
        <v>141439490</v>
      </c>
      <c r="CF86">
        <v>0</v>
      </c>
      <c r="CG86">
        <v>31166004</v>
      </c>
      <c r="CH86">
        <v>0</v>
      </c>
      <c r="CI86">
        <v>4325659.5</v>
      </c>
      <c r="CJ86">
        <v>96620220</v>
      </c>
      <c r="CK86">
        <v>272303.40000000002</v>
      </c>
      <c r="CL86">
        <v>2618480</v>
      </c>
      <c r="CM86">
        <v>0</v>
      </c>
      <c r="CN86">
        <v>46435136</v>
      </c>
      <c r="CO86">
        <v>27062858</v>
      </c>
      <c r="CP86">
        <v>45563164</v>
      </c>
      <c r="CQ86">
        <v>16435.099999999999</v>
      </c>
      <c r="CR86">
        <v>588.6</v>
      </c>
      <c r="CS86">
        <v>0</v>
      </c>
      <c r="CT86">
        <v>3327.5</v>
      </c>
      <c r="CU86">
        <v>0</v>
      </c>
      <c r="CV86">
        <v>0</v>
      </c>
      <c r="CW86">
        <v>13281.9</v>
      </c>
      <c r="CX86">
        <v>26165.8</v>
      </c>
      <c r="CY86">
        <v>0</v>
      </c>
      <c r="CZ86">
        <v>32250.2</v>
      </c>
      <c r="DA86">
        <v>0</v>
      </c>
      <c r="DB86">
        <v>1428.9</v>
      </c>
      <c r="DC86">
        <v>12467.7</v>
      </c>
      <c r="DD86">
        <v>2186.3000000000002</v>
      </c>
      <c r="DE86">
        <v>1992</v>
      </c>
      <c r="DF86">
        <v>0</v>
      </c>
      <c r="DG86">
        <v>22416.3</v>
      </c>
      <c r="DH86">
        <v>14215.8</v>
      </c>
      <c r="DI86">
        <v>7220.4</v>
      </c>
      <c r="DJ86">
        <v>74625.8</v>
      </c>
      <c r="DK86">
        <v>19920</v>
      </c>
      <c r="DL86">
        <v>0</v>
      </c>
      <c r="DM86">
        <v>0</v>
      </c>
    </row>
    <row r="87" spans="1:117" x14ac:dyDescent="0.3">
      <c r="A87" t="s">
        <v>164</v>
      </c>
      <c r="B87">
        <v>2024</v>
      </c>
      <c r="C87">
        <v>107802390</v>
      </c>
      <c r="D87">
        <v>819.5</v>
      </c>
      <c r="E87">
        <v>1687958.8</v>
      </c>
      <c r="F87">
        <v>302112.7</v>
      </c>
      <c r="G87">
        <v>109793287.7</v>
      </c>
      <c r="H87">
        <v>103927419.59999999</v>
      </c>
      <c r="I87">
        <v>94269018.299999997</v>
      </c>
      <c r="J87">
        <v>19185564</v>
      </c>
      <c r="K87">
        <v>26231062</v>
      </c>
      <c r="L87">
        <v>3.5900000000000001E-2</v>
      </c>
      <c r="M87">
        <v>5.3900000000000003E-2</v>
      </c>
      <c r="N87">
        <v>0.1797</v>
      </c>
      <c r="O87">
        <v>24862.68</v>
      </c>
      <c r="P87">
        <v>26167</v>
      </c>
      <c r="Q87">
        <v>0.41</v>
      </c>
      <c r="R87">
        <v>0.4</v>
      </c>
      <c r="S87">
        <v>434.5</v>
      </c>
      <c r="T87">
        <v>37.6</v>
      </c>
      <c r="U87">
        <v>5.4</v>
      </c>
      <c r="V87">
        <v>27.7</v>
      </c>
      <c r="W87">
        <v>1310.8</v>
      </c>
      <c r="X87">
        <v>0.28000000000000003</v>
      </c>
      <c r="Y87">
        <v>437.1</v>
      </c>
      <c r="Z87">
        <v>66.8</v>
      </c>
      <c r="AA87">
        <v>503.9</v>
      </c>
      <c r="AB87">
        <v>466.9</v>
      </c>
      <c r="AC87">
        <v>41</v>
      </c>
      <c r="AD87">
        <v>5.9</v>
      </c>
      <c r="AE87">
        <v>29</v>
      </c>
      <c r="AF87">
        <v>1389.8</v>
      </c>
      <c r="AG87">
        <v>0.3</v>
      </c>
      <c r="AH87">
        <v>469.7</v>
      </c>
      <c r="AI87">
        <v>70.5</v>
      </c>
      <c r="AJ87">
        <v>540.20000000000005</v>
      </c>
      <c r="AK87">
        <v>343.5</v>
      </c>
      <c r="AL87">
        <v>8.1999999999999993</v>
      </c>
      <c r="AM87">
        <v>0.93</v>
      </c>
      <c r="AN87">
        <v>39.200000000000003</v>
      </c>
      <c r="AO87">
        <v>1727.7</v>
      </c>
      <c r="AP87">
        <v>0.16</v>
      </c>
      <c r="AQ87">
        <v>344</v>
      </c>
      <c r="AR87">
        <v>90.7</v>
      </c>
      <c r="AS87">
        <v>434.8</v>
      </c>
      <c r="AT87">
        <v>795.7</v>
      </c>
      <c r="AU87">
        <v>63.5</v>
      </c>
      <c r="AV87">
        <v>9.17</v>
      </c>
      <c r="AW87">
        <v>52.2</v>
      </c>
      <c r="AX87">
        <v>2465</v>
      </c>
      <c r="AY87">
        <v>0.49</v>
      </c>
      <c r="AZ87">
        <v>800.1</v>
      </c>
      <c r="BA87">
        <v>125.7</v>
      </c>
      <c r="BB87">
        <v>925.9</v>
      </c>
      <c r="BC87">
        <v>50484673.600000001</v>
      </c>
      <c r="BD87">
        <v>4371.2</v>
      </c>
      <c r="BE87">
        <v>627.6</v>
      </c>
      <c r="BF87">
        <v>3216225.2</v>
      </c>
      <c r="BG87">
        <v>152327.4</v>
      </c>
      <c r="BH87">
        <v>32.6</v>
      </c>
      <c r="BI87">
        <v>50786268.200000003</v>
      </c>
      <c r="BJ87">
        <v>7764484.2999999998</v>
      </c>
      <c r="BK87">
        <v>58550752.5</v>
      </c>
      <c r="BL87">
        <v>0</v>
      </c>
      <c r="BM87">
        <v>31.54</v>
      </c>
      <c r="BN87">
        <v>5.55</v>
      </c>
      <c r="BO87">
        <v>0</v>
      </c>
      <c r="BP87">
        <v>37.090000000000003</v>
      </c>
      <c r="BQ87">
        <v>33.47</v>
      </c>
      <c r="BR87">
        <v>6.11</v>
      </c>
      <c r="BS87">
        <v>0</v>
      </c>
      <c r="BT87">
        <v>39.590000000000003</v>
      </c>
      <c r="BU87">
        <v>116896140</v>
      </c>
      <c r="BV87">
        <v>15524269</v>
      </c>
      <c r="BW87">
        <v>691.2</v>
      </c>
      <c r="BX87">
        <v>1918557.4</v>
      </c>
      <c r="BY87">
        <v>0</v>
      </c>
      <c r="BZ87">
        <v>1680397.2</v>
      </c>
      <c r="CA87">
        <v>33181204</v>
      </c>
      <c r="CB87">
        <v>0</v>
      </c>
      <c r="CC87">
        <v>0</v>
      </c>
      <c r="CD87">
        <v>294164</v>
      </c>
      <c r="CE87">
        <v>32600746</v>
      </c>
      <c r="CF87">
        <v>0</v>
      </c>
      <c r="CG87">
        <v>1766472.8</v>
      </c>
      <c r="CH87">
        <v>0</v>
      </c>
      <c r="CI87">
        <v>629256.19999999995</v>
      </c>
      <c r="CJ87">
        <v>26502164</v>
      </c>
      <c r="CK87">
        <v>1701690.2</v>
      </c>
      <c r="CL87">
        <v>1390693.9</v>
      </c>
      <c r="CM87">
        <v>0</v>
      </c>
      <c r="CN87">
        <v>5125030.5</v>
      </c>
      <c r="CO87">
        <v>10105075</v>
      </c>
      <c r="CP87">
        <v>0</v>
      </c>
      <c r="CQ87">
        <v>1</v>
      </c>
      <c r="CR87">
        <v>315.60000000000002</v>
      </c>
      <c r="CS87">
        <v>0</v>
      </c>
      <c r="CT87">
        <v>5982.5</v>
      </c>
      <c r="CU87">
        <v>0</v>
      </c>
      <c r="CV87">
        <v>0</v>
      </c>
      <c r="CW87">
        <v>216</v>
      </c>
      <c r="CX87">
        <v>6810.4</v>
      </c>
      <c r="CY87">
        <v>0</v>
      </c>
      <c r="CZ87">
        <v>3906.5</v>
      </c>
      <c r="DA87">
        <v>0</v>
      </c>
      <c r="DB87">
        <v>161.30000000000001</v>
      </c>
      <c r="DC87">
        <v>3318</v>
      </c>
      <c r="DD87">
        <v>2374.4</v>
      </c>
      <c r="DE87">
        <v>2235</v>
      </c>
      <c r="DF87">
        <v>0</v>
      </c>
      <c r="DG87">
        <v>2453.6</v>
      </c>
      <c r="DH87">
        <v>0</v>
      </c>
      <c r="DI87">
        <v>3139.8</v>
      </c>
      <c r="DJ87">
        <v>2</v>
      </c>
      <c r="DK87">
        <v>22350</v>
      </c>
      <c r="DL87">
        <v>0</v>
      </c>
      <c r="DM87">
        <v>0</v>
      </c>
    </row>
    <row r="88" spans="1:117" x14ac:dyDescent="0.3">
      <c r="A88" t="s">
        <v>164</v>
      </c>
      <c r="B88">
        <v>2026</v>
      </c>
      <c r="C88">
        <v>110539150</v>
      </c>
      <c r="D88">
        <v>79543.399999999994</v>
      </c>
      <c r="E88">
        <v>1695376</v>
      </c>
      <c r="F88">
        <v>285967.59999999998</v>
      </c>
      <c r="G88">
        <v>112600037.59999999</v>
      </c>
      <c r="H88">
        <v>106565794.8</v>
      </c>
      <c r="I88">
        <v>96928405.200000003</v>
      </c>
      <c r="J88">
        <v>16665427</v>
      </c>
      <c r="K88">
        <v>26437766</v>
      </c>
      <c r="L88">
        <v>3.5900000000000001E-2</v>
      </c>
      <c r="M88">
        <v>5.3900000000000003E-2</v>
      </c>
      <c r="N88">
        <v>0.17960000000000001</v>
      </c>
      <c r="O88">
        <v>54004.78</v>
      </c>
      <c r="P88">
        <v>27313.5</v>
      </c>
      <c r="Q88">
        <v>0.38</v>
      </c>
      <c r="R88">
        <v>0.37</v>
      </c>
      <c r="S88">
        <v>362.5</v>
      </c>
      <c r="T88">
        <v>25.7</v>
      </c>
      <c r="U88">
        <v>3.62</v>
      </c>
      <c r="V88">
        <v>28.5</v>
      </c>
      <c r="W88">
        <v>1283.0999999999999</v>
      </c>
      <c r="X88">
        <v>0.23</v>
      </c>
      <c r="Y88">
        <v>364.2</v>
      </c>
      <c r="Z88">
        <v>66.8</v>
      </c>
      <c r="AA88">
        <v>431</v>
      </c>
      <c r="AB88">
        <v>390.2</v>
      </c>
      <c r="AC88">
        <v>28.2</v>
      </c>
      <c r="AD88">
        <v>3.97</v>
      </c>
      <c r="AE88">
        <v>30</v>
      </c>
      <c r="AF88">
        <v>1364.2</v>
      </c>
      <c r="AG88">
        <v>0.24</v>
      </c>
      <c r="AH88">
        <v>392.1</v>
      </c>
      <c r="AI88">
        <v>70.7</v>
      </c>
      <c r="AJ88">
        <v>462.8</v>
      </c>
      <c r="AK88">
        <v>334.9</v>
      </c>
      <c r="AL88">
        <v>7.7</v>
      </c>
      <c r="AM88">
        <v>0.85</v>
      </c>
      <c r="AN88">
        <v>38.5</v>
      </c>
      <c r="AO88">
        <v>1699.1</v>
      </c>
      <c r="AP88">
        <v>0.15</v>
      </c>
      <c r="AQ88">
        <v>335.4</v>
      </c>
      <c r="AR88">
        <v>89.1</v>
      </c>
      <c r="AS88">
        <v>424.5</v>
      </c>
      <c r="AT88">
        <v>753.8</v>
      </c>
      <c r="AU88">
        <v>60.2</v>
      </c>
      <c r="AV88">
        <v>8.64</v>
      </c>
      <c r="AW88">
        <v>48.8</v>
      </c>
      <c r="AX88">
        <v>2380.9</v>
      </c>
      <c r="AY88">
        <v>0.43</v>
      </c>
      <c r="AZ88">
        <v>757.9</v>
      </c>
      <c r="BA88">
        <v>119.9</v>
      </c>
      <c r="BB88">
        <v>877.8</v>
      </c>
      <c r="BC88">
        <v>44103795.399999999</v>
      </c>
      <c r="BD88">
        <v>3122.6</v>
      </c>
      <c r="BE88">
        <v>439.7</v>
      </c>
      <c r="BF88">
        <v>3465588</v>
      </c>
      <c r="BG88">
        <v>156164.70000000001</v>
      </c>
      <c r="BH88">
        <v>28.1</v>
      </c>
      <c r="BI88">
        <v>44316891.600000001</v>
      </c>
      <c r="BJ88">
        <v>8126958.7999999998</v>
      </c>
      <c r="BK88">
        <v>52443850.399999999</v>
      </c>
      <c r="BL88">
        <v>0</v>
      </c>
      <c r="BM88">
        <v>29.98</v>
      </c>
      <c r="BN88">
        <v>12.08</v>
      </c>
      <c r="BO88">
        <v>0</v>
      </c>
      <c r="BP88">
        <v>42.06</v>
      </c>
      <c r="BQ88">
        <v>31.85</v>
      </c>
      <c r="BR88">
        <v>13.3</v>
      </c>
      <c r="BS88">
        <v>0</v>
      </c>
      <c r="BT88">
        <v>45.15</v>
      </c>
      <c r="BU88">
        <v>122462160</v>
      </c>
      <c r="BV88">
        <v>15671632</v>
      </c>
      <c r="BW88">
        <v>68058.399999999994</v>
      </c>
      <c r="BX88">
        <v>1918446.4</v>
      </c>
      <c r="BY88">
        <v>0</v>
      </c>
      <c r="BZ88">
        <v>586549.80000000005</v>
      </c>
      <c r="CA88">
        <v>22325994</v>
      </c>
      <c r="CB88">
        <v>0</v>
      </c>
      <c r="CC88">
        <v>0</v>
      </c>
      <c r="CD88">
        <v>567520.4</v>
      </c>
      <c r="CE88">
        <v>51405330</v>
      </c>
      <c r="CF88">
        <v>0</v>
      </c>
      <c r="CG88">
        <v>928317.9</v>
      </c>
      <c r="CH88">
        <v>0</v>
      </c>
      <c r="CI88">
        <v>629187</v>
      </c>
      <c r="CJ88">
        <v>26495240</v>
      </c>
      <c r="CK88">
        <v>1086676.8</v>
      </c>
      <c r="CL88">
        <v>1346723.9</v>
      </c>
      <c r="CM88">
        <v>0</v>
      </c>
      <c r="CN88">
        <v>5053532</v>
      </c>
      <c r="CO88">
        <v>10050580</v>
      </c>
      <c r="CP88">
        <v>0</v>
      </c>
      <c r="CQ88">
        <v>92.5</v>
      </c>
      <c r="CR88">
        <v>315.60000000000002</v>
      </c>
      <c r="CS88">
        <v>0</v>
      </c>
      <c r="CT88">
        <v>4437</v>
      </c>
      <c r="CU88">
        <v>0</v>
      </c>
      <c r="CV88">
        <v>0</v>
      </c>
      <c r="CW88">
        <v>416.2</v>
      </c>
      <c r="CX88">
        <v>9857.7999999999993</v>
      </c>
      <c r="CY88">
        <v>0</v>
      </c>
      <c r="CZ88">
        <v>3851.5</v>
      </c>
      <c r="DA88">
        <v>0</v>
      </c>
      <c r="DB88">
        <v>161.30000000000001</v>
      </c>
      <c r="DC88">
        <v>3318</v>
      </c>
      <c r="DD88">
        <v>2371.9</v>
      </c>
      <c r="DE88">
        <v>2235</v>
      </c>
      <c r="DF88">
        <v>0</v>
      </c>
      <c r="DG88">
        <v>2453.6</v>
      </c>
      <c r="DH88">
        <v>0</v>
      </c>
      <c r="DI88">
        <v>3139.8</v>
      </c>
      <c r="DJ88">
        <v>185</v>
      </c>
      <c r="DK88">
        <v>22350</v>
      </c>
      <c r="DL88">
        <v>0</v>
      </c>
      <c r="DM88">
        <v>0</v>
      </c>
    </row>
    <row r="89" spans="1:117" x14ac:dyDescent="0.3">
      <c r="A89" t="s">
        <v>164</v>
      </c>
      <c r="B89">
        <v>2028</v>
      </c>
      <c r="C89">
        <v>114725460</v>
      </c>
      <c r="D89">
        <v>158722</v>
      </c>
      <c r="E89">
        <v>2226510.5</v>
      </c>
      <c r="F89">
        <v>352008.7</v>
      </c>
      <c r="G89">
        <v>117462693.09999999</v>
      </c>
      <c r="H89">
        <v>110601620.5</v>
      </c>
      <c r="I89">
        <v>101211180</v>
      </c>
      <c r="J89">
        <v>11419832</v>
      </c>
      <c r="K89">
        <v>37572770</v>
      </c>
      <c r="L89">
        <v>3.5900000000000001E-2</v>
      </c>
      <c r="M89">
        <v>5.3900000000000003E-2</v>
      </c>
      <c r="N89">
        <v>0.17960000000000001</v>
      </c>
      <c r="O89">
        <v>68934.02</v>
      </c>
      <c r="P89">
        <v>28351.4</v>
      </c>
      <c r="Q89">
        <v>0.35</v>
      </c>
      <c r="R89">
        <v>0.34</v>
      </c>
      <c r="S89">
        <v>317.3</v>
      </c>
      <c r="T89">
        <v>17.399999999999999</v>
      </c>
      <c r="U89">
        <v>2.37</v>
      </c>
      <c r="V89">
        <v>29.4</v>
      </c>
      <c r="W89">
        <v>1290.5999999999999</v>
      </c>
      <c r="X89">
        <v>0.19</v>
      </c>
      <c r="Y89">
        <v>318.5</v>
      </c>
      <c r="Z89">
        <v>67.900000000000006</v>
      </c>
      <c r="AA89">
        <v>386.5</v>
      </c>
      <c r="AB89">
        <v>339.7</v>
      </c>
      <c r="AC89">
        <v>19</v>
      </c>
      <c r="AD89">
        <v>2.61</v>
      </c>
      <c r="AE89">
        <v>30.9</v>
      </c>
      <c r="AF89">
        <v>1365.3</v>
      </c>
      <c r="AG89">
        <v>0.2</v>
      </c>
      <c r="AH89">
        <v>341</v>
      </c>
      <c r="AI89">
        <v>71.599999999999994</v>
      </c>
      <c r="AJ89">
        <v>412.6</v>
      </c>
      <c r="AK89">
        <v>319.8</v>
      </c>
      <c r="AL89">
        <v>6.2</v>
      </c>
      <c r="AM89">
        <v>0.63</v>
      </c>
      <c r="AN89">
        <v>37.700000000000003</v>
      </c>
      <c r="AO89">
        <v>1666.2</v>
      </c>
      <c r="AP89">
        <v>0.14000000000000001</v>
      </c>
      <c r="AQ89">
        <v>320.2</v>
      </c>
      <c r="AR89">
        <v>87.3</v>
      </c>
      <c r="AS89">
        <v>407.5</v>
      </c>
      <c r="AT89">
        <v>676.4</v>
      </c>
      <c r="AU89">
        <v>49.9</v>
      </c>
      <c r="AV89">
        <v>7.1</v>
      </c>
      <c r="AW89">
        <v>47.4</v>
      </c>
      <c r="AX89">
        <v>2282.3000000000002</v>
      </c>
      <c r="AY89">
        <v>0.38</v>
      </c>
      <c r="AZ89">
        <v>679.8</v>
      </c>
      <c r="BA89">
        <v>115.5</v>
      </c>
      <c r="BB89">
        <v>795.3</v>
      </c>
      <c r="BC89">
        <v>45331978.299999997</v>
      </c>
      <c r="BD89">
        <v>2476.5</v>
      </c>
      <c r="BE89">
        <v>338</v>
      </c>
      <c r="BF89">
        <v>4207797.4000000004</v>
      </c>
      <c r="BG89">
        <v>184429.2</v>
      </c>
      <c r="BH89">
        <v>27.7</v>
      </c>
      <c r="BI89">
        <v>45498051.399999999</v>
      </c>
      <c r="BJ89">
        <v>9711351.9000000004</v>
      </c>
      <c r="BK89">
        <v>55209403.299999997</v>
      </c>
      <c r="BL89">
        <v>0</v>
      </c>
      <c r="BM89">
        <v>26.49</v>
      </c>
      <c r="BN89">
        <v>15.1</v>
      </c>
      <c r="BO89">
        <v>0</v>
      </c>
      <c r="BP89">
        <v>41.59</v>
      </c>
      <c r="BQ89">
        <v>28.22</v>
      </c>
      <c r="BR89">
        <v>16.68</v>
      </c>
      <c r="BS89">
        <v>0</v>
      </c>
      <c r="BT89">
        <v>44.91</v>
      </c>
      <c r="BU89">
        <v>143851460</v>
      </c>
      <c r="BV89">
        <v>16251514</v>
      </c>
      <c r="BW89">
        <v>134526.5</v>
      </c>
      <c r="BX89">
        <v>1912086.2</v>
      </c>
      <c r="BY89">
        <v>0</v>
      </c>
      <c r="BZ89">
        <v>3221760</v>
      </c>
      <c r="CA89">
        <v>15846454</v>
      </c>
      <c r="CB89">
        <v>0</v>
      </c>
      <c r="CC89">
        <v>0</v>
      </c>
      <c r="CD89">
        <v>1122784.1000000001</v>
      </c>
      <c r="CE89">
        <v>76279280</v>
      </c>
      <c r="CF89">
        <v>0</v>
      </c>
      <c r="CG89">
        <v>537275.19999999995</v>
      </c>
      <c r="CH89">
        <v>0</v>
      </c>
      <c r="CI89">
        <v>625813.6</v>
      </c>
      <c r="CJ89">
        <v>26412090</v>
      </c>
      <c r="CK89">
        <v>811294.9</v>
      </c>
      <c r="CL89">
        <v>1819360</v>
      </c>
      <c r="CM89">
        <v>0</v>
      </c>
      <c r="CN89">
        <v>5132344</v>
      </c>
      <c r="CO89">
        <v>9996385</v>
      </c>
      <c r="CP89">
        <v>0</v>
      </c>
      <c r="CQ89">
        <v>143.9</v>
      </c>
      <c r="CR89">
        <v>315.60000000000002</v>
      </c>
      <c r="CS89">
        <v>0</v>
      </c>
      <c r="CT89">
        <v>4437</v>
      </c>
      <c r="CU89">
        <v>0</v>
      </c>
      <c r="CV89">
        <v>0</v>
      </c>
      <c r="CW89">
        <v>822.8</v>
      </c>
      <c r="CX89">
        <v>13869.6</v>
      </c>
      <c r="CY89">
        <v>0</v>
      </c>
      <c r="CZ89">
        <v>3825.5</v>
      </c>
      <c r="DA89">
        <v>0</v>
      </c>
      <c r="DB89">
        <v>161.30000000000001</v>
      </c>
      <c r="DC89">
        <v>3318</v>
      </c>
      <c r="DD89">
        <v>2371.9</v>
      </c>
      <c r="DE89">
        <v>2235</v>
      </c>
      <c r="DF89">
        <v>0</v>
      </c>
      <c r="DG89">
        <v>2520.8000000000002</v>
      </c>
      <c r="DH89">
        <v>0</v>
      </c>
      <c r="DI89">
        <v>3139.8</v>
      </c>
      <c r="DJ89">
        <v>390.8</v>
      </c>
      <c r="DK89">
        <v>22350</v>
      </c>
      <c r="DL89">
        <v>0</v>
      </c>
      <c r="DM89">
        <v>0</v>
      </c>
    </row>
    <row r="90" spans="1:117" x14ac:dyDescent="0.3">
      <c r="A90" t="s">
        <v>164</v>
      </c>
      <c r="B90">
        <v>2030</v>
      </c>
      <c r="C90">
        <v>119014990</v>
      </c>
      <c r="D90">
        <v>676858.9</v>
      </c>
      <c r="E90">
        <v>2805804</v>
      </c>
      <c r="F90">
        <v>384720.2</v>
      </c>
      <c r="G90">
        <v>122882371.2</v>
      </c>
      <c r="H90">
        <v>114736958.5</v>
      </c>
      <c r="I90">
        <v>103622549.90000001</v>
      </c>
      <c r="J90">
        <v>18861442</v>
      </c>
      <c r="K90">
        <v>34311910</v>
      </c>
      <c r="L90">
        <v>3.5900000000000001E-2</v>
      </c>
      <c r="M90">
        <v>5.3900000000000003E-2</v>
      </c>
      <c r="N90">
        <v>0.17960000000000001</v>
      </c>
      <c r="O90">
        <v>80547.72</v>
      </c>
      <c r="P90">
        <v>29888.6</v>
      </c>
      <c r="Q90">
        <v>0.39</v>
      </c>
      <c r="R90">
        <v>0.4</v>
      </c>
      <c r="S90">
        <v>277.10000000000002</v>
      </c>
      <c r="T90">
        <v>13.1</v>
      </c>
      <c r="U90">
        <v>1.75</v>
      </c>
      <c r="V90">
        <v>27.8</v>
      </c>
      <c r="W90">
        <v>1195.4000000000001</v>
      </c>
      <c r="X90">
        <v>0.17</v>
      </c>
      <c r="Y90">
        <v>278</v>
      </c>
      <c r="Z90">
        <v>63.5</v>
      </c>
      <c r="AA90">
        <v>341.4</v>
      </c>
      <c r="AB90">
        <v>287.7</v>
      </c>
      <c r="AC90">
        <v>13.9</v>
      </c>
      <c r="AD90">
        <v>1.86</v>
      </c>
      <c r="AE90">
        <v>28.5</v>
      </c>
      <c r="AF90">
        <v>1231.8</v>
      </c>
      <c r="AG90">
        <v>0.18</v>
      </c>
      <c r="AH90">
        <v>288.60000000000002</v>
      </c>
      <c r="AI90">
        <v>65.3</v>
      </c>
      <c r="AJ90">
        <v>353.9</v>
      </c>
      <c r="AK90">
        <v>343.9</v>
      </c>
      <c r="AL90">
        <v>10.4</v>
      </c>
      <c r="AM90">
        <v>1.25</v>
      </c>
      <c r="AN90">
        <v>37.200000000000003</v>
      </c>
      <c r="AO90">
        <v>1670</v>
      </c>
      <c r="AP90">
        <v>0.16</v>
      </c>
      <c r="AQ90">
        <v>344.5</v>
      </c>
      <c r="AR90">
        <v>87</v>
      </c>
      <c r="AS90">
        <v>431.5</v>
      </c>
      <c r="AT90">
        <v>633.1</v>
      </c>
      <c r="AU90">
        <v>46.5</v>
      </c>
      <c r="AV90">
        <v>6.6</v>
      </c>
      <c r="AW90">
        <v>44.6</v>
      </c>
      <c r="AX90">
        <v>2156.5</v>
      </c>
      <c r="AY90">
        <v>0.35</v>
      </c>
      <c r="AZ90">
        <v>636.20000000000005</v>
      </c>
      <c r="BA90">
        <v>109</v>
      </c>
      <c r="BB90">
        <v>745.2</v>
      </c>
      <c r="BC90">
        <v>38100545.899999999</v>
      </c>
      <c r="BD90">
        <v>1804.9</v>
      </c>
      <c r="BE90">
        <v>240.7</v>
      </c>
      <c r="BF90">
        <v>3824372.9</v>
      </c>
      <c r="BG90">
        <v>164440.20000000001</v>
      </c>
      <c r="BH90">
        <v>23.5</v>
      </c>
      <c r="BI90">
        <v>38220052.600000001</v>
      </c>
      <c r="BJ90">
        <v>8731118.1999999993</v>
      </c>
      <c r="BK90">
        <v>46951170.799999997</v>
      </c>
      <c r="BL90">
        <v>0</v>
      </c>
      <c r="BM90">
        <v>24.97</v>
      </c>
      <c r="BN90">
        <v>16.899999999999999</v>
      </c>
      <c r="BO90">
        <v>0</v>
      </c>
      <c r="BP90">
        <v>41.87</v>
      </c>
      <c r="BQ90">
        <v>26.73</v>
      </c>
      <c r="BR90">
        <v>18.79</v>
      </c>
      <c r="BS90">
        <v>0</v>
      </c>
      <c r="BT90">
        <v>45.52</v>
      </c>
      <c r="BU90">
        <v>138527660</v>
      </c>
      <c r="BV90">
        <v>19259822</v>
      </c>
      <c r="BW90">
        <v>576507</v>
      </c>
      <c r="BX90">
        <v>1892522.4</v>
      </c>
      <c r="BY90">
        <v>0</v>
      </c>
      <c r="BZ90">
        <v>3145514</v>
      </c>
      <c r="CA90">
        <v>10690206</v>
      </c>
      <c r="CB90">
        <v>0</v>
      </c>
      <c r="CC90">
        <v>0</v>
      </c>
      <c r="CD90">
        <v>2054073</v>
      </c>
      <c r="CE90">
        <v>73028750</v>
      </c>
      <c r="CF90">
        <v>0</v>
      </c>
      <c r="CG90">
        <v>409998</v>
      </c>
      <c r="CH90">
        <v>0</v>
      </c>
      <c r="CI90">
        <v>615837.30000000005</v>
      </c>
      <c r="CJ90">
        <v>26164676</v>
      </c>
      <c r="CK90">
        <v>434221.6</v>
      </c>
      <c r="CL90">
        <v>2309611.7999999998</v>
      </c>
      <c r="CM90">
        <v>0</v>
      </c>
      <c r="CN90">
        <v>5696482.5</v>
      </c>
      <c r="CO90">
        <v>11509266</v>
      </c>
      <c r="CP90">
        <v>0</v>
      </c>
      <c r="CQ90">
        <v>449.6</v>
      </c>
      <c r="CR90">
        <v>315.60000000000002</v>
      </c>
      <c r="CS90">
        <v>0</v>
      </c>
      <c r="CT90">
        <v>3167</v>
      </c>
      <c r="CU90">
        <v>0</v>
      </c>
      <c r="CV90">
        <v>0</v>
      </c>
      <c r="CW90">
        <v>1506.4</v>
      </c>
      <c r="CX90">
        <v>14138.1</v>
      </c>
      <c r="CY90">
        <v>0</v>
      </c>
      <c r="CZ90">
        <v>3983.1</v>
      </c>
      <c r="DA90">
        <v>0</v>
      </c>
      <c r="DB90">
        <v>161.30000000000001</v>
      </c>
      <c r="DC90">
        <v>3318</v>
      </c>
      <c r="DD90">
        <v>2063.1</v>
      </c>
      <c r="DE90">
        <v>2235</v>
      </c>
      <c r="DF90">
        <v>0</v>
      </c>
      <c r="DG90">
        <v>2801.2</v>
      </c>
      <c r="DH90">
        <v>0</v>
      </c>
      <c r="DI90">
        <v>3533.7</v>
      </c>
      <c r="DJ90">
        <v>1784.7</v>
      </c>
      <c r="DK90">
        <v>22350</v>
      </c>
      <c r="DL90">
        <v>0</v>
      </c>
      <c r="DM90">
        <v>0</v>
      </c>
    </row>
    <row r="91" spans="1:117" x14ac:dyDescent="0.3">
      <c r="A91" t="s">
        <v>164</v>
      </c>
      <c r="B91">
        <v>2035</v>
      </c>
      <c r="C91">
        <v>132693480</v>
      </c>
      <c r="D91">
        <v>2451677.5</v>
      </c>
      <c r="E91">
        <v>3006641.5</v>
      </c>
      <c r="F91">
        <v>425144.7</v>
      </c>
      <c r="G91">
        <v>138576936.90000001</v>
      </c>
      <c r="H91">
        <v>127923671</v>
      </c>
      <c r="I91">
        <v>108000909.2</v>
      </c>
      <c r="J91">
        <v>16871340</v>
      </c>
      <c r="K91">
        <v>41381000</v>
      </c>
      <c r="L91">
        <v>3.5900000000000001E-2</v>
      </c>
      <c r="M91">
        <v>5.3900000000000003E-2</v>
      </c>
      <c r="N91">
        <v>0.17960000000000001</v>
      </c>
      <c r="O91">
        <v>89795.73</v>
      </c>
      <c r="P91">
        <v>34520.6</v>
      </c>
      <c r="Q91">
        <v>0.41</v>
      </c>
      <c r="R91">
        <v>0.42</v>
      </c>
      <c r="S91">
        <v>247.4</v>
      </c>
      <c r="T91">
        <v>9.3000000000000007</v>
      </c>
      <c r="U91">
        <v>1.19</v>
      </c>
      <c r="V91">
        <v>26.7</v>
      </c>
      <c r="W91">
        <v>1146.2</v>
      </c>
      <c r="X91">
        <v>0.15</v>
      </c>
      <c r="Y91">
        <v>248</v>
      </c>
      <c r="Z91">
        <v>60.9</v>
      </c>
      <c r="AA91">
        <v>308.89999999999998</v>
      </c>
      <c r="AB91">
        <v>254.5</v>
      </c>
      <c r="AC91">
        <v>9.8000000000000007</v>
      </c>
      <c r="AD91">
        <v>1.25</v>
      </c>
      <c r="AE91">
        <v>27.2</v>
      </c>
      <c r="AF91">
        <v>1172.5999999999999</v>
      </c>
      <c r="AG91">
        <v>0.15</v>
      </c>
      <c r="AH91">
        <v>255.1</v>
      </c>
      <c r="AI91">
        <v>62.2</v>
      </c>
      <c r="AJ91">
        <v>317.3</v>
      </c>
      <c r="AK91">
        <v>325.8</v>
      </c>
      <c r="AL91">
        <v>12.6</v>
      </c>
      <c r="AM91">
        <v>1.62</v>
      </c>
      <c r="AN91">
        <v>32.799999999999997</v>
      </c>
      <c r="AO91">
        <v>1488.9</v>
      </c>
      <c r="AP91">
        <v>0.15</v>
      </c>
      <c r="AQ91">
        <v>326.60000000000002</v>
      </c>
      <c r="AR91">
        <v>77.2</v>
      </c>
      <c r="AS91">
        <v>403.8</v>
      </c>
      <c r="AT91">
        <v>566.70000000000005</v>
      </c>
      <c r="AU91">
        <v>40.299999999999997</v>
      </c>
      <c r="AV91">
        <v>5.69</v>
      </c>
      <c r="AW91">
        <v>41</v>
      </c>
      <c r="AX91">
        <v>1990.1</v>
      </c>
      <c r="AY91">
        <v>0.3</v>
      </c>
      <c r="AZ91">
        <v>569.4</v>
      </c>
      <c r="BA91">
        <v>100.4</v>
      </c>
      <c r="BB91">
        <v>669.8</v>
      </c>
      <c r="BC91">
        <v>40080560.200000003</v>
      </c>
      <c r="BD91">
        <v>1506.7</v>
      </c>
      <c r="BE91">
        <v>192.2</v>
      </c>
      <c r="BF91">
        <v>4337037.4000000004</v>
      </c>
      <c r="BG91">
        <v>185842.6</v>
      </c>
      <c r="BH91">
        <v>23.7</v>
      </c>
      <c r="BI91">
        <v>40177923.899999999</v>
      </c>
      <c r="BJ91">
        <v>9881615.9000000004</v>
      </c>
      <c r="BK91">
        <v>50059539.799999997</v>
      </c>
      <c r="BL91">
        <v>0</v>
      </c>
      <c r="BM91">
        <v>22.29</v>
      </c>
      <c r="BN91">
        <v>17.68</v>
      </c>
      <c r="BO91">
        <v>0</v>
      </c>
      <c r="BP91">
        <v>39.97</v>
      </c>
      <c r="BQ91">
        <v>24.11</v>
      </c>
      <c r="BR91">
        <v>19.82</v>
      </c>
      <c r="BS91">
        <v>0</v>
      </c>
      <c r="BT91">
        <v>43.93</v>
      </c>
      <c r="BU91">
        <v>163372770</v>
      </c>
      <c r="BV91">
        <v>30576028</v>
      </c>
      <c r="BW91">
        <v>2087199.4</v>
      </c>
      <c r="BX91">
        <v>1469556.1</v>
      </c>
      <c r="BY91">
        <v>0</v>
      </c>
      <c r="BZ91">
        <v>3549608.5</v>
      </c>
      <c r="CA91">
        <v>7438600</v>
      </c>
      <c r="CB91">
        <v>0</v>
      </c>
      <c r="CC91">
        <v>0</v>
      </c>
      <c r="CD91">
        <v>4386848</v>
      </c>
      <c r="CE91">
        <v>88531176</v>
      </c>
      <c r="CF91">
        <v>0</v>
      </c>
      <c r="CG91">
        <v>860055.4</v>
      </c>
      <c r="CH91">
        <v>0</v>
      </c>
      <c r="CI91">
        <v>576313.9</v>
      </c>
      <c r="CJ91">
        <v>25650846</v>
      </c>
      <c r="CK91">
        <v>242790.2</v>
      </c>
      <c r="CL91">
        <v>2390598</v>
      </c>
      <c r="CM91">
        <v>0</v>
      </c>
      <c r="CN91">
        <v>5965772.5</v>
      </c>
      <c r="CO91">
        <v>20223408</v>
      </c>
      <c r="CP91">
        <v>0</v>
      </c>
      <c r="CQ91">
        <v>1444.9</v>
      </c>
      <c r="CR91">
        <v>265.3</v>
      </c>
      <c r="CS91">
        <v>0</v>
      </c>
      <c r="CT91">
        <v>3167</v>
      </c>
      <c r="CU91">
        <v>0</v>
      </c>
      <c r="CV91">
        <v>0</v>
      </c>
      <c r="CW91">
        <v>3241.9</v>
      </c>
      <c r="CX91">
        <v>17297.400000000001</v>
      </c>
      <c r="CY91">
        <v>0</v>
      </c>
      <c r="CZ91">
        <v>6772.9</v>
      </c>
      <c r="DA91">
        <v>0</v>
      </c>
      <c r="DB91">
        <v>161.30000000000001</v>
      </c>
      <c r="DC91">
        <v>3318</v>
      </c>
      <c r="DD91">
        <v>2046.3</v>
      </c>
      <c r="DE91">
        <v>2235</v>
      </c>
      <c r="DF91">
        <v>0</v>
      </c>
      <c r="DG91">
        <v>3003.1</v>
      </c>
      <c r="DH91">
        <v>0</v>
      </c>
      <c r="DI91">
        <v>5853.1</v>
      </c>
      <c r="DJ91">
        <v>7022.1</v>
      </c>
      <c r="DK91">
        <v>22350</v>
      </c>
      <c r="DL91">
        <v>0</v>
      </c>
      <c r="DM91">
        <v>0</v>
      </c>
    </row>
    <row r="92" spans="1:117" x14ac:dyDescent="0.3">
      <c r="A92" t="s">
        <v>164</v>
      </c>
      <c r="B92">
        <v>2040</v>
      </c>
      <c r="C92">
        <v>147742930</v>
      </c>
      <c r="D92">
        <v>5745469</v>
      </c>
      <c r="E92">
        <v>3695788</v>
      </c>
      <c r="F92">
        <v>542170.1</v>
      </c>
      <c r="G92">
        <v>157726359.40000001</v>
      </c>
      <c r="H92">
        <v>142431995.69999999</v>
      </c>
      <c r="I92">
        <v>113917522.5</v>
      </c>
      <c r="J92">
        <v>26133114</v>
      </c>
      <c r="K92">
        <v>49112400</v>
      </c>
      <c r="L92">
        <v>3.5900000000000001E-2</v>
      </c>
      <c r="M92">
        <v>5.3900000000000003E-2</v>
      </c>
      <c r="N92">
        <v>0.17929999999999999</v>
      </c>
      <c r="O92">
        <v>87115.9</v>
      </c>
      <c r="P92">
        <v>39156.1</v>
      </c>
      <c r="Q92">
        <v>0.45</v>
      </c>
      <c r="R92">
        <v>0.46</v>
      </c>
      <c r="S92">
        <v>227.1</v>
      </c>
      <c r="T92">
        <v>8.1999999999999993</v>
      </c>
      <c r="U92">
        <v>1.03</v>
      </c>
      <c r="V92">
        <v>24.8</v>
      </c>
      <c r="W92">
        <v>1062.5999999999999</v>
      </c>
      <c r="X92">
        <v>0.13</v>
      </c>
      <c r="Y92">
        <v>227.6</v>
      </c>
      <c r="Z92">
        <v>56.5</v>
      </c>
      <c r="AA92">
        <v>284.10000000000002</v>
      </c>
      <c r="AB92">
        <v>234.6</v>
      </c>
      <c r="AC92">
        <v>8.6</v>
      </c>
      <c r="AD92">
        <v>1.0900000000000001</v>
      </c>
      <c r="AE92">
        <v>25.3</v>
      </c>
      <c r="AF92">
        <v>1091.9000000000001</v>
      </c>
      <c r="AG92">
        <v>0.14000000000000001</v>
      </c>
      <c r="AH92">
        <v>235.1</v>
      </c>
      <c r="AI92">
        <v>57.9</v>
      </c>
      <c r="AJ92">
        <v>293</v>
      </c>
      <c r="AK92">
        <v>308.5</v>
      </c>
      <c r="AL92">
        <v>14.8</v>
      </c>
      <c r="AM92">
        <v>2</v>
      </c>
      <c r="AN92">
        <v>28.6</v>
      </c>
      <c r="AO92">
        <v>1305</v>
      </c>
      <c r="AP92">
        <v>0.16</v>
      </c>
      <c r="AQ92">
        <v>309.5</v>
      </c>
      <c r="AR92">
        <v>67.5</v>
      </c>
      <c r="AS92">
        <v>377</v>
      </c>
      <c r="AT92">
        <v>537.29999999999995</v>
      </c>
      <c r="AU92">
        <v>35.9</v>
      </c>
      <c r="AV92">
        <v>5.05</v>
      </c>
      <c r="AW92">
        <v>41</v>
      </c>
      <c r="AX92">
        <v>1946.2</v>
      </c>
      <c r="AY92">
        <v>0.28999999999999998</v>
      </c>
      <c r="AZ92">
        <v>539.70000000000005</v>
      </c>
      <c r="BA92">
        <v>99.1</v>
      </c>
      <c r="BB92">
        <v>638.79999999999995</v>
      </c>
      <c r="BC92">
        <v>40728243.399999999</v>
      </c>
      <c r="BD92">
        <v>1459.6</v>
      </c>
      <c r="BE92">
        <v>184.6</v>
      </c>
      <c r="BF92">
        <v>4444210.4000000004</v>
      </c>
      <c r="BG92">
        <v>190733.9</v>
      </c>
      <c r="BH92">
        <v>24</v>
      </c>
      <c r="BI92">
        <v>40822142.200000003</v>
      </c>
      <c r="BJ92">
        <v>10134631.800000001</v>
      </c>
      <c r="BK92">
        <v>50956774</v>
      </c>
      <c r="BL92">
        <v>0</v>
      </c>
      <c r="BM92">
        <v>20.399999999999999</v>
      </c>
      <c r="BN92">
        <v>16.71</v>
      </c>
      <c r="BO92">
        <v>0</v>
      </c>
      <c r="BP92">
        <v>37.11</v>
      </c>
      <c r="BQ92">
        <v>22.32</v>
      </c>
      <c r="BR92">
        <v>19.12</v>
      </c>
      <c r="BS92">
        <v>0</v>
      </c>
      <c r="BT92">
        <v>41.43</v>
      </c>
      <c r="BU92">
        <v>180991680</v>
      </c>
      <c r="BV92">
        <v>43808836</v>
      </c>
      <c r="BW92">
        <v>4914735</v>
      </c>
      <c r="BX92">
        <v>893960.2</v>
      </c>
      <c r="BY92">
        <v>0</v>
      </c>
      <c r="BZ92">
        <v>3186257.2</v>
      </c>
      <c r="CA92">
        <v>6836103</v>
      </c>
      <c r="CB92">
        <v>0</v>
      </c>
      <c r="CC92">
        <v>0</v>
      </c>
      <c r="CD92">
        <v>4866289.5</v>
      </c>
      <c r="CE92">
        <v>90601050</v>
      </c>
      <c r="CF92">
        <v>0</v>
      </c>
      <c r="CG92">
        <v>1524874.8</v>
      </c>
      <c r="CH92">
        <v>0</v>
      </c>
      <c r="CI92">
        <v>548943.6</v>
      </c>
      <c r="CJ92">
        <v>25322462</v>
      </c>
      <c r="CK92">
        <v>396766.7</v>
      </c>
      <c r="CL92">
        <v>2957690</v>
      </c>
      <c r="CM92">
        <v>0</v>
      </c>
      <c r="CN92">
        <v>10344888</v>
      </c>
      <c r="CO92">
        <v>28597658</v>
      </c>
      <c r="CP92">
        <v>0</v>
      </c>
      <c r="CQ92">
        <v>3105.4</v>
      </c>
      <c r="CR92">
        <v>192.3</v>
      </c>
      <c r="CS92">
        <v>0</v>
      </c>
      <c r="CT92">
        <v>3167</v>
      </c>
      <c r="CU92">
        <v>0</v>
      </c>
      <c r="CV92">
        <v>0</v>
      </c>
      <c r="CW92">
        <v>3697.1</v>
      </c>
      <c r="CX92">
        <v>17319.3</v>
      </c>
      <c r="CY92">
        <v>0</v>
      </c>
      <c r="CZ92">
        <v>8133</v>
      </c>
      <c r="DA92">
        <v>0</v>
      </c>
      <c r="DB92">
        <v>161.30000000000001</v>
      </c>
      <c r="DC92">
        <v>3318</v>
      </c>
      <c r="DD92">
        <v>2003.6</v>
      </c>
      <c r="DE92">
        <v>2235</v>
      </c>
      <c r="DF92">
        <v>0</v>
      </c>
      <c r="DG92">
        <v>4954.8</v>
      </c>
      <c r="DH92">
        <v>0</v>
      </c>
      <c r="DI92">
        <v>8025.6</v>
      </c>
      <c r="DJ92">
        <v>15826.1</v>
      </c>
      <c r="DK92">
        <v>22350</v>
      </c>
      <c r="DL92">
        <v>0</v>
      </c>
      <c r="DM92">
        <v>0</v>
      </c>
    </row>
    <row r="93" spans="1:117" x14ac:dyDescent="0.3">
      <c r="A93" t="s">
        <v>164</v>
      </c>
      <c r="B93">
        <v>2045</v>
      </c>
      <c r="C93">
        <v>161421810</v>
      </c>
      <c r="D93">
        <v>9847869</v>
      </c>
      <c r="E93">
        <v>4387512.5</v>
      </c>
      <c r="F93">
        <v>701058.9</v>
      </c>
      <c r="G93">
        <v>176358254.09999999</v>
      </c>
      <c r="H93">
        <v>155619038.59999999</v>
      </c>
      <c r="I93">
        <v>107339734.7</v>
      </c>
      <c r="J93">
        <v>33647110</v>
      </c>
      <c r="K93">
        <v>67441110</v>
      </c>
      <c r="L93">
        <v>3.5900000000000001E-2</v>
      </c>
      <c r="M93">
        <v>5.3900000000000003E-2</v>
      </c>
      <c r="N93">
        <v>0.17899999999999999</v>
      </c>
      <c r="O93">
        <v>86390.54</v>
      </c>
      <c r="P93">
        <v>43271.1</v>
      </c>
      <c r="Q93">
        <v>0.53</v>
      </c>
      <c r="R93">
        <v>0.51</v>
      </c>
      <c r="S93">
        <v>201.1</v>
      </c>
      <c r="T93">
        <v>7.1</v>
      </c>
      <c r="U93">
        <v>0.91</v>
      </c>
      <c r="V93">
        <v>22</v>
      </c>
      <c r="W93">
        <v>938.3</v>
      </c>
      <c r="X93">
        <v>0.12</v>
      </c>
      <c r="Y93">
        <v>201.5</v>
      </c>
      <c r="Z93">
        <v>50</v>
      </c>
      <c r="AA93">
        <v>251.6</v>
      </c>
      <c r="AB93">
        <v>219.3</v>
      </c>
      <c r="AC93">
        <v>7.9</v>
      </c>
      <c r="AD93">
        <v>1.01</v>
      </c>
      <c r="AE93">
        <v>23.8</v>
      </c>
      <c r="AF93">
        <v>1018.9</v>
      </c>
      <c r="AG93">
        <v>0.13</v>
      </c>
      <c r="AH93">
        <v>219.8</v>
      </c>
      <c r="AI93">
        <v>54.2</v>
      </c>
      <c r="AJ93">
        <v>274</v>
      </c>
      <c r="AK93">
        <v>263.10000000000002</v>
      </c>
      <c r="AL93">
        <v>10.7</v>
      </c>
      <c r="AM93">
        <v>1.41</v>
      </c>
      <c r="AN93">
        <v>26.4</v>
      </c>
      <c r="AO93">
        <v>1172.3</v>
      </c>
      <c r="AP93">
        <v>0.14000000000000001</v>
      </c>
      <c r="AQ93">
        <v>263.8</v>
      </c>
      <c r="AR93">
        <v>61.4</v>
      </c>
      <c r="AS93">
        <v>325.2</v>
      </c>
      <c r="AT93">
        <v>527.6</v>
      </c>
      <c r="AU93">
        <v>34.1</v>
      </c>
      <c r="AV93">
        <v>4.8</v>
      </c>
      <c r="AW93">
        <v>41.6</v>
      </c>
      <c r="AX93">
        <v>1933.2</v>
      </c>
      <c r="AY93">
        <v>0.3</v>
      </c>
      <c r="AZ93">
        <v>530</v>
      </c>
      <c r="BA93">
        <v>99.3</v>
      </c>
      <c r="BB93">
        <v>629.20000000000005</v>
      </c>
      <c r="BC93">
        <v>41840343.399999999</v>
      </c>
      <c r="BD93">
        <v>1482.6</v>
      </c>
      <c r="BE93">
        <v>188.2</v>
      </c>
      <c r="BF93">
        <v>4585505.3</v>
      </c>
      <c r="BG93">
        <v>195418.6</v>
      </c>
      <c r="BH93">
        <v>25.2</v>
      </c>
      <c r="BI93">
        <v>41935907.700000003</v>
      </c>
      <c r="BJ93">
        <v>10415858.1</v>
      </c>
      <c r="BK93">
        <v>52351765.799999997</v>
      </c>
      <c r="BL93">
        <v>0</v>
      </c>
      <c r="BM93">
        <v>19.100000000000001</v>
      </c>
      <c r="BN93">
        <v>16.39</v>
      </c>
      <c r="BO93">
        <v>0</v>
      </c>
      <c r="BP93">
        <v>35.49</v>
      </c>
      <c r="BQ93">
        <v>21.15</v>
      </c>
      <c r="BR93">
        <v>19.16</v>
      </c>
      <c r="BS93">
        <v>0</v>
      </c>
      <c r="BT93">
        <v>40.31</v>
      </c>
      <c r="BU93">
        <v>210609660</v>
      </c>
      <c r="BV93">
        <v>69018520</v>
      </c>
      <c r="BW93">
        <v>8444902</v>
      </c>
      <c r="BX93">
        <v>867272.1</v>
      </c>
      <c r="BY93">
        <v>0</v>
      </c>
      <c r="BZ93">
        <v>3187168.5</v>
      </c>
      <c r="CA93">
        <v>6775531</v>
      </c>
      <c r="CB93">
        <v>0</v>
      </c>
      <c r="CC93">
        <v>0</v>
      </c>
      <c r="CD93">
        <v>5383694.5</v>
      </c>
      <c r="CE93">
        <v>87095896</v>
      </c>
      <c r="CF93">
        <v>0</v>
      </c>
      <c r="CG93">
        <v>5118151.5</v>
      </c>
      <c r="CH93">
        <v>0</v>
      </c>
      <c r="CI93">
        <v>532538</v>
      </c>
      <c r="CJ93">
        <v>25109824</v>
      </c>
      <c r="CK93">
        <v>874707.6</v>
      </c>
      <c r="CL93">
        <v>3585164.8</v>
      </c>
      <c r="CM93">
        <v>0</v>
      </c>
      <c r="CN93">
        <v>30338644</v>
      </c>
      <c r="CO93">
        <v>33296180</v>
      </c>
      <c r="CP93">
        <v>0</v>
      </c>
      <c r="CQ93">
        <v>5098.6000000000004</v>
      </c>
      <c r="CR93">
        <v>192.3</v>
      </c>
      <c r="CS93">
        <v>0</v>
      </c>
      <c r="CT93">
        <v>3167</v>
      </c>
      <c r="CU93">
        <v>0</v>
      </c>
      <c r="CV93">
        <v>0</v>
      </c>
      <c r="CW93">
        <v>4194.2</v>
      </c>
      <c r="CX93">
        <v>15443.3</v>
      </c>
      <c r="CY93">
        <v>0</v>
      </c>
      <c r="CZ93">
        <v>12239</v>
      </c>
      <c r="DA93">
        <v>0</v>
      </c>
      <c r="DB93">
        <v>161.30000000000001</v>
      </c>
      <c r="DC93">
        <v>3318</v>
      </c>
      <c r="DD93">
        <v>2002.6</v>
      </c>
      <c r="DE93">
        <v>2235</v>
      </c>
      <c r="DF93">
        <v>0</v>
      </c>
      <c r="DG93">
        <v>13483.3</v>
      </c>
      <c r="DH93">
        <v>0</v>
      </c>
      <c r="DI93">
        <v>8889.2999999999993</v>
      </c>
      <c r="DJ93">
        <v>26329.5</v>
      </c>
      <c r="DK93">
        <v>22350</v>
      </c>
      <c r="DL93">
        <v>0</v>
      </c>
      <c r="DM93">
        <v>0</v>
      </c>
    </row>
    <row r="94" spans="1:117" x14ac:dyDescent="0.3">
      <c r="A94" t="s">
        <v>164</v>
      </c>
      <c r="B94">
        <v>2050</v>
      </c>
      <c r="C94">
        <v>174203550</v>
      </c>
      <c r="D94">
        <v>11928055</v>
      </c>
      <c r="E94">
        <v>4871748</v>
      </c>
      <c r="F94">
        <v>828603.8</v>
      </c>
      <c r="G94">
        <v>191831963.40000001</v>
      </c>
      <c r="H94">
        <v>167941287.09999999</v>
      </c>
      <c r="I94">
        <v>110730877.40000001</v>
      </c>
      <c r="J94">
        <v>43517224</v>
      </c>
      <c r="K94">
        <v>75956610</v>
      </c>
      <c r="L94">
        <v>3.5900000000000001E-2</v>
      </c>
      <c r="M94">
        <v>5.3900000000000003E-2</v>
      </c>
      <c r="N94">
        <v>0.17860000000000001</v>
      </c>
      <c r="O94">
        <v>85759.12</v>
      </c>
      <c r="P94">
        <v>47318.400000000001</v>
      </c>
      <c r="Q94">
        <v>0.55000000000000004</v>
      </c>
      <c r="R94">
        <v>0.54</v>
      </c>
      <c r="S94">
        <v>178.7</v>
      </c>
      <c r="T94">
        <v>3.4</v>
      </c>
      <c r="U94">
        <v>0.36</v>
      </c>
      <c r="V94">
        <v>22.2</v>
      </c>
      <c r="W94">
        <v>927.7</v>
      </c>
      <c r="X94">
        <v>0.11</v>
      </c>
      <c r="Y94">
        <v>178.9</v>
      </c>
      <c r="Z94">
        <v>49.9</v>
      </c>
      <c r="AA94">
        <v>228.8</v>
      </c>
      <c r="AB94">
        <v>192.2</v>
      </c>
      <c r="AC94">
        <v>3.7</v>
      </c>
      <c r="AD94">
        <v>0.39</v>
      </c>
      <c r="AE94">
        <v>23.8</v>
      </c>
      <c r="AF94">
        <v>996.9</v>
      </c>
      <c r="AG94">
        <v>0.11</v>
      </c>
      <c r="AH94">
        <v>192.4</v>
      </c>
      <c r="AI94">
        <v>53.5</v>
      </c>
      <c r="AJ94">
        <v>245.9</v>
      </c>
      <c r="AK94">
        <v>258.8</v>
      </c>
      <c r="AL94">
        <v>9.6999999999999993</v>
      </c>
      <c r="AM94">
        <v>1.25</v>
      </c>
      <c r="AN94">
        <v>26.9</v>
      </c>
      <c r="AO94">
        <v>1178.2</v>
      </c>
      <c r="AP94">
        <v>0.14000000000000001</v>
      </c>
      <c r="AQ94">
        <v>259.5</v>
      </c>
      <c r="AR94">
        <v>62.1</v>
      </c>
      <c r="AS94">
        <v>321.60000000000002</v>
      </c>
      <c r="AT94">
        <v>459.2</v>
      </c>
      <c r="AU94">
        <v>21.4</v>
      </c>
      <c r="AV94">
        <v>2.91</v>
      </c>
      <c r="AW94">
        <v>43.9</v>
      </c>
      <c r="AX94">
        <v>1937.6</v>
      </c>
      <c r="AY94">
        <v>0.26</v>
      </c>
      <c r="AZ94">
        <v>460.6</v>
      </c>
      <c r="BA94">
        <v>101.7</v>
      </c>
      <c r="BB94">
        <v>562.29999999999995</v>
      </c>
      <c r="BC94">
        <v>39648741.5</v>
      </c>
      <c r="BD94">
        <v>762.4</v>
      </c>
      <c r="BE94">
        <v>78.900000000000006</v>
      </c>
      <c r="BF94">
        <v>4933124.7</v>
      </c>
      <c r="BG94">
        <v>205821</v>
      </c>
      <c r="BH94">
        <v>23.5</v>
      </c>
      <c r="BI94">
        <v>39692993.399999999</v>
      </c>
      <c r="BJ94">
        <v>11072998.5</v>
      </c>
      <c r="BK94">
        <v>50765991.899999999</v>
      </c>
      <c r="BL94">
        <v>0</v>
      </c>
      <c r="BM94">
        <v>18.41</v>
      </c>
      <c r="BN94">
        <v>16.29</v>
      </c>
      <c r="BO94">
        <v>0</v>
      </c>
      <c r="BP94">
        <v>34.700000000000003</v>
      </c>
      <c r="BQ94">
        <v>20.6</v>
      </c>
      <c r="BR94">
        <v>19.18</v>
      </c>
      <c r="BS94">
        <v>0</v>
      </c>
      <c r="BT94">
        <v>39.78</v>
      </c>
      <c r="BU94">
        <v>224824530</v>
      </c>
      <c r="BV94">
        <v>81101090</v>
      </c>
      <c r="BW94">
        <v>10202837</v>
      </c>
      <c r="BX94">
        <v>844483</v>
      </c>
      <c r="BY94">
        <v>0</v>
      </c>
      <c r="BZ94">
        <v>3181911.8</v>
      </c>
      <c r="CA94">
        <v>14316.8</v>
      </c>
      <c r="CB94">
        <v>0</v>
      </c>
      <c r="CC94">
        <v>0</v>
      </c>
      <c r="CD94">
        <v>6012650.5</v>
      </c>
      <c r="CE94">
        <v>83949096</v>
      </c>
      <c r="CF94">
        <v>0</v>
      </c>
      <c r="CG94">
        <v>15660938</v>
      </c>
      <c r="CH94">
        <v>0</v>
      </c>
      <c r="CI94">
        <v>517798.8</v>
      </c>
      <c r="CJ94">
        <v>24750960</v>
      </c>
      <c r="CK94">
        <v>689412</v>
      </c>
      <c r="CL94">
        <v>3911668</v>
      </c>
      <c r="CM94">
        <v>0</v>
      </c>
      <c r="CN94">
        <v>37879108</v>
      </c>
      <c r="CO94">
        <v>37209330</v>
      </c>
      <c r="CP94">
        <v>0</v>
      </c>
      <c r="CQ94">
        <v>5977.1</v>
      </c>
      <c r="CR94">
        <v>192.3</v>
      </c>
      <c r="CS94">
        <v>0</v>
      </c>
      <c r="CT94">
        <v>101</v>
      </c>
      <c r="CU94">
        <v>0</v>
      </c>
      <c r="CV94">
        <v>0</v>
      </c>
      <c r="CW94">
        <v>4784.1000000000004</v>
      </c>
      <c r="CX94">
        <v>15315.3</v>
      </c>
      <c r="CY94">
        <v>0</v>
      </c>
      <c r="CZ94">
        <v>17104.900000000001</v>
      </c>
      <c r="DA94">
        <v>0</v>
      </c>
      <c r="DB94">
        <v>161.30000000000001</v>
      </c>
      <c r="DC94">
        <v>3318</v>
      </c>
      <c r="DD94">
        <v>1424.8</v>
      </c>
      <c r="DE94">
        <v>2235</v>
      </c>
      <c r="DF94">
        <v>0</v>
      </c>
      <c r="DG94">
        <v>16997.599999999999</v>
      </c>
      <c r="DH94">
        <v>0</v>
      </c>
      <c r="DI94">
        <v>9766.1</v>
      </c>
      <c r="DJ94">
        <v>31769</v>
      </c>
      <c r="DK94">
        <v>22350</v>
      </c>
      <c r="DL94">
        <v>0</v>
      </c>
      <c r="DM94">
        <v>0</v>
      </c>
    </row>
    <row r="95" spans="1:117" x14ac:dyDescent="0.3">
      <c r="A95" t="s">
        <v>165</v>
      </c>
      <c r="B95">
        <v>2024</v>
      </c>
      <c r="C95">
        <v>511321150</v>
      </c>
      <c r="D95">
        <v>296048.5</v>
      </c>
      <c r="E95">
        <v>0</v>
      </c>
      <c r="F95">
        <v>4467265.7</v>
      </c>
      <c r="G95">
        <v>516084458.19999999</v>
      </c>
      <c r="H95">
        <v>492937911.80000001</v>
      </c>
      <c r="I95">
        <v>480412787.69999999</v>
      </c>
      <c r="J95">
        <v>329312420</v>
      </c>
      <c r="K95">
        <v>242794720</v>
      </c>
      <c r="L95">
        <v>3.5900000000000001E-2</v>
      </c>
      <c r="M95">
        <v>5.3999999999999999E-2</v>
      </c>
      <c r="N95">
        <v>0.15629999999999999</v>
      </c>
      <c r="O95">
        <v>23184.43</v>
      </c>
      <c r="P95">
        <v>112714.2</v>
      </c>
      <c r="Q95">
        <v>0.33</v>
      </c>
      <c r="R95">
        <v>0.39</v>
      </c>
      <c r="S95">
        <v>448.7</v>
      </c>
      <c r="T95">
        <v>37.700000000000003</v>
      </c>
      <c r="U95">
        <v>5.37</v>
      </c>
      <c r="V95">
        <v>28.7</v>
      </c>
      <c r="W95">
        <v>1421.6</v>
      </c>
      <c r="X95">
        <v>0.26</v>
      </c>
      <c r="Y95">
        <v>451.3</v>
      </c>
      <c r="Z95">
        <v>71.099999999999994</v>
      </c>
      <c r="AA95">
        <v>522.4</v>
      </c>
      <c r="AB95">
        <v>414.7</v>
      </c>
      <c r="AC95">
        <v>34.1</v>
      </c>
      <c r="AD95">
        <v>4.8499999999999996</v>
      </c>
      <c r="AE95">
        <v>27.5</v>
      </c>
      <c r="AF95">
        <v>1337.1</v>
      </c>
      <c r="AG95">
        <v>0.25</v>
      </c>
      <c r="AH95">
        <v>417</v>
      </c>
      <c r="AI95">
        <v>67.400000000000006</v>
      </c>
      <c r="AJ95">
        <v>484.4</v>
      </c>
      <c r="AK95">
        <v>372.1</v>
      </c>
      <c r="AL95">
        <v>22.6</v>
      </c>
      <c r="AM95">
        <v>3.12</v>
      </c>
      <c r="AN95">
        <v>30</v>
      </c>
      <c r="AO95">
        <v>1438.5</v>
      </c>
      <c r="AP95">
        <v>0.18</v>
      </c>
      <c r="AQ95">
        <v>373.7</v>
      </c>
      <c r="AR95">
        <v>72.900000000000006</v>
      </c>
      <c r="AS95">
        <v>446.6</v>
      </c>
      <c r="AT95">
        <v>786.5</v>
      </c>
      <c r="AU95">
        <v>62.7</v>
      </c>
      <c r="AV95">
        <v>9.0299999999999994</v>
      </c>
      <c r="AW95">
        <v>51.5</v>
      </c>
      <c r="AX95">
        <v>2451.3000000000002</v>
      </c>
      <c r="AY95">
        <v>0.48</v>
      </c>
      <c r="AZ95">
        <v>790.8</v>
      </c>
      <c r="BA95">
        <v>124.7</v>
      </c>
      <c r="BB95">
        <v>915.5</v>
      </c>
      <c r="BC95">
        <v>191194098.59999999</v>
      </c>
      <c r="BD95">
        <v>16072.1</v>
      </c>
      <c r="BE95">
        <v>2286.4</v>
      </c>
      <c r="BF95">
        <v>12230568.300000001</v>
      </c>
      <c r="BG95">
        <v>606040.1</v>
      </c>
      <c r="BH95">
        <v>112.6</v>
      </c>
      <c r="BI95">
        <v>192297223.5</v>
      </c>
      <c r="BJ95">
        <v>30321303.800000001</v>
      </c>
      <c r="BK95">
        <v>222618527.30000001</v>
      </c>
      <c r="BL95">
        <v>0</v>
      </c>
      <c r="BM95">
        <v>31.45</v>
      </c>
      <c r="BN95">
        <v>4.84</v>
      </c>
      <c r="BO95">
        <v>0</v>
      </c>
      <c r="BP95">
        <v>36.29</v>
      </c>
      <c r="BQ95">
        <v>33.299999999999997</v>
      </c>
      <c r="BR95">
        <v>5.24</v>
      </c>
      <c r="BS95">
        <v>0</v>
      </c>
      <c r="BT95">
        <v>38.549999999999997</v>
      </c>
      <c r="BU95">
        <v>429172830</v>
      </c>
      <c r="BV95">
        <v>35671670</v>
      </c>
      <c r="BW95">
        <v>252779.6</v>
      </c>
      <c r="BX95">
        <v>1421224.5</v>
      </c>
      <c r="BY95">
        <v>0</v>
      </c>
      <c r="BZ95">
        <v>0</v>
      </c>
      <c r="CA95">
        <v>125247510</v>
      </c>
      <c r="CB95">
        <v>0</v>
      </c>
      <c r="CC95">
        <v>0</v>
      </c>
      <c r="CD95">
        <v>2249480.2000000002</v>
      </c>
      <c r="CE95">
        <v>159263570</v>
      </c>
      <c r="CF95">
        <v>0</v>
      </c>
      <c r="CG95">
        <v>2772084.5</v>
      </c>
      <c r="CH95">
        <v>0</v>
      </c>
      <c r="CI95">
        <v>3054975.2</v>
      </c>
      <c r="CJ95">
        <v>100931370</v>
      </c>
      <c r="CK95">
        <v>557635.6</v>
      </c>
      <c r="CL95">
        <v>0</v>
      </c>
      <c r="CM95">
        <v>0</v>
      </c>
      <c r="CN95">
        <v>10560703</v>
      </c>
      <c r="CO95">
        <v>22792698</v>
      </c>
      <c r="CP95">
        <v>68789.7</v>
      </c>
      <c r="CQ95">
        <v>344.4</v>
      </c>
      <c r="CR95">
        <v>312</v>
      </c>
      <c r="CS95">
        <v>0</v>
      </c>
      <c r="CT95">
        <v>37949.199999999997</v>
      </c>
      <c r="CU95">
        <v>0</v>
      </c>
      <c r="CV95">
        <v>0</v>
      </c>
      <c r="CW95">
        <v>1623.7</v>
      </c>
      <c r="CX95">
        <v>24301.4</v>
      </c>
      <c r="CY95">
        <v>0</v>
      </c>
      <c r="CZ95">
        <v>20087.400000000001</v>
      </c>
      <c r="DA95">
        <v>0</v>
      </c>
      <c r="DB95">
        <v>861.4</v>
      </c>
      <c r="DC95">
        <v>12640.4</v>
      </c>
      <c r="DD95">
        <v>2757.9</v>
      </c>
      <c r="DE95">
        <v>0</v>
      </c>
      <c r="DF95">
        <v>0</v>
      </c>
      <c r="DG95">
        <v>4986.8</v>
      </c>
      <c r="DH95">
        <v>21</v>
      </c>
      <c r="DI95">
        <v>7798.7</v>
      </c>
      <c r="DJ95">
        <v>723</v>
      </c>
      <c r="DK95">
        <v>0</v>
      </c>
      <c r="DL95">
        <v>0</v>
      </c>
      <c r="DM95">
        <v>0</v>
      </c>
    </row>
    <row r="96" spans="1:117" x14ac:dyDescent="0.3">
      <c r="A96" t="s">
        <v>165</v>
      </c>
      <c r="B96">
        <v>2026</v>
      </c>
      <c r="C96">
        <v>524056400</v>
      </c>
      <c r="D96">
        <v>1122264.6000000001</v>
      </c>
      <c r="E96">
        <v>0</v>
      </c>
      <c r="F96">
        <v>4495324</v>
      </c>
      <c r="G96">
        <v>529673971.19999999</v>
      </c>
      <c r="H96">
        <v>505215218.30000001</v>
      </c>
      <c r="I96">
        <v>490977434</v>
      </c>
      <c r="J96">
        <v>335600700</v>
      </c>
      <c r="K96">
        <v>229893940</v>
      </c>
      <c r="L96">
        <v>3.5900000000000001E-2</v>
      </c>
      <c r="M96">
        <v>5.3999999999999999E-2</v>
      </c>
      <c r="N96">
        <v>0.15629999999999999</v>
      </c>
      <c r="O96">
        <v>53167.040000000001</v>
      </c>
      <c r="P96">
        <v>116093.9</v>
      </c>
      <c r="Q96">
        <v>0.34</v>
      </c>
      <c r="R96">
        <v>0.42</v>
      </c>
      <c r="S96">
        <v>421.7</v>
      </c>
      <c r="T96">
        <v>34.4</v>
      </c>
      <c r="U96">
        <v>4.88</v>
      </c>
      <c r="V96">
        <v>28.1</v>
      </c>
      <c r="W96">
        <v>1371.1</v>
      </c>
      <c r="X96">
        <v>0.25</v>
      </c>
      <c r="Y96">
        <v>424</v>
      </c>
      <c r="Z96">
        <v>69</v>
      </c>
      <c r="AA96">
        <v>493</v>
      </c>
      <c r="AB96">
        <v>377.6</v>
      </c>
      <c r="AC96">
        <v>30</v>
      </c>
      <c r="AD96">
        <v>4.24</v>
      </c>
      <c r="AE96">
        <v>26.3</v>
      </c>
      <c r="AF96">
        <v>1255.5999999999999</v>
      </c>
      <c r="AG96">
        <v>0.23</v>
      </c>
      <c r="AH96">
        <v>379.7</v>
      </c>
      <c r="AI96">
        <v>63.8</v>
      </c>
      <c r="AJ96">
        <v>443.4</v>
      </c>
      <c r="AK96">
        <v>346.2</v>
      </c>
      <c r="AL96">
        <v>15.4</v>
      </c>
      <c r="AM96">
        <v>2.0299999999999998</v>
      </c>
      <c r="AN96">
        <v>33</v>
      </c>
      <c r="AO96">
        <v>1521.1</v>
      </c>
      <c r="AP96">
        <v>0.16</v>
      </c>
      <c r="AQ96">
        <v>347.3</v>
      </c>
      <c r="AR96">
        <v>78.3</v>
      </c>
      <c r="AS96">
        <v>425.6</v>
      </c>
      <c r="AT96">
        <v>751.1</v>
      </c>
      <c r="AU96">
        <v>60.1</v>
      </c>
      <c r="AV96">
        <v>8.61</v>
      </c>
      <c r="AW96">
        <v>48.4</v>
      </c>
      <c r="AX96">
        <v>2376.6</v>
      </c>
      <c r="AY96">
        <v>0.43</v>
      </c>
      <c r="AZ96">
        <v>755.2</v>
      </c>
      <c r="BA96">
        <v>119.4</v>
      </c>
      <c r="BB96">
        <v>874.6</v>
      </c>
      <c r="BC96">
        <v>177220681</v>
      </c>
      <c r="BD96">
        <v>14451.1</v>
      </c>
      <c r="BE96">
        <v>2049.6999999999998</v>
      </c>
      <c r="BF96">
        <v>11801567.1</v>
      </c>
      <c r="BG96">
        <v>576616.9</v>
      </c>
      <c r="BH96">
        <v>105.2</v>
      </c>
      <c r="BI96">
        <v>178210895.30000001</v>
      </c>
      <c r="BJ96">
        <v>29013464.899999999</v>
      </c>
      <c r="BK96">
        <v>207224360.19999999</v>
      </c>
      <c r="BL96">
        <v>0</v>
      </c>
      <c r="BM96">
        <v>29.98</v>
      </c>
      <c r="BN96">
        <v>11.04</v>
      </c>
      <c r="BO96">
        <v>0.01</v>
      </c>
      <c r="BP96">
        <v>41.04</v>
      </c>
      <c r="BQ96">
        <v>31.75</v>
      </c>
      <c r="BR96">
        <v>11.97</v>
      </c>
      <c r="BS96">
        <v>0.01</v>
      </c>
      <c r="BT96">
        <v>43.74</v>
      </c>
      <c r="BU96">
        <v>423525200</v>
      </c>
      <c r="BV96">
        <v>38696536</v>
      </c>
      <c r="BW96">
        <v>954622.2</v>
      </c>
      <c r="BX96">
        <v>1418919.8</v>
      </c>
      <c r="BY96">
        <v>0</v>
      </c>
      <c r="BZ96">
        <v>0</v>
      </c>
      <c r="CA96">
        <v>112049260</v>
      </c>
      <c r="CB96">
        <v>0</v>
      </c>
      <c r="CC96">
        <v>0</v>
      </c>
      <c r="CD96">
        <v>3699150.5</v>
      </c>
      <c r="CE96">
        <v>164851440</v>
      </c>
      <c r="CF96">
        <v>0</v>
      </c>
      <c r="CG96">
        <v>1355305.5</v>
      </c>
      <c r="CH96">
        <v>0</v>
      </c>
      <c r="CI96">
        <v>3054095</v>
      </c>
      <c r="CJ96">
        <v>100874760</v>
      </c>
      <c r="CK96">
        <v>270245.8</v>
      </c>
      <c r="CL96">
        <v>0</v>
      </c>
      <c r="CM96">
        <v>0</v>
      </c>
      <c r="CN96">
        <v>12261970</v>
      </c>
      <c r="CO96">
        <v>22666998</v>
      </c>
      <c r="CP96">
        <v>68418.8</v>
      </c>
      <c r="CQ96">
        <v>1276.7</v>
      </c>
      <c r="CR96">
        <v>312</v>
      </c>
      <c r="CS96">
        <v>0</v>
      </c>
      <c r="CT96">
        <v>37929.199999999997</v>
      </c>
      <c r="CU96">
        <v>0</v>
      </c>
      <c r="CV96">
        <v>0</v>
      </c>
      <c r="CW96">
        <v>2662.8</v>
      </c>
      <c r="CX96">
        <v>26640.7</v>
      </c>
      <c r="CY96">
        <v>0</v>
      </c>
      <c r="CZ96">
        <v>19959.7</v>
      </c>
      <c r="DA96">
        <v>0</v>
      </c>
      <c r="DB96">
        <v>861.4</v>
      </c>
      <c r="DC96">
        <v>12640.4</v>
      </c>
      <c r="DD96">
        <v>2757.9</v>
      </c>
      <c r="DE96">
        <v>0</v>
      </c>
      <c r="DF96">
        <v>0</v>
      </c>
      <c r="DG96">
        <v>5819.2</v>
      </c>
      <c r="DH96">
        <v>21</v>
      </c>
      <c r="DI96">
        <v>7798.7</v>
      </c>
      <c r="DJ96">
        <v>2767.2</v>
      </c>
      <c r="DK96">
        <v>0</v>
      </c>
      <c r="DL96">
        <v>0</v>
      </c>
      <c r="DM96">
        <v>0</v>
      </c>
    </row>
    <row r="97" spans="1:117" x14ac:dyDescent="0.3">
      <c r="A97" t="s">
        <v>165</v>
      </c>
      <c r="B97">
        <v>2028</v>
      </c>
      <c r="C97">
        <v>543494140</v>
      </c>
      <c r="D97">
        <v>9479636</v>
      </c>
      <c r="E97">
        <v>0</v>
      </c>
      <c r="F97">
        <v>6231251.2000000002</v>
      </c>
      <c r="G97">
        <v>559205045.39999998</v>
      </c>
      <c r="H97">
        <v>523954124</v>
      </c>
      <c r="I97">
        <v>508277594.30000001</v>
      </c>
      <c r="J97">
        <v>475358880</v>
      </c>
      <c r="K97">
        <v>291812380</v>
      </c>
      <c r="L97">
        <v>3.5900000000000001E-2</v>
      </c>
      <c r="M97">
        <v>5.3999999999999999E-2</v>
      </c>
      <c r="N97">
        <v>0.15620000000000001</v>
      </c>
      <c r="O97">
        <v>69266.73</v>
      </c>
      <c r="P97">
        <v>122183.7</v>
      </c>
      <c r="Q97">
        <v>0.43</v>
      </c>
      <c r="R97">
        <v>0.55000000000000004</v>
      </c>
      <c r="S97">
        <v>310.8</v>
      </c>
      <c r="T97">
        <v>20.7</v>
      </c>
      <c r="U97">
        <v>2.88</v>
      </c>
      <c r="V97">
        <v>25.6</v>
      </c>
      <c r="W97">
        <v>1159.2</v>
      </c>
      <c r="X97">
        <v>0.2</v>
      </c>
      <c r="Y97">
        <v>312.2</v>
      </c>
      <c r="Z97">
        <v>60.2</v>
      </c>
      <c r="AA97">
        <v>372.5</v>
      </c>
      <c r="AB97">
        <v>249</v>
      </c>
      <c r="AC97">
        <v>16</v>
      </c>
      <c r="AD97">
        <v>2.2200000000000002</v>
      </c>
      <c r="AE97">
        <v>21.4</v>
      </c>
      <c r="AF97">
        <v>947.5</v>
      </c>
      <c r="AG97">
        <v>0.17</v>
      </c>
      <c r="AH97">
        <v>250.1</v>
      </c>
      <c r="AI97">
        <v>49.7</v>
      </c>
      <c r="AJ97">
        <v>299.8</v>
      </c>
      <c r="AK97">
        <v>294.8</v>
      </c>
      <c r="AL97">
        <v>6.2</v>
      </c>
      <c r="AM97">
        <v>0.65</v>
      </c>
      <c r="AN97">
        <v>34.299999999999997</v>
      </c>
      <c r="AO97">
        <v>1522</v>
      </c>
      <c r="AP97">
        <v>0.13</v>
      </c>
      <c r="AQ97">
        <v>295.10000000000002</v>
      </c>
      <c r="AR97">
        <v>79.7</v>
      </c>
      <c r="AS97">
        <v>374.9</v>
      </c>
      <c r="AT97">
        <v>643.9</v>
      </c>
      <c r="AU97">
        <v>47.5</v>
      </c>
      <c r="AV97">
        <v>6.75</v>
      </c>
      <c r="AW97">
        <v>45.4</v>
      </c>
      <c r="AX97">
        <v>2177.5</v>
      </c>
      <c r="AY97">
        <v>0.36</v>
      </c>
      <c r="AZ97">
        <v>647.20000000000005</v>
      </c>
      <c r="BA97">
        <v>110.4</v>
      </c>
      <c r="BB97">
        <v>757.6</v>
      </c>
      <c r="BC97">
        <v>115487056.7</v>
      </c>
      <c r="BD97">
        <v>7695.9</v>
      </c>
      <c r="BE97">
        <v>1069.9000000000001</v>
      </c>
      <c r="BF97">
        <v>9542124.6999999993</v>
      </c>
      <c r="BG97">
        <v>431127.8</v>
      </c>
      <c r="BH97">
        <v>73.8</v>
      </c>
      <c r="BI97">
        <v>116008467.2</v>
      </c>
      <c r="BJ97">
        <v>22409892.600000001</v>
      </c>
      <c r="BK97">
        <v>138418359.80000001</v>
      </c>
      <c r="BL97">
        <v>0</v>
      </c>
      <c r="BM97">
        <v>25.83</v>
      </c>
      <c r="BN97">
        <v>13.87</v>
      </c>
      <c r="BO97">
        <v>0.01</v>
      </c>
      <c r="BP97">
        <v>39.72</v>
      </c>
      <c r="BQ97">
        <v>27.5</v>
      </c>
      <c r="BR97">
        <v>15.27</v>
      </c>
      <c r="BS97">
        <v>0.01</v>
      </c>
      <c r="BT97">
        <v>42.79</v>
      </c>
      <c r="BU97">
        <v>374813280</v>
      </c>
      <c r="BV97">
        <v>50927452</v>
      </c>
      <c r="BW97">
        <v>8067122.5</v>
      </c>
      <c r="BX97">
        <v>1339048.8</v>
      </c>
      <c r="BY97">
        <v>0</v>
      </c>
      <c r="BZ97">
        <v>0</v>
      </c>
      <c r="CA97">
        <v>55585612</v>
      </c>
      <c r="CB97">
        <v>0</v>
      </c>
      <c r="CC97">
        <v>0</v>
      </c>
      <c r="CD97">
        <v>5854172</v>
      </c>
      <c r="CE97">
        <v>157215570</v>
      </c>
      <c r="CF97">
        <v>0</v>
      </c>
      <c r="CG97">
        <v>808349.4</v>
      </c>
      <c r="CH97">
        <v>0</v>
      </c>
      <c r="CI97">
        <v>3115617.2</v>
      </c>
      <c r="CJ97">
        <v>97658056</v>
      </c>
      <c r="CK97">
        <v>96450.1</v>
      </c>
      <c r="CL97">
        <v>0</v>
      </c>
      <c r="CM97">
        <v>0</v>
      </c>
      <c r="CN97">
        <v>22125544</v>
      </c>
      <c r="CO97">
        <v>22879686</v>
      </c>
      <c r="CP97">
        <v>68049.8</v>
      </c>
      <c r="CQ97">
        <v>6747.4</v>
      </c>
      <c r="CR97">
        <v>312</v>
      </c>
      <c r="CS97">
        <v>0</v>
      </c>
      <c r="CT97">
        <v>32549.200000000001</v>
      </c>
      <c r="CU97">
        <v>0</v>
      </c>
      <c r="CV97">
        <v>0</v>
      </c>
      <c r="CW97">
        <v>4209.3</v>
      </c>
      <c r="CX97">
        <v>27633.9</v>
      </c>
      <c r="CY97">
        <v>0</v>
      </c>
      <c r="CZ97">
        <v>19959.7</v>
      </c>
      <c r="DA97">
        <v>0</v>
      </c>
      <c r="DB97">
        <v>901.4</v>
      </c>
      <c r="DC97">
        <v>12640.4</v>
      </c>
      <c r="DD97">
        <v>2570.6</v>
      </c>
      <c r="DE97">
        <v>0</v>
      </c>
      <c r="DF97">
        <v>0</v>
      </c>
      <c r="DG97">
        <v>10330.4</v>
      </c>
      <c r="DH97">
        <v>21</v>
      </c>
      <c r="DI97">
        <v>7897.9</v>
      </c>
      <c r="DJ97">
        <v>23917.200000000001</v>
      </c>
      <c r="DK97">
        <v>0</v>
      </c>
      <c r="DL97">
        <v>0</v>
      </c>
      <c r="DM97">
        <v>0</v>
      </c>
    </row>
    <row r="98" spans="1:117" x14ac:dyDescent="0.3">
      <c r="A98" t="s">
        <v>165</v>
      </c>
      <c r="B98">
        <v>2030</v>
      </c>
      <c r="C98">
        <v>563696200</v>
      </c>
      <c r="D98">
        <v>21969704</v>
      </c>
      <c r="E98">
        <v>0</v>
      </c>
      <c r="F98">
        <v>6850414.2000000002</v>
      </c>
      <c r="G98">
        <v>592516337.89999998</v>
      </c>
      <c r="H98">
        <v>543429765.10000002</v>
      </c>
      <c r="I98">
        <v>498872028.5</v>
      </c>
      <c r="J98">
        <v>505042430</v>
      </c>
      <c r="K98">
        <v>317369860</v>
      </c>
      <c r="L98">
        <v>3.5900000000000001E-2</v>
      </c>
      <c r="M98">
        <v>5.3999999999999999E-2</v>
      </c>
      <c r="N98">
        <v>0.15620000000000001</v>
      </c>
      <c r="O98">
        <v>78564.37</v>
      </c>
      <c r="P98">
        <v>128340.3</v>
      </c>
      <c r="Q98">
        <v>0.52</v>
      </c>
      <c r="R98">
        <v>0.62</v>
      </c>
      <c r="S98">
        <v>248</v>
      </c>
      <c r="T98">
        <v>15.5</v>
      </c>
      <c r="U98">
        <v>2.14</v>
      </c>
      <c r="V98">
        <v>21.6</v>
      </c>
      <c r="W98">
        <v>958.1</v>
      </c>
      <c r="X98">
        <v>0.16</v>
      </c>
      <c r="Y98">
        <v>249</v>
      </c>
      <c r="Z98">
        <v>50.2</v>
      </c>
      <c r="AA98">
        <v>299.3</v>
      </c>
      <c r="AB98">
        <v>203.8</v>
      </c>
      <c r="AC98">
        <v>12.6</v>
      </c>
      <c r="AD98">
        <v>1.74</v>
      </c>
      <c r="AE98">
        <v>18.2</v>
      </c>
      <c r="AF98">
        <v>792.7</v>
      </c>
      <c r="AG98">
        <v>0.14000000000000001</v>
      </c>
      <c r="AH98">
        <v>204.7</v>
      </c>
      <c r="AI98">
        <v>41.8</v>
      </c>
      <c r="AJ98">
        <v>246.5</v>
      </c>
      <c r="AK98">
        <v>332.8</v>
      </c>
      <c r="AL98">
        <v>15.5</v>
      </c>
      <c r="AM98">
        <v>2.0499999999999998</v>
      </c>
      <c r="AN98">
        <v>31.1</v>
      </c>
      <c r="AO98">
        <v>1448.5</v>
      </c>
      <c r="AP98">
        <v>0.15</v>
      </c>
      <c r="AQ98">
        <v>333.8</v>
      </c>
      <c r="AR98">
        <v>74.3</v>
      </c>
      <c r="AS98">
        <v>408.1</v>
      </c>
      <c r="AT98">
        <v>596</v>
      </c>
      <c r="AU98">
        <v>43.8</v>
      </c>
      <c r="AV98">
        <v>6.21</v>
      </c>
      <c r="AW98">
        <v>42.3</v>
      </c>
      <c r="AX98">
        <v>2031.2</v>
      </c>
      <c r="AY98">
        <v>0.33</v>
      </c>
      <c r="AZ98">
        <v>599</v>
      </c>
      <c r="BA98">
        <v>102.9</v>
      </c>
      <c r="BB98">
        <v>701.9</v>
      </c>
      <c r="BC98">
        <v>99178787</v>
      </c>
      <c r="BD98">
        <v>6195.6</v>
      </c>
      <c r="BE98">
        <v>854.8</v>
      </c>
      <c r="BF98">
        <v>8672707.8000000007</v>
      </c>
      <c r="BG98">
        <v>383686.6</v>
      </c>
      <c r="BH98">
        <v>65.400000000000006</v>
      </c>
      <c r="BI98">
        <v>99596787.799999997</v>
      </c>
      <c r="BJ98">
        <v>20124426.600000001</v>
      </c>
      <c r="BK98">
        <v>119721214.40000001</v>
      </c>
      <c r="BL98">
        <v>0</v>
      </c>
      <c r="BM98">
        <v>23.86</v>
      </c>
      <c r="BN98">
        <v>15</v>
      </c>
      <c r="BO98">
        <v>0.01</v>
      </c>
      <c r="BP98">
        <v>38.880000000000003</v>
      </c>
      <c r="BQ98">
        <v>25.58</v>
      </c>
      <c r="BR98">
        <v>16.829999999999998</v>
      </c>
      <c r="BS98">
        <v>0.01</v>
      </c>
      <c r="BT98">
        <v>42.43</v>
      </c>
      <c r="BU98">
        <v>403963900</v>
      </c>
      <c r="BV98">
        <v>93644310</v>
      </c>
      <c r="BW98">
        <v>18724078</v>
      </c>
      <c r="BX98">
        <v>1273502.3999999999</v>
      </c>
      <c r="BY98">
        <v>0</v>
      </c>
      <c r="BZ98">
        <v>0</v>
      </c>
      <c r="CA98">
        <v>43901816</v>
      </c>
      <c r="CB98">
        <v>0</v>
      </c>
      <c r="CC98">
        <v>0</v>
      </c>
      <c r="CD98">
        <v>9042421</v>
      </c>
      <c r="CE98">
        <v>147386350</v>
      </c>
      <c r="CF98">
        <v>0</v>
      </c>
      <c r="CG98">
        <v>629487.1</v>
      </c>
      <c r="CH98">
        <v>0</v>
      </c>
      <c r="CI98">
        <v>3057520.2</v>
      </c>
      <c r="CJ98">
        <v>95302160</v>
      </c>
      <c r="CK98">
        <v>44682.8</v>
      </c>
      <c r="CL98">
        <v>0</v>
      </c>
      <c r="CM98">
        <v>0</v>
      </c>
      <c r="CN98">
        <v>54128664</v>
      </c>
      <c r="CO98">
        <v>30405540</v>
      </c>
      <c r="CP98">
        <v>67682.8</v>
      </c>
      <c r="CQ98">
        <v>14672.4</v>
      </c>
      <c r="CR98">
        <v>312</v>
      </c>
      <c r="CS98">
        <v>0</v>
      </c>
      <c r="CT98">
        <v>29648.5</v>
      </c>
      <c r="CU98">
        <v>0</v>
      </c>
      <c r="CV98">
        <v>0</v>
      </c>
      <c r="CW98">
        <v>6499.4</v>
      </c>
      <c r="CX98">
        <v>28221.7</v>
      </c>
      <c r="CY98">
        <v>0</v>
      </c>
      <c r="CZ98">
        <v>19829.5</v>
      </c>
      <c r="DA98">
        <v>0</v>
      </c>
      <c r="DB98">
        <v>901.4</v>
      </c>
      <c r="DC98">
        <v>12640.4</v>
      </c>
      <c r="DD98">
        <v>1901.7</v>
      </c>
      <c r="DE98">
        <v>0</v>
      </c>
      <c r="DF98">
        <v>0</v>
      </c>
      <c r="DG98">
        <v>24375.200000000001</v>
      </c>
      <c r="DH98">
        <v>21</v>
      </c>
      <c r="DI98">
        <v>9874.2999999999993</v>
      </c>
      <c r="DJ98">
        <v>57578</v>
      </c>
      <c r="DK98">
        <v>0</v>
      </c>
      <c r="DL98">
        <v>0</v>
      </c>
      <c r="DM98">
        <v>0</v>
      </c>
    </row>
    <row r="99" spans="1:117" x14ac:dyDescent="0.3">
      <c r="A99" t="s">
        <v>165</v>
      </c>
      <c r="B99">
        <v>2035</v>
      </c>
      <c r="C99">
        <v>629308400</v>
      </c>
      <c r="D99">
        <v>49200076</v>
      </c>
      <c r="E99">
        <v>0</v>
      </c>
      <c r="F99">
        <v>9279878.1999999993</v>
      </c>
      <c r="G99">
        <v>687788376.79999995</v>
      </c>
      <c r="H99">
        <v>606682373.60000002</v>
      </c>
      <c r="I99">
        <v>480607864.10000002</v>
      </c>
      <c r="J99">
        <v>602159900</v>
      </c>
      <c r="K99">
        <v>474762140</v>
      </c>
      <c r="L99">
        <v>3.5900000000000001E-2</v>
      </c>
      <c r="M99">
        <v>5.3999999999999999E-2</v>
      </c>
      <c r="N99">
        <v>0.156</v>
      </c>
      <c r="O99">
        <v>90810.68</v>
      </c>
      <c r="P99">
        <v>147288.29999999999</v>
      </c>
      <c r="Q99">
        <v>0.62</v>
      </c>
      <c r="R99">
        <v>0.66</v>
      </c>
      <c r="S99">
        <v>178.7</v>
      </c>
      <c r="T99">
        <v>9.3000000000000007</v>
      </c>
      <c r="U99">
        <v>1.25</v>
      </c>
      <c r="V99">
        <v>17.3</v>
      </c>
      <c r="W99">
        <v>750.7</v>
      </c>
      <c r="X99">
        <v>0.12</v>
      </c>
      <c r="Y99">
        <v>179.3</v>
      </c>
      <c r="Z99">
        <v>39.700000000000003</v>
      </c>
      <c r="AA99">
        <v>219</v>
      </c>
      <c r="AB99">
        <v>165.4</v>
      </c>
      <c r="AC99">
        <v>8.6</v>
      </c>
      <c r="AD99">
        <v>1.1499999999999999</v>
      </c>
      <c r="AE99">
        <v>16.3</v>
      </c>
      <c r="AF99">
        <v>696.3</v>
      </c>
      <c r="AG99">
        <v>0.11</v>
      </c>
      <c r="AH99">
        <v>166</v>
      </c>
      <c r="AI99">
        <v>37.1</v>
      </c>
      <c r="AJ99">
        <v>203</v>
      </c>
      <c r="AK99">
        <v>316.60000000000002</v>
      </c>
      <c r="AL99">
        <v>20</v>
      </c>
      <c r="AM99">
        <v>2.77</v>
      </c>
      <c r="AN99">
        <v>24.8</v>
      </c>
      <c r="AO99">
        <v>1208.0999999999999</v>
      </c>
      <c r="AP99">
        <v>0.15</v>
      </c>
      <c r="AQ99">
        <v>318</v>
      </c>
      <c r="AR99">
        <v>60.8</v>
      </c>
      <c r="AS99">
        <v>378.8</v>
      </c>
      <c r="AT99">
        <v>539.5</v>
      </c>
      <c r="AU99">
        <v>38.5</v>
      </c>
      <c r="AV99">
        <v>5.42</v>
      </c>
      <c r="AW99">
        <v>39.1</v>
      </c>
      <c r="AX99">
        <v>1895.1</v>
      </c>
      <c r="AY99">
        <v>0.28999999999999998</v>
      </c>
      <c r="AZ99">
        <v>542.1</v>
      </c>
      <c r="BA99">
        <v>95.7</v>
      </c>
      <c r="BB99">
        <v>637.79999999999995</v>
      </c>
      <c r="BC99">
        <v>98866844.599999994</v>
      </c>
      <c r="BD99">
        <v>5115.2</v>
      </c>
      <c r="BE99">
        <v>688.3</v>
      </c>
      <c r="BF99">
        <v>9592187.6999999993</v>
      </c>
      <c r="BG99">
        <v>416124.4</v>
      </c>
      <c r="BH99">
        <v>64.2</v>
      </c>
      <c r="BI99">
        <v>99207186.400000006</v>
      </c>
      <c r="BJ99">
        <v>22010220.100000001</v>
      </c>
      <c r="BK99">
        <v>121217406.5</v>
      </c>
      <c r="BL99">
        <v>0</v>
      </c>
      <c r="BM99">
        <v>21.54</v>
      </c>
      <c r="BN99">
        <v>16.34</v>
      </c>
      <c r="BO99">
        <v>0</v>
      </c>
      <c r="BP99">
        <v>37.89</v>
      </c>
      <c r="BQ99">
        <v>23.47</v>
      </c>
      <c r="BR99">
        <v>18.989999999999998</v>
      </c>
      <c r="BS99">
        <v>0</v>
      </c>
      <c r="BT99">
        <v>42.46</v>
      </c>
      <c r="BU99">
        <v>559708800</v>
      </c>
      <c r="BV99">
        <v>207180510</v>
      </c>
      <c r="BW99">
        <v>42044612</v>
      </c>
      <c r="BX99">
        <v>1202159.2</v>
      </c>
      <c r="BY99">
        <v>0</v>
      </c>
      <c r="BZ99">
        <v>0</v>
      </c>
      <c r="CA99">
        <v>33332532</v>
      </c>
      <c r="CB99">
        <v>0</v>
      </c>
      <c r="CC99">
        <v>0</v>
      </c>
      <c r="CD99">
        <v>14397802</v>
      </c>
      <c r="CE99">
        <v>178488200</v>
      </c>
      <c r="CF99">
        <v>0</v>
      </c>
      <c r="CG99">
        <v>902476.5</v>
      </c>
      <c r="CH99">
        <v>0</v>
      </c>
      <c r="CI99">
        <v>2894301</v>
      </c>
      <c r="CJ99">
        <v>93657850</v>
      </c>
      <c r="CK99">
        <v>6135.9</v>
      </c>
      <c r="CL99">
        <v>0</v>
      </c>
      <c r="CM99">
        <v>0</v>
      </c>
      <c r="CN99">
        <v>153663400</v>
      </c>
      <c r="CO99">
        <v>39053108</v>
      </c>
      <c r="CP99">
        <v>66212.3</v>
      </c>
      <c r="CQ99">
        <v>25360.799999999999</v>
      </c>
      <c r="CR99">
        <v>312</v>
      </c>
      <c r="CS99">
        <v>0</v>
      </c>
      <c r="CT99">
        <v>28988</v>
      </c>
      <c r="CU99">
        <v>0</v>
      </c>
      <c r="CV99">
        <v>0</v>
      </c>
      <c r="CW99">
        <v>10505</v>
      </c>
      <c r="CX99">
        <v>34867.300000000003</v>
      </c>
      <c r="CY99">
        <v>0</v>
      </c>
      <c r="CZ99">
        <v>24547.1</v>
      </c>
      <c r="DA99">
        <v>0</v>
      </c>
      <c r="DB99">
        <v>901.4</v>
      </c>
      <c r="DC99">
        <v>12640.4</v>
      </c>
      <c r="DD99">
        <v>1024.3</v>
      </c>
      <c r="DE99">
        <v>0</v>
      </c>
      <c r="DF99">
        <v>0</v>
      </c>
      <c r="DG99">
        <v>68127.600000000006</v>
      </c>
      <c r="DH99">
        <v>21</v>
      </c>
      <c r="DI99">
        <v>12164.3</v>
      </c>
      <c r="DJ99">
        <v>138298.6</v>
      </c>
      <c r="DK99">
        <v>0</v>
      </c>
      <c r="DL99">
        <v>0</v>
      </c>
      <c r="DM99">
        <v>0</v>
      </c>
    </row>
    <row r="100" spans="1:117" x14ac:dyDescent="0.3">
      <c r="A100" t="s">
        <v>165</v>
      </c>
      <c r="B100">
        <v>2040</v>
      </c>
      <c r="C100">
        <v>702759940</v>
      </c>
      <c r="D100">
        <v>68899350</v>
      </c>
      <c r="E100">
        <v>0</v>
      </c>
      <c r="F100">
        <v>11256726.699999999</v>
      </c>
      <c r="G100">
        <v>782916002.39999998</v>
      </c>
      <c r="H100">
        <v>677491981.39999998</v>
      </c>
      <c r="I100">
        <v>485289539.39999998</v>
      </c>
      <c r="J100">
        <v>720814340</v>
      </c>
      <c r="K100">
        <v>606730100</v>
      </c>
      <c r="L100">
        <v>3.5900000000000001E-2</v>
      </c>
      <c r="M100">
        <v>5.3999999999999999E-2</v>
      </c>
      <c r="N100">
        <v>0.156</v>
      </c>
      <c r="O100">
        <v>85723.61</v>
      </c>
      <c r="P100">
        <v>166994.79999999999</v>
      </c>
      <c r="Q100">
        <v>0.68</v>
      </c>
      <c r="R100">
        <v>0.7</v>
      </c>
      <c r="S100">
        <v>145.4</v>
      </c>
      <c r="T100">
        <v>6.8</v>
      </c>
      <c r="U100">
        <v>0.9</v>
      </c>
      <c r="V100">
        <v>14.8</v>
      </c>
      <c r="W100">
        <v>635.70000000000005</v>
      </c>
      <c r="X100">
        <v>0.09</v>
      </c>
      <c r="Y100">
        <v>145.80000000000001</v>
      </c>
      <c r="Z100">
        <v>33.799999999999997</v>
      </c>
      <c r="AA100">
        <v>179.6</v>
      </c>
      <c r="AB100">
        <v>141.80000000000001</v>
      </c>
      <c r="AC100">
        <v>6.7</v>
      </c>
      <c r="AD100">
        <v>0.89</v>
      </c>
      <c r="AE100">
        <v>14.5</v>
      </c>
      <c r="AF100">
        <v>617.5</v>
      </c>
      <c r="AG100">
        <v>0.1</v>
      </c>
      <c r="AH100">
        <v>142.19999999999999</v>
      </c>
      <c r="AI100">
        <v>33</v>
      </c>
      <c r="AJ100">
        <v>175.2</v>
      </c>
      <c r="AK100">
        <v>316.8</v>
      </c>
      <c r="AL100">
        <v>21.7</v>
      </c>
      <c r="AM100">
        <v>3.03</v>
      </c>
      <c r="AN100">
        <v>23.3</v>
      </c>
      <c r="AO100">
        <v>1154.7</v>
      </c>
      <c r="AP100">
        <v>0.15</v>
      </c>
      <c r="AQ100">
        <v>318.2</v>
      </c>
      <c r="AR100">
        <v>57.7</v>
      </c>
      <c r="AS100">
        <v>376</v>
      </c>
      <c r="AT100">
        <v>501</v>
      </c>
      <c r="AU100">
        <v>33.9</v>
      </c>
      <c r="AV100">
        <v>4.7699999999999996</v>
      </c>
      <c r="AW100">
        <v>38</v>
      </c>
      <c r="AX100">
        <v>1808.5</v>
      </c>
      <c r="AY100">
        <v>0.27</v>
      </c>
      <c r="AZ100">
        <v>503.3</v>
      </c>
      <c r="BA100">
        <v>92</v>
      </c>
      <c r="BB100">
        <v>595.20000000000005</v>
      </c>
      <c r="BC100">
        <v>95842754.200000003</v>
      </c>
      <c r="BD100">
        <v>4431.3999999999996</v>
      </c>
      <c r="BE100">
        <v>585.9</v>
      </c>
      <c r="BF100">
        <v>9782470.5999999996</v>
      </c>
      <c r="BG100">
        <v>420100.2</v>
      </c>
      <c r="BH100">
        <v>62.1</v>
      </c>
      <c r="BI100">
        <v>96134750.599999994</v>
      </c>
      <c r="BJ100">
        <v>22318420.5</v>
      </c>
      <c r="BK100">
        <v>118453171.09999999</v>
      </c>
      <c r="BL100">
        <v>0</v>
      </c>
      <c r="BM100">
        <v>19.41</v>
      </c>
      <c r="BN100">
        <v>15.22</v>
      </c>
      <c r="BO100">
        <v>0</v>
      </c>
      <c r="BP100">
        <v>34.630000000000003</v>
      </c>
      <c r="BQ100">
        <v>21.47</v>
      </c>
      <c r="BR100">
        <v>18.010000000000002</v>
      </c>
      <c r="BS100">
        <v>0</v>
      </c>
      <c r="BT100">
        <v>39.479999999999997</v>
      </c>
      <c r="BU100">
        <v>668067500</v>
      </c>
      <c r="BV100">
        <v>297626460</v>
      </c>
      <c r="BW100">
        <v>59077256</v>
      </c>
      <c r="BX100">
        <v>1073744.5</v>
      </c>
      <c r="BY100">
        <v>0</v>
      </c>
      <c r="BZ100">
        <v>0</v>
      </c>
      <c r="CA100">
        <v>27139370</v>
      </c>
      <c r="CB100">
        <v>0</v>
      </c>
      <c r="CC100">
        <v>0</v>
      </c>
      <c r="CD100">
        <v>16820918</v>
      </c>
      <c r="CE100">
        <v>186202430</v>
      </c>
      <c r="CF100">
        <v>0</v>
      </c>
      <c r="CG100">
        <v>2106318</v>
      </c>
      <c r="CH100">
        <v>0</v>
      </c>
      <c r="CI100">
        <v>2765894</v>
      </c>
      <c r="CJ100">
        <v>92065576</v>
      </c>
      <c r="CK100">
        <v>10477</v>
      </c>
      <c r="CL100">
        <v>0</v>
      </c>
      <c r="CM100">
        <v>0</v>
      </c>
      <c r="CN100">
        <v>222413150</v>
      </c>
      <c r="CO100">
        <v>58327220</v>
      </c>
      <c r="CP100">
        <v>65178.1</v>
      </c>
      <c r="CQ100">
        <v>32507.3</v>
      </c>
      <c r="CR100">
        <v>304.8</v>
      </c>
      <c r="CS100">
        <v>0</v>
      </c>
      <c r="CT100">
        <v>27551.200000000001</v>
      </c>
      <c r="CU100">
        <v>0</v>
      </c>
      <c r="CV100">
        <v>0</v>
      </c>
      <c r="CW100">
        <v>12739.9</v>
      </c>
      <c r="CX100">
        <v>35539</v>
      </c>
      <c r="CY100">
        <v>0</v>
      </c>
      <c r="CZ100">
        <v>28798.6</v>
      </c>
      <c r="DA100">
        <v>0</v>
      </c>
      <c r="DB100">
        <v>901.4</v>
      </c>
      <c r="DC100">
        <v>12640.4</v>
      </c>
      <c r="DD100">
        <v>1007.8</v>
      </c>
      <c r="DE100">
        <v>0</v>
      </c>
      <c r="DF100">
        <v>0</v>
      </c>
      <c r="DG100">
        <v>102266.7</v>
      </c>
      <c r="DH100">
        <v>21</v>
      </c>
      <c r="DI100">
        <v>16387</v>
      </c>
      <c r="DJ100">
        <v>187213.7</v>
      </c>
      <c r="DK100">
        <v>0</v>
      </c>
      <c r="DL100">
        <v>0</v>
      </c>
      <c r="DM100">
        <v>0</v>
      </c>
    </row>
    <row r="101" spans="1:117" x14ac:dyDescent="0.3">
      <c r="A101" t="s">
        <v>165</v>
      </c>
      <c r="B101">
        <v>2045</v>
      </c>
      <c r="C101">
        <v>769506900</v>
      </c>
      <c r="D101">
        <v>69522890</v>
      </c>
      <c r="E101">
        <v>0</v>
      </c>
      <c r="F101">
        <v>12212964.6</v>
      </c>
      <c r="G101">
        <v>851242729.5</v>
      </c>
      <c r="H101">
        <v>741838264.5</v>
      </c>
      <c r="I101">
        <v>507465760.10000002</v>
      </c>
      <c r="J101">
        <v>766277570</v>
      </c>
      <c r="K101">
        <v>646198900</v>
      </c>
      <c r="L101">
        <v>3.5900000000000001E-2</v>
      </c>
      <c r="M101">
        <v>5.3999999999999999E-2</v>
      </c>
      <c r="N101">
        <v>0.15609999999999999</v>
      </c>
      <c r="O101">
        <v>87349.59</v>
      </c>
      <c r="P101">
        <v>185390</v>
      </c>
      <c r="Q101">
        <v>0.68</v>
      </c>
      <c r="R101">
        <v>0.72</v>
      </c>
      <c r="S101">
        <v>142.19999999999999</v>
      </c>
      <c r="T101">
        <v>6.1</v>
      </c>
      <c r="U101">
        <v>0.8</v>
      </c>
      <c r="V101">
        <v>14.8</v>
      </c>
      <c r="W101">
        <v>637.1</v>
      </c>
      <c r="X101">
        <v>0.09</v>
      </c>
      <c r="Y101">
        <v>142.6</v>
      </c>
      <c r="Z101">
        <v>33.799999999999997</v>
      </c>
      <c r="AA101">
        <v>176.5</v>
      </c>
      <c r="AB101">
        <v>133.6</v>
      </c>
      <c r="AC101">
        <v>5.7</v>
      </c>
      <c r="AD101">
        <v>0.75</v>
      </c>
      <c r="AE101">
        <v>14.1</v>
      </c>
      <c r="AF101">
        <v>598.79999999999995</v>
      </c>
      <c r="AG101">
        <v>0.09</v>
      </c>
      <c r="AH101">
        <v>134</v>
      </c>
      <c r="AI101">
        <v>31.9</v>
      </c>
      <c r="AJ101">
        <v>165.9</v>
      </c>
      <c r="AK101">
        <v>227.4</v>
      </c>
      <c r="AL101">
        <v>12.2</v>
      </c>
      <c r="AM101">
        <v>1.65</v>
      </c>
      <c r="AN101">
        <v>20.2</v>
      </c>
      <c r="AO101">
        <v>938.5</v>
      </c>
      <c r="AP101">
        <v>0.11</v>
      </c>
      <c r="AQ101">
        <v>228.2</v>
      </c>
      <c r="AR101">
        <v>48.2</v>
      </c>
      <c r="AS101">
        <v>276.3</v>
      </c>
      <c r="AT101">
        <v>502.4</v>
      </c>
      <c r="AU101">
        <v>33.5</v>
      </c>
      <c r="AV101">
        <v>4.7</v>
      </c>
      <c r="AW101">
        <v>38.6</v>
      </c>
      <c r="AX101">
        <v>1827.8</v>
      </c>
      <c r="AY101">
        <v>0.27</v>
      </c>
      <c r="AZ101">
        <v>504.7</v>
      </c>
      <c r="BA101">
        <v>93.2</v>
      </c>
      <c r="BB101">
        <v>597.9</v>
      </c>
      <c r="BC101">
        <v>102388923.5</v>
      </c>
      <c r="BD101">
        <v>4395.6000000000004</v>
      </c>
      <c r="BE101">
        <v>573.6</v>
      </c>
      <c r="BF101">
        <v>10691654.300000001</v>
      </c>
      <c r="BG101">
        <v>459357.3</v>
      </c>
      <c r="BH101">
        <v>64.7</v>
      </c>
      <c r="BI101">
        <v>102676513.40000001</v>
      </c>
      <c r="BJ101">
        <v>24398169.600000001</v>
      </c>
      <c r="BK101">
        <v>127074683</v>
      </c>
      <c r="BL101">
        <v>0</v>
      </c>
      <c r="BM101">
        <v>18.899999999999999</v>
      </c>
      <c r="BN101">
        <v>15.94</v>
      </c>
      <c r="BO101">
        <v>0</v>
      </c>
      <c r="BP101">
        <v>34.85</v>
      </c>
      <c r="BQ101">
        <v>20.9</v>
      </c>
      <c r="BR101">
        <v>18.77</v>
      </c>
      <c r="BS101">
        <v>0</v>
      </c>
      <c r="BT101">
        <v>39.659999999999997</v>
      </c>
      <c r="BU101">
        <v>730497500</v>
      </c>
      <c r="BV101">
        <v>343776960</v>
      </c>
      <c r="BW101">
        <v>59206904</v>
      </c>
      <c r="BX101">
        <v>1040572.1</v>
      </c>
      <c r="BY101">
        <v>0</v>
      </c>
      <c r="BZ101">
        <v>0</v>
      </c>
      <c r="CA101">
        <v>25792312</v>
      </c>
      <c r="CB101">
        <v>0</v>
      </c>
      <c r="CC101">
        <v>0</v>
      </c>
      <c r="CD101">
        <v>18076724</v>
      </c>
      <c r="CE101">
        <v>195814600</v>
      </c>
      <c r="CF101">
        <v>0</v>
      </c>
      <c r="CG101">
        <v>10865038</v>
      </c>
      <c r="CH101">
        <v>0</v>
      </c>
      <c r="CI101">
        <v>2727231</v>
      </c>
      <c r="CJ101">
        <v>91266984</v>
      </c>
      <c r="CK101">
        <v>6894.8</v>
      </c>
      <c r="CL101">
        <v>0</v>
      </c>
      <c r="CM101">
        <v>0</v>
      </c>
      <c r="CN101">
        <v>236403970</v>
      </c>
      <c r="CO101">
        <v>89232424</v>
      </c>
      <c r="CP101">
        <v>63848.4</v>
      </c>
      <c r="CQ101">
        <v>31185.7</v>
      </c>
      <c r="CR101">
        <v>304.8</v>
      </c>
      <c r="CS101">
        <v>0</v>
      </c>
      <c r="CT101">
        <v>21680.400000000001</v>
      </c>
      <c r="CU101">
        <v>0</v>
      </c>
      <c r="CV101">
        <v>0</v>
      </c>
      <c r="CW101">
        <v>14282.2</v>
      </c>
      <c r="CX101">
        <v>34228.1</v>
      </c>
      <c r="CY101">
        <v>0</v>
      </c>
      <c r="CZ101">
        <v>40194.800000000003</v>
      </c>
      <c r="DA101">
        <v>0</v>
      </c>
      <c r="DB101">
        <v>901.4</v>
      </c>
      <c r="DC101">
        <v>12640.4</v>
      </c>
      <c r="DD101">
        <v>673.3</v>
      </c>
      <c r="DE101">
        <v>0</v>
      </c>
      <c r="DF101">
        <v>0</v>
      </c>
      <c r="DG101">
        <v>112451.7</v>
      </c>
      <c r="DH101">
        <v>21</v>
      </c>
      <c r="DI101">
        <v>24436.2</v>
      </c>
      <c r="DJ101">
        <v>188878.3</v>
      </c>
      <c r="DK101">
        <v>0</v>
      </c>
      <c r="DL101">
        <v>0</v>
      </c>
      <c r="DM101">
        <v>0</v>
      </c>
    </row>
    <row r="102" spans="1:117" x14ac:dyDescent="0.3">
      <c r="A102" t="s">
        <v>165</v>
      </c>
      <c r="B102">
        <v>2050</v>
      </c>
      <c r="C102">
        <v>830735040</v>
      </c>
      <c r="D102">
        <v>76534370</v>
      </c>
      <c r="E102">
        <v>0</v>
      </c>
      <c r="F102">
        <v>12949705.4</v>
      </c>
      <c r="G102">
        <v>920219099.60000002</v>
      </c>
      <c r="H102">
        <v>800864699.79999995</v>
      </c>
      <c r="I102">
        <v>504881782.5</v>
      </c>
      <c r="J102">
        <v>803803840</v>
      </c>
      <c r="K102">
        <v>681499200</v>
      </c>
      <c r="L102">
        <v>3.5900000000000001E-2</v>
      </c>
      <c r="M102">
        <v>5.3999999999999999E-2</v>
      </c>
      <c r="N102">
        <v>0.15629999999999999</v>
      </c>
      <c r="O102">
        <v>86402.31</v>
      </c>
      <c r="P102">
        <v>202765.9</v>
      </c>
      <c r="Q102">
        <v>0.69</v>
      </c>
      <c r="R102">
        <v>0.73</v>
      </c>
      <c r="S102">
        <v>134.69999999999999</v>
      </c>
      <c r="T102">
        <v>4.5</v>
      </c>
      <c r="U102">
        <v>0.56000000000000005</v>
      </c>
      <c r="V102">
        <v>14.9</v>
      </c>
      <c r="W102">
        <v>644</v>
      </c>
      <c r="X102">
        <v>0.08</v>
      </c>
      <c r="Y102">
        <v>135</v>
      </c>
      <c r="Z102">
        <v>34.1</v>
      </c>
      <c r="AA102">
        <v>169.1</v>
      </c>
      <c r="AB102">
        <v>124.5</v>
      </c>
      <c r="AC102">
        <v>4.0999999999999996</v>
      </c>
      <c r="AD102">
        <v>0.5</v>
      </c>
      <c r="AE102">
        <v>13.5</v>
      </c>
      <c r="AF102">
        <v>596.5</v>
      </c>
      <c r="AG102">
        <v>0.06</v>
      </c>
      <c r="AH102">
        <v>124.8</v>
      </c>
      <c r="AI102">
        <v>31.3</v>
      </c>
      <c r="AJ102">
        <v>156.1</v>
      </c>
      <c r="AK102">
        <v>211.3</v>
      </c>
      <c r="AL102">
        <v>8.4</v>
      </c>
      <c r="AM102">
        <v>1.0900000000000001</v>
      </c>
      <c r="AN102">
        <v>21.5</v>
      </c>
      <c r="AO102">
        <v>963.3</v>
      </c>
      <c r="AP102">
        <v>0.11</v>
      </c>
      <c r="AQ102">
        <v>211.8</v>
      </c>
      <c r="AR102">
        <v>50.3</v>
      </c>
      <c r="AS102">
        <v>262.10000000000002</v>
      </c>
      <c r="AT102">
        <v>454.8</v>
      </c>
      <c r="AU102">
        <v>25.3</v>
      </c>
      <c r="AV102">
        <v>3.47</v>
      </c>
      <c r="AW102">
        <v>39.4</v>
      </c>
      <c r="AX102">
        <v>1822.4</v>
      </c>
      <c r="AY102">
        <v>0.24</v>
      </c>
      <c r="AZ102">
        <v>456.5</v>
      </c>
      <c r="BA102">
        <v>93.8</v>
      </c>
      <c r="BB102">
        <v>550.29999999999995</v>
      </c>
      <c r="BC102">
        <v>105876991.2</v>
      </c>
      <c r="BD102">
        <v>3535.9</v>
      </c>
      <c r="BE102">
        <v>437.4</v>
      </c>
      <c r="BF102">
        <v>11739895</v>
      </c>
      <c r="BG102">
        <v>506382.6</v>
      </c>
      <c r="BH102">
        <v>61</v>
      </c>
      <c r="BI102">
        <v>106101763.09999999</v>
      </c>
      <c r="BJ102">
        <v>26846755.600000001</v>
      </c>
      <c r="BK102">
        <v>132948518.59999999</v>
      </c>
      <c r="BL102">
        <v>0</v>
      </c>
      <c r="BM102">
        <v>18.63</v>
      </c>
      <c r="BN102">
        <v>15.97</v>
      </c>
      <c r="BO102">
        <v>0</v>
      </c>
      <c r="BP102">
        <v>34.61</v>
      </c>
      <c r="BQ102">
        <v>20.75</v>
      </c>
      <c r="BR102">
        <v>18.850000000000001</v>
      </c>
      <c r="BS102">
        <v>0</v>
      </c>
      <c r="BT102">
        <v>39.6</v>
      </c>
      <c r="BU102">
        <v>797164860</v>
      </c>
      <c r="BV102">
        <v>415337300</v>
      </c>
      <c r="BW102">
        <v>65263276</v>
      </c>
      <c r="BX102">
        <v>991570.9</v>
      </c>
      <c r="BY102">
        <v>0</v>
      </c>
      <c r="BZ102">
        <v>0</v>
      </c>
      <c r="CA102">
        <v>16114586</v>
      </c>
      <c r="CB102">
        <v>0</v>
      </c>
      <c r="CC102">
        <v>0</v>
      </c>
      <c r="CD102">
        <v>19155824</v>
      </c>
      <c r="CE102">
        <v>194930530</v>
      </c>
      <c r="CF102">
        <v>0</v>
      </c>
      <c r="CG102">
        <v>33489892</v>
      </c>
      <c r="CH102">
        <v>0</v>
      </c>
      <c r="CI102">
        <v>2646683</v>
      </c>
      <c r="CJ102">
        <v>68382950</v>
      </c>
      <c r="CK102">
        <v>8041.5</v>
      </c>
      <c r="CL102">
        <v>0</v>
      </c>
      <c r="CM102">
        <v>0</v>
      </c>
      <c r="CN102">
        <v>274961400</v>
      </c>
      <c r="CO102">
        <v>121157140</v>
      </c>
      <c r="CP102">
        <v>62933.7</v>
      </c>
      <c r="CQ102">
        <v>35227.9</v>
      </c>
      <c r="CR102">
        <v>304.8</v>
      </c>
      <c r="CS102">
        <v>0</v>
      </c>
      <c r="CT102">
        <v>10071.5</v>
      </c>
      <c r="CU102">
        <v>0</v>
      </c>
      <c r="CV102">
        <v>0</v>
      </c>
      <c r="CW102">
        <v>15912.5</v>
      </c>
      <c r="CX102">
        <v>34493</v>
      </c>
      <c r="CY102">
        <v>0</v>
      </c>
      <c r="CZ102">
        <v>57817</v>
      </c>
      <c r="DA102">
        <v>0</v>
      </c>
      <c r="DB102">
        <v>901.4</v>
      </c>
      <c r="DC102">
        <v>9604.4</v>
      </c>
      <c r="DD102">
        <v>162.30000000000001</v>
      </c>
      <c r="DE102">
        <v>0</v>
      </c>
      <c r="DF102">
        <v>0</v>
      </c>
      <c r="DG102">
        <v>140073.5</v>
      </c>
      <c r="DH102">
        <v>21</v>
      </c>
      <c r="DI102">
        <v>32978.6</v>
      </c>
      <c r="DJ102">
        <v>204829.8</v>
      </c>
      <c r="DK102">
        <v>0</v>
      </c>
      <c r="DL102">
        <v>0</v>
      </c>
      <c r="DM102">
        <v>0</v>
      </c>
    </row>
    <row r="103" spans="1:117" x14ac:dyDescent="0.3">
      <c r="A103" t="s">
        <v>166</v>
      </c>
      <c r="B103">
        <v>2024</v>
      </c>
      <c r="C103">
        <v>81006630</v>
      </c>
      <c r="D103">
        <v>2906.3</v>
      </c>
      <c r="E103">
        <v>604569.4</v>
      </c>
      <c r="F103">
        <v>856160.1</v>
      </c>
      <c r="G103">
        <v>82470266.099999994</v>
      </c>
      <c r="H103">
        <v>78093481</v>
      </c>
      <c r="I103">
        <v>51131633.299999997</v>
      </c>
      <c r="J103">
        <v>46495496</v>
      </c>
      <c r="K103">
        <v>47345160</v>
      </c>
      <c r="L103">
        <v>3.5999999999999997E-2</v>
      </c>
      <c r="M103">
        <v>5.3999999999999999E-2</v>
      </c>
      <c r="N103">
        <v>0.1439</v>
      </c>
      <c r="O103">
        <v>319.5</v>
      </c>
      <c r="P103">
        <v>14406.2</v>
      </c>
      <c r="Q103">
        <v>0.42</v>
      </c>
      <c r="R103">
        <v>0.47</v>
      </c>
      <c r="S103">
        <v>524.20000000000005</v>
      </c>
      <c r="T103">
        <v>55.2</v>
      </c>
      <c r="U103">
        <v>7.98</v>
      </c>
      <c r="V103">
        <v>20.9</v>
      </c>
      <c r="W103">
        <v>1307.3</v>
      </c>
      <c r="X103">
        <v>0.26</v>
      </c>
      <c r="Y103">
        <v>528</v>
      </c>
      <c r="Z103">
        <v>60</v>
      </c>
      <c r="AA103">
        <v>588</v>
      </c>
      <c r="AB103">
        <v>496.5</v>
      </c>
      <c r="AC103">
        <v>52.2</v>
      </c>
      <c r="AD103">
        <v>7.55</v>
      </c>
      <c r="AE103">
        <v>19.899999999999999</v>
      </c>
      <c r="AF103">
        <v>1240.5</v>
      </c>
      <c r="AG103">
        <v>0.24</v>
      </c>
      <c r="AH103">
        <v>500.1</v>
      </c>
      <c r="AI103">
        <v>57</v>
      </c>
      <c r="AJ103">
        <v>557</v>
      </c>
      <c r="AK103">
        <v>316.60000000000002</v>
      </c>
      <c r="AL103">
        <v>17.399999999999999</v>
      </c>
      <c r="AM103">
        <v>2.37</v>
      </c>
      <c r="AN103">
        <v>27</v>
      </c>
      <c r="AO103">
        <v>1291.0999999999999</v>
      </c>
      <c r="AP103">
        <v>0.15</v>
      </c>
      <c r="AQ103">
        <v>317.8</v>
      </c>
      <c r="AR103">
        <v>65.5</v>
      </c>
      <c r="AS103">
        <v>383.3</v>
      </c>
      <c r="AT103">
        <v>722.9</v>
      </c>
      <c r="AU103">
        <v>60.4</v>
      </c>
      <c r="AV103">
        <v>8.6199999999999992</v>
      </c>
      <c r="AW103">
        <v>43.7</v>
      </c>
      <c r="AX103">
        <v>2273.3000000000002</v>
      </c>
      <c r="AY103">
        <v>0.37</v>
      </c>
      <c r="AZ103">
        <v>727.1</v>
      </c>
      <c r="BA103">
        <v>111.5</v>
      </c>
      <c r="BB103">
        <v>838.6</v>
      </c>
      <c r="BC103">
        <v>43381186.100000001</v>
      </c>
      <c r="BD103">
        <v>4567.1000000000004</v>
      </c>
      <c r="BE103">
        <v>660.5</v>
      </c>
      <c r="BF103">
        <v>1731621.1</v>
      </c>
      <c r="BG103">
        <v>108158.5</v>
      </c>
      <c r="BH103">
        <v>21.3</v>
      </c>
      <c r="BI103">
        <v>43697600.399999999</v>
      </c>
      <c r="BJ103">
        <v>4960552.0999999996</v>
      </c>
      <c r="BK103">
        <v>48658152.5</v>
      </c>
      <c r="BL103">
        <v>0</v>
      </c>
      <c r="BM103">
        <v>27.26</v>
      </c>
      <c r="BN103">
        <v>0.05</v>
      </c>
      <c r="BO103">
        <v>0</v>
      </c>
      <c r="BP103">
        <v>27.31</v>
      </c>
      <c r="BQ103">
        <v>28.96</v>
      </c>
      <c r="BR103">
        <v>0.06</v>
      </c>
      <c r="BS103">
        <v>0</v>
      </c>
      <c r="BT103">
        <v>29.02</v>
      </c>
      <c r="BU103">
        <v>83347496</v>
      </c>
      <c r="BV103">
        <v>31338630</v>
      </c>
      <c r="BW103">
        <v>2452</v>
      </c>
      <c r="BX103">
        <v>188575.4</v>
      </c>
      <c r="BY103">
        <v>0</v>
      </c>
      <c r="BZ103">
        <v>0</v>
      </c>
      <c r="CA103">
        <v>37459010</v>
      </c>
      <c r="CB103">
        <v>0</v>
      </c>
      <c r="CC103">
        <v>0</v>
      </c>
      <c r="CD103">
        <v>1469627</v>
      </c>
      <c r="CE103">
        <v>11245504</v>
      </c>
      <c r="CF103">
        <v>0</v>
      </c>
      <c r="CG103">
        <v>2190.6999999999998</v>
      </c>
      <c r="CH103">
        <v>0</v>
      </c>
      <c r="CI103">
        <v>2620397.2000000002</v>
      </c>
      <c r="CJ103">
        <v>0</v>
      </c>
      <c r="CK103">
        <v>160.9</v>
      </c>
      <c r="CL103">
        <v>490574.2</v>
      </c>
      <c r="CM103">
        <v>0</v>
      </c>
      <c r="CN103">
        <v>4417981.5</v>
      </c>
      <c r="CO103">
        <v>25451024</v>
      </c>
      <c r="CP103">
        <v>0</v>
      </c>
      <c r="CQ103">
        <v>4</v>
      </c>
      <c r="CR103">
        <v>28.7</v>
      </c>
      <c r="CS103">
        <v>0</v>
      </c>
      <c r="CT103">
        <v>6802.3</v>
      </c>
      <c r="CU103">
        <v>0</v>
      </c>
      <c r="CV103">
        <v>0</v>
      </c>
      <c r="CW103">
        <v>893.8</v>
      </c>
      <c r="CX103">
        <v>3315.6</v>
      </c>
      <c r="CY103">
        <v>0</v>
      </c>
      <c r="CZ103">
        <v>1345</v>
      </c>
      <c r="DA103">
        <v>0</v>
      </c>
      <c r="DB103">
        <v>980.4</v>
      </c>
      <c r="DC103">
        <v>0</v>
      </c>
      <c r="DD103">
        <v>4</v>
      </c>
      <c r="DE103">
        <v>580.79999999999995</v>
      </c>
      <c r="DF103">
        <v>0</v>
      </c>
      <c r="DG103">
        <v>1730.3</v>
      </c>
      <c r="DH103">
        <v>0</v>
      </c>
      <c r="DI103">
        <v>7771.4</v>
      </c>
      <c r="DJ103">
        <v>8</v>
      </c>
      <c r="DK103">
        <v>5808</v>
      </c>
      <c r="DL103">
        <v>0</v>
      </c>
      <c r="DM103">
        <v>0</v>
      </c>
    </row>
    <row r="104" spans="1:117" x14ac:dyDescent="0.3">
      <c r="A104" t="s">
        <v>166</v>
      </c>
      <c r="B104">
        <v>2026</v>
      </c>
      <c r="C104">
        <v>83768296</v>
      </c>
      <c r="D104">
        <v>8452.7999999999993</v>
      </c>
      <c r="E104">
        <v>783615.8</v>
      </c>
      <c r="F104">
        <v>1228328.1000000001</v>
      </c>
      <c r="G104">
        <v>85788695.700000003</v>
      </c>
      <c r="H104">
        <v>80755843.799999997</v>
      </c>
      <c r="I104">
        <v>40503991.899999999</v>
      </c>
      <c r="J104">
        <v>63719400</v>
      </c>
      <c r="K104">
        <v>67654824</v>
      </c>
      <c r="L104">
        <v>3.5999999999999997E-2</v>
      </c>
      <c r="M104">
        <v>5.3999999999999999E-2</v>
      </c>
      <c r="N104">
        <v>0.1439</v>
      </c>
      <c r="O104">
        <v>45278.85</v>
      </c>
      <c r="P104">
        <v>15090.8</v>
      </c>
      <c r="Q104">
        <v>0.54</v>
      </c>
      <c r="R104">
        <v>0.61</v>
      </c>
      <c r="S104">
        <v>406.1</v>
      </c>
      <c r="T104">
        <v>42.7</v>
      </c>
      <c r="U104">
        <v>6.17</v>
      </c>
      <c r="V104">
        <v>16.3</v>
      </c>
      <c r="W104">
        <v>1015.6</v>
      </c>
      <c r="X104">
        <v>0.2</v>
      </c>
      <c r="Y104">
        <v>409.1</v>
      </c>
      <c r="Z104">
        <v>46.6</v>
      </c>
      <c r="AA104">
        <v>455.7</v>
      </c>
      <c r="AB104">
        <v>358.3</v>
      </c>
      <c r="AC104">
        <v>37.5</v>
      </c>
      <c r="AD104">
        <v>5.41</v>
      </c>
      <c r="AE104">
        <v>14.6</v>
      </c>
      <c r="AF104">
        <v>901.5</v>
      </c>
      <c r="AG104">
        <v>0.18</v>
      </c>
      <c r="AH104">
        <v>360.9</v>
      </c>
      <c r="AI104">
        <v>41.5</v>
      </c>
      <c r="AJ104">
        <v>402.3</v>
      </c>
      <c r="AK104">
        <v>282.7</v>
      </c>
      <c r="AL104">
        <v>19.899999999999999</v>
      </c>
      <c r="AM104">
        <v>2.79</v>
      </c>
      <c r="AN104">
        <v>20.2</v>
      </c>
      <c r="AO104">
        <v>1015.3</v>
      </c>
      <c r="AP104">
        <v>0.13</v>
      </c>
      <c r="AQ104">
        <v>284.10000000000002</v>
      </c>
      <c r="AR104">
        <v>50.5</v>
      </c>
      <c r="AS104">
        <v>334.5</v>
      </c>
      <c r="AT104">
        <v>686.7</v>
      </c>
      <c r="AU104">
        <v>57</v>
      </c>
      <c r="AV104">
        <v>8.1199999999999992</v>
      </c>
      <c r="AW104">
        <v>41.8</v>
      </c>
      <c r="AX104">
        <v>2177.6999999999998</v>
      </c>
      <c r="AY104">
        <v>0.35</v>
      </c>
      <c r="AZ104">
        <v>690.6</v>
      </c>
      <c r="BA104">
        <v>106.8</v>
      </c>
      <c r="BB104">
        <v>797.4</v>
      </c>
      <c r="BC104">
        <v>36187185</v>
      </c>
      <c r="BD104">
        <v>3802.4</v>
      </c>
      <c r="BE104">
        <v>549.79999999999995</v>
      </c>
      <c r="BF104">
        <v>1452086.8</v>
      </c>
      <c r="BG104">
        <v>90456.2</v>
      </c>
      <c r="BH104">
        <v>17.7</v>
      </c>
      <c r="BI104">
        <v>36450599.200000003</v>
      </c>
      <c r="BJ104">
        <v>4152525.2</v>
      </c>
      <c r="BK104">
        <v>40603124.399999999</v>
      </c>
      <c r="BL104">
        <v>0</v>
      </c>
      <c r="BM104">
        <v>25.85</v>
      </c>
      <c r="BN104">
        <v>7.78</v>
      </c>
      <c r="BO104">
        <v>0</v>
      </c>
      <c r="BP104">
        <v>33.630000000000003</v>
      </c>
      <c r="BQ104">
        <v>27.5</v>
      </c>
      <c r="BR104">
        <v>8.4600000000000009</v>
      </c>
      <c r="BS104">
        <v>0</v>
      </c>
      <c r="BT104">
        <v>35.96</v>
      </c>
      <c r="BU104">
        <v>89780250</v>
      </c>
      <c r="BV104">
        <v>45284704</v>
      </c>
      <c r="BW104">
        <v>7250.7</v>
      </c>
      <c r="BX104">
        <v>185226.8</v>
      </c>
      <c r="BY104">
        <v>0</v>
      </c>
      <c r="BZ104">
        <v>0</v>
      </c>
      <c r="CA104">
        <v>31457104</v>
      </c>
      <c r="CB104">
        <v>0</v>
      </c>
      <c r="CC104">
        <v>0</v>
      </c>
      <c r="CD104">
        <v>1841670.6</v>
      </c>
      <c r="CE104">
        <v>9632207</v>
      </c>
      <c r="CF104">
        <v>0</v>
      </c>
      <c r="CG104">
        <v>15.5</v>
      </c>
      <c r="CH104">
        <v>0</v>
      </c>
      <c r="CI104">
        <v>2584599</v>
      </c>
      <c r="CJ104">
        <v>0</v>
      </c>
      <c r="CK104">
        <v>45.8</v>
      </c>
      <c r="CL104">
        <v>629097</v>
      </c>
      <c r="CM104">
        <v>0</v>
      </c>
      <c r="CN104">
        <v>4356984</v>
      </c>
      <c r="CO104">
        <v>39086050</v>
      </c>
      <c r="CP104">
        <v>0</v>
      </c>
      <c r="CQ104">
        <v>7.9</v>
      </c>
      <c r="CR104">
        <v>28.7</v>
      </c>
      <c r="CS104">
        <v>0</v>
      </c>
      <c r="CT104">
        <v>5939.4</v>
      </c>
      <c r="CU104">
        <v>0</v>
      </c>
      <c r="CV104">
        <v>0</v>
      </c>
      <c r="CW104">
        <v>1123.9000000000001</v>
      </c>
      <c r="CX104">
        <v>3315.6</v>
      </c>
      <c r="CY104">
        <v>0</v>
      </c>
      <c r="CZ104">
        <v>1345</v>
      </c>
      <c r="DA104">
        <v>0</v>
      </c>
      <c r="DB104">
        <v>980.4</v>
      </c>
      <c r="DC104">
        <v>0</v>
      </c>
      <c r="DD104">
        <v>4</v>
      </c>
      <c r="DE104">
        <v>580.79999999999995</v>
      </c>
      <c r="DF104">
        <v>0</v>
      </c>
      <c r="DG104">
        <v>1730.5</v>
      </c>
      <c r="DH104">
        <v>0</v>
      </c>
      <c r="DI104">
        <v>11068</v>
      </c>
      <c r="DJ104">
        <v>23.5</v>
      </c>
      <c r="DK104">
        <v>5808</v>
      </c>
      <c r="DL104">
        <v>0</v>
      </c>
      <c r="DM104">
        <v>0</v>
      </c>
    </row>
    <row r="105" spans="1:117" x14ac:dyDescent="0.3">
      <c r="A105" t="s">
        <v>166</v>
      </c>
      <c r="B105">
        <v>2028</v>
      </c>
      <c r="C105">
        <v>87656280</v>
      </c>
      <c r="D105">
        <v>149549.1</v>
      </c>
      <c r="E105">
        <v>957456</v>
      </c>
      <c r="F105">
        <v>2020039.7</v>
      </c>
      <c r="G105">
        <v>90783323.200000003</v>
      </c>
      <c r="H105">
        <v>84504037.799999997</v>
      </c>
      <c r="I105">
        <v>31666847</v>
      </c>
      <c r="J105">
        <v>111302860</v>
      </c>
      <c r="K105">
        <v>108797670</v>
      </c>
      <c r="L105">
        <v>3.5999999999999997E-2</v>
      </c>
      <c r="M105">
        <v>5.3999999999999999E-2</v>
      </c>
      <c r="N105">
        <v>0.14399999999999999</v>
      </c>
      <c r="O105">
        <v>66758.720000000001</v>
      </c>
      <c r="P105">
        <v>15976.8</v>
      </c>
      <c r="Q105">
        <v>0.71</v>
      </c>
      <c r="R105">
        <v>0.79</v>
      </c>
      <c r="S105">
        <v>255</v>
      </c>
      <c r="T105">
        <v>26.9</v>
      </c>
      <c r="U105">
        <v>3.89</v>
      </c>
      <c r="V105">
        <v>10.199999999999999</v>
      </c>
      <c r="W105">
        <v>634.79999999999995</v>
      </c>
      <c r="X105">
        <v>0.13</v>
      </c>
      <c r="Y105">
        <v>256.89999999999998</v>
      </c>
      <c r="Z105">
        <v>29.1</v>
      </c>
      <c r="AA105">
        <v>286</v>
      </c>
      <c r="AB105">
        <v>184.5</v>
      </c>
      <c r="AC105">
        <v>19.2</v>
      </c>
      <c r="AD105">
        <v>2.78</v>
      </c>
      <c r="AE105">
        <v>7.6</v>
      </c>
      <c r="AF105">
        <v>466.8</v>
      </c>
      <c r="AG105">
        <v>0.09</v>
      </c>
      <c r="AH105">
        <v>185.8</v>
      </c>
      <c r="AI105">
        <v>21.6</v>
      </c>
      <c r="AJ105">
        <v>207.3</v>
      </c>
      <c r="AK105">
        <v>195.4</v>
      </c>
      <c r="AL105">
        <v>15.6</v>
      </c>
      <c r="AM105">
        <v>2.2000000000000002</v>
      </c>
      <c r="AN105">
        <v>12.3</v>
      </c>
      <c r="AO105">
        <v>644.79999999999995</v>
      </c>
      <c r="AP105">
        <v>0.09</v>
      </c>
      <c r="AQ105">
        <v>196.4</v>
      </c>
      <c r="AR105">
        <v>31.5</v>
      </c>
      <c r="AS105">
        <v>228</v>
      </c>
      <c r="AT105">
        <v>658</v>
      </c>
      <c r="AU105">
        <v>59.3</v>
      </c>
      <c r="AV105">
        <v>8.5</v>
      </c>
      <c r="AW105">
        <v>35.9</v>
      </c>
      <c r="AX105">
        <v>1938.4</v>
      </c>
      <c r="AY105">
        <v>0.34</v>
      </c>
      <c r="AZ105">
        <v>662.1</v>
      </c>
      <c r="BA105">
        <v>93.8</v>
      </c>
      <c r="BB105">
        <v>755.9</v>
      </c>
      <c r="BC105">
        <v>22301167</v>
      </c>
      <c r="BD105">
        <v>2352.1</v>
      </c>
      <c r="BE105">
        <v>340.2</v>
      </c>
      <c r="BF105">
        <v>888985.59999999998</v>
      </c>
      <c r="BG105">
        <v>55468.4</v>
      </c>
      <c r="BH105">
        <v>11</v>
      </c>
      <c r="BI105">
        <v>22464137.800000001</v>
      </c>
      <c r="BJ105">
        <v>2544934.7999999998</v>
      </c>
      <c r="BK105">
        <v>25009072.600000001</v>
      </c>
      <c r="BL105">
        <v>0</v>
      </c>
      <c r="BM105">
        <v>21.42</v>
      </c>
      <c r="BN105">
        <v>11.03</v>
      </c>
      <c r="BO105">
        <v>0</v>
      </c>
      <c r="BP105">
        <v>32.450000000000003</v>
      </c>
      <c r="BQ105">
        <v>22.89</v>
      </c>
      <c r="BR105">
        <v>12.03</v>
      </c>
      <c r="BS105">
        <v>0</v>
      </c>
      <c r="BT105">
        <v>34.92</v>
      </c>
      <c r="BU105">
        <v>88309890</v>
      </c>
      <c r="BV105">
        <v>59116470</v>
      </c>
      <c r="BW105">
        <v>128830.39999999999</v>
      </c>
      <c r="BX105">
        <v>177188.7</v>
      </c>
      <c r="BY105">
        <v>0</v>
      </c>
      <c r="BZ105">
        <v>0</v>
      </c>
      <c r="CA105">
        <v>19770484</v>
      </c>
      <c r="CB105">
        <v>0</v>
      </c>
      <c r="CC105">
        <v>0</v>
      </c>
      <c r="CD105">
        <v>2312259</v>
      </c>
      <c r="CE105">
        <v>5859379.5</v>
      </c>
      <c r="CF105">
        <v>0</v>
      </c>
      <c r="CG105">
        <v>0</v>
      </c>
      <c r="CH105">
        <v>0</v>
      </c>
      <c r="CI105">
        <v>2496073.2000000002</v>
      </c>
      <c r="CJ105">
        <v>0</v>
      </c>
      <c r="CK105">
        <v>0</v>
      </c>
      <c r="CL105">
        <v>761454.8</v>
      </c>
      <c r="CM105">
        <v>0</v>
      </c>
      <c r="CN105">
        <v>9014250</v>
      </c>
      <c r="CO105">
        <v>47789970</v>
      </c>
      <c r="CP105">
        <v>0</v>
      </c>
      <c r="CQ105">
        <v>115.3</v>
      </c>
      <c r="CR105">
        <v>28.7</v>
      </c>
      <c r="CS105">
        <v>0</v>
      </c>
      <c r="CT105">
        <v>4868.3999999999996</v>
      </c>
      <c r="CU105">
        <v>0</v>
      </c>
      <c r="CV105">
        <v>0</v>
      </c>
      <c r="CW105">
        <v>1416.5</v>
      </c>
      <c r="CX105">
        <v>3315.6</v>
      </c>
      <c r="CY105">
        <v>0</v>
      </c>
      <c r="CZ105">
        <v>1345</v>
      </c>
      <c r="DA105">
        <v>0</v>
      </c>
      <c r="DB105">
        <v>980.4</v>
      </c>
      <c r="DC105">
        <v>0</v>
      </c>
      <c r="DD105">
        <v>4</v>
      </c>
      <c r="DE105">
        <v>580.79999999999995</v>
      </c>
      <c r="DF105">
        <v>0</v>
      </c>
      <c r="DG105">
        <v>3404.8</v>
      </c>
      <c r="DH105">
        <v>0</v>
      </c>
      <c r="DI105">
        <v>13277.6</v>
      </c>
      <c r="DJ105">
        <v>453.1</v>
      </c>
      <c r="DK105">
        <v>5808</v>
      </c>
      <c r="DL105">
        <v>0</v>
      </c>
      <c r="DM105">
        <v>0</v>
      </c>
    </row>
    <row r="106" spans="1:117" x14ac:dyDescent="0.3">
      <c r="A106" t="s">
        <v>166</v>
      </c>
      <c r="B106">
        <v>2030</v>
      </c>
      <c r="C106">
        <v>91808400</v>
      </c>
      <c r="D106">
        <v>479088.4</v>
      </c>
      <c r="E106">
        <v>1191888.2</v>
      </c>
      <c r="F106">
        <v>2128333.2000000002</v>
      </c>
      <c r="G106">
        <v>95607708.400000006</v>
      </c>
      <c r="H106">
        <v>88506866.5</v>
      </c>
      <c r="I106">
        <v>-17551697.600000001</v>
      </c>
      <c r="J106">
        <v>89325660</v>
      </c>
      <c r="K106">
        <v>118355990</v>
      </c>
      <c r="L106">
        <v>3.5999999999999997E-2</v>
      </c>
      <c r="M106">
        <v>5.3999999999999999E-2</v>
      </c>
      <c r="N106">
        <v>0.14399999999999999</v>
      </c>
      <c r="O106">
        <v>69782.59</v>
      </c>
      <c r="P106">
        <v>17094.099999999999</v>
      </c>
      <c r="Q106">
        <v>0.94</v>
      </c>
      <c r="R106">
        <v>0.94</v>
      </c>
      <c r="S106">
        <v>57.8</v>
      </c>
      <c r="T106">
        <v>6.2</v>
      </c>
      <c r="U106">
        <v>0.9</v>
      </c>
      <c r="V106">
        <v>2.2000000000000002</v>
      </c>
      <c r="W106">
        <v>139.19999999999999</v>
      </c>
      <c r="X106">
        <v>0.03</v>
      </c>
      <c r="Y106">
        <v>58.2</v>
      </c>
      <c r="Z106">
        <v>6.3</v>
      </c>
      <c r="AA106">
        <v>64.599999999999994</v>
      </c>
      <c r="AB106">
        <v>51.2</v>
      </c>
      <c r="AC106">
        <v>5.4</v>
      </c>
      <c r="AD106">
        <v>0.79</v>
      </c>
      <c r="AE106">
        <v>2</v>
      </c>
      <c r="AF106">
        <v>125.9</v>
      </c>
      <c r="AG106">
        <v>0.03</v>
      </c>
      <c r="AH106">
        <v>51.5</v>
      </c>
      <c r="AI106">
        <v>5.8</v>
      </c>
      <c r="AJ106">
        <v>57.3</v>
      </c>
      <c r="AK106">
        <v>164.7</v>
      </c>
      <c r="AL106">
        <v>11</v>
      </c>
      <c r="AM106">
        <v>1.52</v>
      </c>
      <c r="AN106">
        <v>12.4</v>
      </c>
      <c r="AO106">
        <v>612.20000000000005</v>
      </c>
      <c r="AP106">
        <v>0.08</v>
      </c>
      <c r="AQ106">
        <v>165.5</v>
      </c>
      <c r="AR106">
        <v>30.7</v>
      </c>
      <c r="AS106">
        <v>196.1</v>
      </c>
      <c r="AT106">
        <v>383.8</v>
      </c>
      <c r="AU106">
        <v>34.9</v>
      </c>
      <c r="AV106">
        <v>5.01</v>
      </c>
      <c r="AW106">
        <v>21</v>
      </c>
      <c r="AX106">
        <v>1119</v>
      </c>
      <c r="AY106">
        <v>0.2</v>
      </c>
      <c r="AZ106">
        <v>386.2</v>
      </c>
      <c r="BA106">
        <v>54.4</v>
      </c>
      <c r="BB106">
        <v>440.6</v>
      </c>
      <c r="BC106">
        <v>7081441.5</v>
      </c>
      <c r="BD106">
        <v>765.3</v>
      </c>
      <c r="BE106">
        <v>110.9</v>
      </c>
      <c r="BF106">
        <v>266865.3</v>
      </c>
      <c r="BG106">
        <v>17031.7</v>
      </c>
      <c r="BH106">
        <v>3.5</v>
      </c>
      <c r="BI106">
        <v>7134515.9000000004</v>
      </c>
      <c r="BJ106">
        <v>775363</v>
      </c>
      <c r="BK106">
        <v>7909878.9000000004</v>
      </c>
      <c r="BL106">
        <v>0</v>
      </c>
      <c r="BM106">
        <v>12.09</v>
      </c>
      <c r="BN106">
        <v>10.050000000000001</v>
      </c>
      <c r="BO106">
        <v>0</v>
      </c>
      <c r="BP106">
        <v>22.14</v>
      </c>
      <c r="BQ106">
        <v>12.99</v>
      </c>
      <c r="BR106">
        <v>10.94</v>
      </c>
      <c r="BS106">
        <v>0</v>
      </c>
      <c r="BT106">
        <v>23.93</v>
      </c>
      <c r="BU106">
        <v>124794090</v>
      </c>
      <c r="BV106">
        <v>113159410</v>
      </c>
      <c r="BW106">
        <v>412474.2</v>
      </c>
      <c r="BX106">
        <v>98091.199999999997</v>
      </c>
      <c r="BY106">
        <v>0</v>
      </c>
      <c r="BZ106">
        <v>0</v>
      </c>
      <c r="CA106">
        <v>6584597</v>
      </c>
      <c r="CB106">
        <v>0</v>
      </c>
      <c r="CC106">
        <v>0</v>
      </c>
      <c r="CD106">
        <v>2673520</v>
      </c>
      <c r="CE106">
        <v>1424701.6</v>
      </c>
      <c r="CF106">
        <v>0</v>
      </c>
      <c r="CG106">
        <v>1077.5999999999999</v>
      </c>
      <c r="CH106">
        <v>0</v>
      </c>
      <c r="CI106">
        <v>2157588.2000000002</v>
      </c>
      <c r="CJ106">
        <v>0</v>
      </c>
      <c r="CK106">
        <v>0</v>
      </c>
      <c r="CL106">
        <v>956155.6</v>
      </c>
      <c r="CM106">
        <v>0</v>
      </c>
      <c r="CN106">
        <v>18886366</v>
      </c>
      <c r="CO106">
        <v>91599520</v>
      </c>
      <c r="CP106">
        <v>0</v>
      </c>
      <c r="CQ106">
        <v>289.8</v>
      </c>
      <c r="CR106">
        <v>23.9</v>
      </c>
      <c r="CS106">
        <v>0</v>
      </c>
      <c r="CT106">
        <v>3932.4</v>
      </c>
      <c r="CU106">
        <v>0</v>
      </c>
      <c r="CV106">
        <v>0</v>
      </c>
      <c r="CW106">
        <v>1790.1</v>
      </c>
      <c r="CX106">
        <v>3315.6</v>
      </c>
      <c r="CY106">
        <v>0</v>
      </c>
      <c r="CZ106">
        <v>1344</v>
      </c>
      <c r="DA106">
        <v>0</v>
      </c>
      <c r="DB106">
        <v>980.4</v>
      </c>
      <c r="DC106">
        <v>0</v>
      </c>
      <c r="DD106">
        <v>0</v>
      </c>
      <c r="DE106">
        <v>580.79999999999995</v>
      </c>
      <c r="DF106">
        <v>0</v>
      </c>
      <c r="DG106">
        <v>7622.1</v>
      </c>
      <c r="DH106">
        <v>0</v>
      </c>
      <c r="DI106">
        <v>26178.799999999999</v>
      </c>
      <c r="DJ106">
        <v>1154.5999999999999</v>
      </c>
      <c r="DK106">
        <v>5808</v>
      </c>
      <c r="DL106">
        <v>0</v>
      </c>
      <c r="DM106">
        <v>0</v>
      </c>
    </row>
    <row r="107" spans="1:117" x14ac:dyDescent="0.3">
      <c r="A107" t="s">
        <v>166</v>
      </c>
      <c r="B107">
        <v>2035</v>
      </c>
      <c r="C107">
        <v>105084720</v>
      </c>
      <c r="D107">
        <v>1531981.5</v>
      </c>
      <c r="E107">
        <v>1323464.8999999999</v>
      </c>
      <c r="F107">
        <v>2078035.7</v>
      </c>
      <c r="G107">
        <v>110018203.8</v>
      </c>
      <c r="H107">
        <v>101305768.59999999</v>
      </c>
      <c r="I107">
        <v>-10927845.699999999</v>
      </c>
      <c r="J107">
        <v>88731480</v>
      </c>
      <c r="K107">
        <v>114013900</v>
      </c>
      <c r="L107">
        <v>3.5900000000000001E-2</v>
      </c>
      <c r="M107">
        <v>5.3999999999999999E-2</v>
      </c>
      <c r="N107">
        <v>0.1439</v>
      </c>
      <c r="O107">
        <v>93186.23</v>
      </c>
      <c r="P107">
        <v>20692.400000000001</v>
      </c>
      <c r="Q107">
        <v>0.93</v>
      </c>
      <c r="R107">
        <v>0.94</v>
      </c>
      <c r="S107">
        <v>68.900000000000006</v>
      </c>
      <c r="T107">
        <v>7.6</v>
      </c>
      <c r="U107">
        <v>1.1000000000000001</v>
      </c>
      <c r="V107">
        <v>2.5</v>
      </c>
      <c r="W107">
        <v>161.30000000000001</v>
      </c>
      <c r="X107">
        <v>0.03</v>
      </c>
      <c r="Y107">
        <v>69.400000000000006</v>
      </c>
      <c r="Z107">
        <v>7.3</v>
      </c>
      <c r="AA107">
        <v>76.7</v>
      </c>
      <c r="AB107">
        <v>58.9</v>
      </c>
      <c r="AC107">
        <v>6.4</v>
      </c>
      <c r="AD107">
        <v>0.93</v>
      </c>
      <c r="AE107">
        <v>2.2000000000000002</v>
      </c>
      <c r="AF107">
        <v>140.69999999999999</v>
      </c>
      <c r="AG107">
        <v>0.03</v>
      </c>
      <c r="AH107">
        <v>59.4</v>
      </c>
      <c r="AI107">
        <v>6.4</v>
      </c>
      <c r="AJ107">
        <v>65.8</v>
      </c>
      <c r="AK107">
        <v>123.8</v>
      </c>
      <c r="AL107">
        <v>6.6</v>
      </c>
      <c r="AM107">
        <v>0.9</v>
      </c>
      <c r="AN107">
        <v>10.8</v>
      </c>
      <c r="AO107">
        <v>511.4</v>
      </c>
      <c r="AP107">
        <v>0.06</v>
      </c>
      <c r="AQ107">
        <v>124.2</v>
      </c>
      <c r="AR107">
        <v>26.1</v>
      </c>
      <c r="AS107">
        <v>150.30000000000001</v>
      </c>
      <c r="AT107">
        <v>357.1</v>
      </c>
      <c r="AU107">
        <v>32.1</v>
      </c>
      <c r="AV107">
        <v>4.6100000000000003</v>
      </c>
      <c r="AW107">
        <v>19.8</v>
      </c>
      <c r="AX107">
        <v>1053.9000000000001</v>
      </c>
      <c r="AY107">
        <v>0.19</v>
      </c>
      <c r="AZ107">
        <v>359.4</v>
      </c>
      <c r="BA107">
        <v>51.3</v>
      </c>
      <c r="BB107">
        <v>410.6</v>
      </c>
      <c r="BC107">
        <v>9161881.8000000007</v>
      </c>
      <c r="BD107">
        <v>1009.7</v>
      </c>
      <c r="BE107">
        <v>146.5</v>
      </c>
      <c r="BF107">
        <v>326518.2</v>
      </c>
      <c r="BG107">
        <v>21414.799999999999</v>
      </c>
      <c r="BH107">
        <v>4.5</v>
      </c>
      <c r="BI107">
        <v>9231956.3000000007</v>
      </c>
      <c r="BJ107">
        <v>965916.2</v>
      </c>
      <c r="BK107">
        <v>10197872.5</v>
      </c>
      <c r="BL107">
        <v>0</v>
      </c>
      <c r="BM107">
        <v>11.16</v>
      </c>
      <c r="BN107">
        <v>14.33</v>
      </c>
      <c r="BO107">
        <v>0</v>
      </c>
      <c r="BP107">
        <v>25.49</v>
      </c>
      <c r="BQ107">
        <v>12.04</v>
      </c>
      <c r="BR107">
        <v>15.75</v>
      </c>
      <c r="BS107">
        <v>0</v>
      </c>
      <c r="BT107">
        <v>27.79</v>
      </c>
      <c r="BU107">
        <v>135474300</v>
      </c>
      <c r="BV107">
        <v>120946050</v>
      </c>
      <c r="BW107">
        <v>1297042.2</v>
      </c>
      <c r="BX107">
        <v>95633.9</v>
      </c>
      <c r="BY107">
        <v>0</v>
      </c>
      <c r="BZ107">
        <v>0</v>
      </c>
      <c r="CA107">
        <v>8646802</v>
      </c>
      <c r="CB107">
        <v>0</v>
      </c>
      <c r="CC107">
        <v>0</v>
      </c>
      <c r="CD107">
        <v>3565232.8</v>
      </c>
      <c r="CE107">
        <v>1280379.2</v>
      </c>
      <c r="CF107">
        <v>0</v>
      </c>
      <c r="CG107">
        <v>15094.4</v>
      </c>
      <c r="CH107">
        <v>0</v>
      </c>
      <c r="CI107">
        <v>2111660.2000000002</v>
      </c>
      <c r="CJ107">
        <v>0</v>
      </c>
      <c r="CK107">
        <v>0</v>
      </c>
      <c r="CL107">
        <v>1081635</v>
      </c>
      <c r="CM107">
        <v>0</v>
      </c>
      <c r="CN107">
        <v>18165250</v>
      </c>
      <c r="CO107">
        <v>99215570</v>
      </c>
      <c r="CP107">
        <v>0</v>
      </c>
      <c r="CQ107">
        <v>787</v>
      </c>
      <c r="CR107">
        <v>23.9</v>
      </c>
      <c r="CS107">
        <v>0</v>
      </c>
      <c r="CT107">
        <v>3932.4</v>
      </c>
      <c r="CU107">
        <v>0</v>
      </c>
      <c r="CV107">
        <v>0</v>
      </c>
      <c r="CW107">
        <v>2425.1</v>
      </c>
      <c r="CX107">
        <v>3315.6</v>
      </c>
      <c r="CY107">
        <v>0</v>
      </c>
      <c r="CZ107">
        <v>1905.1</v>
      </c>
      <c r="DA107">
        <v>0</v>
      </c>
      <c r="DB107">
        <v>980.4</v>
      </c>
      <c r="DC107">
        <v>0</v>
      </c>
      <c r="DD107">
        <v>0</v>
      </c>
      <c r="DE107">
        <v>661.1</v>
      </c>
      <c r="DF107">
        <v>0</v>
      </c>
      <c r="DG107">
        <v>7622.1</v>
      </c>
      <c r="DH107">
        <v>0</v>
      </c>
      <c r="DI107">
        <v>28435.9</v>
      </c>
      <c r="DJ107">
        <v>3505.8</v>
      </c>
      <c r="DK107">
        <v>6610.6</v>
      </c>
      <c r="DL107">
        <v>0</v>
      </c>
      <c r="DM107">
        <v>0</v>
      </c>
    </row>
    <row r="108" spans="1:117" x14ac:dyDescent="0.3">
      <c r="A108" t="s">
        <v>166</v>
      </c>
      <c r="B108">
        <v>2040</v>
      </c>
      <c r="C108">
        <v>120609896</v>
      </c>
      <c r="D108">
        <v>2393846.7999999998</v>
      </c>
      <c r="E108">
        <v>1354996</v>
      </c>
      <c r="F108">
        <v>2202581</v>
      </c>
      <c r="G108">
        <v>126561314.59999999</v>
      </c>
      <c r="H108">
        <v>116272563.5</v>
      </c>
      <c r="I108">
        <v>811558.9</v>
      </c>
      <c r="J108">
        <v>102722184</v>
      </c>
      <c r="K108">
        <v>116555500</v>
      </c>
      <c r="L108">
        <v>3.5900000000000001E-2</v>
      </c>
      <c r="M108">
        <v>5.3999999999999999E-2</v>
      </c>
      <c r="N108">
        <v>0.1439</v>
      </c>
      <c r="O108">
        <v>92914.240000000005</v>
      </c>
      <c r="P108">
        <v>23906.3</v>
      </c>
      <c r="Q108">
        <v>0.93</v>
      </c>
      <c r="R108">
        <v>0.94</v>
      </c>
      <c r="S108">
        <v>61.2</v>
      </c>
      <c r="T108">
        <v>6.6</v>
      </c>
      <c r="U108">
        <v>0.96</v>
      </c>
      <c r="V108">
        <v>2.2999999999999998</v>
      </c>
      <c r="W108">
        <v>147.69999999999999</v>
      </c>
      <c r="X108">
        <v>0.03</v>
      </c>
      <c r="Y108">
        <v>61.7</v>
      </c>
      <c r="Z108">
        <v>6.7</v>
      </c>
      <c r="AA108">
        <v>68.400000000000006</v>
      </c>
      <c r="AB108">
        <v>50.8</v>
      </c>
      <c r="AC108">
        <v>5.4</v>
      </c>
      <c r="AD108">
        <v>0.78</v>
      </c>
      <c r="AE108">
        <v>2</v>
      </c>
      <c r="AF108">
        <v>125.3</v>
      </c>
      <c r="AG108">
        <v>0.03</v>
      </c>
      <c r="AH108">
        <v>51.2</v>
      </c>
      <c r="AI108">
        <v>5.8</v>
      </c>
      <c r="AJ108">
        <v>56.9</v>
      </c>
      <c r="AK108">
        <v>131.6</v>
      </c>
      <c r="AL108">
        <v>7.1</v>
      </c>
      <c r="AM108">
        <v>0.96</v>
      </c>
      <c r="AN108">
        <v>11.5</v>
      </c>
      <c r="AO108">
        <v>543</v>
      </c>
      <c r="AP108">
        <v>0.06</v>
      </c>
      <c r="AQ108">
        <v>132.1</v>
      </c>
      <c r="AR108">
        <v>27.7</v>
      </c>
      <c r="AS108">
        <v>159.80000000000001</v>
      </c>
      <c r="AT108">
        <v>315.7</v>
      </c>
      <c r="AU108">
        <v>26.7</v>
      </c>
      <c r="AV108">
        <v>3.8</v>
      </c>
      <c r="AW108">
        <v>19.2</v>
      </c>
      <c r="AX108">
        <v>986.8</v>
      </c>
      <c r="AY108">
        <v>0.17</v>
      </c>
      <c r="AZ108">
        <v>317.5</v>
      </c>
      <c r="BA108">
        <v>48.6</v>
      </c>
      <c r="BB108">
        <v>366.2</v>
      </c>
      <c r="BC108">
        <v>8432800.0999999996</v>
      </c>
      <c r="BD108">
        <v>910.9</v>
      </c>
      <c r="BE108">
        <v>132</v>
      </c>
      <c r="BF108">
        <v>317348.3</v>
      </c>
      <c r="BG108">
        <v>20295.2</v>
      </c>
      <c r="BH108">
        <v>4.2</v>
      </c>
      <c r="BI108">
        <v>8495970.1999999993</v>
      </c>
      <c r="BJ108">
        <v>923279.6</v>
      </c>
      <c r="BK108">
        <v>9419249.8000000007</v>
      </c>
      <c r="BL108">
        <v>0</v>
      </c>
      <c r="BM108">
        <v>10.64</v>
      </c>
      <c r="BN108">
        <v>15.43</v>
      </c>
      <c r="BO108">
        <v>0</v>
      </c>
      <c r="BP108">
        <v>26.08</v>
      </c>
      <c r="BQ108">
        <v>11.5</v>
      </c>
      <c r="BR108">
        <v>17.07</v>
      </c>
      <c r="BS108">
        <v>0</v>
      </c>
      <c r="BT108">
        <v>28.57</v>
      </c>
      <c r="BU108">
        <v>140501800</v>
      </c>
      <c r="BV108">
        <v>125749740</v>
      </c>
      <c r="BW108">
        <v>2024464</v>
      </c>
      <c r="BX108">
        <v>91274.5</v>
      </c>
      <c r="BY108">
        <v>0</v>
      </c>
      <c r="BZ108">
        <v>0</v>
      </c>
      <c r="CA108">
        <v>7810224</v>
      </c>
      <c r="CB108">
        <v>0</v>
      </c>
      <c r="CC108">
        <v>0</v>
      </c>
      <c r="CD108">
        <v>3924324.5</v>
      </c>
      <c r="CE108">
        <v>1635603.8</v>
      </c>
      <c r="CF108">
        <v>0</v>
      </c>
      <c r="CG108">
        <v>36338.9</v>
      </c>
      <c r="CH108">
        <v>0</v>
      </c>
      <c r="CI108">
        <v>2067004.4</v>
      </c>
      <c r="CJ108">
        <v>0</v>
      </c>
      <c r="CK108">
        <v>0</v>
      </c>
      <c r="CL108">
        <v>1087121.5</v>
      </c>
      <c r="CM108">
        <v>0</v>
      </c>
      <c r="CN108">
        <v>18138382</v>
      </c>
      <c r="CO108">
        <v>103687050</v>
      </c>
      <c r="CP108">
        <v>0</v>
      </c>
      <c r="CQ108">
        <v>1342</v>
      </c>
      <c r="CR108">
        <v>23.9</v>
      </c>
      <c r="CS108">
        <v>0</v>
      </c>
      <c r="CT108">
        <v>3830.4</v>
      </c>
      <c r="CU108">
        <v>0</v>
      </c>
      <c r="CV108">
        <v>0</v>
      </c>
      <c r="CW108">
        <v>2644.9</v>
      </c>
      <c r="CX108">
        <v>3315.6</v>
      </c>
      <c r="CY108">
        <v>0</v>
      </c>
      <c r="CZ108">
        <v>2770.5</v>
      </c>
      <c r="DA108">
        <v>0</v>
      </c>
      <c r="DB108">
        <v>980.4</v>
      </c>
      <c r="DC108">
        <v>0</v>
      </c>
      <c r="DD108">
        <v>0</v>
      </c>
      <c r="DE108">
        <v>661.1</v>
      </c>
      <c r="DF108">
        <v>0</v>
      </c>
      <c r="DG108">
        <v>7602.2</v>
      </c>
      <c r="DH108">
        <v>0</v>
      </c>
      <c r="DI108">
        <v>29074.3</v>
      </c>
      <c r="DJ108">
        <v>5389.6</v>
      </c>
      <c r="DK108">
        <v>6610.6</v>
      </c>
      <c r="DL108">
        <v>0</v>
      </c>
      <c r="DM108">
        <v>0</v>
      </c>
    </row>
    <row r="109" spans="1:117" x14ac:dyDescent="0.3">
      <c r="A109" t="s">
        <v>166</v>
      </c>
      <c r="B109">
        <v>2045</v>
      </c>
      <c r="C109">
        <v>136137630</v>
      </c>
      <c r="D109">
        <v>3959003.5</v>
      </c>
      <c r="E109">
        <v>1071371.8</v>
      </c>
      <c r="F109">
        <v>2422164.4</v>
      </c>
      <c r="G109">
        <v>143590168.5</v>
      </c>
      <c r="H109">
        <v>131241836.7</v>
      </c>
      <c r="I109">
        <v>-13417863.800000001</v>
      </c>
      <c r="J109">
        <v>114139840</v>
      </c>
      <c r="K109">
        <v>139979300</v>
      </c>
      <c r="L109">
        <v>3.5900000000000001E-2</v>
      </c>
      <c r="M109">
        <v>5.3999999999999999E-2</v>
      </c>
      <c r="N109">
        <v>0.1439</v>
      </c>
      <c r="O109">
        <v>89828.78</v>
      </c>
      <c r="P109">
        <v>27465.8</v>
      </c>
      <c r="Q109">
        <v>0.96</v>
      </c>
      <c r="R109">
        <v>0.97</v>
      </c>
      <c r="S109">
        <v>34.6</v>
      </c>
      <c r="T109">
        <v>3.7</v>
      </c>
      <c r="U109">
        <v>0.54</v>
      </c>
      <c r="V109">
        <v>1.3</v>
      </c>
      <c r="W109">
        <v>83</v>
      </c>
      <c r="X109">
        <v>0.02</v>
      </c>
      <c r="Y109">
        <v>34.799999999999997</v>
      </c>
      <c r="Z109">
        <v>3.8</v>
      </c>
      <c r="AA109">
        <v>38.6</v>
      </c>
      <c r="AB109">
        <v>30.3</v>
      </c>
      <c r="AC109">
        <v>3.2</v>
      </c>
      <c r="AD109">
        <v>0.47</v>
      </c>
      <c r="AE109">
        <v>1.2</v>
      </c>
      <c r="AF109">
        <v>74.5</v>
      </c>
      <c r="AG109">
        <v>0.01</v>
      </c>
      <c r="AH109">
        <v>30.6</v>
      </c>
      <c r="AI109">
        <v>3.4</v>
      </c>
      <c r="AJ109">
        <v>34</v>
      </c>
      <c r="AK109">
        <v>128</v>
      </c>
      <c r="AL109">
        <v>6.8</v>
      </c>
      <c r="AM109">
        <v>0.92</v>
      </c>
      <c r="AN109">
        <v>11.3</v>
      </c>
      <c r="AO109">
        <v>530.29999999999995</v>
      </c>
      <c r="AP109">
        <v>0.06</v>
      </c>
      <c r="AQ109">
        <v>128.5</v>
      </c>
      <c r="AR109">
        <v>27.1</v>
      </c>
      <c r="AS109">
        <v>155.6</v>
      </c>
      <c r="AT109">
        <v>242.1</v>
      </c>
      <c r="AU109">
        <v>20</v>
      </c>
      <c r="AV109">
        <v>2.84</v>
      </c>
      <c r="AW109">
        <v>15</v>
      </c>
      <c r="AX109">
        <v>774.7</v>
      </c>
      <c r="AY109">
        <v>0.12</v>
      </c>
      <c r="AZ109">
        <v>243.4</v>
      </c>
      <c r="BA109">
        <v>38.1</v>
      </c>
      <c r="BB109">
        <v>281.5</v>
      </c>
      <c r="BC109">
        <v>5715340.5999999996</v>
      </c>
      <c r="BD109">
        <v>619.29999999999995</v>
      </c>
      <c r="BE109">
        <v>89.7</v>
      </c>
      <c r="BF109">
        <v>212507.7</v>
      </c>
      <c r="BG109">
        <v>13691.8</v>
      </c>
      <c r="BH109">
        <v>2.8</v>
      </c>
      <c r="BI109">
        <v>5758295.7999999998</v>
      </c>
      <c r="BJ109">
        <v>621292.6</v>
      </c>
      <c r="BK109">
        <v>6379588.4000000004</v>
      </c>
      <c r="BL109">
        <v>0</v>
      </c>
      <c r="BM109">
        <v>7.84</v>
      </c>
      <c r="BN109">
        <v>14.9</v>
      </c>
      <c r="BO109">
        <v>0</v>
      </c>
      <c r="BP109">
        <v>22.74</v>
      </c>
      <c r="BQ109">
        <v>8.51</v>
      </c>
      <c r="BR109">
        <v>16.55</v>
      </c>
      <c r="BS109">
        <v>0</v>
      </c>
      <c r="BT109">
        <v>25.06</v>
      </c>
      <c r="BU109">
        <v>169606220</v>
      </c>
      <c r="BV109">
        <v>157008030</v>
      </c>
      <c r="BW109">
        <v>3350763</v>
      </c>
      <c r="BX109">
        <v>38464.1</v>
      </c>
      <c r="BY109">
        <v>0</v>
      </c>
      <c r="BZ109">
        <v>0</v>
      </c>
      <c r="CA109">
        <v>5385261</v>
      </c>
      <c r="CB109">
        <v>0</v>
      </c>
      <c r="CC109">
        <v>0</v>
      </c>
      <c r="CD109">
        <v>4138465.5</v>
      </c>
      <c r="CE109">
        <v>1093218</v>
      </c>
      <c r="CF109">
        <v>0</v>
      </c>
      <c r="CG109">
        <v>18706.3</v>
      </c>
      <c r="CH109">
        <v>0</v>
      </c>
      <c r="CI109">
        <v>1853118.2</v>
      </c>
      <c r="CJ109">
        <v>0</v>
      </c>
      <c r="CK109">
        <v>0</v>
      </c>
      <c r="CL109">
        <v>858663.6</v>
      </c>
      <c r="CM109">
        <v>0</v>
      </c>
      <c r="CN109">
        <v>17145308</v>
      </c>
      <c r="CO109">
        <v>135724260</v>
      </c>
      <c r="CP109">
        <v>0</v>
      </c>
      <c r="CQ109">
        <v>2335.6999999999998</v>
      </c>
      <c r="CR109">
        <v>18.899999999999999</v>
      </c>
      <c r="CS109">
        <v>0</v>
      </c>
      <c r="CT109">
        <v>3830.4</v>
      </c>
      <c r="CU109">
        <v>0</v>
      </c>
      <c r="CV109">
        <v>0</v>
      </c>
      <c r="CW109">
        <v>2892.8</v>
      </c>
      <c r="CX109">
        <v>3187.6</v>
      </c>
      <c r="CY109">
        <v>0</v>
      </c>
      <c r="CZ109">
        <v>2938.8</v>
      </c>
      <c r="DA109">
        <v>0</v>
      </c>
      <c r="DB109">
        <v>980.4</v>
      </c>
      <c r="DC109">
        <v>0</v>
      </c>
      <c r="DD109">
        <v>0</v>
      </c>
      <c r="DE109">
        <v>661.1</v>
      </c>
      <c r="DF109">
        <v>0</v>
      </c>
      <c r="DG109">
        <v>7609.3</v>
      </c>
      <c r="DH109">
        <v>0</v>
      </c>
      <c r="DI109">
        <v>39106.1</v>
      </c>
      <c r="DJ109">
        <v>8705.4</v>
      </c>
      <c r="DK109">
        <v>6610.6</v>
      </c>
      <c r="DL109">
        <v>0</v>
      </c>
      <c r="DM109">
        <v>0</v>
      </c>
    </row>
    <row r="110" spans="1:117" x14ac:dyDescent="0.3">
      <c r="A110" t="s">
        <v>166</v>
      </c>
      <c r="B110">
        <v>2050</v>
      </c>
      <c r="C110">
        <v>152342340</v>
      </c>
      <c r="D110">
        <v>6846158.5</v>
      </c>
      <c r="E110">
        <v>1058421.8</v>
      </c>
      <c r="F110">
        <v>2580736.2000000002</v>
      </c>
      <c r="G110">
        <v>162827648.69999999</v>
      </c>
      <c r="H110">
        <v>146863836</v>
      </c>
      <c r="I110">
        <v>-11666441.699999999</v>
      </c>
      <c r="J110">
        <v>124237544</v>
      </c>
      <c r="K110">
        <v>150104930</v>
      </c>
      <c r="L110">
        <v>3.5900000000000001E-2</v>
      </c>
      <c r="M110">
        <v>5.3999999999999999E-2</v>
      </c>
      <c r="N110">
        <v>0.1439</v>
      </c>
      <c r="O110">
        <v>92618.13</v>
      </c>
      <c r="P110">
        <v>31222.6</v>
      </c>
      <c r="Q110">
        <v>0.97</v>
      </c>
      <c r="R110">
        <v>0.97</v>
      </c>
      <c r="S110">
        <v>26.8</v>
      </c>
      <c r="T110">
        <v>2.9</v>
      </c>
      <c r="U110">
        <v>0.41</v>
      </c>
      <c r="V110">
        <v>1</v>
      </c>
      <c r="W110">
        <v>66</v>
      </c>
      <c r="X110">
        <v>0.01</v>
      </c>
      <c r="Y110">
        <v>27</v>
      </c>
      <c r="Z110">
        <v>3</v>
      </c>
      <c r="AA110">
        <v>30</v>
      </c>
      <c r="AB110">
        <v>24.4</v>
      </c>
      <c r="AC110">
        <v>2.6</v>
      </c>
      <c r="AD110">
        <v>0.37</v>
      </c>
      <c r="AE110">
        <v>1</v>
      </c>
      <c r="AF110">
        <v>61.5</v>
      </c>
      <c r="AG110">
        <v>0.01</v>
      </c>
      <c r="AH110">
        <v>24.6</v>
      </c>
      <c r="AI110">
        <v>2.8</v>
      </c>
      <c r="AJ110">
        <v>27.5</v>
      </c>
      <c r="AK110">
        <v>138.80000000000001</v>
      </c>
      <c r="AL110">
        <v>7.6</v>
      </c>
      <c r="AM110">
        <v>1.03</v>
      </c>
      <c r="AN110">
        <v>12</v>
      </c>
      <c r="AO110">
        <v>568</v>
      </c>
      <c r="AP110">
        <v>7.0000000000000007E-2</v>
      </c>
      <c r="AQ110">
        <v>139.30000000000001</v>
      </c>
      <c r="AR110">
        <v>29</v>
      </c>
      <c r="AS110">
        <v>168.2</v>
      </c>
      <c r="AT110">
        <v>209.1</v>
      </c>
      <c r="AU110">
        <v>15.9</v>
      </c>
      <c r="AV110">
        <v>2.2400000000000002</v>
      </c>
      <c r="AW110">
        <v>14.3</v>
      </c>
      <c r="AX110">
        <v>714.1</v>
      </c>
      <c r="AY110">
        <v>0.11</v>
      </c>
      <c r="AZ110">
        <v>210.2</v>
      </c>
      <c r="BA110">
        <v>35.6</v>
      </c>
      <c r="BB110">
        <v>245.8</v>
      </c>
      <c r="BC110">
        <v>4943482.8</v>
      </c>
      <c r="BD110">
        <v>526.5</v>
      </c>
      <c r="BE110">
        <v>76.2</v>
      </c>
      <c r="BF110">
        <v>192126.6</v>
      </c>
      <c r="BG110">
        <v>12132.3</v>
      </c>
      <c r="BH110">
        <v>2.4</v>
      </c>
      <c r="BI110">
        <v>4979978.8</v>
      </c>
      <c r="BJ110">
        <v>554333.80000000005</v>
      </c>
      <c r="BK110">
        <v>5534312.5999999996</v>
      </c>
      <c r="BL110">
        <v>0</v>
      </c>
      <c r="BM110">
        <v>7.78</v>
      </c>
      <c r="BN110">
        <v>15.68</v>
      </c>
      <c r="BO110">
        <v>0</v>
      </c>
      <c r="BP110">
        <v>23.46</v>
      </c>
      <c r="BQ110">
        <v>8.5</v>
      </c>
      <c r="BR110">
        <v>17.68</v>
      </c>
      <c r="BS110">
        <v>0</v>
      </c>
      <c r="BT110">
        <v>26.19</v>
      </c>
      <c r="BU110">
        <v>188887310</v>
      </c>
      <c r="BV110">
        <v>174494100</v>
      </c>
      <c r="BW110">
        <v>5834767.5</v>
      </c>
      <c r="BX110">
        <v>34688.1</v>
      </c>
      <c r="BY110">
        <v>0</v>
      </c>
      <c r="BZ110">
        <v>0</v>
      </c>
      <c r="CA110">
        <v>4672296.5</v>
      </c>
      <c r="CB110">
        <v>0</v>
      </c>
      <c r="CC110">
        <v>0</v>
      </c>
      <c r="CD110">
        <v>4535788.5</v>
      </c>
      <c r="CE110">
        <v>1173770.8999999999</v>
      </c>
      <c r="CF110">
        <v>0</v>
      </c>
      <c r="CG110">
        <v>10771.2</v>
      </c>
      <c r="CH110">
        <v>0</v>
      </c>
      <c r="CI110">
        <v>1802581</v>
      </c>
      <c r="CJ110">
        <v>0</v>
      </c>
      <c r="CK110">
        <v>0</v>
      </c>
      <c r="CL110">
        <v>864340.6</v>
      </c>
      <c r="CM110">
        <v>0</v>
      </c>
      <c r="CN110">
        <v>17134582</v>
      </c>
      <c r="CO110">
        <v>152823730</v>
      </c>
      <c r="CP110">
        <v>0</v>
      </c>
      <c r="CQ110">
        <v>4868.1000000000004</v>
      </c>
      <c r="CR110">
        <v>18.899999999999999</v>
      </c>
      <c r="CS110">
        <v>0</v>
      </c>
      <c r="CT110">
        <v>3356.4</v>
      </c>
      <c r="CU110">
        <v>0</v>
      </c>
      <c r="CV110">
        <v>0</v>
      </c>
      <c r="CW110">
        <v>3171.5</v>
      </c>
      <c r="CX110">
        <v>2843.5</v>
      </c>
      <c r="CY110">
        <v>0</v>
      </c>
      <c r="CZ110">
        <v>3056</v>
      </c>
      <c r="DA110">
        <v>0</v>
      </c>
      <c r="DB110">
        <v>980.4</v>
      </c>
      <c r="DC110">
        <v>0</v>
      </c>
      <c r="DD110">
        <v>0</v>
      </c>
      <c r="DE110">
        <v>661.1</v>
      </c>
      <c r="DF110">
        <v>0</v>
      </c>
      <c r="DG110">
        <v>7460.4</v>
      </c>
      <c r="DH110">
        <v>0</v>
      </c>
      <c r="DI110">
        <v>44393.2</v>
      </c>
      <c r="DJ110">
        <v>16250.6</v>
      </c>
      <c r="DK110">
        <v>6610.6</v>
      </c>
      <c r="DL110">
        <v>0</v>
      </c>
      <c r="DM110">
        <v>0</v>
      </c>
    </row>
    <row r="111" spans="1:117" x14ac:dyDescent="0.3">
      <c r="A111" t="s">
        <v>167</v>
      </c>
      <c r="B111">
        <v>2024</v>
      </c>
      <c r="C111">
        <v>78595780</v>
      </c>
      <c r="D111">
        <v>1607</v>
      </c>
      <c r="E111">
        <v>224086.3</v>
      </c>
      <c r="F111">
        <v>1425510.5</v>
      </c>
      <c r="G111">
        <v>80246980.099999994</v>
      </c>
      <c r="H111">
        <v>75769988</v>
      </c>
      <c r="I111">
        <v>37802345.200000003</v>
      </c>
      <c r="J111">
        <v>73734344</v>
      </c>
      <c r="K111">
        <v>76075416</v>
      </c>
      <c r="L111">
        <v>3.5900000000000001E-2</v>
      </c>
      <c r="M111">
        <v>5.3900000000000003E-2</v>
      </c>
      <c r="N111">
        <v>0.16</v>
      </c>
      <c r="O111">
        <v>6147.3</v>
      </c>
      <c r="P111">
        <v>19672.7</v>
      </c>
      <c r="Q111">
        <v>0.63</v>
      </c>
      <c r="R111">
        <v>0.7</v>
      </c>
      <c r="S111">
        <v>352.3</v>
      </c>
      <c r="T111">
        <v>38.5</v>
      </c>
      <c r="U111">
        <v>5.58</v>
      </c>
      <c r="V111">
        <v>13.7</v>
      </c>
      <c r="W111">
        <v>836.8</v>
      </c>
      <c r="X111">
        <v>0.2</v>
      </c>
      <c r="Y111">
        <v>354.9</v>
      </c>
      <c r="Z111">
        <v>38.700000000000003</v>
      </c>
      <c r="AA111">
        <v>393.7</v>
      </c>
      <c r="AB111">
        <v>296.3</v>
      </c>
      <c r="AC111">
        <v>31.9</v>
      </c>
      <c r="AD111">
        <v>4.62</v>
      </c>
      <c r="AE111">
        <v>12</v>
      </c>
      <c r="AF111">
        <v>718.7</v>
      </c>
      <c r="AG111">
        <v>0.17</v>
      </c>
      <c r="AH111">
        <v>298.5</v>
      </c>
      <c r="AI111">
        <v>33.5</v>
      </c>
      <c r="AJ111">
        <v>332</v>
      </c>
      <c r="AK111">
        <v>331.7</v>
      </c>
      <c r="AL111">
        <v>28.4</v>
      </c>
      <c r="AM111">
        <v>4.07</v>
      </c>
      <c r="AN111">
        <v>19.600000000000001</v>
      </c>
      <c r="AO111">
        <v>1006.3</v>
      </c>
      <c r="AP111">
        <v>0.18</v>
      </c>
      <c r="AQ111">
        <v>333.6</v>
      </c>
      <c r="AR111">
        <v>49.6</v>
      </c>
      <c r="AS111">
        <v>383.3</v>
      </c>
      <c r="AT111">
        <v>681.2</v>
      </c>
      <c r="AU111">
        <v>57</v>
      </c>
      <c r="AV111">
        <v>8.24</v>
      </c>
      <c r="AW111">
        <v>42.3</v>
      </c>
      <c r="AX111">
        <v>2041.8</v>
      </c>
      <c r="AY111">
        <v>0.42</v>
      </c>
      <c r="AZ111">
        <v>685.1</v>
      </c>
      <c r="BA111">
        <v>103.2</v>
      </c>
      <c r="BB111">
        <v>788.4</v>
      </c>
      <c r="BC111">
        <v>28839611.199999999</v>
      </c>
      <c r="BD111">
        <v>3150.2</v>
      </c>
      <c r="BE111">
        <v>456.7</v>
      </c>
      <c r="BF111">
        <v>1124345.6000000001</v>
      </c>
      <c r="BG111">
        <v>68489.600000000006</v>
      </c>
      <c r="BH111">
        <v>16</v>
      </c>
      <c r="BI111">
        <v>29058162</v>
      </c>
      <c r="BJ111">
        <v>3169710.5</v>
      </c>
      <c r="BK111">
        <v>32227872.5</v>
      </c>
      <c r="BL111">
        <v>0</v>
      </c>
      <c r="BM111">
        <v>24.07</v>
      </c>
      <c r="BN111">
        <v>1.28</v>
      </c>
      <c r="BO111">
        <v>0</v>
      </c>
      <c r="BP111">
        <v>25.36</v>
      </c>
      <c r="BQ111">
        <v>25.62</v>
      </c>
      <c r="BR111">
        <v>1.4</v>
      </c>
      <c r="BS111">
        <v>0</v>
      </c>
      <c r="BT111">
        <v>27.02</v>
      </c>
      <c r="BU111">
        <v>82670184</v>
      </c>
      <c r="BV111">
        <v>42444636</v>
      </c>
      <c r="BW111">
        <v>1371.9</v>
      </c>
      <c r="BX111">
        <v>51568.3</v>
      </c>
      <c r="BY111">
        <v>0</v>
      </c>
      <c r="BZ111">
        <v>0</v>
      </c>
      <c r="CA111">
        <v>26113422</v>
      </c>
      <c r="CB111">
        <v>0</v>
      </c>
      <c r="CC111">
        <v>0</v>
      </c>
      <c r="CD111">
        <v>303115.90000000002</v>
      </c>
      <c r="CE111">
        <v>4265764</v>
      </c>
      <c r="CF111">
        <v>0</v>
      </c>
      <c r="CG111">
        <v>26087.599999999999</v>
      </c>
      <c r="CH111">
        <v>0</v>
      </c>
      <c r="CI111">
        <v>577914.5</v>
      </c>
      <c r="CJ111">
        <v>9010384</v>
      </c>
      <c r="CK111">
        <v>348.1</v>
      </c>
      <c r="CL111">
        <v>178686.6</v>
      </c>
      <c r="CM111">
        <v>0</v>
      </c>
      <c r="CN111">
        <v>6098369.5</v>
      </c>
      <c r="CO111">
        <v>36043148</v>
      </c>
      <c r="CP111">
        <v>0</v>
      </c>
      <c r="CQ111">
        <v>2.2000000000000002</v>
      </c>
      <c r="CR111">
        <v>13.6</v>
      </c>
      <c r="CS111">
        <v>0</v>
      </c>
      <c r="CT111">
        <v>7400.3</v>
      </c>
      <c r="CU111">
        <v>0</v>
      </c>
      <c r="CV111">
        <v>0</v>
      </c>
      <c r="CW111">
        <v>199.4</v>
      </c>
      <c r="CX111">
        <v>1607.2</v>
      </c>
      <c r="CY111">
        <v>0</v>
      </c>
      <c r="CZ111">
        <v>3200.1</v>
      </c>
      <c r="DA111">
        <v>0</v>
      </c>
      <c r="DB111">
        <v>291.5</v>
      </c>
      <c r="DC111">
        <v>1225</v>
      </c>
      <c r="DD111">
        <v>494.7</v>
      </c>
      <c r="DE111">
        <v>186</v>
      </c>
      <c r="DF111">
        <v>0</v>
      </c>
      <c r="DG111">
        <v>2343</v>
      </c>
      <c r="DH111">
        <v>0</v>
      </c>
      <c r="DI111">
        <v>9868.4</v>
      </c>
      <c r="DJ111">
        <v>4.4000000000000004</v>
      </c>
      <c r="DK111">
        <v>1860</v>
      </c>
      <c r="DL111">
        <v>0</v>
      </c>
      <c r="DM111">
        <v>0</v>
      </c>
    </row>
    <row r="112" spans="1:117" x14ac:dyDescent="0.3">
      <c r="A112" t="s">
        <v>167</v>
      </c>
      <c r="B112">
        <v>2026</v>
      </c>
      <c r="C112">
        <v>80800130</v>
      </c>
      <c r="D112">
        <v>279165.09999999998</v>
      </c>
      <c r="E112">
        <v>292305.40000000002</v>
      </c>
      <c r="F112">
        <v>1688333.7</v>
      </c>
      <c r="G112">
        <v>83059931</v>
      </c>
      <c r="H112">
        <v>77895032.700000003</v>
      </c>
      <c r="I112">
        <v>5394642.7999999998</v>
      </c>
      <c r="J112">
        <v>73673470</v>
      </c>
      <c r="K112">
        <v>99430030</v>
      </c>
      <c r="L112">
        <v>3.5900000000000001E-2</v>
      </c>
      <c r="M112">
        <v>5.3900000000000003E-2</v>
      </c>
      <c r="N112">
        <v>0.16</v>
      </c>
      <c r="O112">
        <v>51127.61</v>
      </c>
      <c r="P112">
        <v>19063.400000000001</v>
      </c>
      <c r="Q112">
        <v>0.8</v>
      </c>
      <c r="R112">
        <v>0.8</v>
      </c>
      <c r="S112">
        <v>189.1</v>
      </c>
      <c r="T112">
        <v>20.6</v>
      </c>
      <c r="U112">
        <v>2.98</v>
      </c>
      <c r="V112">
        <v>7.6</v>
      </c>
      <c r="W112">
        <v>452.3</v>
      </c>
      <c r="X112">
        <v>0.11</v>
      </c>
      <c r="Y112">
        <v>190.6</v>
      </c>
      <c r="Z112">
        <v>21.1</v>
      </c>
      <c r="AA112">
        <v>211.7</v>
      </c>
      <c r="AB112">
        <v>194.6</v>
      </c>
      <c r="AC112">
        <v>21</v>
      </c>
      <c r="AD112">
        <v>3.04</v>
      </c>
      <c r="AE112">
        <v>8.1</v>
      </c>
      <c r="AF112">
        <v>471.9</v>
      </c>
      <c r="AG112">
        <v>0.11</v>
      </c>
      <c r="AH112">
        <v>196</v>
      </c>
      <c r="AI112">
        <v>22.2</v>
      </c>
      <c r="AJ112">
        <v>218.2</v>
      </c>
      <c r="AK112">
        <v>221</v>
      </c>
      <c r="AL112">
        <v>17.3</v>
      </c>
      <c r="AM112">
        <v>2.46</v>
      </c>
      <c r="AN112">
        <v>14.4</v>
      </c>
      <c r="AO112">
        <v>724.3</v>
      </c>
      <c r="AP112">
        <v>0.12</v>
      </c>
      <c r="AQ112">
        <v>222.2</v>
      </c>
      <c r="AR112">
        <v>36.1</v>
      </c>
      <c r="AS112">
        <v>258.2</v>
      </c>
      <c r="AT112">
        <v>574.20000000000005</v>
      </c>
      <c r="AU112">
        <v>48.8</v>
      </c>
      <c r="AV112">
        <v>7.02</v>
      </c>
      <c r="AW112">
        <v>34.700000000000003</v>
      </c>
      <c r="AX112">
        <v>1726.4</v>
      </c>
      <c r="AY112">
        <v>0.33</v>
      </c>
      <c r="AZ112">
        <v>577.6</v>
      </c>
      <c r="BA112">
        <v>86.2</v>
      </c>
      <c r="BB112">
        <v>663.8</v>
      </c>
      <c r="BC112">
        <v>20354704.899999999</v>
      </c>
      <c r="BD112">
        <v>2215</v>
      </c>
      <c r="BE112">
        <v>321</v>
      </c>
      <c r="BF112">
        <v>821499.2</v>
      </c>
      <c r="BG112">
        <v>48656</v>
      </c>
      <c r="BH112">
        <v>11.8</v>
      </c>
      <c r="BI112">
        <v>20508352.399999999</v>
      </c>
      <c r="BJ112">
        <v>2274662.6</v>
      </c>
      <c r="BK112">
        <v>22783015</v>
      </c>
      <c r="BL112">
        <v>0</v>
      </c>
      <c r="BM112">
        <v>19.77</v>
      </c>
      <c r="BN112">
        <v>9.8699999999999992</v>
      </c>
      <c r="BO112">
        <v>0</v>
      </c>
      <c r="BP112">
        <v>29.64</v>
      </c>
      <c r="BQ112">
        <v>21.13</v>
      </c>
      <c r="BR112">
        <v>10.81</v>
      </c>
      <c r="BS112">
        <v>0</v>
      </c>
      <c r="BT112">
        <v>31.94</v>
      </c>
      <c r="BU112">
        <v>109056020</v>
      </c>
      <c r="BV112">
        <v>77665290</v>
      </c>
      <c r="BW112">
        <v>238218.2</v>
      </c>
      <c r="BX112">
        <v>44249.2</v>
      </c>
      <c r="BY112">
        <v>0</v>
      </c>
      <c r="BZ112">
        <v>0</v>
      </c>
      <c r="CA112">
        <v>18455750</v>
      </c>
      <c r="CB112">
        <v>0</v>
      </c>
      <c r="CC112">
        <v>0</v>
      </c>
      <c r="CD112">
        <v>387603</v>
      </c>
      <c r="CE112">
        <v>3258459.2</v>
      </c>
      <c r="CF112">
        <v>0</v>
      </c>
      <c r="CG112">
        <v>7500.4</v>
      </c>
      <c r="CH112">
        <v>0</v>
      </c>
      <c r="CI112">
        <v>511892.6</v>
      </c>
      <c r="CJ112">
        <v>8640279</v>
      </c>
      <c r="CK112">
        <v>0</v>
      </c>
      <c r="CL112">
        <v>234383</v>
      </c>
      <c r="CM112">
        <v>0</v>
      </c>
      <c r="CN112">
        <v>15161134</v>
      </c>
      <c r="CO112">
        <v>62116550</v>
      </c>
      <c r="CP112">
        <v>0</v>
      </c>
      <c r="CQ112">
        <v>180.2</v>
      </c>
      <c r="CR112">
        <v>13.6</v>
      </c>
      <c r="CS112">
        <v>0</v>
      </c>
      <c r="CT112">
        <v>7400.3</v>
      </c>
      <c r="CU112">
        <v>0</v>
      </c>
      <c r="CV112">
        <v>0</v>
      </c>
      <c r="CW112">
        <v>266.89999999999998</v>
      </c>
      <c r="CX112">
        <v>1607.2</v>
      </c>
      <c r="CY112">
        <v>0</v>
      </c>
      <c r="CZ112">
        <v>3007.6</v>
      </c>
      <c r="DA112">
        <v>0</v>
      </c>
      <c r="DB112">
        <v>291.5</v>
      </c>
      <c r="DC112">
        <v>1225</v>
      </c>
      <c r="DD112">
        <v>373.1</v>
      </c>
      <c r="DE112">
        <v>186</v>
      </c>
      <c r="DF112">
        <v>0</v>
      </c>
      <c r="DG112">
        <v>5975</v>
      </c>
      <c r="DH112">
        <v>0</v>
      </c>
      <c r="DI112">
        <v>17114.3</v>
      </c>
      <c r="DJ112">
        <v>716.3</v>
      </c>
      <c r="DK112">
        <v>1860</v>
      </c>
      <c r="DL112">
        <v>0</v>
      </c>
      <c r="DM112">
        <v>0</v>
      </c>
    </row>
    <row r="113" spans="1:117" x14ac:dyDescent="0.3">
      <c r="A113" t="s">
        <v>167</v>
      </c>
      <c r="B113">
        <v>2028</v>
      </c>
      <c r="C113">
        <v>84065976</v>
      </c>
      <c r="D113">
        <v>1549935.2</v>
      </c>
      <c r="E113">
        <v>298789.8</v>
      </c>
      <c r="F113">
        <v>2134085.5</v>
      </c>
      <c r="G113">
        <v>88048790.400000006</v>
      </c>
      <c r="H113">
        <v>81043427</v>
      </c>
      <c r="I113">
        <v>-43997308.600000001</v>
      </c>
      <c r="J113">
        <v>72328140</v>
      </c>
      <c r="K113">
        <v>139766860</v>
      </c>
      <c r="L113">
        <v>3.5900000000000001E-2</v>
      </c>
      <c r="M113">
        <v>5.3999999999999999E-2</v>
      </c>
      <c r="N113">
        <v>0.16</v>
      </c>
      <c r="O113">
        <v>65624.44</v>
      </c>
      <c r="P113">
        <v>19998.7</v>
      </c>
      <c r="Q113">
        <v>0.91</v>
      </c>
      <c r="R113">
        <v>0.9</v>
      </c>
      <c r="S113">
        <v>80.3</v>
      </c>
      <c r="T113">
        <v>8.6999999999999993</v>
      </c>
      <c r="U113">
        <v>1.26</v>
      </c>
      <c r="V113">
        <v>3.5</v>
      </c>
      <c r="W113">
        <v>194.3</v>
      </c>
      <c r="X113">
        <v>0.05</v>
      </c>
      <c r="Y113">
        <v>80.900000000000006</v>
      </c>
      <c r="Z113">
        <v>9.3000000000000007</v>
      </c>
      <c r="AA113">
        <v>90.2</v>
      </c>
      <c r="AB113">
        <v>100.1</v>
      </c>
      <c r="AC113">
        <v>10.7</v>
      </c>
      <c r="AD113">
        <v>1.55</v>
      </c>
      <c r="AE113">
        <v>4.4000000000000004</v>
      </c>
      <c r="AF113">
        <v>245.1</v>
      </c>
      <c r="AG113">
        <v>0.06</v>
      </c>
      <c r="AH113">
        <v>100.9</v>
      </c>
      <c r="AI113">
        <v>11.8</v>
      </c>
      <c r="AJ113">
        <v>112.6</v>
      </c>
      <c r="AK113">
        <v>98.2</v>
      </c>
      <c r="AL113">
        <v>4.7</v>
      </c>
      <c r="AM113">
        <v>0.63</v>
      </c>
      <c r="AN113">
        <v>9.1</v>
      </c>
      <c r="AO113">
        <v>418.9</v>
      </c>
      <c r="AP113">
        <v>0.05</v>
      </c>
      <c r="AQ113">
        <v>98.5</v>
      </c>
      <c r="AR113">
        <v>21.6</v>
      </c>
      <c r="AS113">
        <v>120</v>
      </c>
      <c r="AT113">
        <v>451.8</v>
      </c>
      <c r="AU113">
        <v>36.1</v>
      </c>
      <c r="AV113">
        <v>5.17</v>
      </c>
      <c r="AW113">
        <v>29.6</v>
      </c>
      <c r="AX113">
        <v>1432.1</v>
      </c>
      <c r="AY113">
        <v>0.27</v>
      </c>
      <c r="AZ113">
        <v>454.2</v>
      </c>
      <c r="BA113">
        <v>72.3</v>
      </c>
      <c r="BB113">
        <v>526.6</v>
      </c>
      <c r="BC113">
        <v>12297264.5</v>
      </c>
      <c r="BD113">
        <v>1329.3</v>
      </c>
      <c r="BE113">
        <v>192.6</v>
      </c>
      <c r="BF113">
        <v>532844.80000000005</v>
      </c>
      <c r="BG113">
        <v>29746.7</v>
      </c>
      <c r="BH113">
        <v>7.8</v>
      </c>
      <c r="BI113">
        <v>12389453</v>
      </c>
      <c r="BJ113">
        <v>1421413.8</v>
      </c>
      <c r="BK113">
        <v>13810866.800000001</v>
      </c>
      <c r="BL113">
        <v>0</v>
      </c>
      <c r="BM113">
        <v>15.43</v>
      </c>
      <c r="BN113">
        <v>10.67</v>
      </c>
      <c r="BO113">
        <v>0</v>
      </c>
      <c r="BP113">
        <v>26.1</v>
      </c>
      <c r="BQ113">
        <v>16.68</v>
      </c>
      <c r="BR113">
        <v>11.81</v>
      </c>
      <c r="BS113">
        <v>0</v>
      </c>
      <c r="BT113">
        <v>28.48</v>
      </c>
      <c r="BU113">
        <v>155917020</v>
      </c>
      <c r="BV113">
        <v>132046100</v>
      </c>
      <c r="BW113">
        <v>1327170.5</v>
      </c>
      <c r="BX113">
        <v>38102.5</v>
      </c>
      <c r="BY113">
        <v>0</v>
      </c>
      <c r="BZ113">
        <v>0</v>
      </c>
      <c r="CA113">
        <v>11175992</v>
      </c>
      <c r="CB113">
        <v>0</v>
      </c>
      <c r="CC113">
        <v>0</v>
      </c>
      <c r="CD113">
        <v>553513.19999999995</v>
      </c>
      <c r="CE113">
        <v>2228382.5</v>
      </c>
      <c r="CF113">
        <v>0</v>
      </c>
      <c r="CG113">
        <v>6142.8</v>
      </c>
      <c r="CH113">
        <v>0</v>
      </c>
      <c r="CI113">
        <v>436171.8</v>
      </c>
      <c r="CJ113">
        <v>8422103</v>
      </c>
      <c r="CK113">
        <v>53.6</v>
      </c>
      <c r="CL113">
        <v>236803.20000000001</v>
      </c>
      <c r="CM113">
        <v>0</v>
      </c>
      <c r="CN113">
        <v>27113300</v>
      </c>
      <c r="CO113">
        <v>104379290</v>
      </c>
      <c r="CP113">
        <v>0</v>
      </c>
      <c r="CQ113">
        <v>953.9</v>
      </c>
      <c r="CR113">
        <v>13.6</v>
      </c>
      <c r="CS113">
        <v>0</v>
      </c>
      <c r="CT113">
        <v>7400.3</v>
      </c>
      <c r="CU113">
        <v>0</v>
      </c>
      <c r="CV113">
        <v>0</v>
      </c>
      <c r="CW113">
        <v>385.8</v>
      </c>
      <c r="CX113">
        <v>1607.2</v>
      </c>
      <c r="CY113">
        <v>0</v>
      </c>
      <c r="CZ113">
        <v>2918.4</v>
      </c>
      <c r="DA113">
        <v>0</v>
      </c>
      <c r="DB113">
        <v>291.5</v>
      </c>
      <c r="DC113">
        <v>1225</v>
      </c>
      <c r="DD113">
        <v>270.39999999999998</v>
      </c>
      <c r="DE113">
        <v>186</v>
      </c>
      <c r="DF113">
        <v>0</v>
      </c>
      <c r="DG113">
        <v>11178.7</v>
      </c>
      <c r="DH113">
        <v>0</v>
      </c>
      <c r="DI113">
        <v>30362.9</v>
      </c>
      <c r="DJ113">
        <v>3813.2</v>
      </c>
      <c r="DK113">
        <v>1860</v>
      </c>
      <c r="DL113">
        <v>0</v>
      </c>
      <c r="DM113">
        <v>0</v>
      </c>
    </row>
    <row r="114" spans="1:117" x14ac:dyDescent="0.3">
      <c r="A114" t="s">
        <v>167</v>
      </c>
      <c r="B114">
        <v>2030</v>
      </c>
      <c r="C114">
        <v>87358480</v>
      </c>
      <c r="D114">
        <v>3499465.5</v>
      </c>
      <c r="E114">
        <v>289256.5</v>
      </c>
      <c r="F114">
        <v>2151676.2999999998</v>
      </c>
      <c r="G114">
        <v>93298879.5</v>
      </c>
      <c r="H114">
        <v>84217498.700000003</v>
      </c>
      <c r="I114">
        <v>-51370174.700000003</v>
      </c>
      <c r="J114">
        <v>71390010</v>
      </c>
      <c r="K114">
        <v>145061440</v>
      </c>
      <c r="L114">
        <v>3.5900000000000001E-2</v>
      </c>
      <c r="M114">
        <v>5.3999999999999999E-2</v>
      </c>
      <c r="N114">
        <v>0.16</v>
      </c>
      <c r="O114">
        <v>71416.08</v>
      </c>
      <c r="P114">
        <v>20871.5</v>
      </c>
      <c r="Q114">
        <v>0.93</v>
      </c>
      <c r="R114">
        <v>0.92</v>
      </c>
      <c r="S114">
        <v>62.5</v>
      </c>
      <c r="T114">
        <v>6.9</v>
      </c>
      <c r="U114">
        <v>0.99</v>
      </c>
      <c r="V114">
        <v>2.7</v>
      </c>
      <c r="W114">
        <v>148.19999999999999</v>
      </c>
      <c r="X114">
        <v>0.04</v>
      </c>
      <c r="Y114">
        <v>63</v>
      </c>
      <c r="Z114">
        <v>7.1</v>
      </c>
      <c r="AA114">
        <v>70.099999999999994</v>
      </c>
      <c r="AB114">
        <v>79.599999999999994</v>
      </c>
      <c r="AC114">
        <v>8.6999999999999993</v>
      </c>
      <c r="AD114">
        <v>1.26</v>
      </c>
      <c r="AE114">
        <v>3.5</v>
      </c>
      <c r="AF114">
        <v>189.3</v>
      </c>
      <c r="AG114">
        <v>0.05</v>
      </c>
      <c r="AH114">
        <v>80.2</v>
      </c>
      <c r="AI114">
        <v>9.1</v>
      </c>
      <c r="AJ114">
        <v>89.4</v>
      </c>
      <c r="AK114">
        <v>105.5</v>
      </c>
      <c r="AL114">
        <v>5.4</v>
      </c>
      <c r="AM114">
        <v>0.73</v>
      </c>
      <c r="AN114">
        <v>9.4</v>
      </c>
      <c r="AO114">
        <v>438.6</v>
      </c>
      <c r="AP114">
        <v>0.05</v>
      </c>
      <c r="AQ114">
        <v>105.8</v>
      </c>
      <c r="AR114">
        <v>22.5</v>
      </c>
      <c r="AS114">
        <v>128.30000000000001</v>
      </c>
      <c r="AT114">
        <v>407.3</v>
      </c>
      <c r="AU114">
        <v>33.799999999999997</v>
      </c>
      <c r="AV114">
        <v>4.8499999999999996</v>
      </c>
      <c r="AW114">
        <v>25.6</v>
      </c>
      <c r="AX114">
        <v>1255.5999999999999</v>
      </c>
      <c r="AY114">
        <v>0.24</v>
      </c>
      <c r="AZ114">
        <v>409.7</v>
      </c>
      <c r="BA114">
        <v>63.1</v>
      </c>
      <c r="BB114">
        <v>472.8</v>
      </c>
      <c r="BC114">
        <v>10247940.9</v>
      </c>
      <c r="BD114">
        <v>1124.9000000000001</v>
      </c>
      <c r="BE114">
        <v>163.1</v>
      </c>
      <c r="BF114">
        <v>439646.7</v>
      </c>
      <c r="BG114">
        <v>24275.5</v>
      </c>
      <c r="BH114">
        <v>6.7</v>
      </c>
      <c r="BI114">
        <v>10325997.6</v>
      </c>
      <c r="BJ114">
        <v>1164892.3999999999</v>
      </c>
      <c r="BK114">
        <v>11490890</v>
      </c>
      <c r="BL114">
        <v>0</v>
      </c>
      <c r="BM114">
        <v>13.52</v>
      </c>
      <c r="BN114">
        <v>11.21</v>
      </c>
      <c r="BO114">
        <v>0</v>
      </c>
      <c r="BP114">
        <v>24.74</v>
      </c>
      <c r="BQ114">
        <v>14.77</v>
      </c>
      <c r="BR114">
        <v>12.62</v>
      </c>
      <c r="BS114">
        <v>0</v>
      </c>
      <c r="BT114">
        <v>27.39</v>
      </c>
      <c r="BU114">
        <v>167495540</v>
      </c>
      <c r="BV114">
        <v>144669060</v>
      </c>
      <c r="BW114">
        <v>2987148</v>
      </c>
      <c r="BX114">
        <v>34580</v>
      </c>
      <c r="BY114">
        <v>0</v>
      </c>
      <c r="BZ114">
        <v>0</v>
      </c>
      <c r="CA114">
        <v>9469413</v>
      </c>
      <c r="CB114">
        <v>0</v>
      </c>
      <c r="CC114">
        <v>0</v>
      </c>
      <c r="CD114">
        <v>814960</v>
      </c>
      <c r="CE114">
        <v>1443218.6</v>
      </c>
      <c r="CF114">
        <v>0</v>
      </c>
      <c r="CG114">
        <v>3137.6</v>
      </c>
      <c r="CH114">
        <v>0</v>
      </c>
      <c r="CI114">
        <v>389254.1</v>
      </c>
      <c r="CJ114">
        <v>8269894.5</v>
      </c>
      <c r="CK114">
        <v>0</v>
      </c>
      <c r="CL114">
        <v>229836.4</v>
      </c>
      <c r="CM114">
        <v>0</v>
      </c>
      <c r="CN114">
        <v>26189482</v>
      </c>
      <c r="CO114">
        <v>117664616</v>
      </c>
      <c r="CP114">
        <v>0</v>
      </c>
      <c r="CQ114">
        <v>1946.4</v>
      </c>
      <c r="CR114">
        <v>13.6</v>
      </c>
      <c r="CS114">
        <v>0</v>
      </c>
      <c r="CT114">
        <v>7400.3</v>
      </c>
      <c r="CU114">
        <v>0</v>
      </c>
      <c r="CV114">
        <v>0</v>
      </c>
      <c r="CW114">
        <v>577.20000000000005</v>
      </c>
      <c r="CX114">
        <v>1607.2</v>
      </c>
      <c r="CY114">
        <v>0</v>
      </c>
      <c r="CZ114">
        <v>2443.3000000000002</v>
      </c>
      <c r="DA114">
        <v>0</v>
      </c>
      <c r="DB114">
        <v>291.5</v>
      </c>
      <c r="DC114">
        <v>1225</v>
      </c>
      <c r="DD114">
        <v>100.1</v>
      </c>
      <c r="DE114">
        <v>186</v>
      </c>
      <c r="DF114">
        <v>0</v>
      </c>
      <c r="DG114">
        <v>11658.3</v>
      </c>
      <c r="DH114">
        <v>0</v>
      </c>
      <c r="DI114">
        <v>36774.9</v>
      </c>
      <c r="DJ114">
        <v>9149.6</v>
      </c>
      <c r="DK114">
        <v>1860</v>
      </c>
      <c r="DL114">
        <v>0</v>
      </c>
      <c r="DM114">
        <v>0</v>
      </c>
    </row>
    <row r="115" spans="1:117" x14ac:dyDescent="0.3">
      <c r="A115" t="s">
        <v>167</v>
      </c>
      <c r="B115">
        <v>2035</v>
      </c>
      <c r="C115">
        <v>97673190</v>
      </c>
      <c r="D115">
        <v>6133058.5</v>
      </c>
      <c r="E115">
        <v>305646.59999999998</v>
      </c>
      <c r="F115">
        <v>2404019.9</v>
      </c>
      <c r="G115">
        <v>106515914</v>
      </c>
      <c r="H115">
        <v>94161192.200000003</v>
      </c>
      <c r="I115">
        <v>-50666803.899999999</v>
      </c>
      <c r="J115">
        <v>83694664</v>
      </c>
      <c r="K115">
        <v>158099310</v>
      </c>
      <c r="L115">
        <v>3.5900000000000001E-2</v>
      </c>
      <c r="M115">
        <v>5.3999999999999999E-2</v>
      </c>
      <c r="N115">
        <v>0.16</v>
      </c>
      <c r="O115">
        <v>90777</v>
      </c>
      <c r="P115">
        <v>23768.7</v>
      </c>
      <c r="Q115">
        <v>0.94</v>
      </c>
      <c r="R115">
        <v>0.93</v>
      </c>
      <c r="S115">
        <v>54.6</v>
      </c>
      <c r="T115">
        <v>6</v>
      </c>
      <c r="U115">
        <v>0.87</v>
      </c>
      <c r="V115">
        <v>2.2999999999999998</v>
      </c>
      <c r="W115">
        <v>128.30000000000001</v>
      </c>
      <c r="X115">
        <v>0.04</v>
      </c>
      <c r="Y115">
        <v>55</v>
      </c>
      <c r="Z115">
        <v>6.2</v>
      </c>
      <c r="AA115">
        <v>61.2</v>
      </c>
      <c r="AB115">
        <v>68.599999999999994</v>
      </c>
      <c r="AC115">
        <v>7.6</v>
      </c>
      <c r="AD115">
        <v>1.1000000000000001</v>
      </c>
      <c r="AE115">
        <v>2.9</v>
      </c>
      <c r="AF115">
        <v>160.9</v>
      </c>
      <c r="AG115">
        <v>0.05</v>
      </c>
      <c r="AH115">
        <v>69.099999999999994</v>
      </c>
      <c r="AI115">
        <v>7.7</v>
      </c>
      <c r="AJ115">
        <v>76.8</v>
      </c>
      <c r="AK115">
        <v>109.4</v>
      </c>
      <c r="AL115">
        <v>6.5</v>
      </c>
      <c r="AM115">
        <v>0.9</v>
      </c>
      <c r="AN115">
        <v>8.9</v>
      </c>
      <c r="AO115">
        <v>427</v>
      </c>
      <c r="AP115">
        <v>0.05</v>
      </c>
      <c r="AQ115">
        <v>109.8</v>
      </c>
      <c r="AR115">
        <v>21.7</v>
      </c>
      <c r="AS115">
        <v>131.5</v>
      </c>
      <c r="AT115">
        <v>379</v>
      </c>
      <c r="AU115">
        <v>31.6</v>
      </c>
      <c r="AV115">
        <v>4.5199999999999996</v>
      </c>
      <c r="AW115">
        <v>23.5</v>
      </c>
      <c r="AX115">
        <v>1182</v>
      </c>
      <c r="AY115">
        <v>0.21</v>
      </c>
      <c r="AZ115">
        <v>381.2</v>
      </c>
      <c r="BA115">
        <v>58.7</v>
      </c>
      <c r="BB115">
        <v>440</v>
      </c>
      <c r="BC115">
        <v>9654799.5999999996</v>
      </c>
      <c r="BD115">
        <v>1066.0999999999999</v>
      </c>
      <c r="BE115">
        <v>154.69999999999999</v>
      </c>
      <c r="BF115">
        <v>411915.2</v>
      </c>
      <c r="BG115">
        <v>22678.7</v>
      </c>
      <c r="BH115">
        <v>6.4</v>
      </c>
      <c r="BI115">
        <v>9728793.9000000004</v>
      </c>
      <c r="BJ115">
        <v>1089492.6000000001</v>
      </c>
      <c r="BK115">
        <v>10818286.4</v>
      </c>
      <c r="BL115">
        <v>0</v>
      </c>
      <c r="BM115">
        <v>12.51</v>
      </c>
      <c r="BN115">
        <v>14.12</v>
      </c>
      <c r="BO115">
        <v>0</v>
      </c>
      <c r="BP115">
        <v>26.63</v>
      </c>
      <c r="BQ115">
        <v>13.86</v>
      </c>
      <c r="BR115">
        <v>16.190000000000001</v>
      </c>
      <c r="BS115">
        <v>0</v>
      </c>
      <c r="BT115">
        <v>30.05</v>
      </c>
      <c r="BU115">
        <v>181477330</v>
      </c>
      <c r="BV115">
        <v>157182720</v>
      </c>
      <c r="BW115">
        <v>5215686</v>
      </c>
      <c r="BX115">
        <v>32711.200000000001</v>
      </c>
      <c r="BY115">
        <v>0</v>
      </c>
      <c r="BZ115">
        <v>0</v>
      </c>
      <c r="CA115">
        <v>9052523</v>
      </c>
      <c r="CB115">
        <v>0</v>
      </c>
      <c r="CC115">
        <v>0</v>
      </c>
      <c r="CD115">
        <v>1514365.5</v>
      </c>
      <c r="CE115">
        <v>1204620.6000000001</v>
      </c>
      <c r="CF115">
        <v>0</v>
      </c>
      <c r="CG115">
        <v>881</v>
      </c>
      <c r="CH115">
        <v>0</v>
      </c>
      <c r="CI115">
        <v>362493</v>
      </c>
      <c r="CJ115">
        <v>8182669</v>
      </c>
      <c r="CK115">
        <v>0</v>
      </c>
      <c r="CL115">
        <v>243025.4</v>
      </c>
      <c r="CM115">
        <v>0</v>
      </c>
      <c r="CN115">
        <v>29484852</v>
      </c>
      <c r="CO115">
        <v>126183500</v>
      </c>
      <c r="CP115">
        <v>0</v>
      </c>
      <c r="CQ115">
        <v>2952.7</v>
      </c>
      <c r="CR115">
        <v>13.6</v>
      </c>
      <c r="CS115">
        <v>0</v>
      </c>
      <c r="CT115">
        <v>7289</v>
      </c>
      <c r="CU115">
        <v>0</v>
      </c>
      <c r="CV115">
        <v>0</v>
      </c>
      <c r="CW115">
        <v>1086.3</v>
      </c>
      <c r="CX115">
        <v>1607.2</v>
      </c>
      <c r="CY115">
        <v>0</v>
      </c>
      <c r="CZ115">
        <v>2294.9</v>
      </c>
      <c r="DA115">
        <v>0</v>
      </c>
      <c r="DB115">
        <v>291.5</v>
      </c>
      <c r="DC115">
        <v>1225</v>
      </c>
      <c r="DD115">
        <v>94</v>
      </c>
      <c r="DE115">
        <v>186</v>
      </c>
      <c r="DF115">
        <v>0</v>
      </c>
      <c r="DG115">
        <v>13437.5</v>
      </c>
      <c r="DH115">
        <v>0</v>
      </c>
      <c r="DI115">
        <v>38812.6</v>
      </c>
      <c r="DJ115">
        <v>16937.599999999999</v>
      </c>
      <c r="DK115">
        <v>1860</v>
      </c>
      <c r="DL115">
        <v>0</v>
      </c>
      <c r="DM115">
        <v>0</v>
      </c>
    </row>
    <row r="116" spans="1:117" x14ac:dyDescent="0.3">
      <c r="A116" t="s">
        <v>167</v>
      </c>
      <c r="B116">
        <v>2040</v>
      </c>
      <c r="C116">
        <v>109192060</v>
      </c>
      <c r="D116">
        <v>11710210</v>
      </c>
      <c r="E116">
        <v>317996.2</v>
      </c>
      <c r="F116">
        <v>2586312.7000000002</v>
      </c>
      <c r="G116">
        <v>123806582.2</v>
      </c>
      <c r="H116">
        <v>105265664.2</v>
      </c>
      <c r="I116">
        <v>-50338459.899999999</v>
      </c>
      <c r="J116">
        <v>90810900</v>
      </c>
      <c r="K116">
        <v>167885100</v>
      </c>
      <c r="L116">
        <v>3.5900000000000001E-2</v>
      </c>
      <c r="M116">
        <v>5.3999999999999999E-2</v>
      </c>
      <c r="N116">
        <v>0.16</v>
      </c>
      <c r="O116">
        <v>90442.5</v>
      </c>
      <c r="P116">
        <v>26929.3</v>
      </c>
      <c r="Q116">
        <v>0.96</v>
      </c>
      <c r="R116">
        <v>0.95</v>
      </c>
      <c r="S116">
        <v>40.9</v>
      </c>
      <c r="T116">
        <v>4.5</v>
      </c>
      <c r="U116">
        <v>0.65</v>
      </c>
      <c r="V116">
        <v>1.8</v>
      </c>
      <c r="W116">
        <v>97.8</v>
      </c>
      <c r="X116">
        <v>0.03</v>
      </c>
      <c r="Y116">
        <v>41.2</v>
      </c>
      <c r="Z116">
        <v>4.8</v>
      </c>
      <c r="AA116">
        <v>46</v>
      </c>
      <c r="AB116">
        <v>49.7</v>
      </c>
      <c r="AC116">
        <v>5.4</v>
      </c>
      <c r="AD116">
        <v>0.79</v>
      </c>
      <c r="AE116">
        <v>2.2000000000000002</v>
      </c>
      <c r="AF116">
        <v>119</v>
      </c>
      <c r="AG116">
        <v>0.03</v>
      </c>
      <c r="AH116">
        <v>50.1</v>
      </c>
      <c r="AI116">
        <v>5.8</v>
      </c>
      <c r="AJ116">
        <v>55.9</v>
      </c>
      <c r="AK116">
        <v>132.9</v>
      </c>
      <c r="AL116">
        <v>7.9</v>
      </c>
      <c r="AM116">
        <v>1.0900000000000001</v>
      </c>
      <c r="AN116">
        <v>11.1</v>
      </c>
      <c r="AO116">
        <v>522.29999999999995</v>
      </c>
      <c r="AP116">
        <v>7.0000000000000007E-2</v>
      </c>
      <c r="AQ116">
        <v>133.4</v>
      </c>
      <c r="AR116">
        <v>26.6</v>
      </c>
      <c r="AS116">
        <v>160.1</v>
      </c>
      <c r="AT116">
        <v>325.2</v>
      </c>
      <c r="AU116">
        <v>25.3</v>
      </c>
      <c r="AV116">
        <v>3.6</v>
      </c>
      <c r="AW116">
        <v>21.9</v>
      </c>
      <c r="AX116">
        <v>1068.5999999999999</v>
      </c>
      <c r="AY116">
        <v>0.18</v>
      </c>
      <c r="AZ116">
        <v>327</v>
      </c>
      <c r="BA116">
        <v>53.8</v>
      </c>
      <c r="BB116">
        <v>380.8</v>
      </c>
      <c r="BC116">
        <v>8002185.4000000004</v>
      </c>
      <c r="BD116">
        <v>874.4</v>
      </c>
      <c r="BE116">
        <v>126.8</v>
      </c>
      <c r="BF116">
        <v>360915.7</v>
      </c>
      <c r="BG116">
        <v>19117.900000000001</v>
      </c>
      <c r="BH116">
        <v>5.6</v>
      </c>
      <c r="BI116">
        <v>8062847.0999999996</v>
      </c>
      <c r="BJ116">
        <v>932150.8</v>
      </c>
      <c r="BK116">
        <v>8994997.9000000004</v>
      </c>
      <c r="BL116">
        <v>0</v>
      </c>
      <c r="BM116">
        <v>10.77</v>
      </c>
      <c r="BN116">
        <v>13.32</v>
      </c>
      <c r="BO116">
        <v>0</v>
      </c>
      <c r="BP116">
        <v>24.1</v>
      </c>
      <c r="BQ116">
        <v>12.26</v>
      </c>
      <c r="BR116">
        <v>15.87</v>
      </c>
      <c r="BS116">
        <v>0</v>
      </c>
      <c r="BT116">
        <v>28.13</v>
      </c>
      <c r="BU116">
        <v>201417230</v>
      </c>
      <c r="BV116">
        <v>174145040</v>
      </c>
      <c r="BW116">
        <v>9964966</v>
      </c>
      <c r="BX116">
        <v>29332.7</v>
      </c>
      <c r="BY116">
        <v>0</v>
      </c>
      <c r="BZ116">
        <v>0</v>
      </c>
      <c r="CA116">
        <v>7426933</v>
      </c>
      <c r="CB116">
        <v>0</v>
      </c>
      <c r="CC116">
        <v>0</v>
      </c>
      <c r="CD116">
        <v>2158205.7999999998</v>
      </c>
      <c r="CE116">
        <v>1231088.3999999999</v>
      </c>
      <c r="CF116">
        <v>0</v>
      </c>
      <c r="CG116">
        <v>1109.7</v>
      </c>
      <c r="CH116">
        <v>0</v>
      </c>
      <c r="CI116">
        <v>326801.2</v>
      </c>
      <c r="CJ116">
        <v>8035859</v>
      </c>
      <c r="CK116">
        <v>0</v>
      </c>
      <c r="CL116">
        <v>256103.8</v>
      </c>
      <c r="CM116">
        <v>0</v>
      </c>
      <c r="CN116">
        <v>40807948</v>
      </c>
      <c r="CO116">
        <v>131178900</v>
      </c>
      <c r="CP116">
        <v>0</v>
      </c>
      <c r="CQ116">
        <v>5624.3</v>
      </c>
      <c r="CR116">
        <v>13.6</v>
      </c>
      <c r="CS116">
        <v>0</v>
      </c>
      <c r="CT116">
        <v>7289</v>
      </c>
      <c r="CU116">
        <v>0</v>
      </c>
      <c r="CV116">
        <v>0</v>
      </c>
      <c r="CW116">
        <v>1601.4</v>
      </c>
      <c r="CX116">
        <v>1607.2</v>
      </c>
      <c r="CY116">
        <v>0</v>
      </c>
      <c r="CZ116">
        <v>2094.4</v>
      </c>
      <c r="DA116">
        <v>0</v>
      </c>
      <c r="DB116">
        <v>291.5</v>
      </c>
      <c r="DC116">
        <v>1225</v>
      </c>
      <c r="DD116">
        <v>45.3</v>
      </c>
      <c r="DE116">
        <v>186</v>
      </c>
      <c r="DF116">
        <v>0</v>
      </c>
      <c r="DG116">
        <v>19296.400000000001</v>
      </c>
      <c r="DH116">
        <v>0</v>
      </c>
      <c r="DI116">
        <v>40117.4</v>
      </c>
      <c r="DJ116">
        <v>27623.7</v>
      </c>
      <c r="DK116">
        <v>1860</v>
      </c>
      <c r="DL116">
        <v>0</v>
      </c>
      <c r="DM116">
        <v>0</v>
      </c>
    </row>
    <row r="117" spans="1:117" x14ac:dyDescent="0.3">
      <c r="A117" t="s">
        <v>167</v>
      </c>
      <c r="B117">
        <v>2045</v>
      </c>
      <c r="C117">
        <v>119329130</v>
      </c>
      <c r="D117">
        <v>14851117</v>
      </c>
      <c r="E117">
        <v>337461.6</v>
      </c>
      <c r="F117">
        <v>2630274.6</v>
      </c>
      <c r="G117">
        <v>137147978.40000001</v>
      </c>
      <c r="H117">
        <v>115038044.90000001</v>
      </c>
      <c r="I117">
        <v>-49862820</v>
      </c>
      <c r="J117">
        <v>97199280</v>
      </c>
      <c r="K117">
        <v>166516720</v>
      </c>
      <c r="L117">
        <v>3.5900000000000001E-2</v>
      </c>
      <c r="M117">
        <v>5.3999999999999999E-2</v>
      </c>
      <c r="N117">
        <v>0.16</v>
      </c>
      <c r="O117">
        <v>88805.48</v>
      </c>
      <c r="P117">
        <v>29716.799999999999</v>
      </c>
      <c r="Q117">
        <v>0.97</v>
      </c>
      <c r="R117">
        <v>0.96</v>
      </c>
      <c r="S117">
        <v>29.7</v>
      </c>
      <c r="T117">
        <v>3.1</v>
      </c>
      <c r="U117">
        <v>0.45</v>
      </c>
      <c r="V117">
        <v>1.2</v>
      </c>
      <c r="W117">
        <v>74</v>
      </c>
      <c r="X117">
        <v>0.01</v>
      </c>
      <c r="Y117">
        <v>29.9</v>
      </c>
      <c r="Z117">
        <v>3.4</v>
      </c>
      <c r="AA117">
        <v>33.299999999999997</v>
      </c>
      <c r="AB117">
        <v>35.200000000000003</v>
      </c>
      <c r="AC117">
        <v>3.7</v>
      </c>
      <c r="AD117">
        <v>0.53</v>
      </c>
      <c r="AE117">
        <v>1.4</v>
      </c>
      <c r="AF117">
        <v>88.4</v>
      </c>
      <c r="AG117">
        <v>0.02</v>
      </c>
      <c r="AH117">
        <v>35.4</v>
      </c>
      <c r="AI117">
        <v>4.0999999999999996</v>
      </c>
      <c r="AJ117">
        <v>39.5</v>
      </c>
      <c r="AK117">
        <v>118.4</v>
      </c>
      <c r="AL117">
        <v>6.4</v>
      </c>
      <c r="AM117">
        <v>0.87</v>
      </c>
      <c r="AN117">
        <v>10.7</v>
      </c>
      <c r="AO117">
        <v>486.1</v>
      </c>
      <c r="AP117">
        <v>7.0000000000000007E-2</v>
      </c>
      <c r="AQ117">
        <v>118.8</v>
      </c>
      <c r="AR117">
        <v>25.2</v>
      </c>
      <c r="AS117">
        <v>144</v>
      </c>
      <c r="AT117">
        <v>286.89999999999998</v>
      </c>
      <c r="AU117">
        <v>20.7</v>
      </c>
      <c r="AV117">
        <v>2.92</v>
      </c>
      <c r="AW117">
        <v>20.6</v>
      </c>
      <c r="AX117">
        <v>1001.4</v>
      </c>
      <c r="AY117">
        <v>0.15</v>
      </c>
      <c r="AZ117">
        <v>288.3</v>
      </c>
      <c r="BA117">
        <v>50.5</v>
      </c>
      <c r="BB117">
        <v>338.8</v>
      </c>
      <c r="BC117">
        <v>5930731.5999999996</v>
      </c>
      <c r="BD117">
        <v>624.9</v>
      </c>
      <c r="BE117">
        <v>90.4</v>
      </c>
      <c r="BF117">
        <v>235973.1</v>
      </c>
      <c r="BG117">
        <v>14769.2</v>
      </c>
      <c r="BH117">
        <v>2.9</v>
      </c>
      <c r="BI117">
        <v>5974028.2000000002</v>
      </c>
      <c r="BJ117">
        <v>676887.6</v>
      </c>
      <c r="BK117">
        <v>6650915.7999999998</v>
      </c>
      <c r="BL117">
        <v>0</v>
      </c>
      <c r="BM117">
        <v>9.58</v>
      </c>
      <c r="BN117">
        <v>13.03</v>
      </c>
      <c r="BO117">
        <v>0</v>
      </c>
      <c r="BP117">
        <v>22.61</v>
      </c>
      <c r="BQ117">
        <v>11.07</v>
      </c>
      <c r="BR117">
        <v>15.71</v>
      </c>
      <c r="BS117">
        <v>0</v>
      </c>
      <c r="BT117">
        <v>26.78</v>
      </c>
      <c r="BU117">
        <v>207005310</v>
      </c>
      <c r="BV117">
        <v>187010800</v>
      </c>
      <c r="BW117">
        <v>12595331</v>
      </c>
      <c r="BX117">
        <v>26688.799999999999</v>
      </c>
      <c r="BY117">
        <v>0</v>
      </c>
      <c r="BZ117">
        <v>0</v>
      </c>
      <c r="CA117">
        <v>5307762</v>
      </c>
      <c r="CB117">
        <v>0</v>
      </c>
      <c r="CC117">
        <v>0</v>
      </c>
      <c r="CD117">
        <v>2848114.2</v>
      </c>
      <c r="CE117">
        <v>1494622.6</v>
      </c>
      <c r="CF117">
        <v>0</v>
      </c>
      <c r="CG117">
        <v>4077.3</v>
      </c>
      <c r="CH117">
        <v>0</v>
      </c>
      <c r="CI117">
        <v>295870.7</v>
      </c>
      <c r="CJ117">
        <v>0</v>
      </c>
      <c r="CK117">
        <v>0</v>
      </c>
      <c r="CL117">
        <v>270155.90000000002</v>
      </c>
      <c r="CM117">
        <v>0</v>
      </c>
      <c r="CN117">
        <v>47278892</v>
      </c>
      <c r="CO117">
        <v>136883790</v>
      </c>
      <c r="CP117">
        <v>0</v>
      </c>
      <c r="CQ117">
        <v>6884.1</v>
      </c>
      <c r="CR117">
        <v>13.6</v>
      </c>
      <c r="CS117">
        <v>0</v>
      </c>
      <c r="CT117">
        <v>6533.3</v>
      </c>
      <c r="CU117">
        <v>0</v>
      </c>
      <c r="CV117">
        <v>0</v>
      </c>
      <c r="CW117">
        <v>2162</v>
      </c>
      <c r="CX117">
        <v>1607.2</v>
      </c>
      <c r="CY117">
        <v>0</v>
      </c>
      <c r="CZ117">
        <v>2355.1</v>
      </c>
      <c r="DA117">
        <v>0</v>
      </c>
      <c r="DB117">
        <v>291.5</v>
      </c>
      <c r="DC117">
        <v>0</v>
      </c>
      <c r="DD117">
        <v>36.5</v>
      </c>
      <c r="DE117">
        <v>186</v>
      </c>
      <c r="DF117">
        <v>0</v>
      </c>
      <c r="DG117">
        <v>23279.4</v>
      </c>
      <c r="DH117">
        <v>0</v>
      </c>
      <c r="DI117">
        <v>45189.5</v>
      </c>
      <c r="DJ117">
        <v>33017.699999999997</v>
      </c>
      <c r="DK117">
        <v>1860</v>
      </c>
      <c r="DL117">
        <v>0</v>
      </c>
      <c r="DM117">
        <v>0</v>
      </c>
    </row>
    <row r="118" spans="1:117" x14ac:dyDescent="0.3">
      <c r="A118" t="s">
        <v>167</v>
      </c>
      <c r="B118">
        <v>2050</v>
      </c>
      <c r="C118">
        <v>128651750</v>
      </c>
      <c r="D118">
        <v>16586957</v>
      </c>
      <c r="E118">
        <v>348024.4</v>
      </c>
      <c r="F118">
        <v>2809252.7</v>
      </c>
      <c r="G118">
        <v>148395980.19999999</v>
      </c>
      <c r="H118">
        <v>124025410.40000001</v>
      </c>
      <c r="I118">
        <v>-47648155.600000001</v>
      </c>
      <c r="J118">
        <v>106377790</v>
      </c>
      <c r="K118">
        <v>174322350</v>
      </c>
      <c r="L118">
        <v>3.5900000000000001E-2</v>
      </c>
      <c r="M118">
        <v>5.3999999999999999E-2</v>
      </c>
      <c r="N118">
        <v>0.16</v>
      </c>
      <c r="O118">
        <v>86622.37</v>
      </c>
      <c r="P118">
        <v>32473.3</v>
      </c>
      <c r="Q118">
        <v>0.97</v>
      </c>
      <c r="R118">
        <v>0.97</v>
      </c>
      <c r="S118">
        <v>23.5</v>
      </c>
      <c r="T118">
        <v>2.4</v>
      </c>
      <c r="U118">
        <v>0.34</v>
      </c>
      <c r="V118">
        <v>1</v>
      </c>
      <c r="W118">
        <v>61.3</v>
      </c>
      <c r="X118">
        <v>0.01</v>
      </c>
      <c r="Y118">
        <v>23.6</v>
      </c>
      <c r="Z118">
        <v>2.8</v>
      </c>
      <c r="AA118">
        <v>26.5</v>
      </c>
      <c r="AB118">
        <v>27.2</v>
      </c>
      <c r="AC118">
        <v>2.7</v>
      </c>
      <c r="AD118">
        <v>0.39</v>
      </c>
      <c r="AE118">
        <v>1.2</v>
      </c>
      <c r="AF118">
        <v>72.7</v>
      </c>
      <c r="AG118">
        <v>0.01</v>
      </c>
      <c r="AH118">
        <v>27.4</v>
      </c>
      <c r="AI118">
        <v>3.4</v>
      </c>
      <c r="AJ118">
        <v>30.8</v>
      </c>
      <c r="AK118">
        <v>132.4</v>
      </c>
      <c r="AL118">
        <v>7</v>
      </c>
      <c r="AM118">
        <v>0.95</v>
      </c>
      <c r="AN118">
        <v>12.3</v>
      </c>
      <c r="AO118">
        <v>550.29999999999995</v>
      </c>
      <c r="AP118">
        <v>0.08</v>
      </c>
      <c r="AQ118">
        <v>132.9</v>
      </c>
      <c r="AR118">
        <v>28.7</v>
      </c>
      <c r="AS118">
        <v>161.6</v>
      </c>
      <c r="AT118">
        <v>258.39999999999998</v>
      </c>
      <c r="AU118">
        <v>16.5</v>
      </c>
      <c r="AV118">
        <v>2.2999999999999998</v>
      </c>
      <c r="AW118">
        <v>20.5</v>
      </c>
      <c r="AX118">
        <v>970.7</v>
      </c>
      <c r="AY118">
        <v>0.13</v>
      </c>
      <c r="AZ118">
        <v>259.60000000000002</v>
      </c>
      <c r="BA118">
        <v>49.4</v>
      </c>
      <c r="BB118">
        <v>309</v>
      </c>
      <c r="BC118">
        <v>4887623.8</v>
      </c>
      <c r="BD118">
        <v>496.4</v>
      </c>
      <c r="BE118">
        <v>71.599999999999994</v>
      </c>
      <c r="BF118">
        <v>211403.9</v>
      </c>
      <c r="BG118">
        <v>12760</v>
      </c>
      <c r="BH118">
        <v>2.4</v>
      </c>
      <c r="BI118">
        <v>4921968.3</v>
      </c>
      <c r="BJ118">
        <v>592302.19999999995</v>
      </c>
      <c r="BK118">
        <v>5514270.5</v>
      </c>
      <c r="BL118">
        <v>0</v>
      </c>
      <c r="BM118">
        <v>9.44</v>
      </c>
      <c r="BN118">
        <v>12.77</v>
      </c>
      <c r="BO118">
        <v>0</v>
      </c>
      <c r="BP118">
        <v>22.21</v>
      </c>
      <c r="BQ118">
        <v>10.94</v>
      </c>
      <c r="BR118">
        <v>15.47</v>
      </c>
      <c r="BS118">
        <v>0</v>
      </c>
      <c r="BT118">
        <v>26.41</v>
      </c>
      <c r="BU118">
        <v>216828370</v>
      </c>
      <c r="BV118">
        <v>196044130</v>
      </c>
      <c r="BW118">
        <v>14205635</v>
      </c>
      <c r="BX118">
        <v>25268.799999999999</v>
      </c>
      <c r="BY118">
        <v>0</v>
      </c>
      <c r="BZ118">
        <v>0</v>
      </c>
      <c r="CA118">
        <v>4284811.5</v>
      </c>
      <c r="CB118">
        <v>0</v>
      </c>
      <c r="CC118">
        <v>0</v>
      </c>
      <c r="CD118">
        <v>3588797.5</v>
      </c>
      <c r="CE118">
        <v>1671357.2</v>
      </c>
      <c r="CF118">
        <v>0</v>
      </c>
      <c r="CG118">
        <v>31668.9</v>
      </c>
      <c r="CH118">
        <v>0</v>
      </c>
      <c r="CI118">
        <v>280822.5</v>
      </c>
      <c r="CJ118">
        <v>0</v>
      </c>
      <c r="CK118">
        <v>0</v>
      </c>
      <c r="CL118">
        <v>284646.2</v>
      </c>
      <c r="CM118">
        <v>0</v>
      </c>
      <c r="CN118">
        <v>53418824</v>
      </c>
      <c r="CO118">
        <v>139036510</v>
      </c>
      <c r="CP118">
        <v>0</v>
      </c>
      <c r="CQ118">
        <v>7906.1</v>
      </c>
      <c r="CR118">
        <v>13.6</v>
      </c>
      <c r="CS118">
        <v>0</v>
      </c>
      <c r="CT118">
        <v>5348</v>
      </c>
      <c r="CU118">
        <v>0</v>
      </c>
      <c r="CV118">
        <v>0</v>
      </c>
      <c r="CW118">
        <v>2781</v>
      </c>
      <c r="CX118">
        <v>1607.2</v>
      </c>
      <c r="CY118">
        <v>0</v>
      </c>
      <c r="CZ118">
        <v>2174.8000000000002</v>
      </c>
      <c r="DA118">
        <v>0</v>
      </c>
      <c r="DB118">
        <v>291.5</v>
      </c>
      <c r="DC118">
        <v>0</v>
      </c>
      <c r="DD118">
        <v>29.3</v>
      </c>
      <c r="DE118">
        <v>186</v>
      </c>
      <c r="DF118">
        <v>0</v>
      </c>
      <c r="DG118">
        <v>27159.8</v>
      </c>
      <c r="DH118">
        <v>0</v>
      </c>
      <c r="DI118">
        <v>44323.7</v>
      </c>
      <c r="DJ118">
        <v>35411.300000000003</v>
      </c>
      <c r="DK118">
        <v>1860</v>
      </c>
      <c r="DL118">
        <v>0</v>
      </c>
      <c r="DM118">
        <v>0</v>
      </c>
    </row>
    <row r="119" spans="1:117" x14ac:dyDescent="0.3">
      <c r="A119" t="s">
        <v>168</v>
      </c>
      <c r="B119">
        <v>2024</v>
      </c>
      <c r="C119">
        <v>111906960</v>
      </c>
      <c r="D119">
        <v>11729.5</v>
      </c>
      <c r="E119">
        <v>450157.9</v>
      </c>
      <c r="F119">
        <v>2025142.6</v>
      </c>
      <c r="G119">
        <v>114393992.8</v>
      </c>
      <c r="H119">
        <v>107883579.59999999</v>
      </c>
      <c r="I119">
        <v>-22265418.300000001</v>
      </c>
      <c r="J119">
        <v>76419050</v>
      </c>
      <c r="K119">
        <v>129469360</v>
      </c>
      <c r="L119">
        <v>3.5900000000000001E-2</v>
      </c>
      <c r="M119">
        <v>5.3999999999999999E-2</v>
      </c>
      <c r="N119">
        <v>0.16</v>
      </c>
      <c r="O119">
        <v>6529.58</v>
      </c>
      <c r="P119">
        <v>25099.200000000001</v>
      </c>
      <c r="Q119">
        <v>0.83</v>
      </c>
      <c r="R119">
        <v>0.8</v>
      </c>
      <c r="S119">
        <v>95.8</v>
      </c>
      <c r="T119">
        <v>5.8</v>
      </c>
      <c r="U119">
        <v>0.8</v>
      </c>
      <c r="V119">
        <v>7.7</v>
      </c>
      <c r="W119">
        <v>372</v>
      </c>
      <c r="X119">
        <v>0.05</v>
      </c>
      <c r="Y119">
        <v>96.2</v>
      </c>
      <c r="Z119">
        <v>18.8</v>
      </c>
      <c r="AA119">
        <v>115</v>
      </c>
      <c r="AB119">
        <v>121.6</v>
      </c>
      <c r="AC119">
        <v>8.1</v>
      </c>
      <c r="AD119">
        <v>1.1299999999999999</v>
      </c>
      <c r="AE119">
        <v>9.1999999999999993</v>
      </c>
      <c r="AF119">
        <v>449.5</v>
      </c>
      <c r="AG119">
        <v>0.06</v>
      </c>
      <c r="AH119">
        <v>122.1</v>
      </c>
      <c r="AI119">
        <v>22.6</v>
      </c>
      <c r="AJ119">
        <v>144.69999999999999</v>
      </c>
      <c r="AK119">
        <v>340.7</v>
      </c>
      <c r="AL119">
        <v>22.4</v>
      </c>
      <c r="AM119">
        <v>3.2</v>
      </c>
      <c r="AN119">
        <v>26.7</v>
      </c>
      <c r="AO119">
        <v>1200.0999999999999</v>
      </c>
      <c r="AP119">
        <v>0.21</v>
      </c>
      <c r="AQ119">
        <v>342.2</v>
      </c>
      <c r="AR119">
        <v>62.5</v>
      </c>
      <c r="AS119">
        <v>404.7</v>
      </c>
      <c r="AT119">
        <v>573.9</v>
      </c>
      <c r="AU119">
        <v>46</v>
      </c>
      <c r="AV119">
        <v>6.62</v>
      </c>
      <c r="AW119">
        <v>37.299999999999997</v>
      </c>
      <c r="AX119">
        <v>1792.9</v>
      </c>
      <c r="AY119">
        <v>0.34</v>
      </c>
      <c r="AZ119">
        <v>577.1</v>
      </c>
      <c r="BA119">
        <v>90.8</v>
      </c>
      <c r="BB119">
        <v>667.9</v>
      </c>
      <c r="BC119">
        <v>15895676.6</v>
      </c>
      <c r="BD119">
        <v>966.3</v>
      </c>
      <c r="BE119">
        <v>133.19999999999999</v>
      </c>
      <c r="BF119">
        <v>1277432.7</v>
      </c>
      <c r="BG119">
        <v>61749.4</v>
      </c>
      <c r="BH119">
        <v>7.5</v>
      </c>
      <c r="BI119">
        <v>15960830.199999999</v>
      </c>
      <c r="BJ119">
        <v>3119621.2</v>
      </c>
      <c r="BK119">
        <v>19080451.399999999</v>
      </c>
      <c r="BL119">
        <v>0</v>
      </c>
      <c r="BM119">
        <v>20.57</v>
      </c>
      <c r="BN119">
        <v>1.33</v>
      </c>
      <c r="BO119">
        <v>0</v>
      </c>
      <c r="BP119">
        <v>21.9</v>
      </c>
      <c r="BQ119">
        <v>21.9</v>
      </c>
      <c r="BR119">
        <v>1.45</v>
      </c>
      <c r="BS119">
        <v>0</v>
      </c>
      <c r="BT119">
        <v>23.35</v>
      </c>
      <c r="BU119">
        <v>167807650</v>
      </c>
      <c r="BV119">
        <v>136659410</v>
      </c>
      <c r="BW119">
        <v>10072.9</v>
      </c>
      <c r="BX119">
        <v>37051.9</v>
      </c>
      <c r="BY119">
        <v>0</v>
      </c>
      <c r="BZ119">
        <v>0</v>
      </c>
      <c r="CA119">
        <v>6232406.5</v>
      </c>
      <c r="CB119">
        <v>0</v>
      </c>
      <c r="CC119">
        <v>0</v>
      </c>
      <c r="CD119">
        <v>531440.6</v>
      </c>
      <c r="CE119">
        <v>21634824</v>
      </c>
      <c r="CF119">
        <v>0</v>
      </c>
      <c r="CG119">
        <v>263671.5</v>
      </c>
      <c r="CH119">
        <v>0</v>
      </c>
      <c r="CI119">
        <v>2506832.7999999998</v>
      </c>
      <c r="CJ119">
        <v>0</v>
      </c>
      <c r="CK119">
        <v>100901.3</v>
      </c>
      <c r="CL119">
        <v>362475.9</v>
      </c>
      <c r="CM119">
        <v>0</v>
      </c>
      <c r="CN119">
        <v>30040372</v>
      </c>
      <c r="CO119">
        <v>106087600</v>
      </c>
      <c r="CP119">
        <v>0</v>
      </c>
      <c r="CQ119">
        <v>10</v>
      </c>
      <c r="CR119">
        <v>9.6</v>
      </c>
      <c r="CS119">
        <v>0</v>
      </c>
      <c r="CT119">
        <v>6834</v>
      </c>
      <c r="CU119">
        <v>0</v>
      </c>
      <c r="CV119">
        <v>0</v>
      </c>
      <c r="CW119">
        <v>371.3</v>
      </c>
      <c r="CX119">
        <v>9539.7000000000007</v>
      </c>
      <c r="CY119">
        <v>0</v>
      </c>
      <c r="CZ119">
        <v>2112.9</v>
      </c>
      <c r="DA119">
        <v>0</v>
      </c>
      <c r="DB119">
        <v>1231</v>
      </c>
      <c r="DC119">
        <v>0</v>
      </c>
      <c r="DD119">
        <v>620</v>
      </c>
      <c r="DE119">
        <v>258</v>
      </c>
      <c r="DF119">
        <v>0</v>
      </c>
      <c r="DG119">
        <v>12382.6</v>
      </c>
      <c r="DH119">
        <v>0</v>
      </c>
      <c r="DI119">
        <v>31042.5</v>
      </c>
      <c r="DJ119">
        <v>20</v>
      </c>
      <c r="DK119">
        <v>2580</v>
      </c>
      <c r="DL119">
        <v>0</v>
      </c>
      <c r="DM119">
        <v>0</v>
      </c>
    </row>
    <row r="120" spans="1:117" x14ac:dyDescent="0.3">
      <c r="A120" t="s">
        <v>168</v>
      </c>
      <c r="B120">
        <v>2026</v>
      </c>
      <c r="C120">
        <v>114918230</v>
      </c>
      <c r="D120">
        <v>739743.8</v>
      </c>
      <c r="E120">
        <v>429705.2</v>
      </c>
      <c r="F120">
        <v>2251228.7000000002</v>
      </c>
      <c r="G120">
        <v>118338907</v>
      </c>
      <c r="H120">
        <v>110786576.7</v>
      </c>
      <c r="I120">
        <v>-39483864.100000001</v>
      </c>
      <c r="J120">
        <v>79874080</v>
      </c>
      <c r="K120">
        <v>143026930</v>
      </c>
      <c r="L120">
        <v>3.5900000000000001E-2</v>
      </c>
      <c r="M120">
        <v>5.3999999999999999E-2</v>
      </c>
      <c r="N120">
        <v>0.16</v>
      </c>
      <c r="O120">
        <v>53256.56</v>
      </c>
      <c r="P120">
        <v>26966</v>
      </c>
      <c r="Q120">
        <v>0.89</v>
      </c>
      <c r="R120">
        <v>0.86</v>
      </c>
      <c r="S120">
        <v>63.9</v>
      </c>
      <c r="T120">
        <v>3.8</v>
      </c>
      <c r="U120">
        <v>0.52</v>
      </c>
      <c r="V120">
        <v>5.2</v>
      </c>
      <c r="W120">
        <v>251.7</v>
      </c>
      <c r="X120">
        <v>0.03</v>
      </c>
      <c r="Y120">
        <v>64.099999999999994</v>
      </c>
      <c r="Z120">
        <v>12.7</v>
      </c>
      <c r="AA120">
        <v>76.900000000000006</v>
      </c>
      <c r="AB120">
        <v>86.4</v>
      </c>
      <c r="AC120">
        <v>5.7</v>
      </c>
      <c r="AD120">
        <v>0.79</v>
      </c>
      <c r="AE120">
        <v>6.6</v>
      </c>
      <c r="AF120">
        <v>322.7</v>
      </c>
      <c r="AG120">
        <v>0.04</v>
      </c>
      <c r="AH120">
        <v>86.8</v>
      </c>
      <c r="AI120">
        <v>16.2</v>
      </c>
      <c r="AJ120">
        <v>103.1</v>
      </c>
      <c r="AK120">
        <v>244.1</v>
      </c>
      <c r="AL120">
        <v>12.9</v>
      </c>
      <c r="AM120">
        <v>1.78</v>
      </c>
      <c r="AN120">
        <v>21.9</v>
      </c>
      <c r="AO120">
        <v>973</v>
      </c>
      <c r="AP120">
        <v>0.14000000000000001</v>
      </c>
      <c r="AQ120">
        <v>245</v>
      </c>
      <c r="AR120">
        <v>50.9</v>
      </c>
      <c r="AS120">
        <v>295.89999999999998</v>
      </c>
      <c r="AT120">
        <v>496.4</v>
      </c>
      <c r="AU120">
        <v>39.799999999999997</v>
      </c>
      <c r="AV120">
        <v>5.7</v>
      </c>
      <c r="AW120">
        <v>32</v>
      </c>
      <c r="AX120">
        <v>1574.3</v>
      </c>
      <c r="AY120">
        <v>0.28000000000000003</v>
      </c>
      <c r="AZ120">
        <v>499.2</v>
      </c>
      <c r="BA120">
        <v>79</v>
      </c>
      <c r="BB120">
        <v>578.20000000000005</v>
      </c>
      <c r="BC120">
        <v>11494236.6</v>
      </c>
      <c r="BD120">
        <v>682</v>
      </c>
      <c r="BE120">
        <v>93.6</v>
      </c>
      <c r="BF120">
        <v>937638.5</v>
      </c>
      <c r="BG120">
        <v>45287.9</v>
      </c>
      <c r="BH120">
        <v>5.4</v>
      </c>
      <c r="BI120">
        <v>11540110.800000001</v>
      </c>
      <c r="BJ120">
        <v>2288682.2000000002</v>
      </c>
      <c r="BK120">
        <v>13828793</v>
      </c>
      <c r="BL120">
        <v>0</v>
      </c>
      <c r="BM120">
        <v>17.73</v>
      </c>
      <c r="BN120">
        <v>10.07</v>
      </c>
      <c r="BO120">
        <v>0</v>
      </c>
      <c r="BP120">
        <v>27.8</v>
      </c>
      <c r="BQ120">
        <v>18.989999999999998</v>
      </c>
      <c r="BR120">
        <v>11.03</v>
      </c>
      <c r="BS120">
        <v>0</v>
      </c>
      <c r="BT120">
        <v>30.02</v>
      </c>
      <c r="BU120">
        <v>181904830</v>
      </c>
      <c r="BV120">
        <v>157822770</v>
      </c>
      <c r="BW120">
        <v>625172.69999999995</v>
      </c>
      <c r="BX120">
        <v>31860.5</v>
      </c>
      <c r="BY120">
        <v>0</v>
      </c>
      <c r="BZ120">
        <v>0</v>
      </c>
      <c r="CA120">
        <v>4373628.5</v>
      </c>
      <c r="CB120">
        <v>0</v>
      </c>
      <c r="CC120">
        <v>0</v>
      </c>
      <c r="CD120">
        <v>1083453.8999999999</v>
      </c>
      <c r="CE120">
        <v>16118109</v>
      </c>
      <c r="CF120">
        <v>0</v>
      </c>
      <c r="CG120">
        <v>192612.8</v>
      </c>
      <c r="CH120">
        <v>0</v>
      </c>
      <c r="CI120">
        <v>2367942.2000000002</v>
      </c>
      <c r="CJ120">
        <v>0</v>
      </c>
      <c r="CK120">
        <v>31787.5</v>
      </c>
      <c r="CL120">
        <v>340949.9</v>
      </c>
      <c r="CM120">
        <v>0</v>
      </c>
      <c r="CN120">
        <v>33164164</v>
      </c>
      <c r="CO120">
        <v>123575150</v>
      </c>
      <c r="CP120">
        <v>0</v>
      </c>
      <c r="CQ120">
        <v>402.2</v>
      </c>
      <c r="CR120">
        <v>9.6</v>
      </c>
      <c r="CS120">
        <v>0</v>
      </c>
      <c r="CT120">
        <v>6365</v>
      </c>
      <c r="CU120">
        <v>0</v>
      </c>
      <c r="CV120">
        <v>0</v>
      </c>
      <c r="CW120">
        <v>728.5</v>
      </c>
      <c r="CX120">
        <v>9539.7000000000007</v>
      </c>
      <c r="CY120">
        <v>0</v>
      </c>
      <c r="CZ120">
        <v>2112.9</v>
      </c>
      <c r="DA120">
        <v>0</v>
      </c>
      <c r="DB120">
        <v>1231</v>
      </c>
      <c r="DC120">
        <v>0</v>
      </c>
      <c r="DD120">
        <v>547.4</v>
      </c>
      <c r="DE120">
        <v>258</v>
      </c>
      <c r="DF120">
        <v>0</v>
      </c>
      <c r="DG120">
        <v>13946.5</v>
      </c>
      <c r="DH120">
        <v>0</v>
      </c>
      <c r="DI120">
        <v>37745.699999999997</v>
      </c>
      <c r="DJ120">
        <v>1415.1</v>
      </c>
      <c r="DK120">
        <v>2580</v>
      </c>
      <c r="DL120">
        <v>0</v>
      </c>
      <c r="DM120">
        <v>0</v>
      </c>
    </row>
    <row r="121" spans="1:117" x14ac:dyDescent="0.3">
      <c r="A121" t="s">
        <v>168</v>
      </c>
      <c r="B121">
        <v>2028</v>
      </c>
      <c r="C121">
        <v>119408910</v>
      </c>
      <c r="D121">
        <v>1630556.2</v>
      </c>
      <c r="E121">
        <v>399113.4</v>
      </c>
      <c r="F121">
        <v>2956890.7</v>
      </c>
      <c r="G121">
        <v>124395475.7</v>
      </c>
      <c r="H121">
        <v>115115836.5</v>
      </c>
      <c r="I121">
        <v>-70204628.900000006</v>
      </c>
      <c r="J121">
        <v>91126450</v>
      </c>
      <c r="K121">
        <v>179276110</v>
      </c>
      <c r="L121">
        <v>3.5900000000000001E-2</v>
      </c>
      <c r="M121">
        <v>5.3999999999999999E-2</v>
      </c>
      <c r="N121">
        <v>0.16</v>
      </c>
      <c r="O121">
        <v>64537.73</v>
      </c>
      <c r="P121">
        <v>28083.3</v>
      </c>
      <c r="Q121">
        <v>0.93</v>
      </c>
      <c r="R121">
        <v>0.91</v>
      </c>
      <c r="S121">
        <v>33.9</v>
      </c>
      <c r="T121">
        <v>1.6</v>
      </c>
      <c r="U121">
        <v>0.21</v>
      </c>
      <c r="V121">
        <v>3.2</v>
      </c>
      <c r="W121">
        <v>147.69999999999999</v>
      </c>
      <c r="X121">
        <v>0.02</v>
      </c>
      <c r="Y121">
        <v>34</v>
      </c>
      <c r="Z121">
        <v>7.6</v>
      </c>
      <c r="AA121">
        <v>41.6</v>
      </c>
      <c r="AB121">
        <v>53.3</v>
      </c>
      <c r="AC121">
        <v>3.2</v>
      </c>
      <c r="AD121">
        <v>0.43</v>
      </c>
      <c r="AE121">
        <v>4.4000000000000004</v>
      </c>
      <c r="AF121">
        <v>210.2</v>
      </c>
      <c r="AG121">
        <v>0.03</v>
      </c>
      <c r="AH121">
        <v>53.5</v>
      </c>
      <c r="AI121">
        <v>10.7</v>
      </c>
      <c r="AJ121">
        <v>64.2</v>
      </c>
      <c r="AK121">
        <v>152.30000000000001</v>
      </c>
      <c r="AL121">
        <v>5.3</v>
      </c>
      <c r="AM121">
        <v>0.66</v>
      </c>
      <c r="AN121">
        <v>15.9</v>
      </c>
      <c r="AO121">
        <v>716.1</v>
      </c>
      <c r="AP121">
        <v>7.0000000000000007E-2</v>
      </c>
      <c r="AQ121">
        <v>152.6</v>
      </c>
      <c r="AR121">
        <v>37.299999999999997</v>
      </c>
      <c r="AS121">
        <v>189.9</v>
      </c>
      <c r="AT121">
        <v>412.5</v>
      </c>
      <c r="AU121">
        <v>30.9</v>
      </c>
      <c r="AV121">
        <v>4.41</v>
      </c>
      <c r="AW121">
        <v>28.8</v>
      </c>
      <c r="AX121">
        <v>1376.1</v>
      </c>
      <c r="AY121">
        <v>0.24</v>
      </c>
      <c r="AZ121">
        <v>414.6</v>
      </c>
      <c r="BA121">
        <v>69.8</v>
      </c>
      <c r="BB121">
        <v>484.4</v>
      </c>
      <c r="BC121">
        <v>7122455.9000000004</v>
      </c>
      <c r="BD121">
        <v>328.7</v>
      </c>
      <c r="BE121">
        <v>43.5</v>
      </c>
      <c r="BF121">
        <v>666436.9</v>
      </c>
      <c r="BG121">
        <v>31029</v>
      </c>
      <c r="BH121">
        <v>3.3</v>
      </c>
      <c r="BI121">
        <v>7144127.4000000004</v>
      </c>
      <c r="BJ121">
        <v>1591994.5</v>
      </c>
      <c r="BK121">
        <v>8736121.9000000004</v>
      </c>
      <c r="BL121">
        <v>0</v>
      </c>
      <c r="BM121">
        <v>14.71</v>
      </c>
      <c r="BN121">
        <v>10.37</v>
      </c>
      <c r="BO121">
        <v>0</v>
      </c>
      <c r="BP121">
        <v>25.07</v>
      </c>
      <c r="BQ121">
        <v>15.81</v>
      </c>
      <c r="BR121">
        <v>11.41</v>
      </c>
      <c r="BS121">
        <v>0</v>
      </c>
      <c r="BT121">
        <v>27.22</v>
      </c>
      <c r="BU121">
        <v>213140220</v>
      </c>
      <c r="BV121">
        <v>194600110</v>
      </c>
      <c r="BW121">
        <v>1376775.6</v>
      </c>
      <c r="BX121">
        <v>27896</v>
      </c>
      <c r="BY121">
        <v>0</v>
      </c>
      <c r="BZ121">
        <v>0</v>
      </c>
      <c r="CA121">
        <v>1864167.8</v>
      </c>
      <c r="CB121">
        <v>0</v>
      </c>
      <c r="CC121">
        <v>0</v>
      </c>
      <c r="CD121">
        <v>1836738.4</v>
      </c>
      <c r="CE121">
        <v>12431117</v>
      </c>
      <c r="CF121">
        <v>0</v>
      </c>
      <c r="CG121">
        <v>133848</v>
      </c>
      <c r="CH121">
        <v>0</v>
      </c>
      <c r="CI121">
        <v>2360076.5</v>
      </c>
      <c r="CJ121">
        <v>0</v>
      </c>
      <c r="CK121">
        <v>22348.7</v>
      </c>
      <c r="CL121">
        <v>323888</v>
      </c>
      <c r="CM121">
        <v>0</v>
      </c>
      <c r="CN121">
        <v>38608004</v>
      </c>
      <c r="CO121">
        <v>154155360</v>
      </c>
      <c r="CP121">
        <v>0</v>
      </c>
      <c r="CQ121">
        <v>947.7</v>
      </c>
      <c r="CR121">
        <v>9.6</v>
      </c>
      <c r="CS121">
        <v>0</v>
      </c>
      <c r="CT121">
        <v>5365</v>
      </c>
      <c r="CU121">
        <v>0</v>
      </c>
      <c r="CV121">
        <v>0</v>
      </c>
      <c r="CW121">
        <v>1250.5</v>
      </c>
      <c r="CX121">
        <v>9383.7000000000007</v>
      </c>
      <c r="CY121">
        <v>0</v>
      </c>
      <c r="CZ121">
        <v>2112.9</v>
      </c>
      <c r="DA121">
        <v>0</v>
      </c>
      <c r="DB121">
        <v>1270</v>
      </c>
      <c r="DC121">
        <v>0</v>
      </c>
      <c r="DD121">
        <v>547.4</v>
      </c>
      <c r="DE121">
        <v>258</v>
      </c>
      <c r="DF121">
        <v>0</v>
      </c>
      <c r="DG121">
        <v>16945.900000000001</v>
      </c>
      <c r="DH121">
        <v>0</v>
      </c>
      <c r="DI121">
        <v>47662.6</v>
      </c>
      <c r="DJ121">
        <v>3596.8</v>
      </c>
      <c r="DK121">
        <v>2580</v>
      </c>
      <c r="DL121">
        <v>0</v>
      </c>
      <c r="DM121">
        <v>0</v>
      </c>
    </row>
    <row r="122" spans="1:117" x14ac:dyDescent="0.3">
      <c r="A122" t="s">
        <v>168</v>
      </c>
      <c r="B122">
        <v>2030</v>
      </c>
      <c r="C122">
        <v>123953010</v>
      </c>
      <c r="D122">
        <v>3791406.5</v>
      </c>
      <c r="E122">
        <v>384901</v>
      </c>
      <c r="F122">
        <v>3519345.1</v>
      </c>
      <c r="G122">
        <v>131648658.8</v>
      </c>
      <c r="H122">
        <v>119496582.59999999</v>
      </c>
      <c r="I122">
        <v>-79195068.5</v>
      </c>
      <c r="J122">
        <v>108872550</v>
      </c>
      <c r="K122">
        <v>203118220</v>
      </c>
      <c r="L122">
        <v>3.5900000000000001E-2</v>
      </c>
      <c r="M122">
        <v>5.3999999999999999E-2</v>
      </c>
      <c r="N122">
        <v>0.16</v>
      </c>
      <c r="O122">
        <v>68835.31</v>
      </c>
      <c r="P122">
        <v>29283.3</v>
      </c>
      <c r="Q122">
        <v>0.96</v>
      </c>
      <c r="R122">
        <v>0.94</v>
      </c>
      <c r="S122">
        <v>22</v>
      </c>
      <c r="T122">
        <v>1.1000000000000001</v>
      </c>
      <c r="U122">
        <v>0.15</v>
      </c>
      <c r="V122">
        <v>2</v>
      </c>
      <c r="W122">
        <v>92.7</v>
      </c>
      <c r="X122">
        <v>0.01</v>
      </c>
      <c r="Y122">
        <v>22.1</v>
      </c>
      <c r="Z122">
        <v>4.7</v>
      </c>
      <c r="AA122">
        <v>26.8</v>
      </c>
      <c r="AB122">
        <v>38.5</v>
      </c>
      <c r="AC122">
        <v>2.6</v>
      </c>
      <c r="AD122">
        <v>0.36</v>
      </c>
      <c r="AE122">
        <v>3</v>
      </c>
      <c r="AF122">
        <v>142.69999999999999</v>
      </c>
      <c r="AG122">
        <v>0.02</v>
      </c>
      <c r="AH122">
        <v>38.700000000000003</v>
      </c>
      <c r="AI122">
        <v>7.2</v>
      </c>
      <c r="AJ122">
        <v>45.9</v>
      </c>
      <c r="AK122">
        <v>128.5</v>
      </c>
      <c r="AL122">
        <v>5</v>
      </c>
      <c r="AM122">
        <v>0.64</v>
      </c>
      <c r="AN122">
        <v>12.9</v>
      </c>
      <c r="AO122">
        <v>587</v>
      </c>
      <c r="AP122">
        <v>0.06</v>
      </c>
      <c r="AQ122">
        <v>128.80000000000001</v>
      </c>
      <c r="AR122">
        <v>30.4</v>
      </c>
      <c r="AS122">
        <v>159.30000000000001</v>
      </c>
      <c r="AT122">
        <v>364.8</v>
      </c>
      <c r="AU122">
        <v>28.3</v>
      </c>
      <c r="AV122">
        <v>4.04</v>
      </c>
      <c r="AW122">
        <v>24.7</v>
      </c>
      <c r="AX122">
        <v>1187</v>
      </c>
      <c r="AY122">
        <v>0.21</v>
      </c>
      <c r="AZ122">
        <v>366.7</v>
      </c>
      <c r="BA122">
        <v>60.2</v>
      </c>
      <c r="BB122">
        <v>426.9</v>
      </c>
      <c r="BC122">
        <v>4901482.2</v>
      </c>
      <c r="BD122">
        <v>249.3</v>
      </c>
      <c r="BE122">
        <v>33.5</v>
      </c>
      <c r="BF122">
        <v>437709.7</v>
      </c>
      <c r="BG122">
        <v>20632.599999999999</v>
      </c>
      <c r="BH122">
        <v>2.2999999999999998</v>
      </c>
      <c r="BI122">
        <v>4918053</v>
      </c>
      <c r="BJ122">
        <v>1053176.5</v>
      </c>
      <c r="BK122">
        <v>5971229.5</v>
      </c>
      <c r="BL122">
        <v>0</v>
      </c>
      <c r="BM122">
        <v>12.97</v>
      </c>
      <c r="BN122">
        <v>10.72</v>
      </c>
      <c r="BO122">
        <v>0</v>
      </c>
      <c r="BP122">
        <v>23.69</v>
      </c>
      <c r="BQ122">
        <v>14.05</v>
      </c>
      <c r="BR122">
        <v>11.98</v>
      </c>
      <c r="BS122">
        <v>0</v>
      </c>
      <c r="BT122">
        <v>26.04</v>
      </c>
      <c r="BU122">
        <v>226502860</v>
      </c>
      <c r="BV122">
        <v>210843730</v>
      </c>
      <c r="BW122">
        <v>3244786.5</v>
      </c>
      <c r="BX122">
        <v>25621.5</v>
      </c>
      <c r="BY122">
        <v>0</v>
      </c>
      <c r="BZ122">
        <v>0</v>
      </c>
      <c r="CA122">
        <v>1518395.6</v>
      </c>
      <c r="CB122">
        <v>0</v>
      </c>
      <c r="CC122">
        <v>0</v>
      </c>
      <c r="CD122">
        <v>2937241.5</v>
      </c>
      <c r="CE122">
        <v>8183437</v>
      </c>
      <c r="CF122">
        <v>0</v>
      </c>
      <c r="CG122">
        <v>64543.9</v>
      </c>
      <c r="CH122">
        <v>0</v>
      </c>
      <c r="CI122">
        <v>2307042.2000000002</v>
      </c>
      <c r="CJ122">
        <v>0</v>
      </c>
      <c r="CK122">
        <v>11849.2</v>
      </c>
      <c r="CL122">
        <v>303460.8</v>
      </c>
      <c r="CM122">
        <v>0</v>
      </c>
      <c r="CN122">
        <v>44927104</v>
      </c>
      <c r="CO122">
        <v>162979380</v>
      </c>
      <c r="CP122">
        <v>0</v>
      </c>
      <c r="CQ122">
        <v>1943.2</v>
      </c>
      <c r="CR122">
        <v>9.6</v>
      </c>
      <c r="CS122">
        <v>0</v>
      </c>
      <c r="CT122">
        <v>5365</v>
      </c>
      <c r="CU122">
        <v>0</v>
      </c>
      <c r="CV122">
        <v>0</v>
      </c>
      <c r="CW122">
        <v>1999</v>
      </c>
      <c r="CX122">
        <v>9017.9</v>
      </c>
      <c r="CY122">
        <v>0</v>
      </c>
      <c r="CZ122">
        <v>2112.9</v>
      </c>
      <c r="DA122">
        <v>0</v>
      </c>
      <c r="DB122">
        <v>1270</v>
      </c>
      <c r="DC122">
        <v>0</v>
      </c>
      <c r="DD122">
        <v>547.4</v>
      </c>
      <c r="DE122">
        <v>258</v>
      </c>
      <c r="DF122">
        <v>0</v>
      </c>
      <c r="DG122">
        <v>19971</v>
      </c>
      <c r="DH122">
        <v>0</v>
      </c>
      <c r="DI122">
        <v>50736.3</v>
      </c>
      <c r="DJ122">
        <v>9512.2000000000007</v>
      </c>
      <c r="DK122">
        <v>2580</v>
      </c>
      <c r="DL122">
        <v>0</v>
      </c>
      <c r="DM122">
        <v>0</v>
      </c>
    </row>
    <row r="123" spans="1:117" x14ac:dyDescent="0.3">
      <c r="A123" t="s">
        <v>168</v>
      </c>
      <c r="B123">
        <v>2035</v>
      </c>
      <c r="C123">
        <v>138428720</v>
      </c>
      <c r="D123">
        <v>8549618</v>
      </c>
      <c r="E123">
        <v>404382.9</v>
      </c>
      <c r="F123">
        <v>4060471.7</v>
      </c>
      <c r="G123">
        <v>151443195.59999999</v>
      </c>
      <c r="H123">
        <v>133451979.5</v>
      </c>
      <c r="I123">
        <v>-86694474</v>
      </c>
      <c r="J123">
        <v>126625020</v>
      </c>
      <c r="K123">
        <v>230176340</v>
      </c>
      <c r="L123">
        <v>3.5900000000000001E-2</v>
      </c>
      <c r="M123">
        <v>5.3999999999999999E-2</v>
      </c>
      <c r="N123">
        <v>0.16</v>
      </c>
      <c r="O123">
        <v>88279.48</v>
      </c>
      <c r="P123">
        <v>33406.1</v>
      </c>
      <c r="Q123">
        <v>0.97</v>
      </c>
      <c r="R123">
        <v>0.95</v>
      </c>
      <c r="S123">
        <v>15.4</v>
      </c>
      <c r="T123">
        <v>0.8</v>
      </c>
      <c r="U123">
        <v>0.11</v>
      </c>
      <c r="V123">
        <v>1.4</v>
      </c>
      <c r="W123">
        <v>64.3</v>
      </c>
      <c r="X123">
        <v>0.01</v>
      </c>
      <c r="Y123">
        <v>15.5</v>
      </c>
      <c r="Z123">
        <v>3.3</v>
      </c>
      <c r="AA123">
        <v>18.7</v>
      </c>
      <c r="AB123">
        <v>28.9</v>
      </c>
      <c r="AC123">
        <v>2.1</v>
      </c>
      <c r="AD123">
        <v>0.28999999999999998</v>
      </c>
      <c r="AE123">
        <v>2.1</v>
      </c>
      <c r="AF123">
        <v>103.1</v>
      </c>
      <c r="AG123">
        <v>0.02</v>
      </c>
      <c r="AH123">
        <v>29</v>
      </c>
      <c r="AI123">
        <v>5.2</v>
      </c>
      <c r="AJ123">
        <v>34.200000000000003</v>
      </c>
      <c r="AK123">
        <v>122.3</v>
      </c>
      <c r="AL123">
        <v>6</v>
      </c>
      <c r="AM123">
        <v>0.81</v>
      </c>
      <c r="AN123">
        <v>11.1</v>
      </c>
      <c r="AO123">
        <v>518.5</v>
      </c>
      <c r="AP123">
        <v>0.06</v>
      </c>
      <c r="AQ123">
        <v>122.7</v>
      </c>
      <c r="AR123">
        <v>26.6</v>
      </c>
      <c r="AS123">
        <v>149.30000000000001</v>
      </c>
      <c r="AT123">
        <v>330.3</v>
      </c>
      <c r="AU123">
        <v>25.5</v>
      </c>
      <c r="AV123">
        <v>3.63</v>
      </c>
      <c r="AW123">
        <v>22.3</v>
      </c>
      <c r="AX123">
        <v>1095.4000000000001</v>
      </c>
      <c r="AY123">
        <v>0.18</v>
      </c>
      <c r="AZ123">
        <v>332</v>
      </c>
      <c r="BA123">
        <v>55</v>
      </c>
      <c r="BB123">
        <v>387</v>
      </c>
      <c r="BC123">
        <v>3852741.5</v>
      </c>
      <c r="BD123">
        <v>200.9</v>
      </c>
      <c r="BE123">
        <v>27.1</v>
      </c>
      <c r="BF123">
        <v>339392.4</v>
      </c>
      <c r="BG123">
        <v>16076.9</v>
      </c>
      <c r="BH123">
        <v>1.8</v>
      </c>
      <c r="BI123">
        <v>3866120.4</v>
      </c>
      <c r="BJ123">
        <v>818965.8</v>
      </c>
      <c r="BK123">
        <v>4685086.2</v>
      </c>
      <c r="BL123">
        <v>0</v>
      </c>
      <c r="BM123">
        <v>11.8</v>
      </c>
      <c r="BN123">
        <v>13.5</v>
      </c>
      <c r="BO123">
        <v>0</v>
      </c>
      <c r="BP123">
        <v>25.29</v>
      </c>
      <c r="BQ123">
        <v>13.05</v>
      </c>
      <c r="BR123">
        <v>15.52</v>
      </c>
      <c r="BS123">
        <v>0</v>
      </c>
      <c r="BT123">
        <v>28.57</v>
      </c>
      <c r="BU123">
        <v>255664690</v>
      </c>
      <c r="BV123">
        <v>238137650</v>
      </c>
      <c r="BW123">
        <v>7271333.5</v>
      </c>
      <c r="BX123">
        <v>24121.3</v>
      </c>
      <c r="BY123">
        <v>0</v>
      </c>
      <c r="BZ123">
        <v>0</v>
      </c>
      <c r="CA123">
        <v>1256895.2</v>
      </c>
      <c r="CB123">
        <v>0</v>
      </c>
      <c r="CC123">
        <v>0</v>
      </c>
      <c r="CD123">
        <v>4867383</v>
      </c>
      <c r="CE123">
        <v>6228595.5</v>
      </c>
      <c r="CF123">
        <v>0</v>
      </c>
      <c r="CG123">
        <v>167641.60000000001</v>
      </c>
      <c r="CH123">
        <v>0</v>
      </c>
      <c r="CI123">
        <v>2257611.2000000002</v>
      </c>
      <c r="CJ123">
        <v>0</v>
      </c>
      <c r="CK123">
        <v>3020.4</v>
      </c>
      <c r="CL123">
        <v>317823.09999999998</v>
      </c>
      <c r="CM123">
        <v>0</v>
      </c>
      <c r="CN123">
        <v>51214748</v>
      </c>
      <c r="CO123">
        <v>182055540</v>
      </c>
      <c r="CP123">
        <v>0</v>
      </c>
      <c r="CQ123">
        <v>3552.2</v>
      </c>
      <c r="CR123">
        <v>9.6</v>
      </c>
      <c r="CS123">
        <v>0</v>
      </c>
      <c r="CT123">
        <v>5365</v>
      </c>
      <c r="CU123">
        <v>0</v>
      </c>
      <c r="CV123">
        <v>0</v>
      </c>
      <c r="CW123">
        <v>3487.8</v>
      </c>
      <c r="CX123">
        <v>8735.9</v>
      </c>
      <c r="CY123">
        <v>0</v>
      </c>
      <c r="CZ123">
        <v>3850</v>
      </c>
      <c r="DA123">
        <v>0</v>
      </c>
      <c r="DB123">
        <v>1278</v>
      </c>
      <c r="DC123">
        <v>0</v>
      </c>
      <c r="DD123">
        <v>547.4</v>
      </c>
      <c r="DE123">
        <v>258</v>
      </c>
      <c r="DF123">
        <v>0</v>
      </c>
      <c r="DG123">
        <v>24037.1</v>
      </c>
      <c r="DH123">
        <v>0</v>
      </c>
      <c r="DI123">
        <v>56133.3</v>
      </c>
      <c r="DJ123">
        <v>22060</v>
      </c>
      <c r="DK123">
        <v>2580</v>
      </c>
      <c r="DL123">
        <v>0</v>
      </c>
      <c r="DM123">
        <v>0</v>
      </c>
    </row>
    <row r="124" spans="1:117" x14ac:dyDescent="0.3">
      <c r="A124" t="s">
        <v>168</v>
      </c>
      <c r="B124">
        <v>2040</v>
      </c>
      <c r="C124">
        <v>154794140</v>
      </c>
      <c r="D124">
        <v>11624387</v>
      </c>
      <c r="E124">
        <v>422032.6</v>
      </c>
      <c r="F124">
        <v>4572434.2</v>
      </c>
      <c r="G124">
        <v>171413002.19999999</v>
      </c>
      <c r="H124">
        <v>149229123.80000001</v>
      </c>
      <c r="I124">
        <v>-98488630.700000003</v>
      </c>
      <c r="J124">
        <v>139881520</v>
      </c>
      <c r="K124">
        <v>257051100</v>
      </c>
      <c r="L124">
        <v>3.5900000000000001E-2</v>
      </c>
      <c r="M124">
        <v>5.3900000000000003E-2</v>
      </c>
      <c r="N124">
        <v>0.16</v>
      </c>
      <c r="O124">
        <v>88277.13</v>
      </c>
      <c r="P124">
        <v>37829.199999999997</v>
      </c>
      <c r="Q124">
        <v>0.98</v>
      </c>
      <c r="R124">
        <v>0.96</v>
      </c>
      <c r="S124">
        <v>11.8</v>
      </c>
      <c r="T124">
        <v>0.5</v>
      </c>
      <c r="U124">
        <v>7.0000000000000007E-2</v>
      </c>
      <c r="V124">
        <v>1.1000000000000001</v>
      </c>
      <c r="W124">
        <v>51.6</v>
      </c>
      <c r="X124">
        <v>0.01</v>
      </c>
      <c r="Y124">
        <v>11.8</v>
      </c>
      <c r="Z124">
        <v>2.6</v>
      </c>
      <c r="AA124">
        <v>14.5</v>
      </c>
      <c r="AB124">
        <v>21.7</v>
      </c>
      <c r="AC124">
        <v>1.4</v>
      </c>
      <c r="AD124">
        <v>0.2</v>
      </c>
      <c r="AE124">
        <v>1.7</v>
      </c>
      <c r="AF124">
        <v>80.7</v>
      </c>
      <c r="AG124">
        <v>0.01</v>
      </c>
      <c r="AH124">
        <v>21.8</v>
      </c>
      <c r="AI124">
        <v>4.0999999999999996</v>
      </c>
      <c r="AJ124">
        <v>25.9</v>
      </c>
      <c r="AK124">
        <v>146.6</v>
      </c>
      <c r="AL124">
        <v>7.8</v>
      </c>
      <c r="AM124">
        <v>1.05</v>
      </c>
      <c r="AN124">
        <v>12.9</v>
      </c>
      <c r="AO124">
        <v>606.70000000000005</v>
      </c>
      <c r="AP124">
        <v>7.0000000000000007E-2</v>
      </c>
      <c r="AQ124">
        <v>147.1</v>
      </c>
      <c r="AR124">
        <v>31</v>
      </c>
      <c r="AS124">
        <v>178.2</v>
      </c>
      <c r="AT124">
        <v>272.2</v>
      </c>
      <c r="AU124">
        <v>19</v>
      </c>
      <c r="AV124">
        <v>2.68</v>
      </c>
      <c r="AW124">
        <v>20.3</v>
      </c>
      <c r="AX124">
        <v>962.8</v>
      </c>
      <c r="AY124">
        <v>0.15</v>
      </c>
      <c r="AZ124">
        <v>273.5</v>
      </c>
      <c r="BA124">
        <v>49.1</v>
      </c>
      <c r="BB124">
        <v>322.5</v>
      </c>
      <c r="BC124">
        <v>3311337.5</v>
      </c>
      <c r="BD124">
        <v>150.80000000000001</v>
      </c>
      <c r="BE124">
        <v>19.899999999999999</v>
      </c>
      <c r="BF124">
        <v>311547.90000000002</v>
      </c>
      <c r="BG124">
        <v>14508.2</v>
      </c>
      <c r="BH124">
        <v>1.5</v>
      </c>
      <c r="BI124">
        <v>3321264.8</v>
      </c>
      <c r="BJ124">
        <v>744301.8</v>
      </c>
      <c r="BK124">
        <v>4065566.6</v>
      </c>
      <c r="BL124">
        <v>0</v>
      </c>
      <c r="BM124">
        <v>10.119999999999999</v>
      </c>
      <c r="BN124">
        <v>13.16</v>
      </c>
      <c r="BO124">
        <v>0</v>
      </c>
      <c r="BP124">
        <v>23.28</v>
      </c>
      <c r="BQ124">
        <v>11.34</v>
      </c>
      <c r="BR124">
        <v>15.28</v>
      </c>
      <c r="BS124">
        <v>0</v>
      </c>
      <c r="BT124">
        <v>26.62</v>
      </c>
      <c r="BU124">
        <v>289339230</v>
      </c>
      <c r="BV124">
        <v>269901630</v>
      </c>
      <c r="BW124">
        <v>9869557</v>
      </c>
      <c r="BX124">
        <v>21822.6</v>
      </c>
      <c r="BY124">
        <v>0</v>
      </c>
      <c r="BZ124">
        <v>0</v>
      </c>
      <c r="CA124">
        <v>880304.6</v>
      </c>
      <c r="CB124">
        <v>0</v>
      </c>
      <c r="CC124">
        <v>0</v>
      </c>
      <c r="CD124">
        <v>5635121.5</v>
      </c>
      <c r="CE124">
        <v>5990713.5</v>
      </c>
      <c r="CF124">
        <v>0</v>
      </c>
      <c r="CG124">
        <v>164267.6</v>
      </c>
      <c r="CH124">
        <v>0</v>
      </c>
      <c r="CI124">
        <v>2164708</v>
      </c>
      <c r="CJ124">
        <v>0</v>
      </c>
      <c r="CK124">
        <v>3085</v>
      </c>
      <c r="CL124">
        <v>343151</v>
      </c>
      <c r="CM124">
        <v>0</v>
      </c>
      <c r="CN124">
        <v>68768620</v>
      </c>
      <c r="CO124">
        <v>195497890</v>
      </c>
      <c r="CP124">
        <v>0</v>
      </c>
      <c r="CQ124">
        <v>4713.1000000000004</v>
      </c>
      <c r="CR124">
        <v>9.6</v>
      </c>
      <c r="CS124">
        <v>0</v>
      </c>
      <c r="CT124">
        <v>3280</v>
      </c>
      <c r="CU124">
        <v>0</v>
      </c>
      <c r="CV124">
        <v>0</v>
      </c>
      <c r="CW124">
        <v>4294</v>
      </c>
      <c r="CX124">
        <v>8735.9</v>
      </c>
      <c r="CY124">
        <v>0</v>
      </c>
      <c r="CZ124">
        <v>4124.6000000000004</v>
      </c>
      <c r="DA124">
        <v>0</v>
      </c>
      <c r="DB124">
        <v>1278</v>
      </c>
      <c r="DC124">
        <v>0</v>
      </c>
      <c r="DD124">
        <v>547.4</v>
      </c>
      <c r="DE124">
        <v>258</v>
      </c>
      <c r="DF124">
        <v>0</v>
      </c>
      <c r="DG124">
        <v>34548.1</v>
      </c>
      <c r="DH124">
        <v>0</v>
      </c>
      <c r="DI124">
        <v>60489.7</v>
      </c>
      <c r="DJ124">
        <v>27364.6</v>
      </c>
      <c r="DK124">
        <v>2580</v>
      </c>
      <c r="DL124">
        <v>0</v>
      </c>
      <c r="DM124">
        <v>0</v>
      </c>
    </row>
    <row r="125" spans="1:117" x14ac:dyDescent="0.3">
      <c r="A125" t="s">
        <v>168</v>
      </c>
      <c r="B125">
        <v>2045</v>
      </c>
      <c r="C125">
        <v>169175340</v>
      </c>
      <c r="D125">
        <v>16447566</v>
      </c>
      <c r="E125">
        <v>440388.1</v>
      </c>
      <c r="F125">
        <v>4501511.2</v>
      </c>
      <c r="G125">
        <v>190564809.09999999</v>
      </c>
      <c r="H125">
        <v>163093378.19999999</v>
      </c>
      <c r="I125">
        <v>-86378660.400000006</v>
      </c>
      <c r="J125">
        <v>141312930</v>
      </c>
      <c r="K125">
        <v>251553820</v>
      </c>
      <c r="L125">
        <v>3.5900000000000001E-2</v>
      </c>
      <c r="M125">
        <v>5.3900000000000003E-2</v>
      </c>
      <c r="N125">
        <v>0.16</v>
      </c>
      <c r="O125">
        <v>86616.15</v>
      </c>
      <c r="P125">
        <v>41740.300000000003</v>
      </c>
      <c r="Q125">
        <v>0.97</v>
      </c>
      <c r="R125">
        <v>0.96</v>
      </c>
      <c r="S125">
        <v>13.3</v>
      </c>
      <c r="T125">
        <v>0.6</v>
      </c>
      <c r="U125">
        <v>0.08</v>
      </c>
      <c r="V125">
        <v>1.3</v>
      </c>
      <c r="W125">
        <v>58.6</v>
      </c>
      <c r="X125">
        <v>0.01</v>
      </c>
      <c r="Y125">
        <v>13.3</v>
      </c>
      <c r="Z125">
        <v>3</v>
      </c>
      <c r="AA125">
        <v>16.3</v>
      </c>
      <c r="AB125">
        <v>20.6</v>
      </c>
      <c r="AC125">
        <v>1.2</v>
      </c>
      <c r="AD125">
        <v>0.16</v>
      </c>
      <c r="AE125">
        <v>1.7</v>
      </c>
      <c r="AF125">
        <v>82.3</v>
      </c>
      <c r="AG125">
        <v>0.01</v>
      </c>
      <c r="AH125">
        <v>20.7</v>
      </c>
      <c r="AI125">
        <v>4.2</v>
      </c>
      <c r="AJ125">
        <v>24.8</v>
      </c>
      <c r="AK125">
        <v>127.1</v>
      </c>
      <c r="AL125">
        <v>6.2</v>
      </c>
      <c r="AM125">
        <v>0.82</v>
      </c>
      <c r="AN125">
        <v>11.9</v>
      </c>
      <c r="AO125">
        <v>545</v>
      </c>
      <c r="AP125">
        <v>7.0000000000000007E-2</v>
      </c>
      <c r="AQ125">
        <v>127.5</v>
      </c>
      <c r="AR125">
        <v>28.2</v>
      </c>
      <c r="AS125">
        <v>155.69999999999999</v>
      </c>
      <c r="AT125">
        <v>241.2</v>
      </c>
      <c r="AU125">
        <v>15.3</v>
      </c>
      <c r="AV125">
        <v>2.12</v>
      </c>
      <c r="AW125">
        <v>19.3</v>
      </c>
      <c r="AX125">
        <v>910.2</v>
      </c>
      <c r="AY125">
        <v>0.13</v>
      </c>
      <c r="AZ125">
        <v>242.2</v>
      </c>
      <c r="BA125">
        <v>46.5</v>
      </c>
      <c r="BB125">
        <v>288.7</v>
      </c>
      <c r="BC125">
        <v>3874304.3</v>
      </c>
      <c r="BD125">
        <v>172.4</v>
      </c>
      <c r="BE125">
        <v>22.6</v>
      </c>
      <c r="BF125">
        <v>368138.4</v>
      </c>
      <c r="BG125">
        <v>17107</v>
      </c>
      <c r="BH125">
        <v>1.8</v>
      </c>
      <c r="BI125">
        <v>3885622.8</v>
      </c>
      <c r="BJ125">
        <v>878407.8</v>
      </c>
      <c r="BK125">
        <v>4764030.5999999996</v>
      </c>
      <c r="BL125">
        <v>0</v>
      </c>
      <c r="BM125">
        <v>9.19</v>
      </c>
      <c r="BN125">
        <v>12.79</v>
      </c>
      <c r="BO125">
        <v>0</v>
      </c>
      <c r="BP125">
        <v>21.97</v>
      </c>
      <c r="BQ125">
        <v>10.48</v>
      </c>
      <c r="BR125">
        <v>15.11</v>
      </c>
      <c r="BS125">
        <v>0</v>
      </c>
      <c r="BT125">
        <v>25.59</v>
      </c>
      <c r="BU125">
        <v>301586240</v>
      </c>
      <c r="BV125">
        <v>276943460</v>
      </c>
      <c r="BW125">
        <v>13959918</v>
      </c>
      <c r="BX125">
        <v>21491.5</v>
      </c>
      <c r="BY125">
        <v>0</v>
      </c>
      <c r="BZ125">
        <v>0</v>
      </c>
      <c r="CA125">
        <v>989381.4</v>
      </c>
      <c r="CB125">
        <v>0</v>
      </c>
      <c r="CC125">
        <v>0</v>
      </c>
      <c r="CD125">
        <v>6430158.5</v>
      </c>
      <c r="CE125">
        <v>6900865.5</v>
      </c>
      <c r="CF125">
        <v>0</v>
      </c>
      <c r="CG125">
        <v>316556</v>
      </c>
      <c r="CH125">
        <v>0</v>
      </c>
      <c r="CI125">
        <v>2096868.2</v>
      </c>
      <c r="CJ125">
        <v>0</v>
      </c>
      <c r="CK125">
        <v>2755.4</v>
      </c>
      <c r="CL125">
        <v>354919.3</v>
      </c>
      <c r="CM125">
        <v>0</v>
      </c>
      <c r="CN125">
        <v>72498744</v>
      </c>
      <c r="CO125">
        <v>198014560</v>
      </c>
      <c r="CP125">
        <v>0</v>
      </c>
      <c r="CQ125">
        <v>6660.9</v>
      </c>
      <c r="CR125">
        <v>9.6</v>
      </c>
      <c r="CS125">
        <v>0</v>
      </c>
      <c r="CT125">
        <v>3280</v>
      </c>
      <c r="CU125">
        <v>0</v>
      </c>
      <c r="CV125">
        <v>0</v>
      </c>
      <c r="CW125">
        <v>4943.2</v>
      </c>
      <c r="CX125">
        <v>8615.9</v>
      </c>
      <c r="CY125">
        <v>0</v>
      </c>
      <c r="CZ125">
        <v>4947.5</v>
      </c>
      <c r="DA125">
        <v>0</v>
      </c>
      <c r="DB125">
        <v>1278</v>
      </c>
      <c r="DC125">
        <v>0</v>
      </c>
      <c r="DD125">
        <v>354</v>
      </c>
      <c r="DE125">
        <v>258</v>
      </c>
      <c r="DF125">
        <v>0</v>
      </c>
      <c r="DG125">
        <v>37940.9</v>
      </c>
      <c r="DH125">
        <v>0</v>
      </c>
      <c r="DI125">
        <v>60720.3</v>
      </c>
      <c r="DJ125">
        <v>36328.5</v>
      </c>
      <c r="DK125">
        <v>2580</v>
      </c>
      <c r="DL125">
        <v>0</v>
      </c>
      <c r="DM125">
        <v>0</v>
      </c>
    </row>
    <row r="126" spans="1:117" x14ac:dyDescent="0.3">
      <c r="A126" t="s">
        <v>168</v>
      </c>
      <c r="B126">
        <v>2050</v>
      </c>
      <c r="C126">
        <v>182478110</v>
      </c>
      <c r="D126">
        <v>25343966</v>
      </c>
      <c r="E126">
        <v>450680.8</v>
      </c>
      <c r="F126">
        <v>4846604.7</v>
      </c>
      <c r="G126">
        <v>213119359.80000001</v>
      </c>
      <c r="H126">
        <v>175918067.59999999</v>
      </c>
      <c r="I126">
        <v>-88269445.599999994</v>
      </c>
      <c r="J126">
        <v>152331920</v>
      </c>
      <c r="K126">
        <v>273213060</v>
      </c>
      <c r="L126">
        <v>3.5900000000000001E-2</v>
      </c>
      <c r="M126">
        <v>5.3900000000000003E-2</v>
      </c>
      <c r="N126">
        <v>0.16</v>
      </c>
      <c r="O126">
        <v>83914.57</v>
      </c>
      <c r="P126">
        <v>45584.4</v>
      </c>
      <c r="Q126">
        <v>0.97</v>
      </c>
      <c r="R126">
        <v>0.96</v>
      </c>
      <c r="S126">
        <v>16.3</v>
      </c>
      <c r="T126">
        <v>1</v>
      </c>
      <c r="U126">
        <v>0.14000000000000001</v>
      </c>
      <c r="V126">
        <v>1.3</v>
      </c>
      <c r="W126">
        <v>63.1</v>
      </c>
      <c r="X126">
        <v>0.01</v>
      </c>
      <c r="Y126">
        <v>16.3</v>
      </c>
      <c r="Z126">
        <v>3.2</v>
      </c>
      <c r="AA126">
        <v>19.5</v>
      </c>
      <c r="AB126">
        <v>22</v>
      </c>
      <c r="AC126">
        <v>1.5</v>
      </c>
      <c r="AD126">
        <v>0.21</v>
      </c>
      <c r="AE126">
        <v>1.6</v>
      </c>
      <c r="AF126">
        <v>81.2</v>
      </c>
      <c r="AG126">
        <v>0.01</v>
      </c>
      <c r="AH126">
        <v>22.1</v>
      </c>
      <c r="AI126">
        <v>4.0999999999999996</v>
      </c>
      <c r="AJ126">
        <v>26.2</v>
      </c>
      <c r="AK126">
        <v>135.4</v>
      </c>
      <c r="AL126">
        <v>6.2</v>
      </c>
      <c r="AM126">
        <v>0.83</v>
      </c>
      <c r="AN126">
        <v>13.1</v>
      </c>
      <c r="AO126">
        <v>591.1</v>
      </c>
      <c r="AP126">
        <v>7.0000000000000007E-2</v>
      </c>
      <c r="AQ126">
        <v>135.80000000000001</v>
      </c>
      <c r="AR126">
        <v>30.8</v>
      </c>
      <c r="AS126">
        <v>166.6</v>
      </c>
      <c r="AT126">
        <v>209.4</v>
      </c>
      <c r="AU126">
        <v>12</v>
      </c>
      <c r="AV126">
        <v>1.65</v>
      </c>
      <c r="AW126">
        <v>17.8</v>
      </c>
      <c r="AX126">
        <v>830.1</v>
      </c>
      <c r="AY126">
        <v>0.11</v>
      </c>
      <c r="AZ126">
        <v>210.2</v>
      </c>
      <c r="BA126">
        <v>42.6</v>
      </c>
      <c r="BB126">
        <v>252.8</v>
      </c>
      <c r="BC126">
        <v>5254987.5999999996</v>
      </c>
      <c r="BD126">
        <v>323.5</v>
      </c>
      <c r="BE126">
        <v>44.5</v>
      </c>
      <c r="BF126">
        <v>417691.1</v>
      </c>
      <c r="BG126">
        <v>20374.099999999999</v>
      </c>
      <c r="BH126">
        <v>2.4</v>
      </c>
      <c r="BI126">
        <v>5276788.9000000004</v>
      </c>
      <c r="BJ126">
        <v>1025501.7</v>
      </c>
      <c r="BK126">
        <v>6302290.7000000002</v>
      </c>
      <c r="BL126">
        <v>0</v>
      </c>
      <c r="BM126">
        <v>8.23</v>
      </c>
      <c r="BN126">
        <v>12.04</v>
      </c>
      <c r="BO126">
        <v>0</v>
      </c>
      <c r="BP126">
        <v>20.27</v>
      </c>
      <c r="BQ126">
        <v>9.69</v>
      </c>
      <c r="BR126">
        <v>14.74</v>
      </c>
      <c r="BS126">
        <v>0</v>
      </c>
      <c r="BT126">
        <v>24.43</v>
      </c>
      <c r="BU126">
        <v>334918500</v>
      </c>
      <c r="BV126">
        <v>301388800</v>
      </c>
      <c r="BW126">
        <v>21474512</v>
      </c>
      <c r="BX126">
        <v>20162.8</v>
      </c>
      <c r="BY126">
        <v>0</v>
      </c>
      <c r="BZ126">
        <v>0</v>
      </c>
      <c r="CA126">
        <v>2206805.2000000002</v>
      </c>
      <c r="CB126">
        <v>0</v>
      </c>
      <c r="CC126">
        <v>0</v>
      </c>
      <c r="CD126">
        <v>7248790.5</v>
      </c>
      <c r="CE126">
        <v>7075395</v>
      </c>
      <c r="CF126">
        <v>0</v>
      </c>
      <c r="CG126">
        <v>346384.1</v>
      </c>
      <c r="CH126">
        <v>0</v>
      </c>
      <c r="CI126">
        <v>2038954</v>
      </c>
      <c r="CJ126">
        <v>0</v>
      </c>
      <c r="CK126">
        <v>0</v>
      </c>
      <c r="CL126">
        <v>367461.6</v>
      </c>
      <c r="CM126">
        <v>0</v>
      </c>
      <c r="CN126">
        <v>78548240</v>
      </c>
      <c r="CO126">
        <v>215591780</v>
      </c>
      <c r="CP126">
        <v>0</v>
      </c>
      <c r="CQ126">
        <v>9731.7000000000007</v>
      </c>
      <c r="CR126">
        <v>9.6</v>
      </c>
      <c r="CS126">
        <v>0</v>
      </c>
      <c r="CT126">
        <v>3280</v>
      </c>
      <c r="CU126">
        <v>0</v>
      </c>
      <c r="CV126">
        <v>0</v>
      </c>
      <c r="CW126">
        <v>5866.6</v>
      </c>
      <c r="CX126">
        <v>8571.7999999999993</v>
      </c>
      <c r="CY126">
        <v>0</v>
      </c>
      <c r="CZ126">
        <v>4947.5</v>
      </c>
      <c r="DA126">
        <v>0</v>
      </c>
      <c r="DB126">
        <v>1278</v>
      </c>
      <c r="DC126">
        <v>0</v>
      </c>
      <c r="DD126">
        <v>0</v>
      </c>
      <c r="DE126">
        <v>258</v>
      </c>
      <c r="DF126">
        <v>0</v>
      </c>
      <c r="DG126">
        <v>44653.7</v>
      </c>
      <c r="DH126">
        <v>0</v>
      </c>
      <c r="DI126">
        <v>66627.3</v>
      </c>
      <c r="DJ126">
        <v>57457</v>
      </c>
      <c r="DK126">
        <v>2580</v>
      </c>
      <c r="DL126">
        <v>0</v>
      </c>
      <c r="DM126">
        <v>0</v>
      </c>
    </row>
    <row r="127" spans="1:117" x14ac:dyDescent="0.3">
      <c r="A127" t="s">
        <v>169</v>
      </c>
      <c r="B127">
        <v>2024</v>
      </c>
      <c r="C127">
        <v>193439400</v>
      </c>
      <c r="D127">
        <v>0</v>
      </c>
      <c r="E127">
        <v>18428.3</v>
      </c>
      <c r="F127">
        <v>1508075.7</v>
      </c>
      <c r="G127">
        <v>194965901.5</v>
      </c>
      <c r="H127">
        <v>186484944.5</v>
      </c>
      <c r="I127">
        <v>189950373.80000001</v>
      </c>
      <c r="J127">
        <v>76900570</v>
      </c>
      <c r="K127">
        <v>60937240</v>
      </c>
      <c r="L127">
        <v>3.5900000000000001E-2</v>
      </c>
      <c r="M127">
        <v>5.3999999999999999E-2</v>
      </c>
      <c r="N127">
        <v>0.183</v>
      </c>
      <c r="O127">
        <v>4126.1499999999996</v>
      </c>
      <c r="P127">
        <v>40139.4</v>
      </c>
      <c r="Q127">
        <v>0.28999999999999998</v>
      </c>
      <c r="R127">
        <v>0.34</v>
      </c>
      <c r="S127">
        <v>362.8</v>
      </c>
      <c r="T127">
        <v>17.2</v>
      </c>
      <c r="U127">
        <v>2.39</v>
      </c>
      <c r="V127">
        <v>37.200000000000003</v>
      </c>
      <c r="W127">
        <v>1475.7</v>
      </c>
      <c r="X127">
        <v>0.28000000000000003</v>
      </c>
      <c r="Y127">
        <v>363.9</v>
      </c>
      <c r="Z127">
        <v>81.2</v>
      </c>
      <c r="AA127">
        <v>445.1</v>
      </c>
      <c r="AB127">
        <v>365.7</v>
      </c>
      <c r="AC127">
        <v>19.2</v>
      </c>
      <c r="AD127">
        <v>2.69</v>
      </c>
      <c r="AE127">
        <v>35.299999999999997</v>
      </c>
      <c r="AF127">
        <v>1436.3</v>
      </c>
      <c r="AG127">
        <v>0.27</v>
      </c>
      <c r="AH127">
        <v>367</v>
      </c>
      <c r="AI127">
        <v>78.2</v>
      </c>
      <c r="AJ127">
        <v>445.2</v>
      </c>
      <c r="AK127">
        <v>428.7</v>
      </c>
      <c r="AL127">
        <v>21.6</v>
      </c>
      <c r="AM127">
        <v>3.16</v>
      </c>
      <c r="AN127">
        <v>41.4</v>
      </c>
      <c r="AO127">
        <v>1581</v>
      </c>
      <c r="AP127">
        <v>0.36</v>
      </c>
      <c r="AQ127">
        <v>430.2</v>
      </c>
      <c r="AR127">
        <v>88.6</v>
      </c>
      <c r="AS127">
        <v>518.79999999999995</v>
      </c>
      <c r="AT127">
        <v>771.4</v>
      </c>
      <c r="AU127">
        <v>59.2</v>
      </c>
      <c r="AV127">
        <v>8.5399999999999991</v>
      </c>
      <c r="AW127">
        <v>52.9</v>
      </c>
      <c r="AX127">
        <v>2450.1</v>
      </c>
      <c r="AY127">
        <v>0.48</v>
      </c>
      <c r="AZ127">
        <v>775.5</v>
      </c>
      <c r="BA127">
        <v>126</v>
      </c>
      <c r="BB127">
        <v>901.5</v>
      </c>
      <c r="BC127">
        <v>64535156.399999999</v>
      </c>
      <c r="BD127">
        <v>3050.8</v>
      </c>
      <c r="BE127">
        <v>425.1</v>
      </c>
      <c r="BF127">
        <v>6611543.9000000004</v>
      </c>
      <c r="BG127">
        <v>262444</v>
      </c>
      <c r="BH127">
        <v>50.6</v>
      </c>
      <c r="BI127">
        <v>64742117.100000001</v>
      </c>
      <c r="BJ127">
        <v>14446194.6</v>
      </c>
      <c r="BK127">
        <v>79188311.700000003</v>
      </c>
      <c r="BL127">
        <v>0</v>
      </c>
      <c r="BM127">
        <v>30.9</v>
      </c>
      <c r="BN127">
        <v>0.89</v>
      </c>
      <c r="BO127">
        <v>0</v>
      </c>
      <c r="BP127">
        <v>31.79</v>
      </c>
      <c r="BQ127">
        <v>32.72</v>
      </c>
      <c r="BR127">
        <v>0.96</v>
      </c>
      <c r="BS127">
        <v>0</v>
      </c>
      <c r="BT127">
        <v>33.68</v>
      </c>
      <c r="BU127">
        <v>178889820</v>
      </c>
      <c r="BV127">
        <v>5015528</v>
      </c>
      <c r="BW127">
        <v>0</v>
      </c>
      <c r="BX127">
        <v>1257300.8999999999</v>
      </c>
      <c r="BY127">
        <v>0</v>
      </c>
      <c r="BZ127">
        <v>0</v>
      </c>
      <c r="CA127">
        <v>17528374</v>
      </c>
      <c r="CB127">
        <v>0</v>
      </c>
      <c r="CC127">
        <v>0</v>
      </c>
      <c r="CD127">
        <v>1963266.8</v>
      </c>
      <c r="CE127">
        <v>100205784</v>
      </c>
      <c r="CF127">
        <v>0</v>
      </c>
      <c r="CG127">
        <v>1281594.2</v>
      </c>
      <c r="CH127">
        <v>0</v>
      </c>
      <c r="CI127">
        <v>3562629.2</v>
      </c>
      <c r="CJ127">
        <v>42740030</v>
      </c>
      <c r="CK127">
        <v>7283627</v>
      </c>
      <c r="CL127">
        <v>14950.9</v>
      </c>
      <c r="CM127">
        <v>0</v>
      </c>
      <c r="CN127">
        <v>3052261</v>
      </c>
      <c r="CO127">
        <v>0</v>
      </c>
      <c r="CP127">
        <v>0</v>
      </c>
      <c r="CQ127">
        <v>0</v>
      </c>
      <c r="CR127">
        <v>173.8</v>
      </c>
      <c r="CS127">
        <v>0</v>
      </c>
      <c r="CT127">
        <v>7775.3</v>
      </c>
      <c r="CU127">
        <v>0</v>
      </c>
      <c r="CV127">
        <v>0</v>
      </c>
      <c r="CW127">
        <v>1333.2</v>
      </c>
      <c r="CX127">
        <v>19197.7</v>
      </c>
      <c r="CY127">
        <v>0</v>
      </c>
      <c r="CZ127">
        <v>1473</v>
      </c>
      <c r="DA127">
        <v>0</v>
      </c>
      <c r="DB127">
        <v>1242.7</v>
      </c>
      <c r="DC127">
        <v>5351.7</v>
      </c>
      <c r="DD127">
        <v>6352</v>
      </c>
      <c r="DE127">
        <v>30</v>
      </c>
      <c r="DF127">
        <v>0</v>
      </c>
      <c r="DG127">
        <v>1350</v>
      </c>
      <c r="DH127">
        <v>0</v>
      </c>
      <c r="DI127">
        <v>0</v>
      </c>
      <c r="DJ127">
        <v>0</v>
      </c>
      <c r="DK127">
        <v>300</v>
      </c>
      <c r="DL127">
        <v>0</v>
      </c>
      <c r="DM127">
        <v>0</v>
      </c>
    </row>
    <row r="128" spans="1:117" x14ac:dyDescent="0.3">
      <c r="A128" t="s">
        <v>169</v>
      </c>
      <c r="B128">
        <v>2026</v>
      </c>
      <c r="C128">
        <v>198664580</v>
      </c>
      <c r="D128">
        <v>3795.4</v>
      </c>
      <c r="E128">
        <v>21982.2</v>
      </c>
      <c r="F128">
        <v>1898132.4</v>
      </c>
      <c r="G128">
        <v>200588486.30000001</v>
      </c>
      <c r="H128">
        <v>191522267.80000001</v>
      </c>
      <c r="I128">
        <v>193456288.09999999</v>
      </c>
      <c r="J128">
        <v>98070820</v>
      </c>
      <c r="K128">
        <v>75104470</v>
      </c>
      <c r="L128">
        <v>3.5900000000000001E-2</v>
      </c>
      <c r="M128">
        <v>5.3999999999999999E-2</v>
      </c>
      <c r="N128">
        <v>0.183</v>
      </c>
      <c r="O128">
        <v>45990.76</v>
      </c>
      <c r="P128">
        <v>41689.9</v>
      </c>
      <c r="Q128">
        <v>0.31</v>
      </c>
      <c r="R128">
        <v>0.39</v>
      </c>
      <c r="S128">
        <v>330.3</v>
      </c>
      <c r="T128">
        <v>14.5</v>
      </c>
      <c r="U128">
        <v>1.95</v>
      </c>
      <c r="V128">
        <v>34.6</v>
      </c>
      <c r="W128">
        <v>1418.6</v>
      </c>
      <c r="X128">
        <v>0.24</v>
      </c>
      <c r="Y128">
        <v>331.2</v>
      </c>
      <c r="Z128">
        <v>76.900000000000006</v>
      </c>
      <c r="AA128">
        <v>408.2</v>
      </c>
      <c r="AB128">
        <v>309.2</v>
      </c>
      <c r="AC128">
        <v>14.7</v>
      </c>
      <c r="AD128">
        <v>2</v>
      </c>
      <c r="AE128">
        <v>31.1</v>
      </c>
      <c r="AF128">
        <v>1296.0999999999999</v>
      </c>
      <c r="AG128">
        <v>0.21</v>
      </c>
      <c r="AH128">
        <v>310.2</v>
      </c>
      <c r="AI128">
        <v>69.8</v>
      </c>
      <c r="AJ128">
        <v>380</v>
      </c>
      <c r="AK128">
        <v>396.6</v>
      </c>
      <c r="AL128">
        <v>14.8</v>
      </c>
      <c r="AM128">
        <v>2.0699999999999998</v>
      </c>
      <c r="AN128">
        <v>42.4</v>
      </c>
      <c r="AO128">
        <v>1676.3</v>
      </c>
      <c r="AP128">
        <v>0.28999999999999998</v>
      </c>
      <c r="AQ128">
        <v>397.6</v>
      </c>
      <c r="AR128">
        <v>92.4</v>
      </c>
      <c r="AS128">
        <v>490.1</v>
      </c>
      <c r="AT128">
        <v>724.3</v>
      </c>
      <c r="AU128">
        <v>55</v>
      </c>
      <c r="AV128">
        <v>7.88</v>
      </c>
      <c r="AW128">
        <v>49.7</v>
      </c>
      <c r="AX128">
        <v>2360.5</v>
      </c>
      <c r="AY128">
        <v>0.43</v>
      </c>
      <c r="AZ128">
        <v>728</v>
      </c>
      <c r="BA128">
        <v>120.1</v>
      </c>
      <c r="BB128">
        <v>848.2</v>
      </c>
      <c r="BC128">
        <v>58265788.5</v>
      </c>
      <c r="BD128">
        <v>2550.8000000000002</v>
      </c>
      <c r="BE128">
        <v>344.7</v>
      </c>
      <c r="BF128">
        <v>6105498.2000000002</v>
      </c>
      <c r="BG128">
        <v>250253</v>
      </c>
      <c r="BH128">
        <v>41.6</v>
      </c>
      <c r="BI128">
        <v>58435903.200000003</v>
      </c>
      <c r="BJ128">
        <v>13574406.9</v>
      </c>
      <c r="BK128">
        <v>72010310.200000003</v>
      </c>
      <c r="BL128">
        <v>0</v>
      </c>
      <c r="BM128">
        <v>29.16</v>
      </c>
      <c r="BN128">
        <v>9.82</v>
      </c>
      <c r="BO128">
        <v>0</v>
      </c>
      <c r="BP128">
        <v>38.979999999999997</v>
      </c>
      <c r="BQ128">
        <v>30.88</v>
      </c>
      <c r="BR128">
        <v>10.64</v>
      </c>
      <c r="BS128">
        <v>0</v>
      </c>
      <c r="BT128">
        <v>41.52</v>
      </c>
      <c r="BU128">
        <v>177490270</v>
      </c>
      <c r="BV128">
        <v>7132198.5</v>
      </c>
      <c r="BW128">
        <v>3183.1</v>
      </c>
      <c r="BX128">
        <v>1257250.8</v>
      </c>
      <c r="BY128">
        <v>0</v>
      </c>
      <c r="BZ128">
        <v>0</v>
      </c>
      <c r="CA128">
        <v>14321178</v>
      </c>
      <c r="CB128">
        <v>0</v>
      </c>
      <c r="CC128">
        <v>0</v>
      </c>
      <c r="CD128">
        <v>3219074.5</v>
      </c>
      <c r="CE128">
        <v>103739960</v>
      </c>
      <c r="CF128">
        <v>0</v>
      </c>
      <c r="CG128">
        <v>897424</v>
      </c>
      <c r="CH128">
        <v>0</v>
      </c>
      <c r="CI128">
        <v>3564753.5</v>
      </c>
      <c r="CJ128">
        <v>42701030</v>
      </c>
      <c r="CK128">
        <v>3855924.8</v>
      </c>
      <c r="CL128">
        <v>17357.099999999999</v>
      </c>
      <c r="CM128">
        <v>0</v>
      </c>
      <c r="CN128">
        <v>3913123.5</v>
      </c>
      <c r="CO128">
        <v>0</v>
      </c>
      <c r="CP128">
        <v>0</v>
      </c>
      <c r="CQ128">
        <v>2.8</v>
      </c>
      <c r="CR128">
        <v>173.8</v>
      </c>
      <c r="CS128">
        <v>0</v>
      </c>
      <c r="CT128">
        <v>6957.6</v>
      </c>
      <c r="CU128">
        <v>0</v>
      </c>
      <c r="CV128">
        <v>0</v>
      </c>
      <c r="CW128">
        <v>2186.9</v>
      </c>
      <c r="CX128">
        <v>21363.9</v>
      </c>
      <c r="CY128">
        <v>0</v>
      </c>
      <c r="CZ128">
        <v>1473</v>
      </c>
      <c r="DA128">
        <v>0</v>
      </c>
      <c r="DB128">
        <v>1242.7</v>
      </c>
      <c r="DC128">
        <v>5351.7</v>
      </c>
      <c r="DD128">
        <v>5002.3</v>
      </c>
      <c r="DE128">
        <v>30</v>
      </c>
      <c r="DF128">
        <v>0</v>
      </c>
      <c r="DG128">
        <v>1735.1</v>
      </c>
      <c r="DH128">
        <v>0</v>
      </c>
      <c r="DI128">
        <v>0</v>
      </c>
      <c r="DJ128">
        <v>11.2</v>
      </c>
      <c r="DK128">
        <v>300</v>
      </c>
      <c r="DL128">
        <v>0</v>
      </c>
      <c r="DM128">
        <v>0</v>
      </c>
    </row>
    <row r="129" spans="1:117" x14ac:dyDescent="0.3">
      <c r="A129" t="s">
        <v>169</v>
      </c>
      <c r="B129">
        <v>2028</v>
      </c>
      <c r="C129">
        <v>206572910</v>
      </c>
      <c r="D129">
        <v>279771</v>
      </c>
      <c r="E129">
        <v>57717.7</v>
      </c>
      <c r="F129">
        <v>3098674.7</v>
      </c>
      <c r="G129">
        <v>210009076.40000001</v>
      </c>
      <c r="H129">
        <v>199146336.19999999</v>
      </c>
      <c r="I129">
        <v>197375701.5</v>
      </c>
      <c r="J129">
        <v>162012740</v>
      </c>
      <c r="K129">
        <v>112407540</v>
      </c>
      <c r="L129">
        <v>3.5900000000000001E-2</v>
      </c>
      <c r="M129">
        <v>5.3999999999999999E-2</v>
      </c>
      <c r="N129">
        <v>0.183</v>
      </c>
      <c r="O129">
        <v>62560.19</v>
      </c>
      <c r="P129">
        <v>42997.5</v>
      </c>
      <c r="Q129">
        <v>0.37</v>
      </c>
      <c r="R129">
        <v>0.54</v>
      </c>
      <c r="S129">
        <v>273.7</v>
      </c>
      <c r="T129">
        <v>9.5</v>
      </c>
      <c r="U129">
        <v>1.23</v>
      </c>
      <c r="V129">
        <v>31.4</v>
      </c>
      <c r="W129">
        <v>1265.0999999999999</v>
      </c>
      <c r="X129">
        <v>0.2</v>
      </c>
      <c r="Y129">
        <v>274.3</v>
      </c>
      <c r="Z129">
        <v>69.099999999999994</v>
      </c>
      <c r="AA129">
        <v>343.4</v>
      </c>
      <c r="AB129">
        <v>215.1</v>
      </c>
      <c r="AC129">
        <v>8.1</v>
      </c>
      <c r="AD129">
        <v>1.06</v>
      </c>
      <c r="AE129">
        <v>23.8</v>
      </c>
      <c r="AF129">
        <v>974.7</v>
      </c>
      <c r="AG129">
        <v>0.15</v>
      </c>
      <c r="AH129">
        <v>215.7</v>
      </c>
      <c r="AI129">
        <v>52.9</v>
      </c>
      <c r="AJ129">
        <v>268.60000000000002</v>
      </c>
      <c r="AK129">
        <v>322.2</v>
      </c>
      <c r="AL129">
        <v>6.6</v>
      </c>
      <c r="AM129">
        <v>0.69</v>
      </c>
      <c r="AN129">
        <v>37.700000000000003</v>
      </c>
      <c r="AO129">
        <v>1664.9</v>
      </c>
      <c r="AP129">
        <v>0.14000000000000001</v>
      </c>
      <c r="AQ129">
        <v>322.60000000000002</v>
      </c>
      <c r="AR129">
        <v>87.3</v>
      </c>
      <c r="AS129">
        <v>409.9</v>
      </c>
      <c r="AT129">
        <v>609.4</v>
      </c>
      <c r="AU129">
        <v>41.7</v>
      </c>
      <c r="AV129">
        <v>5.91</v>
      </c>
      <c r="AW129">
        <v>46.3</v>
      </c>
      <c r="AX129">
        <v>2143.5</v>
      </c>
      <c r="AY129">
        <v>0.36</v>
      </c>
      <c r="AZ129">
        <v>612.20000000000005</v>
      </c>
      <c r="BA129">
        <v>110.3</v>
      </c>
      <c r="BB129">
        <v>722.6</v>
      </c>
      <c r="BC129">
        <v>43518109.299999997</v>
      </c>
      <c r="BD129">
        <v>1513.7</v>
      </c>
      <c r="BE129">
        <v>195.1</v>
      </c>
      <c r="BF129">
        <v>4990718.3</v>
      </c>
      <c r="BG129">
        <v>201212.2</v>
      </c>
      <c r="BH129">
        <v>31.7</v>
      </c>
      <c r="BI129">
        <v>43616485</v>
      </c>
      <c r="BJ129">
        <v>10995498.4</v>
      </c>
      <c r="BK129">
        <v>54611983.399999999</v>
      </c>
      <c r="BL129">
        <v>0</v>
      </c>
      <c r="BM129">
        <v>25.2</v>
      </c>
      <c r="BN129">
        <v>13.14</v>
      </c>
      <c r="BO129">
        <v>0</v>
      </c>
      <c r="BP129">
        <v>38.340000000000003</v>
      </c>
      <c r="BQ129">
        <v>26.74</v>
      </c>
      <c r="BR129">
        <v>14.28</v>
      </c>
      <c r="BS129">
        <v>0</v>
      </c>
      <c r="BT129">
        <v>41.02</v>
      </c>
      <c r="BU129">
        <v>160206930</v>
      </c>
      <c r="BV129">
        <v>12633375</v>
      </c>
      <c r="BW129">
        <v>234415.4</v>
      </c>
      <c r="BX129">
        <v>1245230.8999999999</v>
      </c>
      <c r="BY129">
        <v>0</v>
      </c>
      <c r="BZ129">
        <v>0</v>
      </c>
      <c r="CA129">
        <v>6793961.5</v>
      </c>
      <c r="CB129">
        <v>0</v>
      </c>
      <c r="CC129">
        <v>0</v>
      </c>
      <c r="CD129">
        <v>4743119</v>
      </c>
      <c r="CE129">
        <v>91226230</v>
      </c>
      <c r="CF129">
        <v>0</v>
      </c>
      <c r="CG129">
        <v>461377</v>
      </c>
      <c r="CH129">
        <v>0</v>
      </c>
      <c r="CI129">
        <v>3502943.5</v>
      </c>
      <c r="CJ129">
        <v>41864016</v>
      </c>
      <c r="CK129">
        <v>2197798.5</v>
      </c>
      <c r="CL129">
        <v>47576.6</v>
      </c>
      <c r="CM129">
        <v>0</v>
      </c>
      <c r="CN129">
        <v>7890256</v>
      </c>
      <c r="CO129">
        <v>0</v>
      </c>
      <c r="CP129">
        <v>0</v>
      </c>
      <c r="CQ129">
        <v>171.6</v>
      </c>
      <c r="CR129">
        <v>173.8</v>
      </c>
      <c r="CS129">
        <v>0</v>
      </c>
      <c r="CT129">
        <v>6134.9</v>
      </c>
      <c r="CU129">
        <v>0</v>
      </c>
      <c r="CV129">
        <v>0</v>
      </c>
      <c r="CW129">
        <v>3231.9</v>
      </c>
      <c r="CX129">
        <v>22194.400000000001</v>
      </c>
      <c r="CY129">
        <v>0</v>
      </c>
      <c r="CZ129">
        <v>1473</v>
      </c>
      <c r="DA129">
        <v>0</v>
      </c>
      <c r="DB129">
        <v>1242.7</v>
      </c>
      <c r="DC129">
        <v>5351.7</v>
      </c>
      <c r="DD129">
        <v>5002.3</v>
      </c>
      <c r="DE129">
        <v>30</v>
      </c>
      <c r="DF129">
        <v>0</v>
      </c>
      <c r="DG129">
        <v>3397.8</v>
      </c>
      <c r="DH129">
        <v>0</v>
      </c>
      <c r="DI129">
        <v>0</v>
      </c>
      <c r="DJ129">
        <v>686.4</v>
      </c>
      <c r="DK129">
        <v>300</v>
      </c>
      <c r="DL129">
        <v>0</v>
      </c>
      <c r="DM129">
        <v>0</v>
      </c>
    </row>
    <row r="130" spans="1:117" x14ac:dyDescent="0.3">
      <c r="A130" t="s">
        <v>169</v>
      </c>
      <c r="B130">
        <v>2030</v>
      </c>
      <c r="C130">
        <v>214924640</v>
      </c>
      <c r="D130">
        <v>1410639.6</v>
      </c>
      <c r="E130">
        <v>64596.4</v>
      </c>
      <c r="F130">
        <v>4043917.3</v>
      </c>
      <c r="G130">
        <v>220443800.59999999</v>
      </c>
      <c r="H130">
        <v>207197868.5</v>
      </c>
      <c r="I130">
        <v>197377429.69999999</v>
      </c>
      <c r="J130">
        <v>211692220</v>
      </c>
      <c r="K130">
        <v>139503580</v>
      </c>
      <c r="L130">
        <v>3.5900000000000001E-2</v>
      </c>
      <c r="M130">
        <v>5.3999999999999999E-2</v>
      </c>
      <c r="N130">
        <v>0.183</v>
      </c>
      <c r="O130">
        <v>68843.509999999995</v>
      </c>
      <c r="P130">
        <v>45107.199999999997</v>
      </c>
      <c r="Q130">
        <v>0.47</v>
      </c>
      <c r="R130">
        <v>0.65</v>
      </c>
      <c r="S130">
        <v>227.5</v>
      </c>
      <c r="T130">
        <v>8.1</v>
      </c>
      <c r="U130">
        <v>1.03</v>
      </c>
      <c r="V130">
        <v>26.3</v>
      </c>
      <c r="W130">
        <v>1061.9000000000001</v>
      </c>
      <c r="X130">
        <v>0.17</v>
      </c>
      <c r="Y130">
        <v>228</v>
      </c>
      <c r="Z130">
        <v>58</v>
      </c>
      <c r="AA130">
        <v>286</v>
      </c>
      <c r="AB130">
        <v>157.9</v>
      </c>
      <c r="AC130">
        <v>6.1</v>
      </c>
      <c r="AD130">
        <v>0.79</v>
      </c>
      <c r="AE130">
        <v>17.600000000000001</v>
      </c>
      <c r="AF130">
        <v>721.7</v>
      </c>
      <c r="AG130">
        <v>0.11</v>
      </c>
      <c r="AH130">
        <v>158.30000000000001</v>
      </c>
      <c r="AI130">
        <v>39.200000000000003</v>
      </c>
      <c r="AJ130">
        <v>197.5</v>
      </c>
      <c r="AK130">
        <v>325.8</v>
      </c>
      <c r="AL130">
        <v>11</v>
      </c>
      <c r="AM130">
        <v>1.37</v>
      </c>
      <c r="AN130">
        <v>34.200000000000003</v>
      </c>
      <c r="AO130">
        <v>1547.2</v>
      </c>
      <c r="AP130">
        <v>0.15</v>
      </c>
      <c r="AQ130">
        <v>326.5</v>
      </c>
      <c r="AR130">
        <v>80.3</v>
      </c>
      <c r="AS130">
        <v>406.8</v>
      </c>
      <c r="AT130">
        <v>541.29999999999995</v>
      </c>
      <c r="AU130">
        <v>37.4</v>
      </c>
      <c r="AV130">
        <v>5.3</v>
      </c>
      <c r="AW130">
        <v>41</v>
      </c>
      <c r="AX130">
        <v>1899.4</v>
      </c>
      <c r="AY130">
        <v>0.32</v>
      </c>
      <c r="AZ130">
        <v>543.9</v>
      </c>
      <c r="BA130">
        <v>97.7</v>
      </c>
      <c r="BB130">
        <v>641.6</v>
      </c>
      <c r="BC130">
        <v>33363645.100000001</v>
      </c>
      <c r="BD130">
        <v>1181.9000000000001</v>
      </c>
      <c r="BE130">
        <v>150.6</v>
      </c>
      <c r="BF130">
        <v>3859309.8</v>
      </c>
      <c r="BG130">
        <v>155836.4</v>
      </c>
      <c r="BH130">
        <v>24.6</v>
      </c>
      <c r="BI130">
        <v>33439974.699999999</v>
      </c>
      <c r="BJ130">
        <v>8509949.3000000007</v>
      </c>
      <c r="BK130">
        <v>41949924</v>
      </c>
      <c r="BL130">
        <v>0</v>
      </c>
      <c r="BM130">
        <v>22.61</v>
      </c>
      <c r="BN130">
        <v>13.74</v>
      </c>
      <c r="BO130">
        <v>0</v>
      </c>
      <c r="BP130">
        <v>36.35</v>
      </c>
      <c r="BQ130">
        <v>24.06</v>
      </c>
      <c r="BR130">
        <v>15</v>
      </c>
      <c r="BS130">
        <v>0</v>
      </c>
      <c r="BT130">
        <v>39.06</v>
      </c>
      <c r="BU130">
        <v>147920900</v>
      </c>
      <c r="BV130">
        <v>23066370</v>
      </c>
      <c r="BW130">
        <v>1197212.8999999999</v>
      </c>
      <c r="BX130">
        <v>1092910.8999999999</v>
      </c>
      <c r="BY130">
        <v>0</v>
      </c>
      <c r="BZ130">
        <v>0</v>
      </c>
      <c r="CA130">
        <v>5629069</v>
      </c>
      <c r="CB130">
        <v>0</v>
      </c>
      <c r="CC130">
        <v>0</v>
      </c>
      <c r="CD130">
        <v>7006886.5</v>
      </c>
      <c r="CE130">
        <v>71921870</v>
      </c>
      <c r="CF130">
        <v>0</v>
      </c>
      <c r="CG130">
        <v>223064.6</v>
      </c>
      <c r="CH130">
        <v>0</v>
      </c>
      <c r="CI130">
        <v>3278718.2</v>
      </c>
      <c r="CJ130">
        <v>40624884</v>
      </c>
      <c r="CK130">
        <v>835712</v>
      </c>
      <c r="CL130">
        <v>51079.7</v>
      </c>
      <c r="CM130">
        <v>0</v>
      </c>
      <c r="CN130">
        <v>16059485</v>
      </c>
      <c r="CO130">
        <v>0</v>
      </c>
      <c r="CP130">
        <v>0</v>
      </c>
      <c r="CQ130">
        <v>645.5</v>
      </c>
      <c r="CR130">
        <v>162.69999999999999</v>
      </c>
      <c r="CS130">
        <v>0</v>
      </c>
      <c r="CT130">
        <v>6134.9</v>
      </c>
      <c r="CU130">
        <v>0</v>
      </c>
      <c r="CV130">
        <v>0</v>
      </c>
      <c r="CW130">
        <v>4789.3999999999996</v>
      </c>
      <c r="CX130">
        <v>21881.7</v>
      </c>
      <c r="CY130">
        <v>0</v>
      </c>
      <c r="CZ130">
        <v>1473</v>
      </c>
      <c r="DA130">
        <v>0</v>
      </c>
      <c r="DB130">
        <v>1242.7</v>
      </c>
      <c r="DC130">
        <v>5351.7</v>
      </c>
      <c r="DD130">
        <v>4458.3</v>
      </c>
      <c r="DE130">
        <v>30</v>
      </c>
      <c r="DF130">
        <v>0</v>
      </c>
      <c r="DG130">
        <v>6774.5</v>
      </c>
      <c r="DH130">
        <v>0</v>
      </c>
      <c r="DI130">
        <v>0</v>
      </c>
      <c r="DJ130">
        <v>3490.5</v>
      </c>
      <c r="DK130">
        <v>300</v>
      </c>
      <c r="DL130">
        <v>0</v>
      </c>
      <c r="DM130">
        <v>0</v>
      </c>
    </row>
    <row r="131" spans="1:117" x14ac:dyDescent="0.3">
      <c r="A131" t="s">
        <v>169</v>
      </c>
      <c r="B131">
        <v>2035</v>
      </c>
      <c r="C131">
        <v>241592580</v>
      </c>
      <c r="D131">
        <v>14935626</v>
      </c>
      <c r="E131">
        <v>70163.8</v>
      </c>
      <c r="F131">
        <v>4452035.8</v>
      </c>
      <c r="G131">
        <v>261050393.80000001</v>
      </c>
      <c r="H131">
        <v>232907300.59999999</v>
      </c>
      <c r="I131">
        <v>206988723.80000001</v>
      </c>
      <c r="J131">
        <v>236653730</v>
      </c>
      <c r="K131">
        <v>149536210</v>
      </c>
      <c r="L131">
        <v>3.5900000000000001E-2</v>
      </c>
      <c r="M131">
        <v>5.3999999999999999E-2</v>
      </c>
      <c r="N131">
        <v>0.183</v>
      </c>
      <c r="O131">
        <v>88084.99</v>
      </c>
      <c r="P131">
        <v>52194.8</v>
      </c>
      <c r="Q131">
        <v>0.64</v>
      </c>
      <c r="R131">
        <v>0.75</v>
      </c>
      <c r="S131">
        <v>157.1</v>
      </c>
      <c r="T131">
        <v>6.2</v>
      </c>
      <c r="U131">
        <v>0.8</v>
      </c>
      <c r="V131">
        <v>17.899999999999999</v>
      </c>
      <c r="W131">
        <v>721.9</v>
      </c>
      <c r="X131">
        <v>0.12</v>
      </c>
      <c r="Y131">
        <v>157.5</v>
      </c>
      <c r="Z131">
        <v>39.4</v>
      </c>
      <c r="AA131">
        <v>196.9</v>
      </c>
      <c r="AB131">
        <v>116.2</v>
      </c>
      <c r="AC131">
        <v>5</v>
      </c>
      <c r="AD131">
        <v>0.65</v>
      </c>
      <c r="AE131">
        <v>12.7</v>
      </c>
      <c r="AF131">
        <v>520.5</v>
      </c>
      <c r="AG131">
        <v>0.08</v>
      </c>
      <c r="AH131">
        <v>116.5</v>
      </c>
      <c r="AI131">
        <v>28.2</v>
      </c>
      <c r="AJ131">
        <v>144.69999999999999</v>
      </c>
      <c r="AK131">
        <v>281.10000000000002</v>
      </c>
      <c r="AL131">
        <v>12.6</v>
      </c>
      <c r="AM131">
        <v>1.66</v>
      </c>
      <c r="AN131">
        <v>26.7</v>
      </c>
      <c r="AO131">
        <v>1235.7</v>
      </c>
      <c r="AP131">
        <v>0.13</v>
      </c>
      <c r="AQ131">
        <v>281.89999999999998</v>
      </c>
      <c r="AR131">
        <v>63.6</v>
      </c>
      <c r="AS131">
        <v>345.5</v>
      </c>
      <c r="AT131">
        <v>487.9</v>
      </c>
      <c r="AU131">
        <v>33.6</v>
      </c>
      <c r="AV131">
        <v>4.7300000000000004</v>
      </c>
      <c r="AW131">
        <v>36.6</v>
      </c>
      <c r="AX131">
        <v>1748.2</v>
      </c>
      <c r="AY131">
        <v>0.26</v>
      </c>
      <c r="AZ131">
        <v>490.2</v>
      </c>
      <c r="BA131">
        <v>88.8</v>
      </c>
      <c r="BB131">
        <v>579</v>
      </c>
      <c r="BC131">
        <v>26955646.300000001</v>
      </c>
      <c r="BD131">
        <v>1059.7</v>
      </c>
      <c r="BE131">
        <v>136.4</v>
      </c>
      <c r="BF131">
        <v>3072249.6</v>
      </c>
      <c r="BG131">
        <v>123979.4</v>
      </c>
      <c r="BH131">
        <v>20.5</v>
      </c>
      <c r="BI131">
        <v>27024473.600000001</v>
      </c>
      <c r="BJ131">
        <v>6772432.5999999996</v>
      </c>
      <c r="BK131">
        <v>33796906.200000003</v>
      </c>
      <c r="BL131">
        <v>0</v>
      </c>
      <c r="BM131">
        <v>20.260000000000002</v>
      </c>
      <c r="BN131">
        <v>16.84</v>
      </c>
      <c r="BO131">
        <v>0</v>
      </c>
      <c r="BP131">
        <v>37.090000000000003</v>
      </c>
      <c r="BQ131">
        <v>22.18</v>
      </c>
      <c r="BR131">
        <v>19.38</v>
      </c>
      <c r="BS131">
        <v>0</v>
      </c>
      <c r="BT131">
        <v>41.56</v>
      </c>
      <c r="BU131">
        <v>173532420</v>
      </c>
      <c r="BV131">
        <v>54061670</v>
      </c>
      <c r="BW131">
        <v>12665022</v>
      </c>
      <c r="BX131">
        <v>990128</v>
      </c>
      <c r="BY131">
        <v>0</v>
      </c>
      <c r="BZ131">
        <v>0</v>
      </c>
      <c r="CA131">
        <v>5799760.5</v>
      </c>
      <c r="CB131">
        <v>0</v>
      </c>
      <c r="CC131">
        <v>0</v>
      </c>
      <c r="CD131">
        <v>9389525</v>
      </c>
      <c r="CE131">
        <v>55952950</v>
      </c>
      <c r="CF131">
        <v>0</v>
      </c>
      <c r="CG131">
        <v>768278.8</v>
      </c>
      <c r="CH131">
        <v>0</v>
      </c>
      <c r="CI131">
        <v>3140601.5</v>
      </c>
      <c r="CJ131">
        <v>39924956</v>
      </c>
      <c r="CK131">
        <v>172278.9</v>
      </c>
      <c r="CL131">
        <v>56769.1</v>
      </c>
      <c r="CM131">
        <v>0</v>
      </c>
      <c r="CN131">
        <v>44672144</v>
      </c>
      <c r="CO131">
        <v>0</v>
      </c>
      <c r="CP131">
        <v>0</v>
      </c>
      <c r="CQ131">
        <v>6689.9</v>
      </c>
      <c r="CR131">
        <v>162.69999999999999</v>
      </c>
      <c r="CS131">
        <v>0</v>
      </c>
      <c r="CT131">
        <v>6134.9</v>
      </c>
      <c r="CU131">
        <v>0</v>
      </c>
      <c r="CV131">
        <v>0</v>
      </c>
      <c r="CW131">
        <v>6548.5</v>
      </c>
      <c r="CX131">
        <v>21881.7</v>
      </c>
      <c r="CY131">
        <v>0</v>
      </c>
      <c r="CZ131">
        <v>5758.9</v>
      </c>
      <c r="DA131">
        <v>0</v>
      </c>
      <c r="DB131">
        <v>1242.7</v>
      </c>
      <c r="DC131">
        <v>5351.7</v>
      </c>
      <c r="DD131">
        <v>2478.1999999999998</v>
      </c>
      <c r="DE131">
        <v>30</v>
      </c>
      <c r="DF131">
        <v>0</v>
      </c>
      <c r="DG131">
        <v>18617.5</v>
      </c>
      <c r="DH131">
        <v>0</v>
      </c>
      <c r="DI131">
        <v>0</v>
      </c>
      <c r="DJ131">
        <v>37594.800000000003</v>
      </c>
      <c r="DK131">
        <v>300</v>
      </c>
      <c r="DL131">
        <v>0</v>
      </c>
      <c r="DM131">
        <v>0</v>
      </c>
    </row>
    <row r="132" spans="1:117" x14ac:dyDescent="0.3">
      <c r="A132" t="s">
        <v>169</v>
      </c>
      <c r="B132">
        <v>2040</v>
      </c>
      <c r="C132">
        <v>271583740</v>
      </c>
      <c r="D132">
        <v>23643848</v>
      </c>
      <c r="E132">
        <v>75518.5</v>
      </c>
      <c r="F132">
        <v>4963607</v>
      </c>
      <c r="G132">
        <v>300266724.19999999</v>
      </c>
      <c r="H132">
        <v>261820493.30000001</v>
      </c>
      <c r="I132">
        <v>229782126.90000001</v>
      </c>
      <c r="J132">
        <v>267617500</v>
      </c>
      <c r="K132">
        <v>160157090</v>
      </c>
      <c r="L132">
        <v>3.5900000000000001E-2</v>
      </c>
      <c r="M132">
        <v>5.3900000000000003E-2</v>
      </c>
      <c r="N132">
        <v>0.183</v>
      </c>
      <c r="O132">
        <v>86293.83</v>
      </c>
      <c r="P132">
        <v>59753.2</v>
      </c>
      <c r="Q132">
        <v>0.7</v>
      </c>
      <c r="R132">
        <v>0.8</v>
      </c>
      <c r="S132">
        <v>129.4</v>
      </c>
      <c r="T132">
        <v>4.5999999999999996</v>
      </c>
      <c r="U132">
        <v>0.57999999999999996</v>
      </c>
      <c r="V132">
        <v>15.3</v>
      </c>
      <c r="W132">
        <v>610.79999999999995</v>
      </c>
      <c r="X132">
        <v>0.1</v>
      </c>
      <c r="Y132">
        <v>129.69999999999999</v>
      </c>
      <c r="Z132">
        <v>33.5</v>
      </c>
      <c r="AA132">
        <v>163.19999999999999</v>
      </c>
      <c r="AB132">
        <v>92.2</v>
      </c>
      <c r="AC132">
        <v>3.5</v>
      </c>
      <c r="AD132">
        <v>0.45</v>
      </c>
      <c r="AE132">
        <v>10.6</v>
      </c>
      <c r="AF132">
        <v>427.5</v>
      </c>
      <c r="AG132">
        <v>7.0000000000000007E-2</v>
      </c>
      <c r="AH132">
        <v>92.4</v>
      </c>
      <c r="AI132">
        <v>23.3</v>
      </c>
      <c r="AJ132">
        <v>115.7</v>
      </c>
      <c r="AK132">
        <v>269.5</v>
      </c>
      <c r="AL132">
        <v>14.2</v>
      </c>
      <c r="AM132">
        <v>1.91</v>
      </c>
      <c r="AN132">
        <v>23.8</v>
      </c>
      <c r="AO132">
        <v>1119.3</v>
      </c>
      <c r="AP132">
        <v>0.13</v>
      </c>
      <c r="AQ132">
        <v>270.5</v>
      </c>
      <c r="AR132">
        <v>57.2</v>
      </c>
      <c r="AS132">
        <v>327.7</v>
      </c>
      <c r="AT132">
        <v>425.3</v>
      </c>
      <c r="AU132">
        <v>26.5</v>
      </c>
      <c r="AV132">
        <v>3.7</v>
      </c>
      <c r="AW132">
        <v>34.6</v>
      </c>
      <c r="AX132">
        <v>1608.6</v>
      </c>
      <c r="AY132">
        <v>0.23</v>
      </c>
      <c r="AZ132">
        <v>427.1</v>
      </c>
      <c r="BA132">
        <v>82.6</v>
      </c>
      <c r="BB132">
        <v>509.7</v>
      </c>
      <c r="BC132">
        <v>24525731.800000001</v>
      </c>
      <c r="BD132">
        <v>868.2</v>
      </c>
      <c r="BE132">
        <v>109.3</v>
      </c>
      <c r="BF132">
        <v>2907652.9</v>
      </c>
      <c r="BG132">
        <v>115941.1</v>
      </c>
      <c r="BH132">
        <v>19.100000000000001</v>
      </c>
      <c r="BI132">
        <v>24581436.100000001</v>
      </c>
      <c r="BJ132">
        <v>6367919.5999999996</v>
      </c>
      <c r="BK132">
        <v>30949355.699999999</v>
      </c>
      <c r="BL132">
        <v>0</v>
      </c>
      <c r="BM132">
        <v>17.87</v>
      </c>
      <c r="BN132">
        <v>16.309999999999999</v>
      </c>
      <c r="BO132">
        <v>0</v>
      </c>
      <c r="BP132">
        <v>34.19</v>
      </c>
      <c r="BQ132">
        <v>19.920000000000002</v>
      </c>
      <c r="BR132">
        <v>19.23</v>
      </c>
      <c r="BS132">
        <v>0</v>
      </c>
      <c r="BT132">
        <v>39.15</v>
      </c>
      <c r="BU132">
        <v>192388600</v>
      </c>
      <c r="BV132">
        <v>70484600</v>
      </c>
      <c r="BW132">
        <v>20159294</v>
      </c>
      <c r="BX132">
        <v>925344.6</v>
      </c>
      <c r="BY132">
        <v>0</v>
      </c>
      <c r="BZ132">
        <v>0</v>
      </c>
      <c r="CA132">
        <v>4306628</v>
      </c>
      <c r="CB132">
        <v>0</v>
      </c>
      <c r="CC132">
        <v>0</v>
      </c>
      <c r="CD132">
        <v>9925722</v>
      </c>
      <c r="CE132">
        <v>53173664</v>
      </c>
      <c r="CF132">
        <v>0</v>
      </c>
      <c r="CG132">
        <v>1001353.2</v>
      </c>
      <c r="CH132">
        <v>0</v>
      </c>
      <c r="CI132">
        <v>2973965.2</v>
      </c>
      <c r="CJ132">
        <v>39162256</v>
      </c>
      <c r="CK132">
        <v>141331.4</v>
      </c>
      <c r="CL132">
        <v>60178.3</v>
      </c>
      <c r="CM132">
        <v>0</v>
      </c>
      <c r="CN132">
        <v>60558870</v>
      </c>
      <c r="CO132">
        <v>0</v>
      </c>
      <c r="CP132">
        <v>0</v>
      </c>
      <c r="CQ132">
        <v>10384.799999999999</v>
      </c>
      <c r="CR132">
        <v>162.69999999999999</v>
      </c>
      <c r="CS132">
        <v>0</v>
      </c>
      <c r="CT132">
        <v>6134.9</v>
      </c>
      <c r="CU132">
        <v>0</v>
      </c>
      <c r="CV132">
        <v>0</v>
      </c>
      <c r="CW132">
        <v>7129.6</v>
      </c>
      <c r="CX132">
        <v>21881.7</v>
      </c>
      <c r="CY132">
        <v>0</v>
      </c>
      <c r="CZ132">
        <v>8706.9</v>
      </c>
      <c r="DA132">
        <v>0</v>
      </c>
      <c r="DB132">
        <v>1242.7</v>
      </c>
      <c r="DC132">
        <v>5351.7</v>
      </c>
      <c r="DD132">
        <v>2478.1999999999998</v>
      </c>
      <c r="DE132">
        <v>30</v>
      </c>
      <c r="DF132">
        <v>0</v>
      </c>
      <c r="DG132">
        <v>25564.2</v>
      </c>
      <c r="DH132">
        <v>0</v>
      </c>
      <c r="DI132">
        <v>0</v>
      </c>
      <c r="DJ132">
        <v>59132.4</v>
      </c>
      <c r="DK132">
        <v>300</v>
      </c>
      <c r="DL132">
        <v>0</v>
      </c>
      <c r="DM132">
        <v>0</v>
      </c>
    </row>
    <row r="133" spans="1:117" x14ac:dyDescent="0.3">
      <c r="A133" t="s">
        <v>169</v>
      </c>
      <c r="B133">
        <v>2045</v>
      </c>
      <c r="C133">
        <v>300044350</v>
      </c>
      <c r="D133">
        <v>48573932</v>
      </c>
      <c r="E133">
        <v>82085</v>
      </c>
      <c r="F133">
        <v>4893640.8</v>
      </c>
      <c r="G133">
        <v>353594020.80000001</v>
      </c>
      <c r="H133">
        <v>289258128.5</v>
      </c>
      <c r="I133">
        <v>236072953.59999999</v>
      </c>
      <c r="J133">
        <v>259646540</v>
      </c>
      <c r="K133">
        <v>165859950</v>
      </c>
      <c r="L133">
        <v>3.5900000000000001E-2</v>
      </c>
      <c r="M133">
        <v>5.3900000000000003E-2</v>
      </c>
      <c r="N133">
        <v>0.183</v>
      </c>
      <c r="O133">
        <v>83318.81</v>
      </c>
      <c r="P133">
        <v>68302.2</v>
      </c>
      <c r="Q133">
        <v>0.78</v>
      </c>
      <c r="R133">
        <v>0.82</v>
      </c>
      <c r="S133">
        <v>92.9</v>
      </c>
      <c r="T133">
        <v>3</v>
      </c>
      <c r="U133">
        <v>0.37</v>
      </c>
      <c r="V133">
        <v>11.3</v>
      </c>
      <c r="W133">
        <v>449.4</v>
      </c>
      <c r="X133">
        <v>7.0000000000000007E-2</v>
      </c>
      <c r="Y133">
        <v>93.1</v>
      </c>
      <c r="Z133">
        <v>24.7</v>
      </c>
      <c r="AA133">
        <v>117.8</v>
      </c>
      <c r="AB133">
        <v>76.900000000000006</v>
      </c>
      <c r="AC133">
        <v>2.5</v>
      </c>
      <c r="AD133">
        <v>0.31</v>
      </c>
      <c r="AE133">
        <v>9.1999999999999993</v>
      </c>
      <c r="AF133">
        <v>369.9</v>
      </c>
      <c r="AG133">
        <v>0.06</v>
      </c>
      <c r="AH133">
        <v>77.099999999999994</v>
      </c>
      <c r="AI133">
        <v>20.2</v>
      </c>
      <c r="AJ133">
        <v>97.3</v>
      </c>
      <c r="AK133">
        <v>197</v>
      </c>
      <c r="AL133">
        <v>9.1999999999999993</v>
      </c>
      <c r="AM133">
        <v>1.23</v>
      </c>
      <c r="AN133">
        <v>20</v>
      </c>
      <c r="AO133">
        <v>857</v>
      </c>
      <c r="AP133">
        <v>0.13</v>
      </c>
      <c r="AQ133">
        <v>197.6</v>
      </c>
      <c r="AR133">
        <v>45.5</v>
      </c>
      <c r="AS133">
        <v>243.1</v>
      </c>
      <c r="AT133">
        <v>372</v>
      </c>
      <c r="AU133">
        <v>21.1</v>
      </c>
      <c r="AV133">
        <v>2.9</v>
      </c>
      <c r="AW133">
        <v>32.200000000000003</v>
      </c>
      <c r="AX133">
        <v>1478.8</v>
      </c>
      <c r="AY133">
        <v>0.2</v>
      </c>
      <c r="AZ133">
        <v>373.5</v>
      </c>
      <c r="BA133">
        <v>76.3</v>
      </c>
      <c r="BB133">
        <v>449.8</v>
      </c>
      <c r="BC133">
        <v>23692835.300000001</v>
      </c>
      <c r="BD133">
        <v>755.5</v>
      </c>
      <c r="BE133">
        <v>92.6</v>
      </c>
      <c r="BF133">
        <v>2883425</v>
      </c>
      <c r="BG133">
        <v>114752.8</v>
      </c>
      <c r="BH133">
        <v>18.5</v>
      </c>
      <c r="BI133">
        <v>23740630.699999999</v>
      </c>
      <c r="BJ133">
        <v>6308105.0999999996</v>
      </c>
      <c r="BK133">
        <v>30048735.699999999</v>
      </c>
      <c r="BL133">
        <v>0</v>
      </c>
      <c r="BM133">
        <v>15.29</v>
      </c>
      <c r="BN133">
        <v>14.58</v>
      </c>
      <c r="BO133">
        <v>0</v>
      </c>
      <c r="BP133">
        <v>29.86</v>
      </c>
      <c r="BQ133">
        <v>17.88</v>
      </c>
      <c r="BR133">
        <v>18.329999999999998</v>
      </c>
      <c r="BS133">
        <v>0</v>
      </c>
      <c r="BT133">
        <v>36.21</v>
      </c>
      <c r="BU133">
        <v>259462220</v>
      </c>
      <c r="BV133">
        <v>117521064</v>
      </c>
      <c r="BW133">
        <v>41416844</v>
      </c>
      <c r="BX133">
        <v>809066.2</v>
      </c>
      <c r="BY133">
        <v>0</v>
      </c>
      <c r="BZ133">
        <v>0</v>
      </c>
      <c r="CA133">
        <v>3406848.8</v>
      </c>
      <c r="CB133">
        <v>0</v>
      </c>
      <c r="CC133">
        <v>0</v>
      </c>
      <c r="CD133">
        <v>10251037</v>
      </c>
      <c r="CE133">
        <v>53640796</v>
      </c>
      <c r="CF133">
        <v>0</v>
      </c>
      <c r="CG133">
        <v>1021920</v>
      </c>
      <c r="CH133">
        <v>0</v>
      </c>
      <c r="CI133">
        <v>2868219.8</v>
      </c>
      <c r="CJ133">
        <v>38617500</v>
      </c>
      <c r="CK133">
        <v>92822.7</v>
      </c>
      <c r="CL133">
        <v>67143.8</v>
      </c>
      <c r="CM133">
        <v>0</v>
      </c>
      <c r="CN133">
        <v>107270030</v>
      </c>
      <c r="CO133">
        <v>0</v>
      </c>
      <c r="CP133">
        <v>0</v>
      </c>
      <c r="CQ133">
        <v>18766.7</v>
      </c>
      <c r="CR133">
        <v>154.69999999999999</v>
      </c>
      <c r="CS133">
        <v>0</v>
      </c>
      <c r="CT133">
        <v>6134.9</v>
      </c>
      <c r="CU133">
        <v>0</v>
      </c>
      <c r="CV133">
        <v>0</v>
      </c>
      <c r="CW133">
        <v>7669.5</v>
      </c>
      <c r="CX133">
        <v>21881.7</v>
      </c>
      <c r="CY133">
        <v>0</v>
      </c>
      <c r="CZ133">
        <v>9282.2000000000007</v>
      </c>
      <c r="DA133">
        <v>0</v>
      </c>
      <c r="DB133">
        <v>1242.7</v>
      </c>
      <c r="DC133">
        <v>5351.7</v>
      </c>
      <c r="DD133">
        <v>2270.8000000000002</v>
      </c>
      <c r="DE133">
        <v>30</v>
      </c>
      <c r="DF133">
        <v>0</v>
      </c>
      <c r="DG133">
        <v>44904.1</v>
      </c>
      <c r="DH133">
        <v>0</v>
      </c>
      <c r="DI133">
        <v>0</v>
      </c>
      <c r="DJ133">
        <v>124189.7</v>
      </c>
      <c r="DK133">
        <v>300</v>
      </c>
      <c r="DL133">
        <v>0</v>
      </c>
      <c r="DM133">
        <v>0</v>
      </c>
    </row>
    <row r="134" spans="1:117" x14ac:dyDescent="0.3">
      <c r="A134" t="s">
        <v>169</v>
      </c>
      <c r="B134">
        <v>2050</v>
      </c>
      <c r="C134">
        <v>328780130</v>
      </c>
      <c r="D134">
        <v>69464040</v>
      </c>
      <c r="E134">
        <v>79838.399999999994</v>
      </c>
      <c r="F134">
        <v>5022241</v>
      </c>
      <c r="G134">
        <v>403346251.19999999</v>
      </c>
      <c r="H134">
        <v>316961128.60000002</v>
      </c>
      <c r="I134">
        <v>226535724.40000001</v>
      </c>
      <c r="J134">
        <v>259272200</v>
      </c>
      <c r="K134">
        <v>173542100</v>
      </c>
      <c r="L134">
        <v>3.5900000000000001E-2</v>
      </c>
      <c r="M134">
        <v>5.3900000000000003E-2</v>
      </c>
      <c r="N134">
        <v>0.183</v>
      </c>
      <c r="O134">
        <v>82391.72</v>
      </c>
      <c r="P134">
        <v>76239.8</v>
      </c>
      <c r="Q134">
        <v>0.81</v>
      </c>
      <c r="R134">
        <v>0.83</v>
      </c>
      <c r="S134">
        <v>82.4</v>
      </c>
      <c r="T134">
        <v>2.9</v>
      </c>
      <c r="U134">
        <v>0.37</v>
      </c>
      <c r="V134">
        <v>9</v>
      </c>
      <c r="W134">
        <v>387.7</v>
      </c>
      <c r="X134">
        <v>0.05</v>
      </c>
      <c r="Y134">
        <v>82.6</v>
      </c>
      <c r="Z134">
        <v>20.6</v>
      </c>
      <c r="AA134">
        <v>103.2</v>
      </c>
      <c r="AB134">
        <v>75.2</v>
      </c>
      <c r="AC134">
        <v>2.7</v>
      </c>
      <c r="AD134">
        <v>0.34</v>
      </c>
      <c r="AE134">
        <v>8.1</v>
      </c>
      <c r="AF134">
        <v>352.3</v>
      </c>
      <c r="AG134">
        <v>0.04</v>
      </c>
      <c r="AH134">
        <v>75.400000000000006</v>
      </c>
      <c r="AI134">
        <v>18.600000000000001</v>
      </c>
      <c r="AJ134">
        <v>94</v>
      </c>
      <c r="AK134">
        <v>188.3</v>
      </c>
      <c r="AL134">
        <v>8.1</v>
      </c>
      <c r="AM134">
        <v>1.07</v>
      </c>
      <c r="AN134">
        <v>20.6</v>
      </c>
      <c r="AO134">
        <v>843.2</v>
      </c>
      <c r="AP134">
        <v>0.14000000000000001</v>
      </c>
      <c r="AQ134">
        <v>188.8</v>
      </c>
      <c r="AR134">
        <v>45.7</v>
      </c>
      <c r="AS134">
        <v>234.5</v>
      </c>
      <c r="AT134">
        <v>349.7</v>
      </c>
      <c r="AU134">
        <v>19</v>
      </c>
      <c r="AV134">
        <v>2.6</v>
      </c>
      <c r="AW134">
        <v>30.9</v>
      </c>
      <c r="AX134">
        <v>1419.8</v>
      </c>
      <c r="AY134">
        <v>0.18</v>
      </c>
      <c r="AZ134">
        <v>351</v>
      </c>
      <c r="BA134">
        <v>73.3</v>
      </c>
      <c r="BB134">
        <v>424.2</v>
      </c>
      <c r="BC134">
        <v>25682286.899999999</v>
      </c>
      <c r="BD134">
        <v>914.8</v>
      </c>
      <c r="BE134">
        <v>115</v>
      </c>
      <c r="BF134">
        <v>2809845.9</v>
      </c>
      <c r="BG134">
        <v>120983.6</v>
      </c>
      <c r="BH134">
        <v>14.8</v>
      </c>
      <c r="BI134">
        <v>25740934</v>
      </c>
      <c r="BJ134">
        <v>6419210</v>
      </c>
      <c r="BK134">
        <v>32160144.100000001</v>
      </c>
      <c r="BL134">
        <v>0</v>
      </c>
      <c r="BM134">
        <v>14.46</v>
      </c>
      <c r="BN134">
        <v>13.92</v>
      </c>
      <c r="BO134">
        <v>0</v>
      </c>
      <c r="BP134">
        <v>28.38</v>
      </c>
      <c r="BQ134">
        <v>17.52</v>
      </c>
      <c r="BR134">
        <v>18.22</v>
      </c>
      <c r="BS134">
        <v>0</v>
      </c>
      <c r="BT134">
        <v>35.74</v>
      </c>
      <c r="BU134">
        <v>317176130</v>
      </c>
      <c r="BV134">
        <v>176810530</v>
      </c>
      <c r="BW134">
        <v>59163930</v>
      </c>
      <c r="BX134">
        <v>760590.7</v>
      </c>
      <c r="BY134">
        <v>0</v>
      </c>
      <c r="BZ134">
        <v>0</v>
      </c>
      <c r="CA134">
        <v>4780085.5</v>
      </c>
      <c r="CB134">
        <v>0</v>
      </c>
      <c r="CC134">
        <v>0</v>
      </c>
      <c r="CD134">
        <v>10376816</v>
      </c>
      <c r="CE134">
        <v>55508172</v>
      </c>
      <c r="CF134">
        <v>0</v>
      </c>
      <c r="CG134">
        <v>1051081.8999999999</v>
      </c>
      <c r="CH134">
        <v>0</v>
      </c>
      <c r="CI134">
        <v>2780283.5</v>
      </c>
      <c r="CJ134">
        <v>16235117</v>
      </c>
      <c r="CK134">
        <v>23354.400000000001</v>
      </c>
      <c r="CL134">
        <v>62976.7</v>
      </c>
      <c r="CM134">
        <v>0</v>
      </c>
      <c r="CN134">
        <v>166187090</v>
      </c>
      <c r="CO134">
        <v>246627.20000000001</v>
      </c>
      <c r="CP134">
        <v>0</v>
      </c>
      <c r="CQ134">
        <v>27290.400000000001</v>
      </c>
      <c r="CR134">
        <v>154.69999999999999</v>
      </c>
      <c r="CS134">
        <v>0</v>
      </c>
      <c r="CT134">
        <v>5719.6</v>
      </c>
      <c r="CU134">
        <v>0</v>
      </c>
      <c r="CV134">
        <v>0</v>
      </c>
      <c r="CW134">
        <v>8459.4</v>
      </c>
      <c r="CX134">
        <v>21881.7</v>
      </c>
      <c r="CY134">
        <v>0</v>
      </c>
      <c r="CZ134">
        <v>10914.2</v>
      </c>
      <c r="DA134">
        <v>0</v>
      </c>
      <c r="DB134">
        <v>1242.7</v>
      </c>
      <c r="DC134">
        <v>2277</v>
      </c>
      <c r="DD134">
        <v>622.6</v>
      </c>
      <c r="DE134">
        <v>30</v>
      </c>
      <c r="DF134">
        <v>0</v>
      </c>
      <c r="DG134">
        <v>70679.899999999994</v>
      </c>
      <c r="DH134">
        <v>0</v>
      </c>
      <c r="DI134">
        <v>78.099999999999994</v>
      </c>
      <c r="DJ134">
        <v>174254.9</v>
      </c>
      <c r="DK134">
        <v>300</v>
      </c>
      <c r="DL134">
        <v>0</v>
      </c>
      <c r="DM134">
        <v>0</v>
      </c>
    </row>
    <row r="135" spans="1:117" x14ac:dyDescent="0.3">
      <c r="A135" t="s">
        <v>170</v>
      </c>
      <c r="B135">
        <v>2024</v>
      </c>
      <c r="C135">
        <v>106465464</v>
      </c>
      <c r="D135">
        <v>0</v>
      </c>
      <c r="E135">
        <v>526340</v>
      </c>
      <c r="F135">
        <v>2305029.4</v>
      </c>
      <c r="G135">
        <v>109296833.7</v>
      </c>
      <c r="H135">
        <v>102637484.5</v>
      </c>
      <c r="I135">
        <v>85451761.200000003</v>
      </c>
      <c r="J135">
        <v>123684340</v>
      </c>
      <c r="K135">
        <v>149161020</v>
      </c>
      <c r="L135">
        <v>3.5900000000000001E-2</v>
      </c>
      <c r="M135">
        <v>5.3999999999999999E-2</v>
      </c>
      <c r="N135">
        <v>0.183</v>
      </c>
      <c r="O135">
        <v>24584.55</v>
      </c>
      <c r="P135">
        <v>25218.1</v>
      </c>
      <c r="Q135">
        <v>0.43</v>
      </c>
      <c r="R135">
        <v>0.46</v>
      </c>
      <c r="S135">
        <v>557.9</v>
      </c>
      <c r="T135">
        <v>62.1</v>
      </c>
      <c r="U135">
        <v>9.02</v>
      </c>
      <c r="V135">
        <v>21.3</v>
      </c>
      <c r="W135">
        <v>1289.3</v>
      </c>
      <c r="X135">
        <v>0.33</v>
      </c>
      <c r="Y135">
        <v>562.29999999999995</v>
      </c>
      <c r="Z135">
        <v>59.8</v>
      </c>
      <c r="AA135">
        <v>622.1</v>
      </c>
      <c r="AB135">
        <v>554.29999999999995</v>
      </c>
      <c r="AC135">
        <v>61.7</v>
      </c>
      <c r="AD135">
        <v>8.9600000000000009</v>
      </c>
      <c r="AE135">
        <v>20.7</v>
      </c>
      <c r="AF135">
        <v>1278.7</v>
      </c>
      <c r="AG135">
        <v>0.31</v>
      </c>
      <c r="AH135">
        <v>558.6</v>
      </c>
      <c r="AI135">
        <v>58.8</v>
      </c>
      <c r="AJ135">
        <v>617.5</v>
      </c>
      <c r="AK135">
        <v>376.1</v>
      </c>
      <c r="AL135">
        <v>27.3</v>
      </c>
      <c r="AM135">
        <v>3.86</v>
      </c>
      <c r="AN135">
        <v>26.5</v>
      </c>
      <c r="AO135">
        <v>1299.9000000000001</v>
      </c>
      <c r="AP135">
        <v>0.2</v>
      </c>
      <c r="AQ135">
        <v>378</v>
      </c>
      <c r="AR135">
        <v>65.2</v>
      </c>
      <c r="AS135">
        <v>443.2</v>
      </c>
      <c r="AT135">
        <v>816.4</v>
      </c>
      <c r="AU135">
        <v>67.8</v>
      </c>
      <c r="AV135">
        <v>9.8000000000000007</v>
      </c>
      <c r="AW135">
        <v>51</v>
      </c>
      <c r="AX135">
        <v>2458.5</v>
      </c>
      <c r="AY135">
        <v>0.5</v>
      </c>
      <c r="AZ135">
        <v>821.1</v>
      </c>
      <c r="BA135">
        <v>124.4</v>
      </c>
      <c r="BB135">
        <v>945.4</v>
      </c>
      <c r="BC135">
        <v>74751050.799999997</v>
      </c>
      <c r="BD135">
        <v>8322</v>
      </c>
      <c r="BE135">
        <v>1208</v>
      </c>
      <c r="BF135">
        <v>2854761.9</v>
      </c>
      <c r="BG135">
        <v>172723.5</v>
      </c>
      <c r="BH135">
        <v>43.6</v>
      </c>
      <c r="BI135">
        <v>75328825.5</v>
      </c>
      <c r="BJ135">
        <v>8013818.7999999998</v>
      </c>
      <c r="BK135">
        <v>83342644.299999997</v>
      </c>
      <c r="BL135">
        <v>0</v>
      </c>
      <c r="BM135">
        <v>29.93</v>
      </c>
      <c r="BN135">
        <v>5.4</v>
      </c>
      <c r="BO135">
        <v>0</v>
      </c>
      <c r="BP135">
        <v>35.33</v>
      </c>
      <c r="BQ135">
        <v>31.77</v>
      </c>
      <c r="BR135">
        <v>5.94</v>
      </c>
      <c r="BS135">
        <v>0</v>
      </c>
      <c r="BT135">
        <v>37.71</v>
      </c>
      <c r="BU135">
        <v>134897580</v>
      </c>
      <c r="BV135">
        <v>23845072</v>
      </c>
      <c r="BW135">
        <v>0</v>
      </c>
      <c r="BX135">
        <v>86645.1</v>
      </c>
      <c r="BY135">
        <v>0</v>
      </c>
      <c r="BZ135">
        <v>0</v>
      </c>
      <c r="CA135">
        <v>69774920</v>
      </c>
      <c r="CB135">
        <v>0</v>
      </c>
      <c r="CC135">
        <v>0</v>
      </c>
      <c r="CD135">
        <v>253480</v>
      </c>
      <c r="CE135">
        <v>6451250.5</v>
      </c>
      <c r="CF135">
        <v>0</v>
      </c>
      <c r="CG135">
        <v>481749</v>
      </c>
      <c r="CH135">
        <v>0</v>
      </c>
      <c r="CI135">
        <v>834767.5</v>
      </c>
      <c r="CJ135">
        <v>32969702</v>
      </c>
      <c r="CK135">
        <v>16204.4</v>
      </c>
      <c r="CL135">
        <v>437276</v>
      </c>
      <c r="CM135">
        <v>0</v>
      </c>
      <c r="CN135">
        <v>3817264.5</v>
      </c>
      <c r="CO135">
        <v>19774328</v>
      </c>
      <c r="CP135">
        <v>0</v>
      </c>
      <c r="CQ135">
        <v>0</v>
      </c>
      <c r="CR135">
        <v>19.2</v>
      </c>
      <c r="CS135">
        <v>0</v>
      </c>
      <c r="CT135">
        <v>14900.5</v>
      </c>
      <c r="CU135">
        <v>0</v>
      </c>
      <c r="CV135">
        <v>0</v>
      </c>
      <c r="CW135">
        <v>172.4</v>
      </c>
      <c r="CX135">
        <v>2125</v>
      </c>
      <c r="CY135">
        <v>0</v>
      </c>
      <c r="CZ135">
        <v>4385.8</v>
      </c>
      <c r="DA135">
        <v>0</v>
      </c>
      <c r="DB135">
        <v>268.39999999999998</v>
      </c>
      <c r="DC135">
        <v>4131</v>
      </c>
      <c r="DD135">
        <v>520.5</v>
      </c>
      <c r="DE135">
        <v>471</v>
      </c>
      <c r="DF135">
        <v>0</v>
      </c>
      <c r="DG135">
        <v>1699.8</v>
      </c>
      <c r="DH135">
        <v>0</v>
      </c>
      <c r="DI135">
        <v>6065.7</v>
      </c>
      <c r="DJ135">
        <v>0</v>
      </c>
      <c r="DK135">
        <v>4710</v>
      </c>
      <c r="DL135">
        <v>0</v>
      </c>
      <c r="DM135">
        <v>0</v>
      </c>
    </row>
    <row r="136" spans="1:117" x14ac:dyDescent="0.3">
      <c r="A136" t="s">
        <v>170</v>
      </c>
      <c r="B136">
        <v>2026</v>
      </c>
      <c r="C136">
        <v>109113230</v>
      </c>
      <c r="D136">
        <v>2379.1999999999998</v>
      </c>
      <c r="E136">
        <v>381982.4</v>
      </c>
      <c r="F136">
        <v>2480537.7999999998</v>
      </c>
      <c r="G136">
        <v>111978122.59999999</v>
      </c>
      <c r="H136">
        <v>105189997.7</v>
      </c>
      <c r="I136">
        <v>88096097.099999994</v>
      </c>
      <c r="J136">
        <v>141363700</v>
      </c>
      <c r="K136">
        <v>152965010</v>
      </c>
      <c r="L136">
        <v>3.5900000000000001E-2</v>
      </c>
      <c r="M136">
        <v>5.3999999999999999E-2</v>
      </c>
      <c r="N136">
        <v>0.183</v>
      </c>
      <c r="O136">
        <v>53885.96</v>
      </c>
      <c r="P136">
        <v>24932.2</v>
      </c>
      <c r="Q136">
        <v>0.47</v>
      </c>
      <c r="R136">
        <v>0.52</v>
      </c>
      <c r="S136">
        <v>521.29999999999995</v>
      </c>
      <c r="T136">
        <v>58.3</v>
      </c>
      <c r="U136">
        <v>8.4600000000000009</v>
      </c>
      <c r="V136">
        <v>20</v>
      </c>
      <c r="W136">
        <v>1197.0999999999999</v>
      </c>
      <c r="X136">
        <v>0.31</v>
      </c>
      <c r="Y136">
        <v>525.29999999999995</v>
      </c>
      <c r="Z136">
        <v>55.8</v>
      </c>
      <c r="AA136">
        <v>581.1</v>
      </c>
      <c r="AB136">
        <v>488.1</v>
      </c>
      <c r="AC136">
        <v>54.5</v>
      </c>
      <c r="AD136">
        <v>7.91</v>
      </c>
      <c r="AE136">
        <v>18.2</v>
      </c>
      <c r="AF136">
        <v>1121.9000000000001</v>
      </c>
      <c r="AG136">
        <v>0.28000000000000003</v>
      </c>
      <c r="AH136">
        <v>491.9</v>
      </c>
      <c r="AI136">
        <v>51.7</v>
      </c>
      <c r="AJ136">
        <v>543.70000000000005</v>
      </c>
      <c r="AK136">
        <v>286.10000000000002</v>
      </c>
      <c r="AL136">
        <v>17.2</v>
      </c>
      <c r="AM136">
        <v>2.38</v>
      </c>
      <c r="AN136">
        <v>23.3</v>
      </c>
      <c r="AO136">
        <v>1104.9000000000001</v>
      </c>
      <c r="AP136">
        <v>0.14000000000000001</v>
      </c>
      <c r="AQ136">
        <v>287.2</v>
      </c>
      <c r="AR136">
        <v>56.3</v>
      </c>
      <c r="AS136">
        <v>343.5</v>
      </c>
      <c r="AT136">
        <v>782.1</v>
      </c>
      <c r="AU136">
        <v>65.2</v>
      </c>
      <c r="AV136">
        <v>9.3699999999999992</v>
      </c>
      <c r="AW136">
        <v>48.1</v>
      </c>
      <c r="AX136">
        <v>2388.5</v>
      </c>
      <c r="AY136">
        <v>0.45</v>
      </c>
      <c r="AZ136">
        <v>786.6</v>
      </c>
      <c r="BA136">
        <v>119.4</v>
      </c>
      <c r="BB136">
        <v>906</v>
      </c>
      <c r="BC136">
        <v>63986152.299999997</v>
      </c>
      <c r="BD136">
        <v>7156.2</v>
      </c>
      <c r="BE136">
        <v>1039</v>
      </c>
      <c r="BF136">
        <v>2455599.7000000002</v>
      </c>
      <c r="BG136">
        <v>146935.5</v>
      </c>
      <c r="BH136">
        <v>38.299999999999997</v>
      </c>
      <c r="BI136">
        <v>64483063.399999999</v>
      </c>
      <c r="BJ136">
        <v>6844721</v>
      </c>
      <c r="BK136">
        <v>71327784.400000006</v>
      </c>
      <c r="BL136">
        <v>0</v>
      </c>
      <c r="BM136">
        <v>28.67</v>
      </c>
      <c r="BN136">
        <v>11.82</v>
      </c>
      <c r="BO136">
        <v>0</v>
      </c>
      <c r="BP136">
        <v>40.49</v>
      </c>
      <c r="BQ136">
        <v>30.42</v>
      </c>
      <c r="BR136">
        <v>12.93</v>
      </c>
      <c r="BS136">
        <v>0</v>
      </c>
      <c r="BT136">
        <v>43.34</v>
      </c>
      <c r="BU136">
        <v>123622530</v>
      </c>
      <c r="BV136">
        <v>23882026</v>
      </c>
      <c r="BW136">
        <v>2043.1</v>
      </c>
      <c r="BX136">
        <v>85961.5</v>
      </c>
      <c r="BY136">
        <v>0</v>
      </c>
      <c r="BZ136">
        <v>0</v>
      </c>
      <c r="CA136">
        <v>60251316</v>
      </c>
      <c r="CB136">
        <v>0</v>
      </c>
      <c r="CC136">
        <v>0</v>
      </c>
      <c r="CD136">
        <v>400653.3</v>
      </c>
      <c r="CE136">
        <v>5030907.5</v>
      </c>
      <c r="CF136">
        <v>0</v>
      </c>
      <c r="CG136">
        <v>224275.6</v>
      </c>
      <c r="CH136">
        <v>0</v>
      </c>
      <c r="CI136">
        <v>892796.3</v>
      </c>
      <c r="CJ136">
        <v>32942124</v>
      </c>
      <c r="CK136">
        <v>8265.9</v>
      </c>
      <c r="CL136">
        <v>302811.09999999998</v>
      </c>
      <c r="CM136">
        <v>0</v>
      </c>
      <c r="CN136">
        <v>3774928</v>
      </c>
      <c r="CO136">
        <v>19706444</v>
      </c>
      <c r="CP136">
        <v>0</v>
      </c>
      <c r="CQ136">
        <v>1.7</v>
      </c>
      <c r="CR136">
        <v>19.2</v>
      </c>
      <c r="CS136">
        <v>0</v>
      </c>
      <c r="CT136">
        <v>13743.5</v>
      </c>
      <c r="CU136">
        <v>0</v>
      </c>
      <c r="CV136">
        <v>0</v>
      </c>
      <c r="CW136">
        <v>271.89999999999998</v>
      </c>
      <c r="CX136">
        <v>2125</v>
      </c>
      <c r="CY136">
        <v>0</v>
      </c>
      <c r="CZ136">
        <v>4295.5</v>
      </c>
      <c r="DA136">
        <v>0</v>
      </c>
      <c r="DB136">
        <v>289.39999999999998</v>
      </c>
      <c r="DC136">
        <v>4131</v>
      </c>
      <c r="DD136">
        <v>520.5</v>
      </c>
      <c r="DE136">
        <v>471</v>
      </c>
      <c r="DF136">
        <v>0</v>
      </c>
      <c r="DG136">
        <v>1704.5</v>
      </c>
      <c r="DH136">
        <v>0</v>
      </c>
      <c r="DI136">
        <v>6075.7</v>
      </c>
      <c r="DJ136">
        <v>6.8</v>
      </c>
      <c r="DK136">
        <v>4710</v>
      </c>
      <c r="DL136">
        <v>0</v>
      </c>
      <c r="DM136">
        <v>0</v>
      </c>
    </row>
    <row r="137" spans="1:117" x14ac:dyDescent="0.3">
      <c r="A137" t="s">
        <v>170</v>
      </c>
      <c r="B137">
        <v>2028</v>
      </c>
      <c r="C137">
        <v>113120744</v>
      </c>
      <c r="D137">
        <v>2271105.5</v>
      </c>
      <c r="E137">
        <v>779142.6</v>
      </c>
      <c r="F137">
        <v>3782566.3</v>
      </c>
      <c r="G137">
        <v>119953546.5</v>
      </c>
      <c r="H137">
        <v>109053382.7</v>
      </c>
      <c r="I137">
        <v>18692092.5</v>
      </c>
      <c r="J137">
        <v>203199490</v>
      </c>
      <c r="K137">
        <v>251667920</v>
      </c>
      <c r="L137">
        <v>3.5900000000000001E-2</v>
      </c>
      <c r="M137">
        <v>5.3999999999999999E-2</v>
      </c>
      <c r="N137">
        <v>0.183</v>
      </c>
      <c r="O137">
        <v>68622.59</v>
      </c>
      <c r="P137">
        <v>27019.599999999999</v>
      </c>
      <c r="Q137">
        <v>0.8</v>
      </c>
      <c r="R137">
        <v>0.75</v>
      </c>
      <c r="S137">
        <v>190.8</v>
      </c>
      <c r="T137">
        <v>21.4</v>
      </c>
      <c r="U137">
        <v>3.1</v>
      </c>
      <c r="V137">
        <v>8</v>
      </c>
      <c r="W137">
        <v>439.1</v>
      </c>
      <c r="X137">
        <v>0.13</v>
      </c>
      <c r="Y137">
        <v>192.3</v>
      </c>
      <c r="Z137">
        <v>21.2</v>
      </c>
      <c r="AA137">
        <v>213.5</v>
      </c>
      <c r="AB137">
        <v>250.8</v>
      </c>
      <c r="AC137">
        <v>28.1</v>
      </c>
      <c r="AD137">
        <v>4.07</v>
      </c>
      <c r="AE137">
        <v>9.6999999999999993</v>
      </c>
      <c r="AF137">
        <v>575.5</v>
      </c>
      <c r="AG137">
        <v>0.15</v>
      </c>
      <c r="AH137">
        <v>252.7</v>
      </c>
      <c r="AI137">
        <v>26.9</v>
      </c>
      <c r="AJ137">
        <v>279.60000000000002</v>
      </c>
      <c r="AK137">
        <v>204.1</v>
      </c>
      <c r="AL137">
        <v>7.4</v>
      </c>
      <c r="AM137">
        <v>0.94</v>
      </c>
      <c r="AN137">
        <v>21</v>
      </c>
      <c r="AO137">
        <v>953.1</v>
      </c>
      <c r="AP137">
        <v>0.09</v>
      </c>
      <c r="AQ137">
        <v>204.6</v>
      </c>
      <c r="AR137">
        <v>49.4</v>
      </c>
      <c r="AS137">
        <v>254</v>
      </c>
      <c r="AT137">
        <v>578.6</v>
      </c>
      <c r="AU137">
        <v>46.9</v>
      </c>
      <c r="AV137">
        <v>6.72</v>
      </c>
      <c r="AW137">
        <v>37.5</v>
      </c>
      <c r="AX137">
        <v>1821.5</v>
      </c>
      <c r="AY137">
        <v>0.34</v>
      </c>
      <c r="AZ137">
        <v>581.79999999999995</v>
      </c>
      <c r="BA137">
        <v>91.9</v>
      </c>
      <c r="BB137">
        <v>673.7</v>
      </c>
      <c r="BC137">
        <v>31807219.899999999</v>
      </c>
      <c r="BD137">
        <v>3562.7</v>
      </c>
      <c r="BE137">
        <v>517.29999999999995</v>
      </c>
      <c r="BF137">
        <v>1342349</v>
      </c>
      <c r="BG137">
        <v>73187.5</v>
      </c>
      <c r="BH137">
        <v>21.9</v>
      </c>
      <c r="BI137">
        <v>32054621.899999999</v>
      </c>
      <c r="BJ137">
        <v>3529319.5</v>
      </c>
      <c r="BK137">
        <v>35583941.399999999</v>
      </c>
      <c r="BL137">
        <v>0</v>
      </c>
      <c r="BM137">
        <v>20.59</v>
      </c>
      <c r="BN137">
        <v>13.89</v>
      </c>
      <c r="BO137">
        <v>0</v>
      </c>
      <c r="BP137">
        <v>34.479999999999997</v>
      </c>
      <c r="BQ137">
        <v>22.19</v>
      </c>
      <c r="BR137">
        <v>15.6</v>
      </c>
      <c r="BS137">
        <v>0</v>
      </c>
      <c r="BT137">
        <v>37.79</v>
      </c>
      <c r="BU137">
        <v>168447540</v>
      </c>
      <c r="BV137">
        <v>101261460</v>
      </c>
      <c r="BW137">
        <v>1940689.8</v>
      </c>
      <c r="BX137">
        <v>68758</v>
      </c>
      <c r="BY137">
        <v>0</v>
      </c>
      <c r="BZ137">
        <v>0</v>
      </c>
      <c r="CA137">
        <v>30446100</v>
      </c>
      <c r="CB137">
        <v>0</v>
      </c>
      <c r="CC137">
        <v>0</v>
      </c>
      <c r="CD137">
        <v>689300</v>
      </c>
      <c r="CE137">
        <v>2388547.2000000002</v>
      </c>
      <c r="CF137">
        <v>0</v>
      </c>
      <c r="CG137">
        <v>109226.4</v>
      </c>
      <c r="CH137">
        <v>0</v>
      </c>
      <c r="CI137">
        <v>864338.9</v>
      </c>
      <c r="CJ137">
        <v>30741350</v>
      </c>
      <c r="CK137">
        <v>3026.3</v>
      </c>
      <c r="CL137">
        <v>624042</v>
      </c>
      <c r="CM137">
        <v>0</v>
      </c>
      <c r="CN137">
        <v>22119188</v>
      </c>
      <c r="CO137">
        <v>78452970</v>
      </c>
      <c r="CP137">
        <v>0</v>
      </c>
      <c r="CQ137">
        <v>1550.4</v>
      </c>
      <c r="CR137">
        <v>19.2</v>
      </c>
      <c r="CS137">
        <v>0</v>
      </c>
      <c r="CT137">
        <v>10876.5</v>
      </c>
      <c r="CU137">
        <v>0</v>
      </c>
      <c r="CV137">
        <v>0</v>
      </c>
      <c r="CW137">
        <v>466.5</v>
      </c>
      <c r="CX137">
        <v>2125</v>
      </c>
      <c r="CY137">
        <v>0</v>
      </c>
      <c r="CZ137">
        <v>4261.3999999999996</v>
      </c>
      <c r="DA137">
        <v>0</v>
      </c>
      <c r="DB137">
        <v>289.39999999999998</v>
      </c>
      <c r="DC137">
        <v>4131</v>
      </c>
      <c r="DD137">
        <v>356.1</v>
      </c>
      <c r="DE137">
        <v>471</v>
      </c>
      <c r="DF137">
        <v>0</v>
      </c>
      <c r="DG137">
        <v>9518.4</v>
      </c>
      <c r="DH137">
        <v>0</v>
      </c>
      <c r="DI137">
        <v>21891.4</v>
      </c>
      <c r="DJ137">
        <v>6201.8</v>
      </c>
      <c r="DK137">
        <v>4710</v>
      </c>
      <c r="DL137">
        <v>0</v>
      </c>
      <c r="DM137">
        <v>0</v>
      </c>
    </row>
    <row r="138" spans="1:117" x14ac:dyDescent="0.3">
      <c r="A138" t="s">
        <v>170</v>
      </c>
      <c r="B138">
        <v>2030</v>
      </c>
      <c r="C138">
        <v>117294950</v>
      </c>
      <c r="D138">
        <v>3088436</v>
      </c>
      <c r="E138">
        <v>792995</v>
      </c>
      <c r="F138">
        <v>4520518.8</v>
      </c>
      <c r="G138">
        <v>125696897.59999999</v>
      </c>
      <c r="H138">
        <v>113077464.90000001</v>
      </c>
      <c r="I138">
        <v>-22672733</v>
      </c>
      <c r="J138">
        <v>227059020</v>
      </c>
      <c r="K138">
        <v>310805470</v>
      </c>
      <c r="L138">
        <v>3.5900000000000001E-2</v>
      </c>
      <c r="M138">
        <v>5.3999999999999999E-2</v>
      </c>
      <c r="N138">
        <v>0.183</v>
      </c>
      <c r="O138">
        <v>75997.399999999994</v>
      </c>
      <c r="P138">
        <v>28185.5</v>
      </c>
      <c r="Q138">
        <v>0.87</v>
      </c>
      <c r="R138">
        <v>0.82</v>
      </c>
      <c r="S138">
        <v>129.1</v>
      </c>
      <c r="T138">
        <v>14.6</v>
      </c>
      <c r="U138">
        <v>2.13</v>
      </c>
      <c r="V138">
        <v>5.5</v>
      </c>
      <c r="W138">
        <v>292.3</v>
      </c>
      <c r="X138">
        <v>0.09</v>
      </c>
      <c r="Y138">
        <v>130.19999999999999</v>
      </c>
      <c r="Z138">
        <v>14.2</v>
      </c>
      <c r="AA138">
        <v>144.30000000000001</v>
      </c>
      <c r="AB138">
        <v>188.2</v>
      </c>
      <c r="AC138">
        <v>21.3</v>
      </c>
      <c r="AD138">
        <v>3.09</v>
      </c>
      <c r="AE138">
        <v>7.3</v>
      </c>
      <c r="AF138">
        <v>425.8</v>
      </c>
      <c r="AG138">
        <v>0.12</v>
      </c>
      <c r="AH138">
        <v>189.6</v>
      </c>
      <c r="AI138">
        <v>20</v>
      </c>
      <c r="AJ138">
        <v>209.7</v>
      </c>
      <c r="AK138">
        <v>192.3</v>
      </c>
      <c r="AL138">
        <v>12.1</v>
      </c>
      <c r="AM138">
        <v>1.67</v>
      </c>
      <c r="AN138">
        <v>15.2</v>
      </c>
      <c r="AO138">
        <v>736.1</v>
      </c>
      <c r="AP138">
        <v>0.09</v>
      </c>
      <c r="AQ138">
        <v>193.1</v>
      </c>
      <c r="AR138">
        <v>37.1</v>
      </c>
      <c r="AS138">
        <v>230.2</v>
      </c>
      <c r="AT138">
        <v>518.1</v>
      </c>
      <c r="AU138">
        <v>43.4</v>
      </c>
      <c r="AV138">
        <v>6.22</v>
      </c>
      <c r="AW138">
        <v>32.299999999999997</v>
      </c>
      <c r="AX138">
        <v>1592.3</v>
      </c>
      <c r="AY138">
        <v>0.31</v>
      </c>
      <c r="AZ138">
        <v>521.1</v>
      </c>
      <c r="BA138">
        <v>79.900000000000006</v>
      </c>
      <c r="BB138">
        <v>600.9</v>
      </c>
      <c r="BC138">
        <v>26722528.300000001</v>
      </c>
      <c r="BD138">
        <v>3028.1</v>
      </c>
      <c r="BE138">
        <v>440</v>
      </c>
      <c r="BF138">
        <v>1130760.8</v>
      </c>
      <c r="BG138">
        <v>60474</v>
      </c>
      <c r="BH138">
        <v>19.2</v>
      </c>
      <c r="BI138">
        <v>26932887.199999999</v>
      </c>
      <c r="BJ138">
        <v>2938133.7</v>
      </c>
      <c r="BK138">
        <v>29871021</v>
      </c>
      <c r="BL138">
        <v>0</v>
      </c>
      <c r="BM138">
        <v>17.829999999999998</v>
      </c>
      <c r="BN138">
        <v>14.54</v>
      </c>
      <c r="BO138">
        <v>0</v>
      </c>
      <c r="BP138">
        <v>32.369999999999997</v>
      </c>
      <c r="BQ138">
        <v>19.28</v>
      </c>
      <c r="BR138">
        <v>16.45</v>
      </c>
      <c r="BS138">
        <v>0</v>
      </c>
      <c r="BT138">
        <v>35.729999999999997</v>
      </c>
      <c r="BU138">
        <v>209529500</v>
      </c>
      <c r="BV138">
        <v>148369630</v>
      </c>
      <c r="BW138">
        <v>2635608</v>
      </c>
      <c r="BX138">
        <v>61614.5</v>
      </c>
      <c r="BY138">
        <v>0</v>
      </c>
      <c r="BZ138">
        <v>0</v>
      </c>
      <c r="CA138">
        <v>25987496</v>
      </c>
      <c r="CB138">
        <v>0</v>
      </c>
      <c r="CC138">
        <v>0</v>
      </c>
      <c r="CD138">
        <v>1190741.8</v>
      </c>
      <c r="CE138">
        <v>1151604.6000000001</v>
      </c>
      <c r="CF138">
        <v>0</v>
      </c>
      <c r="CG138">
        <v>71483.199999999997</v>
      </c>
      <c r="CH138">
        <v>0</v>
      </c>
      <c r="CI138">
        <v>846102.6</v>
      </c>
      <c r="CJ138">
        <v>29770394</v>
      </c>
      <c r="CK138">
        <v>1202.5999999999999</v>
      </c>
      <c r="CL138">
        <v>634363</v>
      </c>
      <c r="CM138">
        <v>0</v>
      </c>
      <c r="CN138">
        <v>44115028</v>
      </c>
      <c r="CO138">
        <v>103063860</v>
      </c>
      <c r="CP138">
        <v>0</v>
      </c>
      <c r="CQ138">
        <v>2003.9</v>
      </c>
      <c r="CR138">
        <v>19.2</v>
      </c>
      <c r="CS138">
        <v>0</v>
      </c>
      <c r="CT138">
        <v>9338.5</v>
      </c>
      <c r="CU138">
        <v>0</v>
      </c>
      <c r="CV138">
        <v>0</v>
      </c>
      <c r="CW138">
        <v>808.5</v>
      </c>
      <c r="CX138">
        <v>1934</v>
      </c>
      <c r="CY138">
        <v>0</v>
      </c>
      <c r="CZ138">
        <v>4187.8</v>
      </c>
      <c r="DA138">
        <v>0</v>
      </c>
      <c r="DB138">
        <v>289.39999999999998</v>
      </c>
      <c r="DC138">
        <v>4131</v>
      </c>
      <c r="DD138">
        <v>262.7</v>
      </c>
      <c r="DE138">
        <v>471</v>
      </c>
      <c r="DF138">
        <v>0</v>
      </c>
      <c r="DG138">
        <v>18673.900000000001</v>
      </c>
      <c r="DH138">
        <v>0</v>
      </c>
      <c r="DI138">
        <v>28559</v>
      </c>
      <c r="DJ138">
        <v>8014.8</v>
      </c>
      <c r="DK138">
        <v>4710</v>
      </c>
      <c r="DL138">
        <v>0</v>
      </c>
      <c r="DM138">
        <v>0</v>
      </c>
    </row>
    <row r="139" spans="1:117" x14ac:dyDescent="0.3">
      <c r="A139" t="s">
        <v>170</v>
      </c>
      <c r="B139">
        <v>2035</v>
      </c>
      <c r="C139">
        <v>130996110</v>
      </c>
      <c r="D139">
        <v>4426894</v>
      </c>
      <c r="E139">
        <v>844517.8</v>
      </c>
      <c r="F139">
        <v>4562615.0999999996</v>
      </c>
      <c r="G139">
        <v>140830130.19999999</v>
      </c>
      <c r="H139">
        <v>126285811.7</v>
      </c>
      <c r="I139">
        <v>-24640524.800000001</v>
      </c>
      <c r="J139">
        <v>226203650</v>
      </c>
      <c r="K139">
        <v>310818900</v>
      </c>
      <c r="L139">
        <v>3.5900000000000001E-2</v>
      </c>
      <c r="M139">
        <v>5.3999999999999999E-2</v>
      </c>
      <c r="N139">
        <v>0.183</v>
      </c>
      <c r="O139">
        <v>91628.56</v>
      </c>
      <c r="P139">
        <v>31990.6</v>
      </c>
      <c r="Q139">
        <v>0.89</v>
      </c>
      <c r="R139">
        <v>0.85</v>
      </c>
      <c r="S139">
        <v>111.7</v>
      </c>
      <c r="T139">
        <v>12.6</v>
      </c>
      <c r="U139">
        <v>1.84</v>
      </c>
      <c r="V139">
        <v>4.8</v>
      </c>
      <c r="W139">
        <v>253.5</v>
      </c>
      <c r="X139">
        <v>0.08</v>
      </c>
      <c r="Y139">
        <v>112.6</v>
      </c>
      <c r="Z139">
        <v>12.4</v>
      </c>
      <c r="AA139">
        <v>125</v>
      </c>
      <c r="AB139">
        <v>159.69999999999999</v>
      </c>
      <c r="AC139">
        <v>18</v>
      </c>
      <c r="AD139">
        <v>2.62</v>
      </c>
      <c r="AE139">
        <v>6.3</v>
      </c>
      <c r="AF139">
        <v>362.6</v>
      </c>
      <c r="AG139">
        <v>0.1</v>
      </c>
      <c r="AH139">
        <v>160.9</v>
      </c>
      <c r="AI139">
        <v>17.2</v>
      </c>
      <c r="AJ139">
        <v>178.1</v>
      </c>
      <c r="AK139">
        <v>183.9</v>
      </c>
      <c r="AL139">
        <v>13.4</v>
      </c>
      <c r="AM139">
        <v>1.87</v>
      </c>
      <c r="AN139">
        <v>12.8</v>
      </c>
      <c r="AO139">
        <v>646.9</v>
      </c>
      <c r="AP139">
        <v>0.09</v>
      </c>
      <c r="AQ139">
        <v>184.8</v>
      </c>
      <c r="AR139">
        <v>32.1</v>
      </c>
      <c r="AS139">
        <v>216.9</v>
      </c>
      <c r="AT139">
        <v>476.8</v>
      </c>
      <c r="AU139">
        <v>39.700000000000003</v>
      </c>
      <c r="AV139">
        <v>5.67</v>
      </c>
      <c r="AW139">
        <v>29.7</v>
      </c>
      <c r="AX139">
        <v>1497.3</v>
      </c>
      <c r="AY139">
        <v>0.26</v>
      </c>
      <c r="AZ139">
        <v>479.6</v>
      </c>
      <c r="BA139">
        <v>74.400000000000006</v>
      </c>
      <c r="BB139">
        <v>553.9</v>
      </c>
      <c r="BC139">
        <v>24845166.899999999</v>
      </c>
      <c r="BD139">
        <v>2813.4</v>
      </c>
      <c r="BE139">
        <v>408.8</v>
      </c>
      <c r="BF139">
        <v>1067879.1000000001</v>
      </c>
      <c r="BG139">
        <v>56323.9</v>
      </c>
      <c r="BH139">
        <v>18.2</v>
      </c>
      <c r="BI139">
        <v>25040611.600000001</v>
      </c>
      <c r="BJ139">
        <v>2751304.8</v>
      </c>
      <c r="BK139">
        <v>27791916.399999999</v>
      </c>
      <c r="BL139">
        <v>0</v>
      </c>
      <c r="BM139">
        <v>16.489999999999998</v>
      </c>
      <c r="BN139">
        <v>17.100000000000001</v>
      </c>
      <c r="BO139">
        <v>0</v>
      </c>
      <c r="BP139">
        <v>33.590000000000003</v>
      </c>
      <c r="BQ139">
        <v>17.93</v>
      </c>
      <c r="BR139">
        <v>19.46</v>
      </c>
      <c r="BS139">
        <v>0</v>
      </c>
      <c r="BT139">
        <v>37.380000000000003</v>
      </c>
      <c r="BU139">
        <v>225501140</v>
      </c>
      <c r="BV139">
        <v>165470660</v>
      </c>
      <c r="BW139">
        <v>3765831.2</v>
      </c>
      <c r="BX139">
        <v>57546.3</v>
      </c>
      <c r="BY139">
        <v>0</v>
      </c>
      <c r="BZ139">
        <v>0</v>
      </c>
      <c r="CA139">
        <v>24178272</v>
      </c>
      <c r="CB139">
        <v>0</v>
      </c>
      <c r="CC139">
        <v>0</v>
      </c>
      <c r="CD139">
        <v>1838093</v>
      </c>
      <c r="CE139">
        <v>898365.6</v>
      </c>
      <c r="CF139">
        <v>0</v>
      </c>
      <c r="CG139">
        <v>242212.1</v>
      </c>
      <c r="CH139">
        <v>0</v>
      </c>
      <c r="CI139">
        <v>834144.2</v>
      </c>
      <c r="CJ139">
        <v>29378692</v>
      </c>
      <c r="CK139">
        <v>355.6</v>
      </c>
      <c r="CL139">
        <v>675058.7</v>
      </c>
      <c r="CM139">
        <v>0</v>
      </c>
      <c r="CN139">
        <v>42960108</v>
      </c>
      <c r="CO139">
        <v>120672460</v>
      </c>
      <c r="CP139">
        <v>0</v>
      </c>
      <c r="CQ139">
        <v>2794.9</v>
      </c>
      <c r="CR139">
        <v>19.2</v>
      </c>
      <c r="CS139">
        <v>0</v>
      </c>
      <c r="CT139">
        <v>9338.5</v>
      </c>
      <c r="CU139">
        <v>0</v>
      </c>
      <c r="CV139">
        <v>0</v>
      </c>
      <c r="CW139">
        <v>1268.5</v>
      </c>
      <c r="CX139">
        <v>1934</v>
      </c>
      <c r="CY139">
        <v>0</v>
      </c>
      <c r="CZ139">
        <v>9356.1</v>
      </c>
      <c r="DA139">
        <v>0</v>
      </c>
      <c r="DB139">
        <v>289.39999999999998</v>
      </c>
      <c r="DC139">
        <v>4131</v>
      </c>
      <c r="DD139">
        <v>248.6</v>
      </c>
      <c r="DE139">
        <v>471</v>
      </c>
      <c r="DF139">
        <v>0</v>
      </c>
      <c r="DG139">
        <v>19086.599999999999</v>
      </c>
      <c r="DH139">
        <v>0</v>
      </c>
      <c r="DI139">
        <v>34014.300000000003</v>
      </c>
      <c r="DJ139">
        <v>11042</v>
      </c>
      <c r="DK139">
        <v>4710</v>
      </c>
      <c r="DL139">
        <v>0</v>
      </c>
      <c r="DM139">
        <v>0</v>
      </c>
    </row>
    <row r="140" spans="1:117" x14ac:dyDescent="0.3">
      <c r="A140" t="s">
        <v>170</v>
      </c>
      <c r="B140">
        <v>2040</v>
      </c>
      <c r="C140">
        <v>146396690</v>
      </c>
      <c r="D140">
        <v>7220797</v>
      </c>
      <c r="E140">
        <v>896575</v>
      </c>
      <c r="F140">
        <v>4664649.5999999996</v>
      </c>
      <c r="G140">
        <v>159178715.59999999</v>
      </c>
      <c r="H140">
        <v>141132389.80000001</v>
      </c>
      <c r="I140">
        <v>-31689401</v>
      </c>
      <c r="J140">
        <v>230476260</v>
      </c>
      <c r="K140">
        <v>316469540</v>
      </c>
      <c r="L140">
        <v>3.5900000000000001E-2</v>
      </c>
      <c r="M140">
        <v>5.3999999999999999E-2</v>
      </c>
      <c r="N140">
        <v>0.183</v>
      </c>
      <c r="O140">
        <v>89180.81</v>
      </c>
      <c r="P140">
        <v>36038.699999999997</v>
      </c>
      <c r="Q140">
        <v>0.93</v>
      </c>
      <c r="R140">
        <v>0.9</v>
      </c>
      <c r="S140">
        <v>70.400000000000006</v>
      </c>
      <c r="T140">
        <v>7.7</v>
      </c>
      <c r="U140">
        <v>1.1200000000000001</v>
      </c>
      <c r="V140">
        <v>3.5</v>
      </c>
      <c r="W140">
        <v>167.8</v>
      </c>
      <c r="X140">
        <v>0.06</v>
      </c>
      <c r="Y140">
        <v>71</v>
      </c>
      <c r="Z140">
        <v>8.6</v>
      </c>
      <c r="AA140">
        <v>79.5</v>
      </c>
      <c r="AB140">
        <v>103.1</v>
      </c>
      <c r="AC140">
        <v>11.3</v>
      </c>
      <c r="AD140">
        <v>1.65</v>
      </c>
      <c r="AE140">
        <v>4.7</v>
      </c>
      <c r="AF140">
        <v>244.1</v>
      </c>
      <c r="AG140">
        <v>7.0000000000000007E-2</v>
      </c>
      <c r="AH140">
        <v>103.9</v>
      </c>
      <c r="AI140">
        <v>12</v>
      </c>
      <c r="AJ140">
        <v>115.8</v>
      </c>
      <c r="AK140">
        <v>161</v>
      </c>
      <c r="AL140">
        <v>11.6</v>
      </c>
      <c r="AM140">
        <v>1.63</v>
      </c>
      <c r="AN140">
        <v>11.9</v>
      </c>
      <c r="AO140">
        <v>569.20000000000005</v>
      </c>
      <c r="AP140">
        <v>0.09</v>
      </c>
      <c r="AQ140">
        <v>161.80000000000001</v>
      </c>
      <c r="AR140">
        <v>28.9</v>
      </c>
      <c r="AS140">
        <v>190.7</v>
      </c>
      <c r="AT140">
        <v>405.1</v>
      </c>
      <c r="AU140">
        <v>31</v>
      </c>
      <c r="AV140">
        <v>4.41</v>
      </c>
      <c r="AW140">
        <v>27.7</v>
      </c>
      <c r="AX140">
        <v>1349.7</v>
      </c>
      <c r="AY140">
        <v>0.23</v>
      </c>
      <c r="AZ140">
        <v>407.2</v>
      </c>
      <c r="BA140">
        <v>68</v>
      </c>
      <c r="BB140">
        <v>475.2</v>
      </c>
      <c r="BC140">
        <v>16900008.300000001</v>
      </c>
      <c r="BD140">
        <v>1864.7</v>
      </c>
      <c r="BE140">
        <v>270.5</v>
      </c>
      <c r="BF140">
        <v>847421</v>
      </c>
      <c r="BG140">
        <v>40055.5</v>
      </c>
      <c r="BH140">
        <v>14.1</v>
      </c>
      <c r="BI140">
        <v>17029424.600000001</v>
      </c>
      <c r="BJ140">
        <v>2044926.7</v>
      </c>
      <c r="BK140">
        <v>19074351.199999999</v>
      </c>
      <c r="BL140">
        <v>0</v>
      </c>
      <c r="BM140">
        <v>14.31</v>
      </c>
      <c r="BN140">
        <v>16.190000000000001</v>
      </c>
      <c r="BO140">
        <v>0</v>
      </c>
      <c r="BP140">
        <v>30.5</v>
      </c>
      <c r="BQ140">
        <v>15.69</v>
      </c>
      <c r="BR140">
        <v>18.61</v>
      </c>
      <c r="BS140">
        <v>0</v>
      </c>
      <c r="BT140">
        <v>34.29</v>
      </c>
      <c r="BU140">
        <v>245270990</v>
      </c>
      <c r="BV140">
        <v>190868110</v>
      </c>
      <c r="BW140">
        <v>6158958.5</v>
      </c>
      <c r="BX140">
        <v>51129.599999999999</v>
      </c>
      <c r="BY140">
        <v>0</v>
      </c>
      <c r="BZ140">
        <v>0</v>
      </c>
      <c r="CA140">
        <v>16010968</v>
      </c>
      <c r="CB140">
        <v>0</v>
      </c>
      <c r="CC140">
        <v>0</v>
      </c>
      <c r="CD140">
        <v>2235123.7999999998</v>
      </c>
      <c r="CE140">
        <v>1272938.2</v>
      </c>
      <c r="CF140">
        <v>0</v>
      </c>
      <c r="CG140">
        <v>680751.4</v>
      </c>
      <c r="CH140">
        <v>0</v>
      </c>
      <c r="CI140">
        <v>816728.8</v>
      </c>
      <c r="CJ140">
        <v>28683260</v>
      </c>
      <c r="CK140">
        <v>266.2</v>
      </c>
      <c r="CL140">
        <v>727878.2</v>
      </c>
      <c r="CM140">
        <v>0</v>
      </c>
      <c r="CN140">
        <v>42273996</v>
      </c>
      <c r="CO140">
        <v>146358990</v>
      </c>
      <c r="CP140">
        <v>0</v>
      </c>
      <c r="CQ140">
        <v>4604.7</v>
      </c>
      <c r="CR140">
        <v>19.2</v>
      </c>
      <c r="CS140">
        <v>0</v>
      </c>
      <c r="CT140">
        <v>8094.5</v>
      </c>
      <c r="CU140">
        <v>0</v>
      </c>
      <c r="CV140">
        <v>0</v>
      </c>
      <c r="CW140">
        <v>1581.8</v>
      </c>
      <c r="CX140">
        <v>1934</v>
      </c>
      <c r="CY140">
        <v>0</v>
      </c>
      <c r="CZ140">
        <v>12488.2</v>
      </c>
      <c r="DA140">
        <v>0</v>
      </c>
      <c r="DB140">
        <v>289.39999999999998</v>
      </c>
      <c r="DC140">
        <v>4131</v>
      </c>
      <c r="DD140">
        <v>236.2</v>
      </c>
      <c r="DE140">
        <v>471</v>
      </c>
      <c r="DF140">
        <v>0</v>
      </c>
      <c r="DG140">
        <v>19929.8</v>
      </c>
      <c r="DH140">
        <v>0</v>
      </c>
      <c r="DI140">
        <v>41551</v>
      </c>
      <c r="DJ140">
        <v>16712.7</v>
      </c>
      <c r="DK140">
        <v>4710</v>
      </c>
      <c r="DL140">
        <v>0</v>
      </c>
      <c r="DM140">
        <v>0</v>
      </c>
    </row>
    <row r="141" spans="1:117" x14ac:dyDescent="0.3">
      <c r="A141" t="s">
        <v>170</v>
      </c>
      <c r="B141">
        <v>2045</v>
      </c>
      <c r="C141">
        <v>160409580</v>
      </c>
      <c r="D141">
        <v>14058490</v>
      </c>
      <c r="E141">
        <v>863854.9</v>
      </c>
      <c r="F141">
        <v>4746669.0999999996</v>
      </c>
      <c r="G141">
        <v>180078591.80000001</v>
      </c>
      <c r="H141">
        <v>154641206.40000001</v>
      </c>
      <c r="I141">
        <v>-69677002.099999994</v>
      </c>
      <c r="J141">
        <v>221145310</v>
      </c>
      <c r="K141">
        <v>330185200</v>
      </c>
      <c r="L141">
        <v>3.5900000000000001E-2</v>
      </c>
      <c r="M141">
        <v>5.3999999999999999E-2</v>
      </c>
      <c r="N141">
        <v>0.183</v>
      </c>
      <c r="O141">
        <v>87920.36</v>
      </c>
      <c r="P141">
        <v>39718.1</v>
      </c>
      <c r="Q141">
        <v>0.95</v>
      </c>
      <c r="R141">
        <v>0.92</v>
      </c>
      <c r="S141">
        <v>41.5</v>
      </c>
      <c r="T141">
        <v>4.0999999999999996</v>
      </c>
      <c r="U141">
        <v>0.59</v>
      </c>
      <c r="V141">
        <v>2.2999999999999998</v>
      </c>
      <c r="W141">
        <v>113</v>
      </c>
      <c r="X141">
        <v>0.03</v>
      </c>
      <c r="Y141">
        <v>41.8</v>
      </c>
      <c r="Z141">
        <v>5.7</v>
      </c>
      <c r="AA141">
        <v>47.4</v>
      </c>
      <c r="AB141">
        <v>71.8</v>
      </c>
      <c r="AC141">
        <v>7.2</v>
      </c>
      <c r="AD141">
        <v>1.04</v>
      </c>
      <c r="AE141">
        <v>3.5</v>
      </c>
      <c r="AF141">
        <v>189.8</v>
      </c>
      <c r="AG141">
        <v>0.04</v>
      </c>
      <c r="AH141">
        <v>72.3</v>
      </c>
      <c r="AI141">
        <v>9.1999999999999993</v>
      </c>
      <c r="AJ141">
        <v>81.5</v>
      </c>
      <c r="AK141">
        <v>96.7</v>
      </c>
      <c r="AL141">
        <v>5.2</v>
      </c>
      <c r="AM141">
        <v>0.71</v>
      </c>
      <c r="AN141">
        <v>9.4</v>
      </c>
      <c r="AO141">
        <v>399.3</v>
      </c>
      <c r="AP141">
        <v>7.0000000000000007E-2</v>
      </c>
      <c r="AQ141">
        <v>97</v>
      </c>
      <c r="AR141">
        <v>21.3</v>
      </c>
      <c r="AS141">
        <v>118.4</v>
      </c>
      <c r="AT141">
        <v>370.8</v>
      </c>
      <c r="AU141">
        <v>26.9</v>
      </c>
      <c r="AV141">
        <v>3.8</v>
      </c>
      <c r="AW141">
        <v>26.6</v>
      </c>
      <c r="AX141">
        <v>1284.5</v>
      </c>
      <c r="AY141">
        <v>0.2</v>
      </c>
      <c r="AZ141">
        <v>372.7</v>
      </c>
      <c r="BA141">
        <v>65</v>
      </c>
      <c r="BB141">
        <v>437.6</v>
      </c>
      <c r="BC141">
        <v>11610820.4</v>
      </c>
      <c r="BD141">
        <v>1162</v>
      </c>
      <c r="BE141">
        <v>167.5</v>
      </c>
      <c r="BF141">
        <v>625220.69999999995</v>
      </c>
      <c r="BG141">
        <v>31128</v>
      </c>
      <c r="BH141">
        <v>8.1</v>
      </c>
      <c r="BI141">
        <v>11691163</v>
      </c>
      <c r="BJ141">
        <v>1555052</v>
      </c>
      <c r="BK141">
        <v>13246215</v>
      </c>
      <c r="BL141">
        <v>0</v>
      </c>
      <c r="BM141">
        <v>12.87</v>
      </c>
      <c r="BN141">
        <v>15.6</v>
      </c>
      <c r="BO141">
        <v>0</v>
      </c>
      <c r="BP141">
        <v>28.48</v>
      </c>
      <c r="BQ141">
        <v>14.43</v>
      </c>
      <c r="BR141">
        <v>18.510000000000002</v>
      </c>
      <c r="BS141">
        <v>0</v>
      </c>
      <c r="BT141">
        <v>32.950000000000003</v>
      </c>
      <c r="BU141">
        <v>289321020</v>
      </c>
      <c r="BV141">
        <v>249755600</v>
      </c>
      <c r="BW141">
        <v>12007489</v>
      </c>
      <c r="BX141">
        <v>47373.1</v>
      </c>
      <c r="BY141">
        <v>0</v>
      </c>
      <c r="BZ141">
        <v>0</v>
      </c>
      <c r="CA141">
        <v>9626480</v>
      </c>
      <c r="CB141">
        <v>0</v>
      </c>
      <c r="CC141">
        <v>0</v>
      </c>
      <c r="CD141">
        <v>2701126.5</v>
      </c>
      <c r="CE141">
        <v>1998549.2</v>
      </c>
      <c r="CF141">
        <v>0</v>
      </c>
      <c r="CG141">
        <v>2067612.4</v>
      </c>
      <c r="CH141">
        <v>0</v>
      </c>
      <c r="CI141">
        <v>795264.8</v>
      </c>
      <c r="CJ141">
        <v>12331250</v>
      </c>
      <c r="CK141">
        <v>0</v>
      </c>
      <c r="CL141">
        <v>691409.3</v>
      </c>
      <c r="CM141">
        <v>0</v>
      </c>
      <c r="CN141">
        <v>52652760</v>
      </c>
      <c r="CO141">
        <v>194401710</v>
      </c>
      <c r="CP141">
        <v>0</v>
      </c>
      <c r="CQ141">
        <v>9127</v>
      </c>
      <c r="CR141">
        <v>19.2</v>
      </c>
      <c r="CS141">
        <v>0</v>
      </c>
      <c r="CT141">
        <v>4103.5</v>
      </c>
      <c r="CU141">
        <v>0</v>
      </c>
      <c r="CV141">
        <v>0</v>
      </c>
      <c r="CW141">
        <v>1962.4</v>
      </c>
      <c r="CX141">
        <v>1934</v>
      </c>
      <c r="CY141">
        <v>0</v>
      </c>
      <c r="CZ141">
        <v>16094.5</v>
      </c>
      <c r="DA141">
        <v>0</v>
      </c>
      <c r="DB141">
        <v>289.39999999999998</v>
      </c>
      <c r="DC141">
        <v>1819</v>
      </c>
      <c r="DD141">
        <v>92.6</v>
      </c>
      <c r="DE141">
        <v>471</v>
      </c>
      <c r="DF141">
        <v>0</v>
      </c>
      <c r="DG141">
        <v>26836.5</v>
      </c>
      <c r="DH141">
        <v>0</v>
      </c>
      <c r="DI141">
        <v>55439.8</v>
      </c>
      <c r="DJ141">
        <v>32827.199999999997</v>
      </c>
      <c r="DK141">
        <v>4710</v>
      </c>
      <c r="DL141">
        <v>0</v>
      </c>
      <c r="DM141">
        <v>0</v>
      </c>
    </row>
    <row r="142" spans="1:117" x14ac:dyDescent="0.3">
      <c r="A142" t="s">
        <v>170</v>
      </c>
      <c r="B142">
        <v>2050</v>
      </c>
      <c r="C142">
        <v>173292560</v>
      </c>
      <c r="D142">
        <v>20071640</v>
      </c>
      <c r="E142">
        <v>898190.6</v>
      </c>
      <c r="F142">
        <v>4771878.0999999996</v>
      </c>
      <c r="G142">
        <v>199034268.19999999</v>
      </c>
      <c r="H142">
        <v>167060895.30000001</v>
      </c>
      <c r="I142">
        <v>-62212669.100000001</v>
      </c>
      <c r="J142">
        <v>229929500</v>
      </c>
      <c r="K142">
        <v>320122000</v>
      </c>
      <c r="L142">
        <v>3.5900000000000001E-2</v>
      </c>
      <c r="M142">
        <v>5.3999999999999999E-2</v>
      </c>
      <c r="N142">
        <v>0.183</v>
      </c>
      <c r="O142">
        <v>86112.07</v>
      </c>
      <c r="P142">
        <v>43291.5</v>
      </c>
      <c r="Q142">
        <v>0.97</v>
      </c>
      <c r="R142">
        <v>0.96</v>
      </c>
      <c r="S142">
        <v>22.7</v>
      </c>
      <c r="T142">
        <v>1.5</v>
      </c>
      <c r="U142">
        <v>0.21</v>
      </c>
      <c r="V142">
        <v>1.7</v>
      </c>
      <c r="W142">
        <v>83.9</v>
      </c>
      <c r="X142">
        <v>0.01</v>
      </c>
      <c r="Y142">
        <v>22.8</v>
      </c>
      <c r="Z142">
        <v>4.2</v>
      </c>
      <c r="AA142">
        <v>27</v>
      </c>
      <c r="AB142">
        <v>30.4</v>
      </c>
      <c r="AC142">
        <v>2.6</v>
      </c>
      <c r="AD142">
        <v>0.37</v>
      </c>
      <c r="AE142">
        <v>1.7</v>
      </c>
      <c r="AF142">
        <v>93.8</v>
      </c>
      <c r="AG142">
        <v>0.01</v>
      </c>
      <c r="AH142">
        <v>30.5</v>
      </c>
      <c r="AI142">
        <v>4.5</v>
      </c>
      <c r="AJ142">
        <v>35.1</v>
      </c>
      <c r="AK142">
        <v>83.2</v>
      </c>
      <c r="AL142">
        <v>3.5</v>
      </c>
      <c r="AM142">
        <v>0.45</v>
      </c>
      <c r="AN142">
        <v>9.6999999999999993</v>
      </c>
      <c r="AO142">
        <v>378.6</v>
      </c>
      <c r="AP142">
        <v>7.0000000000000007E-2</v>
      </c>
      <c r="AQ142">
        <v>83.4</v>
      </c>
      <c r="AR142">
        <v>21</v>
      </c>
      <c r="AS142">
        <v>104.4</v>
      </c>
      <c r="AT142">
        <v>341</v>
      </c>
      <c r="AU142">
        <v>21.1</v>
      </c>
      <c r="AV142">
        <v>2.92</v>
      </c>
      <c r="AW142">
        <v>27.6</v>
      </c>
      <c r="AX142">
        <v>1301.0999999999999</v>
      </c>
      <c r="AY142">
        <v>0.18</v>
      </c>
      <c r="AZ142">
        <v>342.5</v>
      </c>
      <c r="BA142">
        <v>66.5</v>
      </c>
      <c r="BB142">
        <v>408.9</v>
      </c>
      <c r="BC142">
        <v>6190031.9000000004</v>
      </c>
      <c r="BD142">
        <v>431</v>
      </c>
      <c r="BE142">
        <v>60.2</v>
      </c>
      <c r="BF142">
        <v>447564.1</v>
      </c>
      <c r="BG142">
        <v>22418.9</v>
      </c>
      <c r="BH142">
        <v>2.9</v>
      </c>
      <c r="BI142">
        <v>6219306.5</v>
      </c>
      <c r="BJ142">
        <v>1116437.8</v>
      </c>
      <c r="BK142">
        <v>7335744.2000000002</v>
      </c>
      <c r="BL142">
        <v>0</v>
      </c>
      <c r="BM142">
        <v>12.86</v>
      </c>
      <c r="BN142">
        <v>15.14</v>
      </c>
      <c r="BO142">
        <v>0</v>
      </c>
      <c r="BP142">
        <v>28</v>
      </c>
      <c r="BQ142">
        <v>14.69</v>
      </c>
      <c r="BR142">
        <v>18.399999999999999</v>
      </c>
      <c r="BS142">
        <v>0</v>
      </c>
      <c r="BT142">
        <v>33.08</v>
      </c>
      <c r="BU142">
        <v>289380580</v>
      </c>
      <c r="BV142">
        <v>261246940</v>
      </c>
      <c r="BW142">
        <v>17132466</v>
      </c>
      <c r="BX142">
        <v>45656.1</v>
      </c>
      <c r="BY142">
        <v>0</v>
      </c>
      <c r="BZ142">
        <v>0</v>
      </c>
      <c r="CA142">
        <v>3218853.2</v>
      </c>
      <c r="CB142">
        <v>0</v>
      </c>
      <c r="CC142">
        <v>0</v>
      </c>
      <c r="CD142">
        <v>3345906.8</v>
      </c>
      <c r="CE142">
        <v>2431231.7999999998</v>
      </c>
      <c r="CF142">
        <v>0</v>
      </c>
      <c r="CG142">
        <v>3801138.8</v>
      </c>
      <c r="CH142">
        <v>0</v>
      </c>
      <c r="CI142">
        <v>784390.2</v>
      </c>
      <c r="CJ142">
        <v>0</v>
      </c>
      <c r="CK142">
        <v>0</v>
      </c>
      <c r="CL142">
        <v>719899</v>
      </c>
      <c r="CM142">
        <v>0</v>
      </c>
      <c r="CN142">
        <v>52578172</v>
      </c>
      <c r="CO142">
        <v>205322860</v>
      </c>
      <c r="CP142">
        <v>0</v>
      </c>
      <c r="CQ142">
        <v>12615.4</v>
      </c>
      <c r="CR142">
        <v>19.2</v>
      </c>
      <c r="CS142">
        <v>0</v>
      </c>
      <c r="CT142">
        <v>1656.5</v>
      </c>
      <c r="CU142">
        <v>0</v>
      </c>
      <c r="CV142">
        <v>0</v>
      </c>
      <c r="CW142">
        <v>2455.5</v>
      </c>
      <c r="CX142">
        <v>1934</v>
      </c>
      <c r="CY142">
        <v>0</v>
      </c>
      <c r="CZ142">
        <v>18002.8</v>
      </c>
      <c r="DA142">
        <v>0</v>
      </c>
      <c r="DB142">
        <v>289.39999999999998</v>
      </c>
      <c r="DC142">
        <v>0</v>
      </c>
      <c r="DD142">
        <v>78.099999999999994</v>
      </c>
      <c r="DE142">
        <v>471</v>
      </c>
      <c r="DF142">
        <v>0</v>
      </c>
      <c r="DG142">
        <v>27795.7</v>
      </c>
      <c r="DH142">
        <v>0</v>
      </c>
      <c r="DI142">
        <v>58717.1</v>
      </c>
      <c r="DJ142">
        <v>48158.1</v>
      </c>
      <c r="DK142">
        <v>4710</v>
      </c>
      <c r="DL142">
        <v>0</v>
      </c>
      <c r="DM142">
        <v>0</v>
      </c>
    </row>
    <row r="143" spans="1:117" x14ac:dyDescent="0.3">
      <c r="A143" t="s">
        <v>171</v>
      </c>
      <c r="B143">
        <v>2024</v>
      </c>
      <c r="C143">
        <v>265200030</v>
      </c>
      <c r="D143">
        <v>291396</v>
      </c>
      <c r="E143">
        <v>1511924</v>
      </c>
      <c r="F143">
        <v>2167661.2000000002</v>
      </c>
      <c r="G143">
        <v>269171000.60000002</v>
      </c>
      <c r="H143">
        <v>255664577.09999999</v>
      </c>
      <c r="I143">
        <v>258360531.90000001</v>
      </c>
      <c r="J143">
        <v>77887190</v>
      </c>
      <c r="K143">
        <v>82955650</v>
      </c>
      <c r="L143">
        <v>3.5900000000000001E-2</v>
      </c>
      <c r="M143">
        <v>5.3999999999999999E-2</v>
      </c>
      <c r="N143">
        <v>0.15</v>
      </c>
      <c r="O143">
        <v>7398.11</v>
      </c>
      <c r="P143">
        <v>59227.5</v>
      </c>
      <c r="Q143">
        <v>0.45</v>
      </c>
      <c r="R143">
        <v>0.45</v>
      </c>
      <c r="S143">
        <v>326</v>
      </c>
      <c r="T143">
        <v>22.9</v>
      </c>
      <c r="U143">
        <v>3.2</v>
      </c>
      <c r="V143">
        <v>26.6</v>
      </c>
      <c r="W143">
        <v>1181.8</v>
      </c>
      <c r="X143">
        <v>0.22</v>
      </c>
      <c r="Y143">
        <v>327.5</v>
      </c>
      <c r="Z143">
        <v>61.9</v>
      </c>
      <c r="AA143">
        <v>389.4</v>
      </c>
      <c r="AB143">
        <v>334.5</v>
      </c>
      <c r="AC143">
        <v>23.2</v>
      </c>
      <c r="AD143">
        <v>3.24</v>
      </c>
      <c r="AE143">
        <v>27.5</v>
      </c>
      <c r="AF143">
        <v>1221.0999999999999</v>
      </c>
      <c r="AG143">
        <v>0.23</v>
      </c>
      <c r="AH143">
        <v>336.1</v>
      </c>
      <c r="AI143">
        <v>64</v>
      </c>
      <c r="AJ143">
        <v>400.1</v>
      </c>
      <c r="AK143">
        <v>317.7</v>
      </c>
      <c r="AL143">
        <v>19.8</v>
      </c>
      <c r="AM143">
        <v>2.78</v>
      </c>
      <c r="AN143">
        <v>25.5</v>
      </c>
      <c r="AO143">
        <v>1185.5999999999999</v>
      </c>
      <c r="AP143">
        <v>0.17</v>
      </c>
      <c r="AQ143">
        <v>319</v>
      </c>
      <c r="AR143">
        <v>60.8</v>
      </c>
      <c r="AS143">
        <v>379.9</v>
      </c>
      <c r="AT143">
        <v>748.3</v>
      </c>
      <c r="AU143">
        <v>56.7</v>
      </c>
      <c r="AV143">
        <v>8.1199999999999992</v>
      </c>
      <c r="AW143">
        <v>51.5</v>
      </c>
      <c r="AX143">
        <v>2440.4</v>
      </c>
      <c r="AY143">
        <v>0.44</v>
      </c>
      <c r="AZ143">
        <v>752.2</v>
      </c>
      <c r="BA143">
        <v>124.3</v>
      </c>
      <c r="BB143">
        <v>876.5</v>
      </c>
      <c r="BC143">
        <v>88821548</v>
      </c>
      <c r="BD143">
        <v>6232.8</v>
      </c>
      <c r="BE143">
        <v>871.3</v>
      </c>
      <c r="BF143">
        <v>7253180.7999999998</v>
      </c>
      <c r="BG143">
        <v>322063.7</v>
      </c>
      <c r="BH143">
        <v>60.9</v>
      </c>
      <c r="BI143">
        <v>89245151</v>
      </c>
      <c r="BJ143">
        <v>16867307.899999999</v>
      </c>
      <c r="BK143">
        <v>106112458.90000001</v>
      </c>
      <c r="BL143">
        <v>0</v>
      </c>
      <c r="BM143">
        <v>31.98</v>
      </c>
      <c r="BN143">
        <v>1.58</v>
      </c>
      <c r="BO143">
        <v>0</v>
      </c>
      <c r="BP143">
        <v>33.549999999999997</v>
      </c>
      <c r="BQ143">
        <v>33.89</v>
      </c>
      <c r="BR143">
        <v>1.72</v>
      </c>
      <c r="BS143">
        <v>0</v>
      </c>
      <c r="BT143">
        <v>35.61</v>
      </c>
      <c r="BU143">
        <v>274291500</v>
      </c>
      <c r="BV143">
        <v>10810469</v>
      </c>
      <c r="BW143">
        <v>264692.59999999998</v>
      </c>
      <c r="BX143">
        <v>2102373.7999999998</v>
      </c>
      <c r="BY143">
        <v>0</v>
      </c>
      <c r="BZ143">
        <v>0</v>
      </c>
      <c r="CA143">
        <v>46132404</v>
      </c>
      <c r="CB143">
        <v>0</v>
      </c>
      <c r="CC143">
        <v>0</v>
      </c>
      <c r="CD143">
        <v>509204.1</v>
      </c>
      <c r="CE143">
        <v>105337350</v>
      </c>
      <c r="CF143">
        <v>0</v>
      </c>
      <c r="CG143">
        <v>651515.6</v>
      </c>
      <c r="CH143">
        <v>0</v>
      </c>
      <c r="CI143">
        <v>13191630</v>
      </c>
      <c r="CJ143">
        <v>94504056</v>
      </c>
      <c r="CK143">
        <v>92624.4</v>
      </c>
      <c r="CL143">
        <v>1204377.2</v>
      </c>
      <c r="CM143">
        <v>0</v>
      </c>
      <c r="CN143">
        <v>10301265</v>
      </c>
      <c r="CO143">
        <v>0</v>
      </c>
      <c r="CP143">
        <v>0</v>
      </c>
      <c r="CQ143">
        <v>87</v>
      </c>
      <c r="CR143">
        <v>312.89999999999998</v>
      </c>
      <c r="CS143">
        <v>0</v>
      </c>
      <c r="CT143">
        <v>15055.7</v>
      </c>
      <c r="CU143">
        <v>0</v>
      </c>
      <c r="CV143">
        <v>0</v>
      </c>
      <c r="CW143">
        <v>342.6</v>
      </c>
      <c r="CX143">
        <v>19788.7</v>
      </c>
      <c r="CY143">
        <v>0</v>
      </c>
      <c r="CZ143">
        <v>8649</v>
      </c>
      <c r="DA143">
        <v>0</v>
      </c>
      <c r="DB143">
        <v>5317.1</v>
      </c>
      <c r="DC143">
        <v>11833.5</v>
      </c>
      <c r="DD143">
        <v>1221.2</v>
      </c>
      <c r="DE143">
        <v>1897.4</v>
      </c>
      <c r="DF143">
        <v>0</v>
      </c>
      <c r="DG143">
        <v>4659.2</v>
      </c>
      <c r="DH143">
        <v>0</v>
      </c>
      <c r="DI143">
        <v>0</v>
      </c>
      <c r="DJ143">
        <v>1336.4</v>
      </c>
      <c r="DK143">
        <v>18974</v>
      </c>
      <c r="DL143">
        <v>0</v>
      </c>
      <c r="DM143">
        <v>0</v>
      </c>
    </row>
    <row r="144" spans="1:117" x14ac:dyDescent="0.3">
      <c r="A144" t="s">
        <v>171</v>
      </c>
      <c r="B144">
        <v>2026</v>
      </c>
      <c r="C144">
        <v>272758600</v>
      </c>
      <c r="D144">
        <v>820718.9</v>
      </c>
      <c r="E144">
        <v>2126199.2000000002</v>
      </c>
      <c r="F144">
        <v>2316201.4</v>
      </c>
      <c r="G144">
        <v>278021716</v>
      </c>
      <c r="H144">
        <v>262951415.90000001</v>
      </c>
      <c r="I144">
        <v>247472078.69999999</v>
      </c>
      <c r="J144">
        <v>82799224</v>
      </c>
      <c r="K144">
        <v>84451450</v>
      </c>
      <c r="L144">
        <v>3.5900000000000001E-2</v>
      </c>
      <c r="M144">
        <v>5.3999999999999999E-2</v>
      </c>
      <c r="N144">
        <v>0.15</v>
      </c>
      <c r="O144">
        <v>42937.39</v>
      </c>
      <c r="P144">
        <v>60875.4</v>
      </c>
      <c r="Q144">
        <v>0.51</v>
      </c>
      <c r="R144">
        <v>0.52</v>
      </c>
      <c r="S144">
        <v>294.2</v>
      </c>
      <c r="T144">
        <v>21.5</v>
      </c>
      <c r="U144">
        <v>3.01</v>
      </c>
      <c r="V144">
        <v>23.5</v>
      </c>
      <c r="W144">
        <v>1041.5999999999999</v>
      </c>
      <c r="X144">
        <v>0.21</v>
      </c>
      <c r="Y144">
        <v>295.7</v>
      </c>
      <c r="Z144">
        <v>54.6</v>
      </c>
      <c r="AA144">
        <v>350.3</v>
      </c>
      <c r="AB144">
        <v>294.39999999999998</v>
      </c>
      <c r="AC144">
        <v>21.1</v>
      </c>
      <c r="AD144">
        <v>2.96</v>
      </c>
      <c r="AE144">
        <v>23.8</v>
      </c>
      <c r="AF144">
        <v>1052.9000000000001</v>
      </c>
      <c r="AG144">
        <v>0.21</v>
      </c>
      <c r="AH144">
        <v>295.89999999999998</v>
      </c>
      <c r="AI144">
        <v>55.3</v>
      </c>
      <c r="AJ144">
        <v>351.1</v>
      </c>
      <c r="AK144">
        <v>277.10000000000002</v>
      </c>
      <c r="AL144">
        <v>13.5</v>
      </c>
      <c r="AM144">
        <v>1.83</v>
      </c>
      <c r="AN144">
        <v>25.6</v>
      </c>
      <c r="AO144">
        <v>1162.3</v>
      </c>
      <c r="AP144">
        <v>0.14000000000000001</v>
      </c>
      <c r="AQ144">
        <v>278</v>
      </c>
      <c r="AR144">
        <v>60.2</v>
      </c>
      <c r="AS144">
        <v>338.2</v>
      </c>
      <c r="AT144">
        <v>713.7</v>
      </c>
      <c r="AU144">
        <v>54.2</v>
      </c>
      <c r="AV144">
        <v>7.72</v>
      </c>
      <c r="AW144">
        <v>48.6</v>
      </c>
      <c r="AX144">
        <v>2357.9</v>
      </c>
      <c r="AY144">
        <v>0.4</v>
      </c>
      <c r="AZ144">
        <v>717.5</v>
      </c>
      <c r="BA144">
        <v>119</v>
      </c>
      <c r="BB144">
        <v>836.5</v>
      </c>
      <c r="BC144">
        <v>81702616.299999997</v>
      </c>
      <c r="BD144">
        <v>5959.8</v>
      </c>
      <c r="BE144">
        <v>836.3</v>
      </c>
      <c r="BF144">
        <v>6534279</v>
      </c>
      <c r="BG144">
        <v>289332.90000000002</v>
      </c>
      <c r="BH144">
        <v>57.6</v>
      </c>
      <c r="BI144">
        <v>82108539.799999997</v>
      </c>
      <c r="BJ144">
        <v>15172119.699999999</v>
      </c>
      <c r="BK144">
        <v>97280659.599999994</v>
      </c>
      <c r="BL144">
        <v>0</v>
      </c>
      <c r="BM144">
        <v>30.17</v>
      </c>
      <c r="BN144">
        <v>8.6999999999999993</v>
      </c>
      <c r="BO144">
        <v>0</v>
      </c>
      <c r="BP144">
        <v>38.86</v>
      </c>
      <c r="BQ144">
        <v>32.01</v>
      </c>
      <c r="BR144">
        <v>9.49</v>
      </c>
      <c r="BS144">
        <v>0</v>
      </c>
      <c r="BT144">
        <v>41.51</v>
      </c>
      <c r="BU144">
        <v>279705760</v>
      </c>
      <c r="BV144">
        <v>30549638</v>
      </c>
      <c r="BW144">
        <v>707340</v>
      </c>
      <c r="BX144">
        <v>2101197.5</v>
      </c>
      <c r="BY144">
        <v>0</v>
      </c>
      <c r="BZ144">
        <v>0</v>
      </c>
      <c r="CA144">
        <v>44906640</v>
      </c>
      <c r="CB144">
        <v>0</v>
      </c>
      <c r="CC144">
        <v>0</v>
      </c>
      <c r="CD144">
        <v>873239.7</v>
      </c>
      <c r="CE144">
        <v>91272000</v>
      </c>
      <c r="CF144">
        <v>0</v>
      </c>
      <c r="CG144">
        <v>500657.2</v>
      </c>
      <c r="CH144">
        <v>0</v>
      </c>
      <c r="CI144">
        <v>13560867</v>
      </c>
      <c r="CJ144">
        <v>94376100</v>
      </c>
      <c r="CK144">
        <v>46782.1</v>
      </c>
      <c r="CL144">
        <v>1684559.2</v>
      </c>
      <c r="CM144">
        <v>0</v>
      </c>
      <c r="CN144">
        <v>29676396</v>
      </c>
      <c r="CO144">
        <v>0</v>
      </c>
      <c r="CP144">
        <v>0</v>
      </c>
      <c r="CQ144">
        <v>361.5</v>
      </c>
      <c r="CR144">
        <v>312.89999999999998</v>
      </c>
      <c r="CS144">
        <v>0</v>
      </c>
      <c r="CT144">
        <v>14980.7</v>
      </c>
      <c r="CU144">
        <v>0</v>
      </c>
      <c r="CV144">
        <v>0</v>
      </c>
      <c r="CW144">
        <v>587.20000000000005</v>
      </c>
      <c r="CX144">
        <v>19788.7</v>
      </c>
      <c r="CY144">
        <v>0</v>
      </c>
      <c r="CZ144">
        <v>8571</v>
      </c>
      <c r="DA144">
        <v>0</v>
      </c>
      <c r="DB144">
        <v>5418.1</v>
      </c>
      <c r="DC144">
        <v>11833.5</v>
      </c>
      <c r="DD144">
        <v>1221.2</v>
      </c>
      <c r="DE144">
        <v>1897.4</v>
      </c>
      <c r="DF144">
        <v>0</v>
      </c>
      <c r="DG144">
        <v>13058.6</v>
      </c>
      <c r="DH144">
        <v>0</v>
      </c>
      <c r="DI144">
        <v>0</v>
      </c>
      <c r="DJ144">
        <v>2872</v>
      </c>
      <c r="DK144">
        <v>18974</v>
      </c>
      <c r="DL144">
        <v>0</v>
      </c>
      <c r="DM144">
        <v>0</v>
      </c>
    </row>
    <row r="145" spans="1:117" x14ac:dyDescent="0.3">
      <c r="A145" t="s">
        <v>171</v>
      </c>
      <c r="B145">
        <v>2028</v>
      </c>
      <c r="C145">
        <v>284285700</v>
      </c>
      <c r="D145">
        <v>1538840.6</v>
      </c>
      <c r="E145">
        <v>3379879.5</v>
      </c>
      <c r="F145">
        <v>3349607.2</v>
      </c>
      <c r="G145">
        <v>292554026.10000002</v>
      </c>
      <c r="H145">
        <v>274064194.10000002</v>
      </c>
      <c r="I145">
        <v>232909294.5</v>
      </c>
      <c r="J145">
        <v>139283060</v>
      </c>
      <c r="K145">
        <v>133571950</v>
      </c>
      <c r="L145">
        <v>3.5900000000000001E-2</v>
      </c>
      <c r="M145">
        <v>5.3999999999999999E-2</v>
      </c>
      <c r="N145">
        <v>0.15</v>
      </c>
      <c r="O145">
        <v>58398.14</v>
      </c>
      <c r="P145">
        <v>63591.3</v>
      </c>
      <c r="Q145">
        <v>0.6</v>
      </c>
      <c r="R145">
        <v>0.61</v>
      </c>
      <c r="S145">
        <v>227.4</v>
      </c>
      <c r="T145">
        <v>15.4</v>
      </c>
      <c r="U145">
        <v>2.15</v>
      </c>
      <c r="V145">
        <v>19.899999999999999</v>
      </c>
      <c r="W145">
        <v>843.8</v>
      </c>
      <c r="X145">
        <v>0.17</v>
      </c>
      <c r="Y145">
        <v>228.4</v>
      </c>
      <c r="Z145">
        <v>45</v>
      </c>
      <c r="AA145">
        <v>273.5</v>
      </c>
      <c r="AB145">
        <v>226.6</v>
      </c>
      <c r="AC145">
        <v>14.8</v>
      </c>
      <c r="AD145">
        <v>2.06</v>
      </c>
      <c r="AE145">
        <v>20.3</v>
      </c>
      <c r="AF145">
        <v>857.1</v>
      </c>
      <c r="AG145">
        <v>0.17</v>
      </c>
      <c r="AH145">
        <v>227.6</v>
      </c>
      <c r="AI145">
        <v>45.8</v>
      </c>
      <c r="AJ145">
        <v>273.39999999999998</v>
      </c>
      <c r="AK145">
        <v>198.4</v>
      </c>
      <c r="AL145">
        <v>5.7</v>
      </c>
      <c r="AM145">
        <v>0.69</v>
      </c>
      <c r="AN145">
        <v>21.7</v>
      </c>
      <c r="AO145">
        <v>971.8</v>
      </c>
      <c r="AP145">
        <v>0.09</v>
      </c>
      <c r="AQ145">
        <v>198.8</v>
      </c>
      <c r="AR145">
        <v>50.7</v>
      </c>
      <c r="AS145">
        <v>249.4</v>
      </c>
      <c r="AT145">
        <v>607</v>
      </c>
      <c r="AU145">
        <v>41.4</v>
      </c>
      <c r="AV145">
        <v>5.84</v>
      </c>
      <c r="AW145">
        <v>45.8</v>
      </c>
      <c r="AX145">
        <v>2165.4</v>
      </c>
      <c r="AY145">
        <v>0.34</v>
      </c>
      <c r="AZ145">
        <v>609.9</v>
      </c>
      <c r="BA145">
        <v>110.5</v>
      </c>
      <c r="BB145">
        <v>720.3</v>
      </c>
      <c r="BC145">
        <v>64688578.799999997</v>
      </c>
      <c r="BD145">
        <v>4381.8999999999996</v>
      </c>
      <c r="BE145">
        <v>610.20000000000005</v>
      </c>
      <c r="BF145">
        <v>5652679.5999999996</v>
      </c>
      <c r="BG145">
        <v>240135.5</v>
      </c>
      <c r="BH145">
        <v>49.2</v>
      </c>
      <c r="BI145">
        <v>64985749.600000001</v>
      </c>
      <c r="BJ145">
        <v>12822139</v>
      </c>
      <c r="BK145">
        <v>77807888.5</v>
      </c>
      <c r="BL145">
        <v>0</v>
      </c>
      <c r="BM145">
        <v>26.63</v>
      </c>
      <c r="BN145">
        <v>11.48</v>
      </c>
      <c r="BO145">
        <v>0</v>
      </c>
      <c r="BP145">
        <v>38.11</v>
      </c>
      <c r="BQ145">
        <v>28.38</v>
      </c>
      <c r="BR145">
        <v>12.64</v>
      </c>
      <c r="BS145">
        <v>0</v>
      </c>
      <c r="BT145">
        <v>41.03</v>
      </c>
      <c r="BU145">
        <v>286863500</v>
      </c>
      <c r="BV145">
        <v>59644730</v>
      </c>
      <c r="BW145">
        <v>1337531.6000000001</v>
      </c>
      <c r="BX145">
        <v>2068471.2</v>
      </c>
      <c r="BY145">
        <v>0</v>
      </c>
      <c r="BZ145">
        <v>0</v>
      </c>
      <c r="CA145">
        <v>32254874</v>
      </c>
      <c r="CB145">
        <v>0</v>
      </c>
      <c r="CC145">
        <v>0</v>
      </c>
      <c r="CD145">
        <v>1425400.4</v>
      </c>
      <c r="CE145">
        <v>81419620</v>
      </c>
      <c r="CF145">
        <v>0</v>
      </c>
      <c r="CG145">
        <v>460412.6</v>
      </c>
      <c r="CH145">
        <v>0</v>
      </c>
      <c r="CI145">
        <v>13691082</v>
      </c>
      <c r="CJ145">
        <v>93223140</v>
      </c>
      <c r="CK145">
        <v>47975.5</v>
      </c>
      <c r="CL145">
        <v>2715648.8</v>
      </c>
      <c r="CM145">
        <v>0</v>
      </c>
      <c r="CN145">
        <v>58219336</v>
      </c>
      <c r="CO145">
        <v>0</v>
      </c>
      <c r="CP145">
        <v>0</v>
      </c>
      <c r="CQ145">
        <v>642.6</v>
      </c>
      <c r="CR145">
        <v>312.89999999999998</v>
      </c>
      <c r="CS145">
        <v>0</v>
      </c>
      <c r="CT145">
        <v>14980.7</v>
      </c>
      <c r="CU145">
        <v>0</v>
      </c>
      <c r="CV145">
        <v>0</v>
      </c>
      <c r="CW145">
        <v>1018.6</v>
      </c>
      <c r="CX145">
        <v>19788.7</v>
      </c>
      <c r="CY145">
        <v>0</v>
      </c>
      <c r="CZ145">
        <v>8571</v>
      </c>
      <c r="DA145">
        <v>0</v>
      </c>
      <c r="DB145">
        <v>5526.1</v>
      </c>
      <c r="DC145">
        <v>11833.5</v>
      </c>
      <c r="DD145">
        <v>1221.2</v>
      </c>
      <c r="DE145">
        <v>1897.4</v>
      </c>
      <c r="DF145">
        <v>0</v>
      </c>
      <c r="DG145">
        <v>25552</v>
      </c>
      <c r="DH145">
        <v>0</v>
      </c>
      <c r="DI145">
        <v>0</v>
      </c>
      <c r="DJ145">
        <v>4238.6000000000004</v>
      </c>
      <c r="DK145">
        <v>18974</v>
      </c>
      <c r="DL145">
        <v>0</v>
      </c>
      <c r="DM145">
        <v>0</v>
      </c>
    </row>
    <row r="146" spans="1:117" x14ac:dyDescent="0.3">
      <c r="A146" t="s">
        <v>171</v>
      </c>
      <c r="B146">
        <v>2030</v>
      </c>
      <c r="C146">
        <v>296424300</v>
      </c>
      <c r="D146">
        <v>3179377.5</v>
      </c>
      <c r="E146">
        <v>3851840</v>
      </c>
      <c r="F146">
        <v>3537785.9</v>
      </c>
      <c r="G146">
        <v>306993301.30000001</v>
      </c>
      <c r="H146">
        <v>285766502.5</v>
      </c>
      <c r="I146">
        <v>243342165</v>
      </c>
      <c r="J146">
        <v>160108620</v>
      </c>
      <c r="K146">
        <v>128295656</v>
      </c>
      <c r="L146">
        <v>3.5900000000000001E-2</v>
      </c>
      <c r="M146">
        <v>5.3999999999999999E-2</v>
      </c>
      <c r="N146">
        <v>0.15</v>
      </c>
      <c r="O146">
        <v>67650.149999999994</v>
      </c>
      <c r="P146">
        <v>66710.100000000006</v>
      </c>
      <c r="Q146">
        <v>0.64</v>
      </c>
      <c r="R146">
        <v>0.66</v>
      </c>
      <c r="S146">
        <v>206.7</v>
      </c>
      <c r="T146">
        <v>14.1</v>
      </c>
      <c r="U146">
        <v>1.97</v>
      </c>
      <c r="V146">
        <v>18.3</v>
      </c>
      <c r="W146">
        <v>764.3</v>
      </c>
      <c r="X146">
        <v>0.16</v>
      </c>
      <c r="Y146">
        <v>207.6</v>
      </c>
      <c r="Z146">
        <v>41.1</v>
      </c>
      <c r="AA146">
        <v>248.8</v>
      </c>
      <c r="AB146">
        <v>197.1</v>
      </c>
      <c r="AC146">
        <v>13.1</v>
      </c>
      <c r="AD146">
        <v>1.82</v>
      </c>
      <c r="AE146">
        <v>17.8</v>
      </c>
      <c r="AF146">
        <v>741.2</v>
      </c>
      <c r="AG146">
        <v>0.16</v>
      </c>
      <c r="AH146">
        <v>198</v>
      </c>
      <c r="AI146">
        <v>40</v>
      </c>
      <c r="AJ146">
        <v>238</v>
      </c>
      <c r="AK146">
        <v>276.10000000000002</v>
      </c>
      <c r="AL146">
        <v>10.9</v>
      </c>
      <c r="AM146">
        <v>1.4</v>
      </c>
      <c r="AN146">
        <v>27.5</v>
      </c>
      <c r="AO146">
        <v>1262.9000000000001</v>
      </c>
      <c r="AP146">
        <v>0.13</v>
      </c>
      <c r="AQ146">
        <v>276.8</v>
      </c>
      <c r="AR146">
        <v>65.2</v>
      </c>
      <c r="AS146">
        <v>342</v>
      </c>
      <c r="AT146">
        <v>542.1</v>
      </c>
      <c r="AU146">
        <v>37</v>
      </c>
      <c r="AV146">
        <v>5.22</v>
      </c>
      <c r="AW146">
        <v>41.1</v>
      </c>
      <c r="AX146">
        <v>1935.3</v>
      </c>
      <c r="AY146">
        <v>0.31</v>
      </c>
      <c r="AZ146">
        <v>544.70000000000005</v>
      </c>
      <c r="BA146">
        <v>98.9</v>
      </c>
      <c r="BB146">
        <v>643.6</v>
      </c>
      <c r="BC146">
        <v>56332542.799999997</v>
      </c>
      <c r="BD146">
        <v>3843.6</v>
      </c>
      <c r="BE146">
        <v>535.70000000000005</v>
      </c>
      <c r="BF146">
        <v>4989120.5999999996</v>
      </c>
      <c r="BG146">
        <v>208444.2</v>
      </c>
      <c r="BH146">
        <v>44.8</v>
      </c>
      <c r="BI146">
        <v>56593324.899999999</v>
      </c>
      <c r="BJ146">
        <v>11213000.5</v>
      </c>
      <c r="BK146">
        <v>67806325.400000006</v>
      </c>
      <c r="BL146">
        <v>0</v>
      </c>
      <c r="BM146">
        <v>24.3</v>
      </c>
      <c r="BN146">
        <v>13.3</v>
      </c>
      <c r="BO146">
        <v>0</v>
      </c>
      <c r="BP146">
        <v>37.61</v>
      </c>
      <c r="BQ146">
        <v>26.04</v>
      </c>
      <c r="BR146">
        <v>14.75</v>
      </c>
      <c r="BS146">
        <v>0</v>
      </c>
      <c r="BT146">
        <v>40.79</v>
      </c>
      <c r="BU146">
        <v>275096770</v>
      </c>
      <c r="BV146">
        <v>63651136</v>
      </c>
      <c r="BW146">
        <v>2727684.2</v>
      </c>
      <c r="BX146">
        <v>1941980.4</v>
      </c>
      <c r="BY146">
        <v>0</v>
      </c>
      <c r="BZ146">
        <v>0</v>
      </c>
      <c r="CA146">
        <v>28469308</v>
      </c>
      <c r="CB146">
        <v>0</v>
      </c>
      <c r="CC146">
        <v>0</v>
      </c>
      <c r="CD146">
        <v>2421235</v>
      </c>
      <c r="CE146">
        <v>70382310</v>
      </c>
      <c r="CF146">
        <v>0</v>
      </c>
      <c r="CG146">
        <v>538551.80000000005</v>
      </c>
      <c r="CH146">
        <v>0</v>
      </c>
      <c r="CI146">
        <v>13344246</v>
      </c>
      <c r="CJ146">
        <v>90937850</v>
      </c>
      <c r="CK146">
        <v>49276.7</v>
      </c>
      <c r="CL146">
        <v>3054416.2</v>
      </c>
      <c r="CM146">
        <v>0</v>
      </c>
      <c r="CN146">
        <v>61229900</v>
      </c>
      <c r="CO146">
        <v>0</v>
      </c>
      <c r="CP146">
        <v>0</v>
      </c>
      <c r="CQ146">
        <v>1326.1</v>
      </c>
      <c r="CR146">
        <v>312.89999999999998</v>
      </c>
      <c r="CS146">
        <v>0</v>
      </c>
      <c r="CT146">
        <v>14980.7</v>
      </c>
      <c r="CU146">
        <v>0</v>
      </c>
      <c r="CV146">
        <v>0</v>
      </c>
      <c r="CW146">
        <v>1693.5</v>
      </c>
      <c r="CX146">
        <v>19748.7</v>
      </c>
      <c r="CY146">
        <v>0</v>
      </c>
      <c r="CZ146">
        <v>8567</v>
      </c>
      <c r="DA146">
        <v>0</v>
      </c>
      <c r="DB146">
        <v>5526.1</v>
      </c>
      <c r="DC146">
        <v>11833.5</v>
      </c>
      <c r="DD146">
        <v>1182.0999999999999</v>
      </c>
      <c r="DE146">
        <v>1897.4</v>
      </c>
      <c r="DF146">
        <v>0</v>
      </c>
      <c r="DG146">
        <v>27135.9</v>
      </c>
      <c r="DH146">
        <v>0</v>
      </c>
      <c r="DI146">
        <v>0</v>
      </c>
      <c r="DJ146">
        <v>8186.5</v>
      </c>
      <c r="DK146">
        <v>18974</v>
      </c>
      <c r="DL146">
        <v>0</v>
      </c>
      <c r="DM146">
        <v>0</v>
      </c>
    </row>
    <row r="147" spans="1:117" x14ac:dyDescent="0.3">
      <c r="A147" t="s">
        <v>171</v>
      </c>
      <c r="B147">
        <v>2035</v>
      </c>
      <c r="C147">
        <v>334397570</v>
      </c>
      <c r="D147">
        <v>19179538</v>
      </c>
      <c r="E147">
        <v>3889756.8</v>
      </c>
      <c r="F147">
        <v>3387526.7</v>
      </c>
      <c r="G147">
        <v>360854375.19999999</v>
      </c>
      <c r="H147">
        <v>322375005.19999999</v>
      </c>
      <c r="I147">
        <v>257626460.09999999</v>
      </c>
      <c r="J147">
        <v>168206450</v>
      </c>
      <c r="K147">
        <v>117153420</v>
      </c>
      <c r="L147">
        <v>3.5900000000000001E-2</v>
      </c>
      <c r="M147">
        <v>5.3999999999999999E-2</v>
      </c>
      <c r="N147">
        <v>0.15</v>
      </c>
      <c r="O147">
        <v>87745.39</v>
      </c>
      <c r="P147">
        <v>77788</v>
      </c>
      <c r="Q147">
        <v>0.73</v>
      </c>
      <c r="R147">
        <v>0.74</v>
      </c>
      <c r="S147">
        <v>158.6</v>
      </c>
      <c r="T147">
        <v>11.5</v>
      </c>
      <c r="U147">
        <v>1.61</v>
      </c>
      <c r="V147">
        <v>13.7</v>
      </c>
      <c r="W147">
        <v>566.1</v>
      </c>
      <c r="X147">
        <v>0.13</v>
      </c>
      <c r="Y147">
        <v>159.4</v>
      </c>
      <c r="Z147">
        <v>30.6</v>
      </c>
      <c r="AA147">
        <v>190</v>
      </c>
      <c r="AB147">
        <v>156.19999999999999</v>
      </c>
      <c r="AC147">
        <v>11</v>
      </c>
      <c r="AD147">
        <v>1.53</v>
      </c>
      <c r="AE147">
        <v>14</v>
      </c>
      <c r="AF147">
        <v>569.70000000000005</v>
      </c>
      <c r="AG147">
        <v>0.13</v>
      </c>
      <c r="AH147">
        <v>157</v>
      </c>
      <c r="AI147">
        <v>31</v>
      </c>
      <c r="AJ147">
        <v>188</v>
      </c>
      <c r="AK147">
        <v>332.9</v>
      </c>
      <c r="AL147">
        <v>17</v>
      </c>
      <c r="AM147">
        <v>2.2799999999999998</v>
      </c>
      <c r="AN147">
        <v>29.7</v>
      </c>
      <c r="AO147">
        <v>1401.2</v>
      </c>
      <c r="AP147">
        <v>0.15</v>
      </c>
      <c r="AQ147">
        <v>334</v>
      </c>
      <c r="AR147">
        <v>71.5</v>
      </c>
      <c r="AS147">
        <v>405.5</v>
      </c>
      <c r="AT147">
        <v>491.5</v>
      </c>
      <c r="AU147">
        <v>32.9</v>
      </c>
      <c r="AV147">
        <v>4.5999999999999996</v>
      </c>
      <c r="AW147">
        <v>37.6</v>
      </c>
      <c r="AX147">
        <v>1800.3</v>
      </c>
      <c r="AY147">
        <v>0.26</v>
      </c>
      <c r="AZ147">
        <v>493.8</v>
      </c>
      <c r="BA147">
        <v>91.3</v>
      </c>
      <c r="BB147">
        <v>585.1</v>
      </c>
      <c r="BC147">
        <v>48528769.299999997</v>
      </c>
      <c r="BD147">
        <v>3519.3</v>
      </c>
      <c r="BE147">
        <v>493.5</v>
      </c>
      <c r="BF147">
        <v>4209692.0999999996</v>
      </c>
      <c r="BG147">
        <v>173319.2</v>
      </c>
      <c r="BH147">
        <v>40.9</v>
      </c>
      <c r="BI147">
        <v>48768375</v>
      </c>
      <c r="BJ147">
        <v>9385780.0999999996</v>
      </c>
      <c r="BK147">
        <v>58154155.200000003</v>
      </c>
      <c r="BL147">
        <v>0</v>
      </c>
      <c r="BM147">
        <v>22.08</v>
      </c>
      <c r="BN147">
        <v>16.7</v>
      </c>
      <c r="BO147">
        <v>0</v>
      </c>
      <c r="BP147">
        <v>38.78</v>
      </c>
      <c r="BQ147">
        <v>24.25</v>
      </c>
      <c r="BR147">
        <v>19.29</v>
      </c>
      <c r="BS147">
        <v>0</v>
      </c>
      <c r="BT147">
        <v>43.54</v>
      </c>
      <c r="BU147">
        <v>309649150</v>
      </c>
      <c r="BV147">
        <v>103227910</v>
      </c>
      <c r="BW147">
        <v>16279430</v>
      </c>
      <c r="BX147">
        <v>1812368.8</v>
      </c>
      <c r="BY147">
        <v>0</v>
      </c>
      <c r="BZ147">
        <v>0</v>
      </c>
      <c r="CA147">
        <v>26762894</v>
      </c>
      <c r="CB147">
        <v>0</v>
      </c>
      <c r="CC147">
        <v>0</v>
      </c>
      <c r="CD147">
        <v>3867365.5</v>
      </c>
      <c r="CE147">
        <v>55705760</v>
      </c>
      <c r="CF147">
        <v>0</v>
      </c>
      <c r="CG147">
        <v>405532.7</v>
      </c>
      <c r="CH147">
        <v>0</v>
      </c>
      <c r="CI147">
        <v>12978094</v>
      </c>
      <c r="CJ147">
        <v>89427300</v>
      </c>
      <c r="CK147">
        <v>1518.9</v>
      </c>
      <c r="CL147">
        <v>3048334.2</v>
      </c>
      <c r="CM147">
        <v>0</v>
      </c>
      <c r="CN147">
        <v>99360550</v>
      </c>
      <c r="CO147">
        <v>0</v>
      </c>
      <c r="CP147">
        <v>0</v>
      </c>
      <c r="CQ147">
        <v>7322.6</v>
      </c>
      <c r="CR147">
        <v>312.89999999999998</v>
      </c>
      <c r="CS147">
        <v>0</v>
      </c>
      <c r="CT147">
        <v>14980.7</v>
      </c>
      <c r="CU147">
        <v>0</v>
      </c>
      <c r="CV147">
        <v>0</v>
      </c>
      <c r="CW147">
        <v>2727.5</v>
      </c>
      <c r="CX147">
        <v>19748.7</v>
      </c>
      <c r="CY147">
        <v>0</v>
      </c>
      <c r="CZ147">
        <v>8567</v>
      </c>
      <c r="DA147">
        <v>0</v>
      </c>
      <c r="DB147">
        <v>5552</v>
      </c>
      <c r="DC147">
        <v>11833.5</v>
      </c>
      <c r="DD147">
        <v>927.8</v>
      </c>
      <c r="DE147">
        <v>1897.4</v>
      </c>
      <c r="DF147">
        <v>0</v>
      </c>
      <c r="DG147">
        <v>44286.8</v>
      </c>
      <c r="DH147">
        <v>0</v>
      </c>
      <c r="DI147">
        <v>0</v>
      </c>
      <c r="DJ147">
        <v>49248.6</v>
      </c>
      <c r="DK147">
        <v>18974</v>
      </c>
      <c r="DL147">
        <v>0</v>
      </c>
      <c r="DM147">
        <v>0</v>
      </c>
    </row>
    <row r="148" spans="1:117" x14ac:dyDescent="0.3">
      <c r="A148" t="s">
        <v>171</v>
      </c>
      <c r="B148">
        <v>2040</v>
      </c>
      <c r="C148">
        <v>376265000</v>
      </c>
      <c r="D148">
        <v>37560788</v>
      </c>
      <c r="E148">
        <v>4234548</v>
      </c>
      <c r="F148">
        <v>3488635.8</v>
      </c>
      <c r="G148">
        <v>421548962.89999998</v>
      </c>
      <c r="H148">
        <v>362737604.80000001</v>
      </c>
      <c r="I148">
        <v>272524272.80000001</v>
      </c>
      <c r="J148">
        <v>176725020</v>
      </c>
      <c r="K148">
        <v>123003380</v>
      </c>
      <c r="L148">
        <v>3.5900000000000001E-2</v>
      </c>
      <c r="M148">
        <v>5.3900000000000003E-2</v>
      </c>
      <c r="N148">
        <v>0.15</v>
      </c>
      <c r="O148">
        <v>86555.87</v>
      </c>
      <c r="P148">
        <v>89805.8</v>
      </c>
      <c r="Q148">
        <v>0.78</v>
      </c>
      <c r="R148">
        <v>0.78</v>
      </c>
      <c r="S148">
        <v>121.8</v>
      </c>
      <c r="T148">
        <v>8</v>
      </c>
      <c r="U148">
        <v>1.1000000000000001</v>
      </c>
      <c r="V148">
        <v>11.5</v>
      </c>
      <c r="W148">
        <v>463.3</v>
      </c>
      <c r="X148">
        <v>0.11</v>
      </c>
      <c r="Y148">
        <v>122.3</v>
      </c>
      <c r="Z148">
        <v>25.3</v>
      </c>
      <c r="AA148">
        <v>147.69999999999999</v>
      </c>
      <c r="AB148">
        <v>126.2</v>
      </c>
      <c r="AC148">
        <v>7.9</v>
      </c>
      <c r="AD148">
        <v>1.1000000000000001</v>
      </c>
      <c r="AE148">
        <v>12.2</v>
      </c>
      <c r="AF148">
        <v>489.3</v>
      </c>
      <c r="AG148">
        <v>0.11</v>
      </c>
      <c r="AH148">
        <v>126.7</v>
      </c>
      <c r="AI148">
        <v>26.9</v>
      </c>
      <c r="AJ148">
        <v>153.6</v>
      </c>
      <c r="AK148">
        <v>422.1</v>
      </c>
      <c r="AL148">
        <v>23.3</v>
      </c>
      <c r="AM148">
        <v>3.17</v>
      </c>
      <c r="AN148">
        <v>36</v>
      </c>
      <c r="AO148">
        <v>1720</v>
      </c>
      <c r="AP148">
        <v>0.2</v>
      </c>
      <c r="AQ148">
        <v>423.7</v>
      </c>
      <c r="AR148">
        <v>87.3</v>
      </c>
      <c r="AS148">
        <v>511</v>
      </c>
      <c r="AT148">
        <v>438.8</v>
      </c>
      <c r="AU148">
        <v>26.8</v>
      </c>
      <c r="AV148">
        <v>3.72</v>
      </c>
      <c r="AW148">
        <v>35.9</v>
      </c>
      <c r="AX148">
        <v>1684.2</v>
      </c>
      <c r="AY148">
        <v>0.23</v>
      </c>
      <c r="AZ148">
        <v>440.6</v>
      </c>
      <c r="BA148">
        <v>86.2</v>
      </c>
      <c r="BB148">
        <v>526.79999999999995</v>
      </c>
      <c r="BC148">
        <v>44150814.200000003</v>
      </c>
      <c r="BD148">
        <v>2876.8</v>
      </c>
      <c r="BE148">
        <v>398.8</v>
      </c>
      <c r="BF148">
        <v>4183613</v>
      </c>
      <c r="BG148">
        <v>168119.9</v>
      </c>
      <c r="BH148">
        <v>38.4</v>
      </c>
      <c r="BI148">
        <v>44345419.600000001</v>
      </c>
      <c r="BJ148">
        <v>9204063.6999999993</v>
      </c>
      <c r="BK148">
        <v>53549483.299999997</v>
      </c>
      <c r="BL148">
        <v>0</v>
      </c>
      <c r="BM148">
        <v>19.73</v>
      </c>
      <c r="BN148">
        <v>15.98</v>
      </c>
      <c r="BO148">
        <v>0</v>
      </c>
      <c r="BP148">
        <v>35.71</v>
      </c>
      <c r="BQ148">
        <v>22.24</v>
      </c>
      <c r="BR148">
        <v>19.18</v>
      </c>
      <c r="BS148">
        <v>0</v>
      </c>
      <c r="BT148">
        <v>41.42</v>
      </c>
      <c r="BU148">
        <v>367670500</v>
      </c>
      <c r="BV148">
        <v>149024690</v>
      </c>
      <c r="BW148">
        <v>32000820</v>
      </c>
      <c r="BX148">
        <v>1710221</v>
      </c>
      <c r="BY148">
        <v>0</v>
      </c>
      <c r="BZ148">
        <v>0</v>
      </c>
      <c r="CA148">
        <v>21109968</v>
      </c>
      <c r="CB148">
        <v>0</v>
      </c>
      <c r="CC148">
        <v>0</v>
      </c>
      <c r="CD148">
        <v>4666882</v>
      </c>
      <c r="CE148">
        <v>59179276</v>
      </c>
      <c r="CF148">
        <v>0</v>
      </c>
      <c r="CG148">
        <v>472848.2</v>
      </c>
      <c r="CH148">
        <v>0</v>
      </c>
      <c r="CI148">
        <v>12615661</v>
      </c>
      <c r="CJ148">
        <v>88116910</v>
      </c>
      <c r="CK148">
        <v>1649.3</v>
      </c>
      <c r="CL148">
        <v>3438444.8</v>
      </c>
      <c r="CM148">
        <v>0</v>
      </c>
      <c r="CN148">
        <v>144357810</v>
      </c>
      <c r="CO148">
        <v>0</v>
      </c>
      <c r="CP148">
        <v>0</v>
      </c>
      <c r="CQ148">
        <v>15670.8</v>
      </c>
      <c r="CR148">
        <v>312.89999999999998</v>
      </c>
      <c r="CS148">
        <v>0</v>
      </c>
      <c r="CT148">
        <v>14980.7</v>
      </c>
      <c r="CU148">
        <v>0</v>
      </c>
      <c r="CV148">
        <v>0</v>
      </c>
      <c r="CW148">
        <v>3451.1</v>
      </c>
      <c r="CX148">
        <v>19748.7</v>
      </c>
      <c r="CY148">
        <v>0</v>
      </c>
      <c r="CZ148">
        <v>9721.7000000000007</v>
      </c>
      <c r="DA148">
        <v>0</v>
      </c>
      <c r="DB148">
        <v>5552</v>
      </c>
      <c r="DC148">
        <v>11833.5</v>
      </c>
      <c r="DD148">
        <v>790.6</v>
      </c>
      <c r="DE148">
        <v>1897.4</v>
      </c>
      <c r="DF148">
        <v>0</v>
      </c>
      <c r="DG148">
        <v>65479.4</v>
      </c>
      <c r="DH148">
        <v>0</v>
      </c>
      <c r="DI148">
        <v>0</v>
      </c>
      <c r="DJ148">
        <v>94514.7</v>
      </c>
      <c r="DK148">
        <v>18974</v>
      </c>
      <c r="DL148">
        <v>0</v>
      </c>
      <c r="DM148">
        <v>0</v>
      </c>
    </row>
    <row r="149" spans="1:117" x14ac:dyDescent="0.3">
      <c r="A149" t="s">
        <v>171</v>
      </c>
      <c r="B149">
        <v>2045</v>
      </c>
      <c r="C149">
        <v>416158980</v>
      </c>
      <c r="D149">
        <v>59447500</v>
      </c>
      <c r="E149">
        <v>4468669</v>
      </c>
      <c r="F149">
        <v>3598385.1</v>
      </c>
      <c r="G149">
        <v>483673526.69999999</v>
      </c>
      <c r="H149">
        <v>401197634.30000001</v>
      </c>
      <c r="I149">
        <v>286934239.60000002</v>
      </c>
      <c r="J149">
        <v>176222260</v>
      </c>
      <c r="K149">
        <v>127041330</v>
      </c>
      <c r="L149">
        <v>3.5900000000000001E-2</v>
      </c>
      <c r="M149">
        <v>5.3900000000000003E-2</v>
      </c>
      <c r="N149">
        <v>0.15</v>
      </c>
      <c r="O149">
        <v>85607.77</v>
      </c>
      <c r="P149">
        <v>101002.3</v>
      </c>
      <c r="Q149">
        <v>0.81</v>
      </c>
      <c r="R149">
        <v>0.8</v>
      </c>
      <c r="S149">
        <v>99.9</v>
      </c>
      <c r="T149">
        <v>5.9</v>
      </c>
      <c r="U149">
        <v>0.82</v>
      </c>
      <c r="V149">
        <v>10</v>
      </c>
      <c r="W149">
        <v>398.4</v>
      </c>
      <c r="X149">
        <v>0.09</v>
      </c>
      <c r="Y149">
        <v>100.3</v>
      </c>
      <c r="Z149">
        <v>21.9</v>
      </c>
      <c r="AA149">
        <v>122.2</v>
      </c>
      <c r="AB149">
        <v>107.8</v>
      </c>
      <c r="AC149">
        <v>6.2</v>
      </c>
      <c r="AD149">
        <v>0.84</v>
      </c>
      <c r="AE149">
        <v>11</v>
      </c>
      <c r="AF149">
        <v>437.6</v>
      </c>
      <c r="AG149">
        <v>0.09</v>
      </c>
      <c r="AH149">
        <v>108.2</v>
      </c>
      <c r="AI149">
        <v>24.1</v>
      </c>
      <c r="AJ149">
        <v>132.30000000000001</v>
      </c>
      <c r="AK149">
        <v>368.7</v>
      </c>
      <c r="AL149">
        <v>20.7</v>
      </c>
      <c r="AM149">
        <v>2.82</v>
      </c>
      <c r="AN149">
        <v>31.3</v>
      </c>
      <c r="AO149">
        <v>1491</v>
      </c>
      <c r="AP149">
        <v>0.17</v>
      </c>
      <c r="AQ149">
        <v>370</v>
      </c>
      <c r="AR149">
        <v>75.7</v>
      </c>
      <c r="AS149">
        <v>445.8</v>
      </c>
      <c r="AT149">
        <v>406.8</v>
      </c>
      <c r="AU149">
        <v>23.8</v>
      </c>
      <c r="AV149">
        <v>3.28</v>
      </c>
      <c r="AW149">
        <v>34.200000000000003</v>
      </c>
      <c r="AX149">
        <v>1598</v>
      </c>
      <c r="AY149">
        <v>0.21</v>
      </c>
      <c r="AZ149">
        <v>408.4</v>
      </c>
      <c r="BA149">
        <v>81.8</v>
      </c>
      <c r="BB149">
        <v>490.2</v>
      </c>
      <c r="BC149">
        <v>42803549.600000001</v>
      </c>
      <c r="BD149">
        <v>2541.4</v>
      </c>
      <c r="BE149">
        <v>348.4</v>
      </c>
      <c r="BF149">
        <v>4292164.0999999996</v>
      </c>
      <c r="BG149">
        <v>170860.6</v>
      </c>
      <c r="BH149">
        <v>37.299999999999997</v>
      </c>
      <c r="BI149">
        <v>42974406.100000001</v>
      </c>
      <c r="BJ149">
        <v>9394005.8000000007</v>
      </c>
      <c r="BK149">
        <v>52368411.899999999</v>
      </c>
      <c r="BL149">
        <v>0</v>
      </c>
      <c r="BM149">
        <v>17.71</v>
      </c>
      <c r="BN149">
        <v>15.27</v>
      </c>
      <c r="BO149">
        <v>0</v>
      </c>
      <c r="BP149">
        <v>32.99</v>
      </c>
      <c r="BQ149">
        <v>20.59</v>
      </c>
      <c r="BR149">
        <v>19.010000000000002</v>
      </c>
      <c r="BS149">
        <v>0</v>
      </c>
      <c r="BT149">
        <v>39.61</v>
      </c>
      <c r="BU149">
        <v>434275740</v>
      </c>
      <c r="BV149">
        <v>196739280</v>
      </c>
      <c r="BW149">
        <v>50646388</v>
      </c>
      <c r="BX149">
        <v>1603534.9</v>
      </c>
      <c r="BY149">
        <v>0</v>
      </c>
      <c r="BZ149">
        <v>0</v>
      </c>
      <c r="CA149">
        <v>17953820</v>
      </c>
      <c r="CB149">
        <v>0</v>
      </c>
      <c r="CC149">
        <v>0</v>
      </c>
      <c r="CD149">
        <v>5610155</v>
      </c>
      <c r="CE149">
        <v>64162250</v>
      </c>
      <c r="CF149">
        <v>0</v>
      </c>
      <c r="CG149">
        <v>303388</v>
      </c>
      <c r="CH149">
        <v>0</v>
      </c>
      <c r="CI149">
        <v>12323397</v>
      </c>
      <c r="CJ149">
        <v>86909530</v>
      </c>
      <c r="CK149">
        <v>336.3</v>
      </c>
      <c r="CL149">
        <v>3633827.2</v>
      </c>
      <c r="CM149">
        <v>0</v>
      </c>
      <c r="CN149">
        <v>191129140</v>
      </c>
      <c r="CO149">
        <v>0</v>
      </c>
      <c r="CP149">
        <v>0</v>
      </c>
      <c r="CQ149">
        <v>25383.3</v>
      </c>
      <c r="CR149">
        <v>312.89999999999998</v>
      </c>
      <c r="CS149">
        <v>0</v>
      </c>
      <c r="CT149">
        <v>14239.2</v>
      </c>
      <c r="CU149">
        <v>0</v>
      </c>
      <c r="CV149">
        <v>0</v>
      </c>
      <c r="CW149">
        <v>4470.6000000000004</v>
      </c>
      <c r="CX149">
        <v>19237.599999999999</v>
      </c>
      <c r="CY149">
        <v>0</v>
      </c>
      <c r="CZ149">
        <v>9891</v>
      </c>
      <c r="DA149">
        <v>0</v>
      </c>
      <c r="DB149">
        <v>5552</v>
      </c>
      <c r="DC149">
        <v>11833.5</v>
      </c>
      <c r="DD149">
        <v>789.4</v>
      </c>
      <c r="DE149">
        <v>1897.4</v>
      </c>
      <c r="DF149">
        <v>0</v>
      </c>
      <c r="DG149">
        <v>89348.2</v>
      </c>
      <c r="DH149">
        <v>0</v>
      </c>
      <c r="DI149">
        <v>0</v>
      </c>
      <c r="DJ149">
        <v>146259.20000000001</v>
      </c>
      <c r="DK149">
        <v>18974</v>
      </c>
      <c r="DL149">
        <v>0</v>
      </c>
      <c r="DM149">
        <v>0</v>
      </c>
    </row>
    <row r="150" spans="1:117" x14ac:dyDescent="0.3">
      <c r="A150" t="s">
        <v>171</v>
      </c>
      <c r="B150">
        <v>2050</v>
      </c>
      <c r="C150">
        <v>456839520</v>
      </c>
      <c r="D150">
        <v>87114070</v>
      </c>
      <c r="E150">
        <v>4610041.5</v>
      </c>
      <c r="F150">
        <v>3487570.2</v>
      </c>
      <c r="G150">
        <v>552051214.5</v>
      </c>
      <c r="H150">
        <v>440416061.30000001</v>
      </c>
      <c r="I150">
        <v>295607092.30000001</v>
      </c>
      <c r="J150">
        <v>165248100</v>
      </c>
      <c r="K150">
        <v>126337660</v>
      </c>
      <c r="L150">
        <v>3.5900000000000001E-2</v>
      </c>
      <c r="M150">
        <v>5.3900000000000003E-2</v>
      </c>
      <c r="N150">
        <v>0.15</v>
      </c>
      <c r="O150">
        <v>84388.11</v>
      </c>
      <c r="P150">
        <v>112735.1</v>
      </c>
      <c r="Q150">
        <v>0.85</v>
      </c>
      <c r="R150">
        <v>0.82</v>
      </c>
      <c r="S150">
        <v>73.3</v>
      </c>
      <c r="T150">
        <v>3.5</v>
      </c>
      <c r="U150">
        <v>0.46</v>
      </c>
      <c r="V150">
        <v>8.3000000000000007</v>
      </c>
      <c r="W150">
        <v>321</v>
      </c>
      <c r="X150">
        <v>7.0000000000000007E-2</v>
      </c>
      <c r="Y150">
        <v>73.5</v>
      </c>
      <c r="Z150">
        <v>17.899999999999999</v>
      </c>
      <c r="AA150">
        <v>91.4</v>
      </c>
      <c r="AB150">
        <v>87.1</v>
      </c>
      <c r="AC150">
        <v>4</v>
      </c>
      <c r="AD150">
        <v>0.53</v>
      </c>
      <c r="AE150">
        <v>9.9</v>
      </c>
      <c r="AF150">
        <v>384.5</v>
      </c>
      <c r="AG150">
        <v>0.08</v>
      </c>
      <c r="AH150">
        <v>87.3</v>
      </c>
      <c r="AI150">
        <v>21.4</v>
      </c>
      <c r="AJ150">
        <v>108.7</v>
      </c>
      <c r="AK150">
        <v>339.3</v>
      </c>
      <c r="AL150">
        <v>19.5</v>
      </c>
      <c r="AM150">
        <v>2.66</v>
      </c>
      <c r="AN150">
        <v>28.5</v>
      </c>
      <c r="AO150">
        <v>1359.6</v>
      </c>
      <c r="AP150">
        <v>0.16</v>
      </c>
      <c r="AQ150">
        <v>340.6</v>
      </c>
      <c r="AR150">
        <v>69.099999999999994</v>
      </c>
      <c r="AS150">
        <v>409.6</v>
      </c>
      <c r="AT150">
        <v>382.4</v>
      </c>
      <c r="AU150">
        <v>20.8</v>
      </c>
      <c r="AV150">
        <v>2.83</v>
      </c>
      <c r="AW150">
        <v>33.700000000000003</v>
      </c>
      <c r="AX150">
        <v>1556.2</v>
      </c>
      <c r="AY150">
        <v>0.2</v>
      </c>
      <c r="AZ150">
        <v>383.8</v>
      </c>
      <c r="BA150">
        <v>80.099999999999994</v>
      </c>
      <c r="BB150">
        <v>463.9</v>
      </c>
      <c r="BC150">
        <v>37064520</v>
      </c>
      <c r="BD150">
        <v>1745</v>
      </c>
      <c r="BE150">
        <v>231.4</v>
      </c>
      <c r="BF150">
        <v>4230356.4000000004</v>
      </c>
      <c r="BG150">
        <v>162621.4</v>
      </c>
      <c r="BH150">
        <v>34.299999999999997</v>
      </c>
      <c r="BI150">
        <v>37179687.899999999</v>
      </c>
      <c r="BJ150">
        <v>9085826.1999999993</v>
      </c>
      <c r="BK150">
        <v>46265514.100000001</v>
      </c>
      <c r="BL150">
        <v>0</v>
      </c>
      <c r="BM150">
        <v>17.3</v>
      </c>
      <c r="BN150">
        <v>14.58</v>
      </c>
      <c r="BO150">
        <v>0</v>
      </c>
      <c r="BP150">
        <v>31.88</v>
      </c>
      <c r="BQ150">
        <v>20.76</v>
      </c>
      <c r="BR150">
        <v>18.89</v>
      </c>
      <c r="BS150">
        <v>0</v>
      </c>
      <c r="BT150">
        <v>39.65</v>
      </c>
      <c r="BU150">
        <v>512854530</v>
      </c>
      <c r="BV150">
        <v>256444130</v>
      </c>
      <c r="BW150">
        <v>74187100</v>
      </c>
      <c r="BX150">
        <v>1553277.2</v>
      </c>
      <c r="BY150">
        <v>0</v>
      </c>
      <c r="BZ150">
        <v>0</v>
      </c>
      <c r="CA150">
        <v>10872080</v>
      </c>
      <c r="CB150">
        <v>0</v>
      </c>
      <c r="CC150">
        <v>0</v>
      </c>
      <c r="CD150">
        <v>6748315</v>
      </c>
      <c r="CE150">
        <v>67313496</v>
      </c>
      <c r="CF150">
        <v>0</v>
      </c>
      <c r="CG150">
        <v>389020.1</v>
      </c>
      <c r="CH150">
        <v>0</v>
      </c>
      <c r="CI150">
        <v>12184309</v>
      </c>
      <c r="CJ150">
        <v>86150610</v>
      </c>
      <c r="CK150">
        <v>0</v>
      </c>
      <c r="CL150">
        <v>3760499.2</v>
      </c>
      <c r="CM150">
        <v>0</v>
      </c>
      <c r="CN150">
        <v>247985380</v>
      </c>
      <c r="CO150">
        <v>1710426.4</v>
      </c>
      <c r="CP150">
        <v>0</v>
      </c>
      <c r="CQ150">
        <v>36789.1</v>
      </c>
      <c r="CR150">
        <v>312.89999999999998</v>
      </c>
      <c r="CS150">
        <v>0</v>
      </c>
      <c r="CT150">
        <v>8718.6</v>
      </c>
      <c r="CU150">
        <v>0</v>
      </c>
      <c r="CV150">
        <v>0</v>
      </c>
      <c r="CW150">
        <v>5761.1</v>
      </c>
      <c r="CX150">
        <v>19237.599999999999</v>
      </c>
      <c r="CY150">
        <v>0</v>
      </c>
      <c r="CZ150">
        <v>13618.9</v>
      </c>
      <c r="DA150">
        <v>0</v>
      </c>
      <c r="DB150">
        <v>5552</v>
      </c>
      <c r="DC150">
        <v>11833.5</v>
      </c>
      <c r="DD150">
        <v>1.4</v>
      </c>
      <c r="DE150">
        <v>1897.4</v>
      </c>
      <c r="DF150">
        <v>0</v>
      </c>
      <c r="DG150">
        <v>118416.9</v>
      </c>
      <c r="DH150">
        <v>0</v>
      </c>
      <c r="DI150">
        <v>572</v>
      </c>
      <c r="DJ150">
        <v>213616.7</v>
      </c>
      <c r="DK150">
        <v>18974</v>
      </c>
      <c r="DL150">
        <v>0</v>
      </c>
      <c r="DM150">
        <v>0</v>
      </c>
    </row>
    <row r="151" spans="1:117" x14ac:dyDescent="0.3">
      <c r="A151" t="s">
        <v>172</v>
      </c>
      <c r="B151">
        <v>2024</v>
      </c>
      <c r="C151">
        <v>216905420</v>
      </c>
      <c r="D151">
        <v>24753.599999999999</v>
      </c>
      <c r="E151">
        <v>1956521.4</v>
      </c>
      <c r="F151">
        <v>1508536.9</v>
      </c>
      <c r="G151">
        <v>220395239.69999999</v>
      </c>
      <c r="H151">
        <v>209105276</v>
      </c>
      <c r="I151">
        <v>214350148.80000001</v>
      </c>
      <c r="J151">
        <v>104487800</v>
      </c>
      <c r="K151">
        <v>56378700</v>
      </c>
      <c r="L151">
        <v>3.5900000000000001E-2</v>
      </c>
      <c r="M151">
        <v>5.3999999999999999E-2</v>
      </c>
      <c r="N151">
        <v>0.15049999999999999</v>
      </c>
      <c r="O151">
        <v>22848.93</v>
      </c>
      <c r="P151">
        <v>44981.5</v>
      </c>
      <c r="Q151">
        <v>0.33</v>
      </c>
      <c r="R151">
        <v>0.34</v>
      </c>
      <c r="S151">
        <v>527.29999999999995</v>
      </c>
      <c r="T151">
        <v>51.3</v>
      </c>
      <c r="U151">
        <v>7.38</v>
      </c>
      <c r="V151">
        <v>26.7</v>
      </c>
      <c r="W151">
        <v>1452</v>
      </c>
      <c r="X151">
        <v>0.3</v>
      </c>
      <c r="Y151">
        <v>530.9</v>
      </c>
      <c r="Z151">
        <v>70</v>
      </c>
      <c r="AA151">
        <v>600.9</v>
      </c>
      <c r="AB151">
        <v>545.6</v>
      </c>
      <c r="AC151">
        <v>53.2</v>
      </c>
      <c r="AD151">
        <v>7.66</v>
      </c>
      <c r="AE151">
        <v>27.3</v>
      </c>
      <c r="AF151">
        <v>1495.2</v>
      </c>
      <c r="AG151">
        <v>0.31</v>
      </c>
      <c r="AH151">
        <v>549.20000000000005</v>
      </c>
      <c r="AI151">
        <v>72</v>
      </c>
      <c r="AJ151">
        <v>621.20000000000005</v>
      </c>
      <c r="AK151">
        <v>310.39999999999998</v>
      </c>
      <c r="AL151">
        <v>21.2</v>
      </c>
      <c r="AM151">
        <v>2.98</v>
      </c>
      <c r="AN151">
        <v>23</v>
      </c>
      <c r="AO151">
        <v>1118.8</v>
      </c>
      <c r="AP151">
        <v>0.16</v>
      </c>
      <c r="AQ151">
        <v>311.8</v>
      </c>
      <c r="AR151">
        <v>56.4</v>
      </c>
      <c r="AS151">
        <v>368.2</v>
      </c>
      <c r="AT151">
        <v>788.6</v>
      </c>
      <c r="AU151">
        <v>62.9</v>
      </c>
      <c r="AV151">
        <v>9.07</v>
      </c>
      <c r="AW151">
        <v>51.5</v>
      </c>
      <c r="AX151">
        <v>2455.1999999999998</v>
      </c>
      <c r="AY151">
        <v>0.48</v>
      </c>
      <c r="AZ151">
        <v>793</v>
      </c>
      <c r="BA151">
        <v>124.8</v>
      </c>
      <c r="BB151">
        <v>917.8</v>
      </c>
      <c r="BC151">
        <v>90078117.700000003</v>
      </c>
      <c r="BD151">
        <v>8764.6</v>
      </c>
      <c r="BE151">
        <v>1260.5</v>
      </c>
      <c r="BF151">
        <v>4555888.4000000004</v>
      </c>
      <c r="BG151">
        <v>248112.6</v>
      </c>
      <c r="BH151">
        <v>51</v>
      </c>
      <c r="BI151">
        <v>90683431.799999997</v>
      </c>
      <c r="BJ151">
        <v>11963558.199999999</v>
      </c>
      <c r="BK151">
        <v>102646990</v>
      </c>
      <c r="BL151">
        <v>0</v>
      </c>
      <c r="BM151">
        <v>31.76</v>
      </c>
      <c r="BN151">
        <v>4.5999999999999996</v>
      </c>
      <c r="BO151">
        <v>0</v>
      </c>
      <c r="BP151">
        <v>36.369999999999997</v>
      </c>
      <c r="BQ151">
        <v>33.67</v>
      </c>
      <c r="BR151">
        <v>5.0199999999999996</v>
      </c>
      <c r="BS151">
        <v>0</v>
      </c>
      <c r="BT151">
        <v>38.69</v>
      </c>
      <c r="BU151">
        <v>171984670</v>
      </c>
      <c r="BV151">
        <v>6045091</v>
      </c>
      <c r="BW151">
        <v>21003.200000000001</v>
      </c>
      <c r="BX151">
        <v>178949.3</v>
      </c>
      <c r="BY151">
        <v>0</v>
      </c>
      <c r="BZ151">
        <v>0</v>
      </c>
      <c r="CA151">
        <v>69509656</v>
      </c>
      <c r="CB151">
        <v>0</v>
      </c>
      <c r="CC151">
        <v>0</v>
      </c>
      <c r="CD151">
        <v>298037.3</v>
      </c>
      <c r="CE151">
        <v>44463210</v>
      </c>
      <c r="CF151">
        <v>0</v>
      </c>
      <c r="CG151">
        <v>604378.5</v>
      </c>
      <c r="CH151">
        <v>0</v>
      </c>
      <c r="CI151">
        <v>13428027</v>
      </c>
      <c r="CJ151">
        <v>36119536</v>
      </c>
      <c r="CK151">
        <v>1817.3</v>
      </c>
      <c r="CL151">
        <v>1613007.2</v>
      </c>
      <c r="CM151">
        <v>0</v>
      </c>
      <c r="CN151">
        <v>5693015</v>
      </c>
      <c r="CO151">
        <v>54038.8</v>
      </c>
      <c r="CP151">
        <v>0</v>
      </c>
      <c r="CQ151">
        <v>24.9</v>
      </c>
      <c r="CR151">
        <v>38</v>
      </c>
      <c r="CS151">
        <v>0</v>
      </c>
      <c r="CT151">
        <v>14777</v>
      </c>
      <c r="CU151">
        <v>0</v>
      </c>
      <c r="CV151">
        <v>0</v>
      </c>
      <c r="CW151">
        <v>203.2</v>
      </c>
      <c r="CX151">
        <v>8085.1</v>
      </c>
      <c r="CY151">
        <v>0</v>
      </c>
      <c r="CZ151">
        <v>7781.4</v>
      </c>
      <c r="DA151">
        <v>0</v>
      </c>
      <c r="DB151">
        <v>3662.1</v>
      </c>
      <c r="DC151">
        <v>4522.7</v>
      </c>
      <c r="DD151">
        <v>49.1</v>
      </c>
      <c r="DE151">
        <v>1616.3</v>
      </c>
      <c r="DF151">
        <v>0</v>
      </c>
      <c r="DG151">
        <v>2538.1999999999998</v>
      </c>
      <c r="DH151">
        <v>0</v>
      </c>
      <c r="DI151">
        <v>29.1</v>
      </c>
      <c r="DJ151">
        <v>59.5</v>
      </c>
      <c r="DK151">
        <v>16163</v>
      </c>
      <c r="DL151">
        <v>0</v>
      </c>
      <c r="DM151">
        <v>0</v>
      </c>
    </row>
    <row r="152" spans="1:117" x14ac:dyDescent="0.3">
      <c r="A152" t="s">
        <v>172</v>
      </c>
      <c r="B152">
        <v>2026</v>
      </c>
      <c r="C152">
        <v>222308820</v>
      </c>
      <c r="D152">
        <v>2540718.7999999998</v>
      </c>
      <c r="E152">
        <v>1817908.4</v>
      </c>
      <c r="F152">
        <v>1667201.7</v>
      </c>
      <c r="G152">
        <v>228334649.30000001</v>
      </c>
      <c r="H152">
        <v>214314349.19999999</v>
      </c>
      <c r="I152">
        <v>212285944.5</v>
      </c>
      <c r="J152">
        <v>121282776</v>
      </c>
      <c r="K152">
        <v>66014260</v>
      </c>
      <c r="L152">
        <v>3.5900000000000001E-2</v>
      </c>
      <c r="M152">
        <v>5.3999999999999999E-2</v>
      </c>
      <c r="N152">
        <v>0.15049999999999999</v>
      </c>
      <c r="O152">
        <v>51003.62</v>
      </c>
      <c r="P152">
        <v>46069.8</v>
      </c>
      <c r="Q152">
        <v>0.4</v>
      </c>
      <c r="R152">
        <v>0.42</v>
      </c>
      <c r="S152">
        <v>451.9</v>
      </c>
      <c r="T152">
        <v>42.8</v>
      </c>
      <c r="U152">
        <v>6.14</v>
      </c>
      <c r="V152">
        <v>24.2</v>
      </c>
      <c r="W152">
        <v>1282.7</v>
      </c>
      <c r="X152">
        <v>0.26</v>
      </c>
      <c r="Y152">
        <v>454.9</v>
      </c>
      <c r="Z152">
        <v>62.5</v>
      </c>
      <c r="AA152">
        <v>517.29999999999995</v>
      </c>
      <c r="AB152">
        <v>463</v>
      </c>
      <c r="AC152">
        <v>44</v>
      </c>
      <c r="AD152">
        <v>6.32</v>
      </c>
      <c r="AE152">
        <v>24.6</v>
      </c>
      <c r="AF152">
        <v>1306.5</v>
      </c>
      <c r="AG152">
        <v>0.27</v>
      </c>
      <c r="AH152">
        <v>466.1</v>
      </c>
      <c r="AI152">
        <v>63.6</v>
      </c>
      <c r="AJ152">
        <v>529.6</v>
      </c>
      <c r="AK152">
        <v>314.5</v>
      </c>
      <c r="AL152">
        <v>14.8</v>
      </c>
      <c r="AM152">
        <v>1.97</v>
      </c>
      <c r="AN152">
        <v>29.3</v>
      </c>
      <c r="AO152">
        <v>1354.3</v>
      </c>
      <c r="AP152">
        <v>0.15</v>
      </c>
      <c r="AQ152">
        <v>315.5</v>
      </c>
      <c r="AR152">
        <v>69.7</v>
      </c>
      <c r="AS152">
        <v>385.1</v>
      </c>
      <c r="AT152">
        <v>745.3</v>
      </c>
      <c r="AU152">
        <v>59.2</v>
      </c>
      <c r="AV152">
        <v>8.49</v>
      </c>
      <c r="AW152">
        <v>48.4</v>
      </c>
      <c r="AX152">
        <v>2372.4</v>
      </c>
      <c r="AY152">
        <v>0.42</v>
      </c>
      <c r="AZ152">
        <v>749.4</v>
      </c>
      <c r="BA152">
        <v>119.2</v>
      </c>
      <c r="BB152">
        <v>868.6</v>
      </c>
      <c r="BC152">
        <v>77494673.900000006</v>
      </c>
      <c r="BD152">
        <v>7335.2</v>
      </c>
      <c r="BE152">
        <v>1052.8</v>
      </c>
      <c r="BF152">
        <v>4149190.3</v>
      </c>
      <c r="BG152">
        <v>220052</v>
      </c>
      <c r="BH152">
        <v>44.7</v>
      </c>
      <c r="BI152">
        <v>78000681.900000006</v>
      </c>
      <c r="BJ152">
        <v>10718949</v>
      </c>
      <c r="BK152">
        <v>88719630.900000006</v>
      </c>
      <c r="BL152">
        <v>0</v>
      </c>
      <c r="BM152">
        <v>30.1</v>
      </c>
      <c r="BN152">
        <v>9.64</v>
      </c>
      <c r="BO152">
        <v>0</v>
      </c>
      <c r="BP152">
        <v>39.74</v>
      </c>
      <c r="BQ152">
        <v>31.99</v>
      </c>
      <c r="BR152">
        <v>10.57</v>
      </c>
      <c r="BS152">
        <v>0</v>
      </c>
      <c r="BT152">
        <v>42.56</v>
      </c>
      <c r="BU152">
        <v>172698420</v>
      </c>
      <c r="BV152">
        <v>16048706</v>
      </c>
      <c r="BW152">
        <v>2171877.2000000002</v>
      </c>
      <c r="BX152">
        <v>177968.2</v>
      </c>
      <c r="BY152">
        <v>0</v>
      </c>
      <c r="BZ152">
        <v>0</v>
      </c>
      <c r="CA152">
        <v>57556064</v>
      </c>
      <c r="CB152">
        <v>0</v>
      </c>
      <c r="CC152">
        <v>0</v>
      </c>
      <c r="CD152">
        <v>460677.2</v>
      </c>
      <c r="CE152">
        <v>44945276</v>
      </c>
      <c r="CF152">
        <v>0</v>
      </c>
      <c r="CG152">
        <v>329211.40000000002</v>
      </c>
      <c r="CH152">
        <v>0</v>
      </c>
      <c r="CI152">
        <v>13900590</v>
      </c>
      <c r="CJ152">
        <v>36083292</v>
      </c>
      <c r="CK152">
        <v>870.9</v>
      </c>
      <c r="CL152">
        <v>1484563.2</v>
      </c>
      <c r="CM152">
        <v>0</v>
      </c>
      <c r="CN152">
        <v>15534280</v>
      </c>
      <c r="CO152">
        <v>53747.4</v>
      </c>
      <c r="CP152">
        <v>0</v>
      </c>
      <c r="CQ152">
        <v>1248.8</v>
      </c>
      <c r="CR152">
        <v>38</v>
      </c>
      <c r="CS152">
        <v>0</v>
      </c>
      <c r="CT152">
        <v>13024</v>
      </c>
      <c r="CU152">
        <v>0</v>
      </c>
      <c r="CV152">
        <v>0</v>
      </c>
      <c r="CW152">
        <v>313.3</v>
      </c>
      <c r="CX152">
        <v>8642.5</v>
      </c>
      <c r="CY152">
        <v>0</v>
      </c>
      <c r="CZ152">
        <v>7515.8</v>
      </c>
      <c r="DA152">
        <v>0</v>
      </c>
      <c r="DB152">
        <v>3776.1</v>
      </c>
      <c r="DC152">
        <v>4522.7</v>
      </c>
      <c r="DD152">
        <v>49.1</v>
      </c>
      <c r="DE152">
        <v>1616.3</v>
      </c>
      <c r="DF152">
        <v>0</v>
      </c>
      <c r="DG152">
        <v>6784.9</v>
      </c>
      <c r="DH152">
        <v>0</v>
      </c>
      <c r="DI152">
        <v>29.1</v>
      </c>
      <c r="DJ152">
        <v>7076.3</v>
      </c>
      <c r="DK152">
        <v>16163</v>
      </c>
      <c r="DL152">
        <v>0</v>
      </c>
      <c r="DM152">
        <v>0</v>
      </c>
    </row>
    <row r="153" spans="1:117" x14ac:dyDescent="0.3">
      <c r="A153" t="s">
        <v>172</v>
      </c>
      <c r="B153">
        <v>2028</v>
      </c>
      <c r="C153">
        <v>230477740</v>
      </c>
      <c r="D153">
        <v>4258405</v>
      </c>
      <c r="E153">
        <v>2118716</v>
      </c>
      <c r="F153">
        <v>2288012.6</v>
      </c>
      <c r="G153">
        <v>239142874.90000001</v>
      </c>
      <c r="H153">
        <v>222189558.59999999</v>
      </c>
      <c r="I153">
        <v>219028705.59999999</v>
      </c>
      <c r="J153">
        <v>165483280</v>
      </c>
      <c r="K153">
        <v>97592980</v>
      </c>
      <c r="L153">
        <v>3.5900000000000001E-2</v>
      </c>
      <c r="M153">
        <v>5.3999999999999999E-2</v>
      </c>
      <c r="N153">
        <v>0.15040000000000001</v>
      </c>
      <c r="O153">
        <v>67512.320000000007</v>
      </c>
      <c r="P153">
        <v>47973.2</v>
      </c>
      <c r="Q153">
        <v>0.44</v>
      </c>
      <c r="R153">
        <v>0.54</v>
      </c>
      <c r="S153">
        <v>351.7</v>
      </c>
      <c r="T153">
        <v>28.4</v>
      </c>
      <c r="U153">
        <v>4.0199999999999996</v>
      </c>
      <c r="V153">
        <v>23.7</v>
      </c>
      <c r="W153">
        <v>1154.5999999999999</v>
      </c>
      <c r="X153">
        <v>0.21</v>
      </c>
      <c r="Y153">
        <v>353.7</v>
      </c>
      <c r="Z153">
        <v>58.1</v>
      </c>
      <c r="AA153">
        <v>411.8</v>
      </c>
      <c r="AB153">
        <v>311.10000000000002</v>
      </c>
      <c r="AC153">
        <v>25.7</v>
      </c>
      <c r="AD153">
        <v>3.64</v>
      </c>
      <c r="AE153">
        <v>20.6</v>
      </c>
      <c r="AF153">
        <v>1003.9</v>
      </c>
      <c r="AG153">
        <v>0.19</v>
      </c>
      <c r="AH153">
        <v>312.89999999999998</v>
      </c>
      <c r="AI153">
        <v>50.5</v>
      </c>
      <c r="AJ153">
        <v>363.4</v>
      </c>
      <c r="AK153">
        <v>284.5</v>
      </c>
      <c r="AL153">
        <v>6.1</v>
      </c>
      <c r="AM153">
        <v>0.65</v>
      </c>
      <c r="AN153">
        <v>32.9</v>
      </c>
      <c r="AO153">
        <v>1463.2</v>
      </c>
      <c r="AP153">
        <v>0.13</v>
      </c>
      <c r="AQ153">
        <v>284.89999999999998</v>
      </c>
      <c r="AR153">
        <v>76.599999999999994</v>
      </c>
      <c r="AS153">
        <v>361.5</v>
      </c>
      <c r="AT153">
        <v>652</v>
      </c>
      <c r="AU153">
        <v>47.5</v>
      </c>
      <c r="AV153">
        <v>6.75</v>
      </c>
      <c r="AW153">
        <v>46.3</v>
      </c>
      <c r="AX153">
        <v>2224.5</v>
      </c>
      <c r="AY153">
        <v>0.36</v>
      </c>
      <c r="AZ153">
        <v>655.29999999999995</v>
      </c>
      <c r="BA153">
        <v>112.7</v>
      </c>
      <c r="BB153">
        <v>768</v>
      </c>
      <c r="BC153">
        <v>59615091.700000003</v>
      </c>
      <c r="BD153">
        <v>4809.8999999999996</v>
      </c>
      <c r="BE153">
        <v>681.3</v>
      </c>
      <c r="BF153">
        <v>4017286.9</v>
      </c>
      <c r="BG153">
        <v>195823.5</v>
      </c>
      <c r="BH153">
        <v>35.5</v>
      </c>
      <c r="BI153">
        <v>59944433</v>
      </c>
      <c r="BJ153">
        <v>9862511.3000000007</v>
      </c>
      <c r="BK153">
        <v>69806944.299999997</v>
      </c>
      <c r="BL153">
        <v>0</v>
      </c>
      <c r="BM153">
        <v>26.66</v>
      </c>
      <c r="BN153">
        <v>12.54</v>
      </c>
      <c r="BO153">
        <v>0</v>
      </c>
      <c r="BP153">
        <v>39.200000000000003</v>
      </c>
      <c r="BQ153">
        <v>28.48</v>
      </c>
      <c r="BR153">
        <v>13.87</v>
      </c>
      <c r="BS153">
        <v>0</v>
      </c>
      <c r="BT153">
        <v>42.35</v>
      </c>
      <c r="BU153">
        <v>170812030</v>
      </c>
      <c r="BV153">
        <v>20114170</v>
      </c>
      <c r="BW153">
        <v>3640516.8</v>
      </c>
      <c r="BX153">
        <v>173031.6</v>
      </c>
      <c r="BY153">
        <v>0</v>
      </c>
      <c r="BZ153">
        <v>0</v>
      </c>
      <c r="CA153">
        <v>36102480</v>
      </c>
      <c r="CB153">
        <v>0</v>
      </c>
      <c r="CC153">
        <v>0</v>
      </c>
      <c r="CD153">
        <v>740190.8</v>
      </c>
      <c r="CE153">
        <v>59115000</v>
      </c>
      <c r="CF153">
        <v>0</v>
      </c>
      <c r="CG153">
        <v>197174.3</v>
      </c>
      <c r="CH153">
        <v>0</v>
      </c>
      <c r="CI153">
        <v>14054643</v>
      </c>
      <c r="CJ153">
        <v>35724930</v>
      </c>
      <c r="CK153">
        <v>378.7</v>
      </c>
      <c r="CL153">
        <v>1689704.4</v>
      </c>
      <c r="CM153">
        <v>0</v>
      </c>
      <c r="CN153">
        <v>19320520</v>
      </c>
      <c r="CO153">
        <v>53457.599999999999</v>
      </c>
      <c r="CP153">
        <v>0</v>
      </c>
      <c r="CQ153">
        <v>2235.3000000000002</v>
      </c>
      <c r="CR153">
        <v>38</v>
      </c>
      <c r="CS153">
        <v>0</v>
      </c>
      <c r="CT153">
        <v>10775</v>
      </c>
      <c r="CU153">
        <v>0</v>
      </c>
      <c r="CV153">
        <v>0</v>
      </c>
      <c r="CW153">
        <v>502.2</v>
      </c>
      <c r="CX153">
        <v>11602.4</v>
      </c>
      <c r="CY153">
        <v>0</v>
      </c>
      <c r="CZ153">
        <v>7330.2</v>
      </c>
      <c r="DA153">
        <v>0</v>
      </c>
      <c r="DB153">
        <v>3835.1</v>
      </c>
      <c r="DC153">
        <v>4522.7</v>
      </c>
      <c r="DD153">
        <v>49.1</v>
      </c>
      <c r="DE153">
        <v>1616.3</v>
      </c>
      <c r="DF153">
        <v>0</v>
      </c>
      <c r="DG153">
        <v>8487.9</v>
      </c>
      <c r="DH153">
        <v>0</v>
      </c>
      <c r="DI153">
        <v>29.1</v>
      </c>
      <c r="DJ153">
        <v>10651.8</v>
      </c>
      <c r="DK153">
        <v>16163</v>
      </c>
      <c r="DL153">
        <v>0</v>
      </c>
      <c r="DM153">
        <v>0</v>
      </c>
    </row>
    <row r="154" spans="1:117" x14ac:dyDescent="0.3">
      <c r="A154" t="s">
        <v>172</v>
      </c>
      <c r="B154">
        <v>2030</v>
      </c>
      <c r="C154">
        <v>238868450</v>
      </c>
      <c r="D154">
        <v>7007102.5</v>
      </c>
      <c r="E154">
        <v>2870133.5</v>
      </c>
      <c r="F154">
        <v>2842114.7</v>
      </c>
      <c r="G154">
        <v>251587809.09999999</v>
      </c>
      <c r="H154">
        <v>230278592.19999999</v>
      </c>
      <c r="I154">
        <v>224782814.5</v>
      </c>
      <c r="J154">
        <v>193800590</v>
      </c>
      <c r="K154">
        <v>113956120</v>
      </c>
      <c r="L154">
        <v>3.5900000000000001E-2</v>
      </c>
      <c r="M154">
        <v>5.3999999999999999E-2</v>
      </c>
      <c r="N154">
        <v>0.15040000000000001</v>
      </c>
      <c r="O154">
        <v>75771.679999999993</v>
      </c>
      <c r="P154">
        <v>50432.7</v>
      </c>
      <c r="Q154">
        <v>0.49</v>
      </c>
      <c r="R154">
        <v>0.62</v>
      </c>
      <c r="S154">
        <v>319.2</v>
      </c>
      <c r="T154">
        <v>25.7</v>
      </c>
      <c r="U154">
        <v>3.64</v>
      </c>
      <c r="V154">
        <v>21.7</v>
      </c>
      <c r="W154">
        <v>1050.7</v>
      </c>
      <c r="X154">
        <v>0.19</v>
      </c>
      <c r="Y154">
        <v>321</v>
      </c>
      <c r="Z154">
        <v>53</v>
      </c>
      <c r="AA154">
        <v>374</v>
      </c>
      <c r="AB154">
        <v>257.39999999999998</v>
      </c>
      <c r="AC154">
        <v>21.4</v>
      </c>
      <c r="AD154">
        <v>3.04</v>
      </c>
      <c r="AE154">
        <v>16.899999999999999</v>
      </c>
      <c r="AF154">
        <v>825</v>
      </c>
      <c r="AG154">
        <v>0.16</v>
      </c>
      <c r="AH154">
        <v>258.89999999999998</v>
      </c>
      <c r="AI154">
        <v>41.5</v>
      </c>
      <c r="AJ154">
        <v>300.39999999999998</v>
      </c>
      <c r="AK154">
        <v>356.1</v>
      </c>
      <c r="AL154">
        <v>15.7</v>
      </c>
      <c r="AM154">
        <v>2.06</v>
      </c>
      <c r="AN154">
        <v>34</v>
      </c>
      <c r="AO154">
        <v>1576.4</v>
      </c>
      <c r="AP154">
        <v>0.16</v>
      </c>
      <c r="AQ154">
        <v>357.1</v>
      </c>
      <c r="AR154">
        <v>81</v>
      </c>
      <c r="AS154">
        <v>438.1</v>
      </c>
      <c r="AT154">
        <v>604.1</v>
      </c>
      <c r="AU154">
        <v>45</v>
      </c>
      <c r="AV154">
        <v>6.38</v>
      </c>
      <c r="AW154">
        <v>42.2</v>
      </c>
      <c r="AX154">
        <v>2040.8</v>
      </c>
      <c r="AY154">
        <v>0.34</v>
      </c>
      <c r="AZ154">
        <v>607.20000000000005</v>
      </c>
      <c r="BA154">
        <v>103.1</v>
      </c>
      <c r="BB154">
        <v>710.3</v>
      </c>
      <c r="BC154">
        <v>54199125</v>
      </c>
      <c r="BD154">
        <v>4358.2</v>
      </c>
      <c r="BE154">
        <v>617.20000000000005</v>
      </c>
      <c r="BF154">
        <v>3686955.1</v>
      </c>
      <c r="BG154">
        <v>178551</v>
      </c>
      <c r="BH154">
        <v>32.700000000000003</v>
      </c>
      <c r="BI154">
        <v>54497490.299999997</v>
      </c>
      <c r="BJ154">
        <v>9016709.6999999993</v>
      </c>
      <c r="BK154">
        <v>63514200</v>
      </c>
      <c r="BL154">
        <v>0</v>
      </c>
      <c r="BM154">
        <v>24.22</v>
      </c>
      <c r="BN154">
        <v>13.78</v>
      </c>
      <c r="BO154">
        <v>0</v>
      </c>
      <c r="BP154">
        <v>38.01</v>
      </c>
      <c r="BQ154">
        <v>26.12</v>
      </c>
      <c r="BR154">
        <v>15.46</v>
      </c>
      <c r="BS154">
        <v>0</v>
      </c>
      <c r="BT154">
        <v>41.58</v>
      </c>
      <c r="BU154">
        <v>171278400</v>
      </c>
      <c r="BV154">
        <v>26804994</v>
      </c>
      <c r="BW154">
        <v>5973683</v>
      </c>
      <c r="BX154">
        <v>165514.4</v>
      </c>
      <c r="BY154">
        <v>0</v>
      </c>
      <c r="BZ154">
        <v>0</v>
      </c>
      <c r="CA154">
        <v>32755424</v>
      </c>
      <c r="CB154">
        <v>0</v>
      </c>
      <c r="CC154">
        <v>0</v>
      </c>
      <c r="CD154">
        <v>1216062.5</v>
      </c>
      <c r="CE154">
        <v>54331160</v>
      </c>
      <c r="CF154">
        <v>0</v>
      </c>
      <c r="CG154">
        <v>211368</v>
      </c>
      <c r="CH154">
        <v>0</v>
      </c>
      <c r="CI154">
        <v>13824842</v>
      </c>
      <c r="CJ154">
        <v>34894492</v>
      </c>
      <c r="CK154">
        <v>231.2</v>
      </c>
      <c r="CL154">
        <v>2316684.2000000002</v>
      </c>
      <c r="CM154">
        <v>0</v>
      </c>
      <c r="CN154">
        <v>25535762</v>
      </c>
      <c r="CO154">
        <v>53169.2</v>
      </c>
      <c r="CP154">
        <v>0</v>
      </c>
      <c r="CQ154">
        <v>3875.5</v>
      </c>
      <c r="CR154">
        <v>38</v>
      </c>
      <c r="CS154">
        <v>0</v>
      </c>
      <c r="CT154">
        <v>10775</v>
      </c>
      <c r="CU154">
        <v>0</v>
      </c>
      <c r="CV154">
        <v>0</v>
      </c>
      <c r="CW154">
        <v>823.4</v>
      </c>
      <c r="CX154">
        <v>11602.4</v>
      </c>
      <c r="CY154">
        <v>0</v>
      </c>
      <c r="CZ154">
        <v>6877.9</v>
      </c>
      <c r="DA154">
        <v>0</v>
      </c>
      <c r="DB154">
        <v>3838.7</v>
      </c>
      <c r="DC154">
        <v>4522.7</v>
      </c>
      <c r="DD154">
        <v>43.2</v>
      </c>
      <c r="DE154">
        <v>1616.3</v>
      </c>
      <c r="DF154">
        <v>0</v>
      </c>
      <c r="DG154">
        <v>11187.5</v>
      </c>
      <c r="DH154">
        <v>0</v>
      </c>
      <c r="DI154">
        <v>29.1</v>
      </c>
      <c r="DJ154">
        <v>17097.900000000001</v>
      </c>
      <c r="DK154">
        <v>16163</v>
      </c>
      <c r="DL154">
        <v>0</v>
      </c>
      <c r="DM154">
        <v>0</v>
      </c>
    </row>
    <row r="155" spans="1:117" x14ac:dyDescent="0.3">
      <c r="A155" t="s">
        <v>172</v>
      </c>
      <c r="B155">
        <v>2035</v>
      </c>
      <c r="C155">
        <v>265052620</v>
      </c>
      <c r="D155">
        <v>18406450</v>
      </c>
      <c r="E155">
        <v>2959334.2</v>
      </c>
      <c r="F155">
        <v>3109794.2</v>
      </c>
      <c r="G155">
        <v>289528179.60000002</v>
      </c>
      <c r="H155">
        <v>255521363.40000001</v>
      </c>
      <c r="I155">
        <v>226636899.09999999</v>
      </c>
      <c r="J155">
        <v>221778400</v>
      </c>
      <c r="K155">
        <v>134125480</v>
      </c>
      <c r="L155">
        <v>3.5900000000000001E-2</v>
      </c>
      <c r="M155">
        <v>5.3999999999999999E-2</v>
      </c>
      <c r="N155">
        <v>0.15040000000000001</v>
      </c>
      <c r="O155">
        <v>89410.04</v>
      </c>
      <c r="P155">
        <v>58015.4</v>
      </c>
      <c r="Q155">
        <v>0.64</v>
      </c>
      <c r="R155">
        <v>0.7</v>
      </c>
      <c r="S155">
        <v>227.1</v>
      </c>
      <c r="T155">
        <v>18.2</v>
      </c>
      <c r="U155">
        <v>2.58</v>
      </c>
      <c r="V155">
        <v>15.7</v>
      </c>
      <c r="W155">
        <v>750</v>
      </c>
      <c r="X155">
        <v>0.14000000000000001</v>
      </c>
      <c r="Y155">
        <v>228.4</v>
      </c>
      <c r="Z155">
        <v>38.1</v>
      </c>
      <c r="AA155">
        <v>266.5</v>
      </c>
      <c r="AB155">
        <v>198.8</v>
      </c>
      <c r="AC155">
        <v>16.100000000000001</v>
      </c>
      <c r="AD155">
        <v>2.29</v>
      </c>
      <c r="AE155">
        <v>13.5</v>
      </c>
      <c r="AF155">
        <v>650.6</v>
      </c>
      <c r="AG155">
        <v>0.12</v>
      </c>
      <c r="AH155">
        <v>199.9</v>
      </c>
      <c r="AI155">
        <v>33</v>
      </c>
      <c r="AJ155">
        <v>232.9</v>
      </c>
      <c r="AK155">
        <v>332.4</v>
      </c>
      <c r="AL155">
        <v>20.3</v>
      </c>
      <c r="AM155">
        <v>2.79</v>
      </c>
      <c r="AN155">
        <v>26.6</v>
      </c>
      <c r="AO155">
        <v>1294.3</v>
      </c>
      <c r="AP155">
        <v>0.16</v>
      </c>
      <c r="AQ155">
        <v>333.8</v>
      </c>
      <c r="AR155">
        <v>65.3</v>
      </c>
      <c r="AS155">
        <v>399.1</v>
      </c>
      <c r="AT155">
        <v>552.20000000000005</v>
      </c>
      <c r="AU155">
        <v>40.799999999999997</v>
      </c>
      <c r="AV155">
        <v>5.76</v>
      </c>
      <c r="AW155">
        <v>38.6</v>
      </c>
      <c r="AX155">
        <v>1898</v>
      </c>
      <c r="AY155">
        <v>0.28999999999999998</v>
      </c>
      <c r="AZ155">
        <v>555</v>
      </c>
      <c r="BA155">
        <v>95.2</v>
      </c>
      <c r="BB155">
        <v>650.20000000000005</v>
      </c>
      <c r="BC155">
        <v>45258022</v>
      </c>
      <c r="BD155">
        <v>3627.2</v>
      </c>
      <c r="BE155">
        <v>513.5</v>
      </c>
      <c r="BF155">
        <v>3136979.3</v>
      </c>
      <c r="BG155">
        <v>149594.4</v>
      </c>
      <c r="BH155">
        <v>28.4</v>
      </c>
      <c r="BI155">
        <v>45506302.399999999</v>
      </c>
      <c r="BJ155">
        <v>7602645.7000000002</v>
      </c>
      <c r="BK155">
        <v>53108948.100000001</v>
      </c>
      <c r="BL155">
        <v>0</v>
      </c>
      <c r="BM155">
        <v>21.88</v>
      </c>
      <c r="BN155">
        <v>15.82</v>
      </c>
      <c r="BO155">
        <v>0</v>
      </c>
      <c r="BP155">
        <v>37.71</v>
      </c>
      <c r="BQ155">
        <v>24.11</v>
      </c>
      <c r="BR155">
        <v>18.41</v>
      </c>
      <c r="BS155">
        <v>0</v>
      </c>
      <c r="BT155">
        <v>42.51</v>
      </c>
      <c r="BU155">
        <v>201296020</v>
      </c>
      <c r="BV155">
        <v>62891276</v>
      </c>
      <c r="BW155">
        <v>15715181</v>
      </c>
      <c r="BX155">
        <v>155357.9</v>
      </c>
      <c r="BY155">
        <v>0</v>
      </c>
      <c r="BZ155">
        <v>0</v>
      </c>
      <c r="CA155">
        <v>27367104</v>
      </c>
      <c r="CB155">
        <v>0</v>
      </c>
      <c r="CC155">
        <v>0</v>
      </c>
      <c r="CD155">
        <v>2623223.7999999998</v>
      </c>
      <c r="CE155">
        <v>43657976</v>
      </c>
      <c r="CF155">
        <v>0</v>
      </c>
      <c r="CG155">
        <v>1457388.8</v>
      </c>
      <c r="CH155">
        <v>0</v>
      </c>
      <c r="CI155">
        <v>13483304</v>
      </c>
      <c r="CJ155">
        <v>34241428</v>
      </c>
      <c r="CK155">
        <v>0</v>
      </c>
      <c r="CL155">
        <v>2326997.5</v>
      </c>
      <c r="CM155">
        <v>0</v>
      </c>
      <c r="CN155">
        <v>60268056</v>
      </c>
      <c r="CO155">
        <v>0</v>
      </c>
      <c r="CP155">
        <v>0</v>
      </c>
      <c r="CQ155">
        <v>8286.4</v>
      </c>
      <c r="CR155">
        <v>38</v>
      </c>
      <c r="CS155">
        <v>0</v>
      </c>
      <c r="CT155">
        <v>8727</v>
      </c>
      <c r="CU155">
        <v>0</v>
      </c>
      <c r="CV155">
        <v>0</v>
      </c>
      <c r="CW155">
        <v>1781.1</v>
      </c>
      <c r="CX155">
        <v>11602.4</v>
      </c>
      <c r="CY155">
        <v>0</v>
      </c>
      <c r="CZ155">
        <v>18825</v>
      </c>
      <c r="DA155">
        <v>0</v>
      </c>
      <c r="DB155">
        <v>3842.4</v>
      </c>
      <c r="DC155">
        <v>4522.7</v>
      </c>
      <c r="DD155">
        <v>43.2</v>
      </c>
      <c r="DE155">
        <v>1616.3</v>
      </c>
      <c r="DF155">
        <v>0</v>
      </c>
      <c r="DG155">
        <v>25772.7</v>
      </c>
      <c r="DH155">
        <v>0</v>
      </c>
      <c r="DI155">
        <v>0</v>
      </c>
      <c r="DJ155">
        <v>48129.2</v>
      </c>
      <c r="DK155">
        <v>16163</v>
      </c>
      <c r="DL155">
        <v>0</v>
      </c>
      <c r="DM155">
        <v>0</v>
      </c>
    </row>
    <row r="156" spans="1:117" x14ac:dyDescent="0.3">
      <c r="A156" t="s">
        <v>172</v>
      </c>
      <c r="B156">
        <v>2040</v>
      </c>
      <c r="C156">
        <v>293709820</v>
      </c>
      <c r="D156">
        <v>35236820</v>
      </c>
      <c r="E156">
        <v>3530843.2</v>
      </c>
      <c r="F156">
        <v>3561108.3</v>
      </c>
      <c r="G156">
        <v>336038600.69999999</v>
      </c>
      <c r="H156">
        <v>283148218</v>
      </c>
      <c r="I156">
        <v>205663219.19999999</v>
      </c>
      <c r="J156">
        <v>239389140</v>
      </c>
      <c r="K156">
        <v>181318220</v>
      </c>
      <c r="L156">
        <v>3.5900000000000001E-2</v>
      </c>
      <c r="M156">
        <v>5.3999999999999999E-2</v>
      </c>
      <c r="N156">
        <v>0.15049999999999999</v>
      </c>
      <c r="O156">
        <v>85044.88</v>
      </c>
      <c r="P156">
        <v>65875.199999999997</v>
      </c>
      <c r="Q156">
        <v>0.76</v>
      </c>
      <c r="R156">
        <v>0.76</v>
      </c>
      <c r="S156">
        <v>146.80000000000001</v>
      </c>
      <c r="T156">
        <v>11.3</v>
      </c>
      <c r="U156">
        <v>1.59</v>
      </c>
      <c r="V156">
        <v>10.7</v>
      </c>
      <c r="W156">
        <v>500.5</v>
      </c>
      <c r="X156">
        <v>0.09</v>
      </c>
      <c r="Y156">
        <v>147.6</v>
      </c>
      <c r="Z156">
        <v>25.6</v>
      </c>
      <c r="AA156">
        <v>173.2</v>
      </c>
      <c r="AB156">
        <v>150.69999999999999</v>
      </c>
      <c r="AC156">
        <v>11.6</v>
      </c>
      <c r="AD156">
        <v>1.63</v>
      </c>
      <c r="AE156">
        <v>11</v>
      </c>
      <c r="AF156">
        <v>514.5</v>
      </c>
      <c r="AG156">
        <v>0.1</v>
      </c>
      <c r="AH156">
        <v>151.5</v>
      </c>
      <c r="AI156">
        <v>26.3</v>
      </c>
      <c r="AJ156">
        <v>177.9</v>
      </c>
      <c r="AK156">
        <v>343.5</v>
      </c>
      <c r="AL156">
        <v>24.2</v>
      </c>
      <c r="AM156">
        <v>3.38</v>
      </c>
      <c r="AN156">
        <v>24.6</v>
      </c>
      <c r="AO156">
        <v>1233.5999999999999</v>
      </c>
      <c r="AP156">
        <v>0.16</v>
      </c>
      <c r="AQ156">
        <v>345.1</v>
      </c>
      <c r="AR156">
        <v>61.4</v>
      </c>
      <c r="AS156">
        <v>406.6</v>
      </c>
      <c r="AT156">
        <v>506.6</v>
      </c>
      <c r="AU156">
        <v>35.799999999999997</v>
      </c>
      <c r="AV156">
        <v>5.04</v>
      </c>
      <c r="AW156">
        <v>36.9</v>
      </c>
      <c r="AX156">
        <v>1787.6</v>
      </c>
      <c r="AY156">
        <v>0.27</v>
      </c>
      <c r="AZ156">
        <v>509</v>
      </c>
      <c r="BA156">
        <v>90.3</v>
      </c>
      <c r="BB156">
        <v>599.29999999999995</v>
      </c>
      <c r="BC156">
        <v>40248819.700000003</v>
      </c>
      <c r="BD156">
        <v>3090.1</v>
      </c>
      <c r="BE156">
        <v>435.7</v>
      </c>
      <c r="BF156">
        <v>2938972.1</v>
      </c>
      <c r="BG156">
        <v>137396</v>
      </c>
      <c r="BH156">
        <v>25.8</v>
      </c>
      <c r="BI156">
        <v>40459862.600000001</v>
      </c>
      <c r="BJ156">
        <v>7040406.7000000002</v>
      </c>
      <c r="BK156">
        <v>47500269.299999997</v>
      </c>
      <c r="BL156">
        <v>0</v>
      </c>
      <c r="BM156">
        <v>19.29</v>
      </c>
      <c r="BN156">
        <v>14.72</v>
      </c>
      <c r="BO156">
        <v>0</v>
      </c>
      <c r="BP156">
        <v>34.01</v>
      </c>
      <c r="BQ156">
        <v>21.95</v>
      </c>
      <c r="BR156">
        <v>17.95</v>
      </c>
      <c r="BS156">
        <v>0</v>
      </c>
      <c r="BT156">
        <v>39.89</v>
      </c>
      <c r="BU156">
        <v>277341540</v>
      </c>
      <c r="BV156">
        <v>130375384</v>
      </c>
      <c r="BW156">
        <v>30012924</v>
      </c>
      <c r="BX156">
        <v>145599.79999999999</v>
      </c>
      <c r="BY156">
        <v>0</v>
      </c>
      <c r="BZ156">
        <v>0</v>
      </c>
      <c r="CA156">
        <v>23077534</v>
      </c>
      <c r="CB156">
        <v>0</v>
      </c>
      <c r="CC156">
        <v>0</v>
      </c>
      <c r="CD156">
        <v>3924048.5</v>
      </c>
      <c r="CE156">
        <v>42768616</v>
      </c>
      <c r="CF156">
        <v>0</v>
      </c>
      <c r="CG156">
        <v>1308293.6000000001</v>
      </c>
      <c r="CH156">
        <v>0</v>
      </c>
      <c r="CI156">
        <v>13150383</v>
      </c>
      <c r="CJ156">
        <v>33647360</v>
      </c>
      <c r="CK156">
        <v>0</v>
      </c>
      <c r="CL156">
        <v>2855454.2</v>
      </c>
      <c r="CM156">
        <v>0</v>
      </c>
      <c r="CN156">
        <v>126451340</v>
      </c>
      <c r="CO156">
        <v>0</v>
      </c>
      <c r="CP156">
        <v>0</v>
      </c>
      <c r="CQ156">
        <v>15468.1</v>
      </c>
      <c r="CR156">
        <v>38</v>
      </c>
      <c r="CS156">
        <v>0</v>
      </c>
      <c r="CT156">
        <v>8611</v>
      </c>
      <c r="CU156">
        <v>0</v>
      </c>
      <c r="CV156">
        <v>0</v>
      </c>
      <c r="CW156">
        <v>2752.4</v>
      </c>
      <c r="CX156">
        <v>11602.4</v>
      </c>
      <c r="CY156">
        <v>0</v>
      </c>
      <c r="CZ156">
        <v>18825</v>
      </c>
      <c r="DA156">
        <v>0</v>
      </c>
      <c r="DB156">
        <v>3846</v>
      </c>
      <c r="DC156">
        <v>4522.7</v>
      </c>
      <c r="DD156">
        <v>43.2</v>
      </c>
      <c r="DE156">
        <v>1616.3</v>
      </c>
      <c r="DF156">
        <v>0</v>
      </c>
      <c r="DG156">
        <v>54162.3</v>
      </c>
      <c r="DH156">
        <v>0</v>
      </c>
      <c r="DI156">
        <v>0</v>
      </c>
      <c r="DJ156">
        <v>91257.1</v>
      </c>
      <c r="DK156">
        <v>16163</v>
      </c>
      <c r="DL156">
        <v>0</v>
      </c>
      <c r="DM156">
        <v>0</v>
      </c>
    </row>
    <row r="157" spans="1:117" x14ac:dyDescent="0.3">
      <c r="A157" t="s">
        <v>172</v>
      </c>
      <c r="B157">
        <v>2045</v>
      </c>
      <c r="C157">
        <v>320992800</v>
      </c>
      <c r="D157">
        <v>39289384</v>
      </c>
      <c r="E157">
        <v>3981844.5</v>
      </c>
      <c r="F157">
        <v>3878903.6</v>
      </c>
      <c r="G157">
        <v>368142924.19999999</v>
      </c>
      <c r="H157">
        <v>309450204.89999998</v>
      </c>
      <c r="I157">
        <v>208167299.5</v>
      </c>
      <c r="J157">
        <v>252081660</v>
      </c>
      <c r="K157">
        <v>196259360</v>
      </c>
      <c r="L157">
        <v>3.5900000000000001E-2</v>
      </c>
      <c r="M157">
        <v>5.3999999999999999E-2</v>
      </c>
      <c r="N157">
        <v>0.15060000000000001</v>
      </c>
      <c r="O157">
        <v>83912.6</v>
      </c>
      <c r="P157">
        <v>73218.8</v>
      </c>
      <c r="Q157">
        <v>0.78</v>
      </c>
      <c r="R157">
        <v>0.79</v>
      </c>
      <c r="S157">
        <v>131.9</v>
      </c>
      <c r="T157">
        <v>10</v>
      </c>
      <c r="U157">
        <v>1.4</v>
      </c>
      <c r="V157">
        <v>9.8000000000000007</v>
      </c>
      <c r="W157">
        <v>455.4</v>
      </c>
      <c r="X157">
        <v>0.08</v>
      </c>
      <c r="Y157">
        <v>132.6</v>
      </c>
      <c r="Z157">
        <v>23.3</v>
      </c>
      <c r="AA157">
        <v>155.9</v>
      </c>
      <c r="AB157">
        <v>132.30000000000001</v>
      </c>
      <c r="AC157">
        <v>9.9</v>
      </c>
      <c r="AD157">
        <v>1.39</v>
      </c>
      <c r="AE157">
        <v>9.8000000000000007</v>
      </c>
      <c r="AF157">
        <v>459.2</v>
      </c>
      <c r="AG157">
        <v>0.08</v>
      </c>
      <c r="AH157">
        <v>133</v>
      </c>
      <c r="AI157">
        <v>23.5</v>
      </c>
      <c r="AJ157">
        <v>156.4</v>
      </c>
      <c r="AK157">
        <v>279.39999999999998</v>
      </c>
      <c r="AL157">
        <v>17.100000000000001</v>
      </c>
      <c r="AM157">
        <v>2.36</v>
      </c>
      <c r="AN157">
        <v>22.7</v>
      </c>
      <c r="AO157">
        <v>1085</v>
      </c>
      <c r="AP157">
        <v>0.14000000000000001</v>
      </c>
      <c r="AQ157">
        <v>280.5</v>
      </c>
      <c r="AR157">
        <v>55.1</v>
      </c>
      <c r="AS157">
        <v>335.6</v>
      </c>
      <c r="AT157">
        <v>482</v>
      </c>
      <c r="AU157">
        <v>33.299999999999997</v>
      </c>
      <c r="AV157">
        <v>4.68</v>
      </c>
      <c r="AW157">
        <v>35.799999999999997</v>
      </c>
      <c r="AX157">
        <v>1727.4</v>
      </c>
      <c r="AY157">
        <v>0.25</v>
      </c>
      <c r="AZ157">
        <v>484.3</v>
      </c>
      <c r="BA157">
        <v>87.3</v>
      </c>
      <c r="BB157">
        <v>571.70000000000005</v>
      </c>
      <c r="BC157">
        <v>40632736.799999997</v>
      </c>
      <c r="BD157">
        <v>3063.2</v>
      </c>
      <c r="BE157">
        <v>431.2</v>
      </c>
      <c r="BF157">
        <v>3011708.7</v>
      </c>
      <c r="BG157">
        <v>140477.9</v>
      </c>
      <c r="BH157">
        <v>25.8</v>
      </c>
      <c r="BI157">
        <v>40841731.100000001</v>
      </c>
      <c r="BJ157">
        <v>7205002.5</v>
      </c>
      <c r="BK157">
        <v>48046733.600000001</v>
      </c>
      <c r="BL157">
        <v>0</v>
      </c>
      <c r="BM157">
        <v>17.86</v>
      </c>
      <c r="BN157">
        <v>14.79</v>
      </c>
      <c r="BO157">
        <v>0</v>
      </c>
      <c r="BP157">
        <v>32.65</v>
      </c>
      <c r="BQ157">
        <v>20.51</v>
      </c>
      <c r="BR157">
        <v>18.079999999999998</v>
      </c>
      <c r="BS157">
        <v>0</v>
      </c>
      <c r="BT157">
        <v>38.58</v>
      </c>
      <c r="BU157">
        <v>311590100</v>
      </c>
      <c r="BV157">
        <v>159975630</v>
      </c>
      <c r="BW157">
        <v>33476304</v>
      </c>
      <c r="BX157">
        <v>139117.5</v>
      </c>
      <c r="BY157">
        <v>0</v>
      </c>
      <c r="BZ157">
        <v>0</v>
      </c>
      <c r="CA157">
        <v>22737612</v>
      </c>
      <c r="CB157">
        <v>0</v>
      </c>
      <c r="CC157">
        <v>0</v>
      </c>
      <c r="CD157">
        <v>5386084.5</v>
      </c>
      <c r="CE157">
        <v>44755972</v>
      </c>
      <c r="CF157">
        <v>0</v>
      </c>
      <c r="CG157">
        <v>1333616.1000000001</v>
      </c>
      <c r="CH157">
        <v>0</v>
      </c>
      <c r="CI157">
        <v>12894165</v>
      </c>
      <c r="CJ157">
        <v>33086252</v>
      </c>
      <c r="CK157">
        <v>0</v>
      </c>
      <c r="CL157">
        <v>3191451.5</v>
      </c>
      <c r="CM157">
        <v>0</v>
      </c>
      <c r="CN157">
        <v>154589540</v>
      </c>
      <c r="CO157">
        <v>0</v>
      </c>
      <c r="CP157">
        <v>0</v>
      </c>
      <c r="CQ157">
        <v>17633.400000000001</v>
      </c>
      <c r="CR157">
        <v>38</v>
      </c>
      <c r="CS157">
        <v>0</v>
      </c>
      <c r="CT157">
        <v>8205.7999999999993</v>
      </c>
      <c r="CU157">
        <v>0</v>
      </c>
      <c r="CV157">
        <v>0</v>
      </c>
      <c r="CW157">
        <v>3988.4</v>
      </c>
      <c r="CX157">
        <v>11602.4</v>
      </c>
      <c r="CY157">
        <v>0</v>
      </c>
      <c r="CZ157">
        <v>22106.2</v>
      </c>
      <c r="DA157">
        <v>0</v>
      </c>
      <c r="DB157">
        <v>3849.7</v>
      </c>
      <c r="DC157">
        <v>4522.7</v>
      </c>
      <c r="DD157">
        <v>43.2</v>
      </c>
      <c r="DE157">
        <v>1616.3</v>
      </c>
      <c r="DF157">
        <v>0</v>
      </c>
      <c r="DG157">
        <v>69568.800000000003</v>
      </c>
      <c r="DH157">
        <v>0</v>
      </c>
      <c r="DI157">
        <v>0</v>
      </c>
      <c r="DJ157">
        <v>98674.5</v>
      </c>
      <c r="DK157">
        <v>16163</v>
      </c>
      <c r="DL157">
        <v>0</v>
      </c>
      <c r="DM157">
        <v>0</v>
      </c>
    </row>
    <row r="158" spans="1:117" x14ac:dyDescent="0.3">
      <c r="A158" t="s">
        <v>172</v>
      </c>
      <c r="B158">
        <v>2050</v>
      </c>
      <c r="C158">
        <v>348612900</v>
      </c>
      <c r="D158">
        <v>47396428</v>
      </c>
      <c r="E158">
        <v>4233484.5</v>
      </c>
      <c r="F158">
        <v>3987943.5</v>
      </c>
      <c r="G158">
        <v>404230742.60000002</v>
      </c>
      <c r="H158">
        <v>336077332.60000002</v>
      </c>
      <c r="I158">
        <v>213087249.40000001</v>
      </c>
      <c r="J158">
        <v>260418460</v>
      </c>
      <c r="K158">
        <v>202038610</v>
      </c>
      <c r="L158">
        <v>3.5900000000000001E-2</v>
      </c>
      <c r="M158">
        <v>5.3999999999999999E-2</v>
      </c>
      <c r="N158">
        <v>0.15049999999999999</v>
      </c>
      <c r="O158">
        <v>84369.25</v>
      </c>
      <c r="P158">
        <v>80850.8</v>
      </c>
      <c r="Q158">
        <v>0.81</v>
      </c>
      <c r="R158">
        <v>0.82</v>
      </c>
      <c r="S158">
        <v>103.8</v>
      </c>
      <c r="T158">
        <v>7.2</v>
      </c>
      <c r="U158">
        <v>1</v>
      </c>
      <c r="V158">
        <v>8.4</v>
      </c>
      <c r="W158">
        <v>380.3</v>
      </c>
      <c r="X158">
        <v>7.0000000000000007E-2</v>
      </c>
      <c r="Y158">
        <v>104.3</v>
      </c>
      <c r="Z158">
        <v>19.8</v>
      </c>
      <c r="AA158">
        <v>124.1</v>
      </c>
      <c r="AB158">
        <v>105.9</v>
      </c>
      <c r="AC158">
        <v>7.2</v>
      </c>
      <c r="AD158">
        <v>1.01</v>
      </c>
      <c r="AE158">
        <v>8.5</v>
      </c>
      <c r="AF158">
        <v>390.2</v>
      </c>
      <c r="AG158">
        <v>7.0000000000000007E-2</v>
      </c>
      <c r="AH158">
        <v>106.4</v>
      </c>
      <c r="AI158">
        <v>20.2</v>
      </c>
      <c r="AJ158">
        <v>126.6</v>
      </c>
      <c r="AK158">
        <v>279.8</v>
      </c>
      <c r="AL158">
        <v>15.6</v>
      </c>
      <c r="AM158">
        <v>2.12</v>
      </c>
      <c r="AN158">
        <v>24.4</v>
      </c>
      <c r="AO158">
        <v>1137.0999999999999</v>
      </c>
      <c r="AP158">
        <v>0.14000000000000001</v>
      </c>
      <c r="AQ158">
        <v>280.8</v>
      </c>
      <c r="AR158">
        <v>58.3</v>
      </c>
      <c r="AS158">
        <v>339.1</v>
      </c>
      <c r="AT158">
        <v>442.1</v>
      </c>
      <c r="AU158">
        <v>27</v>
      </c>
      <c r="AV158">
        <v>3.74</v>
      </c>
      <c r="AW158">
        <v>36</v>
      </c>
      <c r="AX158">
        <v>1697.8</v>
      </c>
      <c r="AY158">
        <v>0.23</v>
      </c>
      <c r="AZ158">
        <v>443.9</v>
      </c>
      <c r="BA158">
        <v>86.6</v>
      </c>
      <c r="BB158">
        <v>530.5</v>
      </c>
      <c r="BC158">
        <v>35390029.100000001</v>
      </c>
      <c r="BD158">
        <v>2434.9</v>
      </c>
      <c r="BE158">
        <v>339.6</v>
      </c>
      <c r="BF158">
        <v>2870241.6</v>
      </c>
      <c r="BG158">
        <v>129817.3</v>
      </c>
      <c r="BH158">
        <v>23.2</v>
      </c>
      <c r="BI158">
        <v>35555297.600000001</v>
      </c>
      <c r="BJ158">
        <v>6745125.4000000004</v>
      </c>
      <c r="BK158">
        <v>42300423</v>
      </c>
      <c r="BL158">
        <v>0</v>
      </c>
      <c r="BM158">
        <v>17.64</v>
      </c>
      <c r="BN158">
        <v>14.98</v>
      </c>
      <c r="BO158">
        <v>0</v>
      </c>
      <c r="BP158">
        <v>32.619999999999997</v>
      </c>
      <c r="BQ158">
        <v>20.440000000000001</v>
      </c>
      <c r="BR158">
        <v>18.52</v>
      </c>
      <c r="BS158">
        <v>0</v>
      </c>
      <c r="BT158">
        <v>38.96</v>
      </c>
      <c r="BU158">
        <v>345040260</v>
      </c>
      <c r="BV158">
        <v>191143490</v>
      </c>
      <c r="BW158">
        <v>40396536</v>
      </c>
      <c r="BX158">
        <v>119894.3</v>
      </c>
      <c r="BY158">
        <v>0</v>
      </c>
      <c r="BZ158">
        <v>0</v>
      </c>
      <c r="CA158">
        <v>17447074</v>
      </c>
      <c r="CB158">
        <v>0</v>
      </c>
      <c r="CC158">
        <v>0</v>
      </c>
      <c r="CD158">
        <v>7023781.5</v>
      </c>
      <c r="CE158">
        <v>45808692</v>
      </c>
      <c r="CF158">
        <v>0</v>
      </c>
      <c r="CG158">
        <v>1140494.5</v>
      </c>
      <c r="CH158">
        <v>0</v>
      </c>
      <c r="CI158">
        <v>12705836</v>
      </c>
      <c r="CJ158">
        <v>32819356</v>
      </c>
      <c r="CK158">
        <v>0</v>
      </c>
      <c r="CL158">
        <v>3458880.5</v>
      </c>
      <c r="CM158">
        <v>0</v>
      </c>
      <c r="CN158">
        <v>183526140</v>
      </c>
      <c r="CO158">
        <v>593575.1</v>
      </c>
      <c r="CP158">
        <v>0</v>
      </c>
      <c r="CQ158">
        <v>20765.599999999999</v>
      </c>
      <c r="CR158">
        <v>36.200000000000003</v>
      </c>
      <c r="CS158">
        <v>0</v>
      </c>
      <c r="CT158">
        <v>6722.8</v>
      </c>
      <c r="CU158">
        <v>0</v>
      </c>
      <c r="CV158">
        <v>0</v>
      </c>
      <c r="CW158">
        <v>5510.1</v>
      </c>
      <c r="CX158">
        <v>11602.4</v>
      </c>
      <c r="CY158">
        <v>0</v>
      </c>
      <c r="CZ158">
        <v>23784.5</v>
      </c>
      <c r="DA158">
        <v>0</v>
      </c>
      <c r="DB158">
        <v>3853.3</v>
      </c>
      <c r="DC158">
        <v>4522.7</v>
      </c>
      <c r="DD158">
        <v>23.4</v>
      </c>
      <c r="DE158">
        <v>1616.3</v>
      </c>
      <c r="DF158">
        <v>0</v>
      </c>
      <c r="DG158">
        <v>86974.399999999994</v>
      </c>
      <c r="DH158">
        <v>0</v>
      </c>
      <c r="DI158">
        <v>184.9</v>
      </c>
      <c r="DJ158">
        <v>119607.2</v>
      </c>
      <c r="DK158">
        <v>16163</v>
      </c>
      <c r="DL158">
        <v>0</v>
      </c>
      <c r="DM158">
        <v>0</v>
      </c>
    </row>
    <row r="159" spans="1:117" x14ac:dyDescent="0.3">
      <c r="A159" t="s">
        <v>173</v>
      </c>
      <c r="B159">
        <v>2024</v>
      </c>
      <c r="C159">
        <v>339018000</v>
      </c>
      <c r="D159">
        <v>184360.3</v>
      </c>
      <c r="E159">
        <v>6799105</v>
      </c>
      <c r="F159">
        <v>1472177.9</v>
      </c>
      <c r="G159">
        <v>347473626.19999999</v>
      </c>
      <c r="H159">
        <v>326828637.19999999</v>
      </c>
      <c r="I159">
        <v>308242392.60000002</v>
      </c>
      <c r="J159">
        <v>87162136</v>
      </c>
      <c r="K159">
        <v>64142976</v>
      </c>
      <c r="L159">
        <v>3.5900000000000001E-2</v>
      </c>
      <c r="M159">
        <v>5.3999999999999999E-2</v>
      </c>
      <c r="N159">
        <v>0.14879999999999999</v>
      </c>
      <c r="O159">
        <v>10281.469999999999</v>
      </c>
      <c r="P159">
        <v>76410</v>
      </c>
      <c r="Q159">
        <v>0.56000000000000005</v>
      </c>
      <c r="R159">
        <v>0.54</v>
      </c>
      <c r="S159">
        <v>246.3</v>
      </c>
      <c r="T159">
        <v>17</v>
      </c>
      <c r="U159">
        <v>2.37</v>
      </c>
      <c r="V159">
        <v>21.7</v>
      </c>
      <c r="W159">
        <v>905.1</v>
      </c>
      <c r="X159">
        <v>0.19</v>
      </c>
      <c r="Y159">
        <v>247.5</v>
      </c>
      <c r="Z159">
        <v>48.8</v>
      </c>
      <c r="AA159">
        <v>296.2</v>
      </c>
      <c r="AB159">
        <v>271.39999999999998</v>
      </c>
      <c r="AC159">
        <v>19.2</v>
      </c>
      <c r="AD159">
        <v>2.68</v>
      </c>
      <c r="AE159">
        <v>23.3</v>
      </c>
      <c r="AF159">
        <v>984</v>
      </c>
      <c r="AG159">
        <v>0.21</v>
      </c>
      <c r="AH159">
        <v>272.8</v>
      </c>
      <c r="AI159">
        <v>52.7</v>
      </c>
      <c r="AJ159">
        <v>325.39999999999998</v>
      </c>
      <c r="AK159">
        <v>322.5</v>
      </c>
      <c r="AL159">
        <v>24.2</v>
      </c>
      <c r="AM159">
        <v>3.42</v>
      </c>
      <c r="AN159">
        <v>21.8</v>
      </c>
      <c r="AO159">
        <v>1101.3</v>
      </c>
      <c r="AP159">
        <v>0.16</v>
      </c>
      <c r="AQ159">
        <v>324.10000000000002</v>
      </c>
      <c r="AR159">
        <v>54.7</v>
      </c>
      <c r="AS159">
        <v>378.8</v>
      </c>
      <c r="AT159">
        <v>743.3</v>
      </c>
      <c r="AU159">
        <v>56.1</v>
      </c>
      <c r="AV159">
        <v>8.0399999999999991</v>
      </c>
      <c r="AW159">
        <v>51.2</v>
      </c>
      <c r="AX159">
        <v>2434</v>
      </c>
      <c r="AY159">
        <v>0.43</v>
      </c>
      <c r="AZ159">
        <v>747.1</v>
      </c>
      <c r="BA159">
        <v>123.9</v>
      </c>
      <c r="BB159">
        <v>871</v>
      </c>
      <c r="BC159">
        <v>79339756.5</v>
      </c>
      <c r="BD159">
        <v>5480.5</v>
      </c>
      <c r="BE159">
        <v>764.7</v>
      </c>
      <c r="BF159">
        <v>7001594.7000000002</v>
      </c>
      <c r="BG159">
        <v>291573.90000000002</v>
      </c>
      <c r="BH159">
        <v>62.5</v>
      </c>
      <c r="BI159">
        <v>79711836.299999997</v>
      </c>
      <c r="BJ159">
        <v>15707560.6</v>
      </c>
      <c r="BK159">
        <v>95419396.900000006</v>
      </c>
      <c r="BL159">
        <v>0</v>
      </c>
      <c r="BM159">
        <v>32.76</v>
      </c>
      <c r="BN159">
        <v>2.09</v>
      </c>
      <c r="BO159">
        <v>0</v>
      </c>
      <c r="BP159">
        <v>34.85</v>
      </c>
      <c r="BQ159">
        <v>34.81</v>
      </c>
      <c r="BR159">
        <v>2.2999999999999998</v>
      </c>
      <c r="BS159">
        <v>0</v>
      </c>
      <c r="BT159">
        <v>37.11</v>
      </c>
      <c r="BU159">
        <v>324327140</v>
      </c>
      <c r="BV159">
        <v>39231230</v>
      </c>
      <c r="BW159">
        <v>154567.9</v>
      </c>
      <c r="BX159">
        <v>4233525</v>
      </c>
      <c r="BY159">
        <v>0</v>
      </c>
      <c r="BZ159">
        <v>0</v>
      </c>
      <c r="CA159">
        <v>42095916</v>
      </c>
      <c r="CB159">
        <v>0</v>
      </c>
      <c r="CC159">
        <v>0</v>
      </c>
      <c r="CD159">
        <v>3201306.5</v>
      </c>
      <c r="CE159">
        <v>100935730</v>
      </c>
      <c r="CF159">
        <v>0</v>
      </c>
      <c r="CG159">
        <v>649359</v>
      </c>
      <c r="CH159">
        <v>0</v>
      </c>
      <c r="CI159">
        <v>9000154</v>
      </c>
      <c r="CJ159">
        <v>122475520</v>
      </c>
      <c r="CK159">
        <v>11009.8</v>
      </c>
      <c r="CL159">
        <v>5540136</v>
      </c>
      <c r="CM159">
        <v>0</v>
      </c>
      <c r="CN159">
        <v>33480410</v>
      </c>
      <c r="CO159">
        <v>727700.7</v>
      </c>
      <c r="CP159">
        <v>1821817.6</v>
      </c>
      <c r="CQ159">
        <v>204.7</v>
      </c>
      <c r="CR159">
        <v>730.8</v>
      </c>
      <c r="CS159">
        <v>0</v>
      </c>
      <c r="CT159">
        <v>15160</v>
      </c>
      <c r="CU159">
        <v>0</v>
      </c>
      <c r="CV159">
        <v>0</v>
      </c>
      <c r="CW159">
        <v>2180.8000000000002</v>
      </c>
      <c r="CX159">
        <v>17877.099999999999</v>
      </c>
      <c r="CY159">
        <v>0</v>
      </c>
      <c r="CZ159">
        <v>12668.5</v>
      </c>
      <c r="DA159">
        <v>0</v>
      </c>
      <c r="DB159">
        <v>4153.5</v>
      </c>
      <c r="DC159">
        <v>15334.8</v>
      </c>
      <c r="DD159">
        <v>1333.2</v>
      </c>
      <c r="DE159">
        <v>6123</v>
      </c>
      <c r="DF159">
        <v>0</v>
      </c>
      <c r="DG159">
        <v>16179.2</v>
      </c>
      <c r="DH159">
        <v>516.9</v>
      </c>
      <c r="DI159">
        <v>248.2</v>
      </c>
      <c r="DJ159">
        <v>409.5</v>
      </c>
      <c r="DK159">
        <v>61230</v>
      </c>
      <c r="DL159">
        <v>0</v>
      </c>
      <c r="DM159">
        <v>0</v>
      </c>
    </row>
    <row r="160" spans="1:117" x14ac:dyDescent="0.3">
      <c r="A160" t="s">
        <v>173</v>
      </c>
      <c r="B160">
        <v>2026</v>
      </c>
      <c r="C160">
        <v>348307740</v>
      </c>
      <c r="D160">
        <v>1772410.2</v>
      </c>
      <c r="E160">
        <v>7448647</v>
      </c>
      <c r="F160">
        <v>1503363</v>
      </c>
      <c r="G160">
        <v>359032165.69999999</v>
      </c>
      <c r="H160">
        <v>335784407.69999999</v>
      </c>
      <c r="I160">
        <v>293555661.10000002</v>
      </c>
      <c r="J160">
        <v>87894300</v>
      </c>
      <c r="K160">
        <v>71359910</v>
      </c>
      <c r="L160">
        <v>3.5900000000000001E-2</v>
      </c>
      <c r="M160">
        <v>5.3999999999999999E-2</v>
      </c>
      <c r="N160">
        <v>0.14879999999999999</v>
      </c>
      <c r="O160">
        <v>46676.23</v>
      </c>
      <c r="P160">
        <v>78650.2</v>
      </c>
      <c r="Q160">
        <v>0.61</v>
      </c>
      <c r="R160">
        <v>0.59</v>
      </c>
      <c r="S160">
        <v>218.1</v>
      </c>
      <c r="T160">
        <v>15.2</v>
      </c>
      <c r="U160">
        <v>2.12</v>
      </c>
      <c r="V160">
        <v>19.399999999999999</v>
      </c>
      <c r="W160">
        <v>798.6</v>
      </c>
      <c r="X160">
        <v>0.18</v>
      </c>
      <c r="Y160">
        <v>219.1</v>
      </c>
      <c r="Z160">
        <v>43.2</v>
      </c>
      <c r="AA160">
        <v>262.39999999999998</v>
      </c>
      <c r="AB160">
        <v>241.4</v>
      </c>
      <c r="AC160">
        <v>17</v>
      </c>
      <c r="AD160">
        <v>2.38</v>
      </c>
      <c r="AE160">
        <v>21</v>
      </c>
      <c r="AF160">
        <v>875.5</v>
      </c>
      <c r="AG160">
        <v>0.19</v>
      </c>
      <c r="AH160">
        <v>242.6</v>
      </c>
      <c r="AI160">
        <v>47.1</v>
      </c>
      <c r="AJ160">
        <v>289.7</v>
      </c>
      <c r="AK160">
        <v>250.1</v>
      </c>
      <c r="AL160">
        <v>13.6</v>
      </c>
      <c r="AM160">
        <v>1.86</v>
      </c>
      <c r="AN160">
        <v>21.6</v>
      </c>
      <c r="AO160">
        <v>1019.4</v>
      </c>
      <c r="AP160">
        <v>0.12</v>
      </c>
      <c r="AQ160">
        <v>251</v>
      </c>
      <c r="AR160">
        <v>52</v>
      </c>
      <c r="AS160">
        <v>303</v>
      </c>
      <c r="AT160">
        <v>710.6</v>
      </c>
      <c r="AU160">
        <v>53.9</v>
      </c>
      <c r="AV160">
        <v>7.68</v>
      </c>
      <c r="AW160">
        <v>48.3</v>
      </c>
      <c r="AX160">
        <v>2353.8000000000002</v>
      </c>
      <c r="AY160">
        <v>0.39</v>
      </c>
      <c r="AZ160">
        <v>714.3</v>
      </c>
      <c r="BA160">
        <v>118.6</v>
      </c>
      <c r="BB160">
        <v>832.8</v>
      </c>
      <c r="BC160">
        <v>74127645.299999997</v>
      </c>
      <c r="BD160">
        <v>5155.3999999999996</v>
      </c>
      <c r="BE160">
        <v>719.8</v>
      </c>
      <c r="BF160">
        <v>6588704.7999999998</v>
      </c>
      <c r="BG160">
        <v>271498.2</v>
      </c>
      <c r="BH160">
        <v>60.1</v>
      </c>
      <c r="BI160">
        <v>74477794.700000003</v>
      </c>
      <c r="BJ160">
        <v>14695743.9</v>
      </c>
      <c r="BK160">
        <v>89173538.599999994</v>
      </c>
      <c r="BL160">
        <v>0</v>
      </c>
      <c r="BM160">
        <v>30.85</v>
      </c>
      <c r="BN160">
        <v>9.11</v>
      </c>
      <c r="BO160">
        <v>0</v>
      </c>
      <c r="BP160">
        <v>39.96</v>
      </c>
      <c r="BQ160">
        <v>32.840000000000003</v>
      </c>
      <c r="BR160">
        <v>10.06</v>
      </c>
      <c r="BS160">
        <v>0</v>
      </c>
      <c r="BT160">
        <v>42.9</v>
      </c>
      <c r="BU160">
        <v>342398270</v>
      </c>
      <c r="BV160">
        <v>65476504</v>
      </c>
      <c r="BW160">
        <v>1512078.6</v>
      </c>
      <c r="BX160">
        <v>4196634.5</v>
      </c>
      <c r="BY160">
        <v>0</v>
      </c>
      <c r="BZ160">
        <v>0</v>
      </c>
      <c r="CA160">
        <v>39708556</v>
      </c>
      <c r="CB160">
        <v>0</v>
      </c>
      <c r="CC160">
        <v>0</v>
      </c>
      <c r="CD160">
        <v>4677357.5</v>
      </c>
      <c r="CE160">
        <v>93661000</v>
      </c>
      <c r="CF160">
        <v>0</v>
      </c>
      <c r="CG160">
        <v>515757.5</v>
      </c>
      <c r="CH160">
        <v>0</v>
      </c>
      <c r="CI160">
        <v>9009794</v>
      </c>
      <c r="CJ160">
        <v>122318850</v>
      </c>
      <c r="CK160">
        <v>10199.6</v>
      </c>
      <c r="CL160">
        <v>5988895</v>
      </c>
      <c r="CM160">
        <v>0</v>
      </c>
      <c r="CN160">
        <v>55377536</v>
      </c>
      <c r="CO160">
        <v>723776.6</v>
      </c>
      <c r="CP160">
        <v>4697835.5</v>
      </c>
      <c r="CQ160">
        <v>1104.2</v>
      </c>
      <c r="CR160">
        <v>730.8</v>
      </c>
      <c r="CS160">
        <v>0</v>
      </c>
      <c r="CT160">
        <v>14616</v>
      </c>
      <c r="CU160">
        <v>0</v>
      </c>
      <c r="CV160">
        <v>0</v>
      </c>
      <c r="CW160">
        <v>3205.5</v>
      </c>
      <c r="CX160">
        <v>17877.099999999999</v>
      </c>
      <c r="CY160">
        <v>0</v>
      </c>
      <c r="CZ160">
        <v>12608.5</v>
      </c>
      <c r="DA160">
        <v>0</v>
      </c>
      <c r="DB160">
        <v>4153.5</v>
      </c>
      <c r="DC160">
        <v>15334.8</v>
      </c>
      <c r="DD160">
        <v>1333.2</v>
      </c>
      <c r="DE160">
        <v>6123</v>
      </c>
      <c r="DF160">
        <v>0</v>
      </c>
      <c r="DG160">
        <v>25966.3</v>
      </c>
      <c r="DH160">
        <v>1316.9</v>
      </c>
      <c r="DI160">
        <v>248.2</v>
      </c>
      <c r="DJ160">
        <v>4231.1000000000004</v>
      </c>
      <c r="DK160">
        <v>61230</v>
      </c>
      <c r="DL160">
        <v>0</v>
      </c>
      <c r="DM160">
        <v>0</v>
      </c>
    </row>
    <row r="161" spans="1:117" x14ac:dyDescent="0.3">
      <c r="A161" t="s">
        <v>173</v>
      </c>
      <c r="B161">
        <v>2028</v>
      </c>
      <c r="C161">
        <v>362156030</v>
      </c>
      <c r="D161">
        <v>11206498</v>
      </c>
      <c r="E161">
        <v>9822834</v>
      </c>
      <c r="F161">
        <v>2287103.2999999998</v>
      </c>
      <c r="G161">
        <v>385472477.30000001</v>
      </c>
      <c r="H161">
        <v>349134896.80000001</v>
      </c>
      <c r="I161">
        <v>279640045.19999999</v>
      </c>
      <c r="J161">
        <v>129015820</v>
      </c>
      <c r="K161">
        <v>111931150</v>
      </c>
      <c r="L161">
        <v>3.5900000000000001E-2</v>
      </c>
      <c r="M161">
        <v>5.3999999999999999E-2</v>
      </c>
      <c r="N161">
        <v>0.14879999999999999</v>
      </c>
      <c r="O161">
        <v>65309.29</v>
      </c>
      <c r="P161">
        <v>82185.2</v>
      </c>
      <c r="Q161">
        <v>0.7</v>
      </c>
      <c r="R161">
        <v>0.66</v>
      </c>
      <c r="S161">
        <v>152.6</v>
      </c>
      <c r="T161">
        <v>8.9</v>
      </c>
      <c r="U161">
        <v>1.22</v>
      </c>
      <c r="V161">
        <v>15.7</v>
      </c>
      <c r="W161">
        <v>613.29999999999995</v>
      </c>
      <c r="X161">
        <v>0.14000000000000001</v>
      </c>
      <c r="Y161">
        <v>153.19999999999999</v>
      </c>
      <c r="Z161">
        <v>34</v>
      </c>
      <c r="AA161">
        <v>187.2</v>
      </c>
      <c r="AB161">
        <v>180.6</v>
      </c>
      <c r="AC161">
        <v>10.8</v>
      </c>
      <c r="AD161">
        <v>1.48</v>
      </c>
      <c r="AE161">
        <v>18.100000000000001</v>
      </c>
      <c r="AF161">
        <v>719.3</v>
      </c>
      <c r="AG161">
        <v>0.16</v>
      </c>
      <c r="AH161">
        <v>181.3</v>
      </c>
      <c r="AI161">
        <v>39.6</v>
      </c>
      <c r="AJ161">
        <v>220.9</v>
      </c>
      <c r="AK161">
        <v>178.1</v>
      </c>
      <c r="AL161">
        <v>4.7</v>
      </c>
      <c r="AM161">
        <v>0.54</v>
      </c>
      <c r="AN161">
        <v>19.899999999999999</v>
      </c>
      <c r="AO161">
        <v>888.3</v>
      </c>
      <c r="AP161">
        <v>0.08</v>
      </c>
      <c r="AQ161">
        <v>178.4</v>
      </c>
      <c r="AR161">
        <v>46.4</v>
      </c>
      <c r="AS161">
        <v>224.8</v>
      </c>
      <c r="AT161">
        <v>628.20000000000005</v>
      </c>
      <c r="AU161">
        <v>44.2</v>
      </c>
      <c r="AV161">
        <v>6.24</v>
      </c>
      <c r="AW161">
        <v>46.1</v>
      </c>
      <c r="AX161">
        <v>2204.6999999999998</v>
      </c>
      <c r="AY161">
        <v>0.34</v>
      </c>
      <c r="AZ161">
        <v>631.20000000000005</v>
      </c>
      <c r="BA161">
        <v>111.8</v>
      </c>
      <c r="BB161">
        <v>743.1</v>
      </c>
      <c r="BC161">
        <v>55720895.299999997</v>
      </c>
      <c r="BD161">
        <v>3263</v>
      </c>
      <c r="BE161">
        <v>446.6</v>
      </c>
      <c r="BF161">
        <v>5749246.2000000002</v>
      </c>
      <c r="BG161">
        <v>224074</v>
      </c>
      <c r="BH161">
        <v>50.6</v>
      </c>
      <c r="BI161">
        <v>55940060.299999997</v>
      </c>
      <c r="BJ161">
        <v>12440468.4</v>
      </c>
      <c r="BK161">
        <v>68380528.700000003</v>
      </c>
      <c r="BL161">
        <v>0</v>
      </c>
      <c r="BM161">
        <v>27.19</v>
      </c>
      <c r="BN161">
        <v>12.3</v>
      </c>
      <c r="BO161">
        <v>0</v>
      </c>
      <c r="BP161">
        <v>39.49</v>
      </c>
      <c r="BQ161">
        <v>29.31</v>
      </c>
      <c r="BR161">
        <v>14.03</v>
      </c>
      <c r="BS161">
        <v>0</v>
      </c>
      <c r="BT161">
        <v>43.34</v>
      </c>
      <c r="BU161">
        <v>368269000</v>
      </c>
      <c r="BV161">
        <v>105832430</v>
      </c>
      <c r="BW161">
        <v>9569443</v>
      </c>
      <c r="BX161">
        <v>2679693.7999999998</v>
      </c>
      <c r="BY161">
        <v>0</v>
      </c>
      <c r="BZ161">
        <v>0</v>
      </c>
      <c r="CA161">
        <v>23601622</v>
      </c>
      <c r="CB161">
        <v>0</v>
      </c>
      <c r="CC161">
        <v>0</v>
      </c>
      <c r="CD161">
        <v>6904737</v>
      </c>
      <c r="CE161">
        <v>87667240</v>
      </c>
      <c r="CF161">
        <v>0</v>
      </c>
      <c r="CG161">
        <v>533796.4</v>
      </c>
      <c r="CH161">
        <v>0</v>
      </c>
      <c r="CI161">
        <v>9110653</v>
      </c>
      <c r="CJ161">
        <v>121329510</v>
      </c>
      <c r="CK161">
        <v>12530.8</v>
      </c>
      <c r="CL161">
        <v>7932078.5</v>
      </c>
      <c r="CM161">
        <v>0</v>
      </c>
      <c r="CN161">
        <v>90825790</v>
      </c>
      <c r="CO161">
        <v>719873.2</v>
      </c>
      <c r="CP161">
        <v>7382027</v>
      </c>
      <c r="CQ161">
        <v>5890.9</v>
      </c>
      <c r="CR161">
        <v>533.5</v>
      </c>
      <c r="CS161">
        <v>0</v>
      </c>
      <c r="CT161">
        <v>12970</v>
      </c>
      <c r="CU161">
        <v>0</v>
      </c>
      <c r="CV161">
        <v>0</v>
      </c>
      <c r="CW161">
        <v>4751</v>
      </c>
      <c r="CX161">
        <v>17877.099999999999</v>
      </c>
      <c r="CY161">
        <v>0</v>
      </c>
      <c r="CZ161">
        <v>12568.5</v>
      </c>
      <c r="DA161">
        <v>0</v>
      </c>
      <c r="DB161">
        <v>4218.6000000000004</v>
      </c>
      <c r="DC161">
        <v>15334.8</v>
      </c>
      <c r="DD161">
        <v>1333.2</v>
      </c>
      <c r="DE161">
        <v>6123</v>
      </c>
      <c r="DF161">
        <v>0</v>
      </c>
      <c r="DG161">
        <v>41455.199999999997</v>
      </c>
      <c r="DH161">
        <v>2116.9</v>
      </c>
      <c r="DI161">
        <v>248.2</v>
      </c>
      <c r="DJ161">
        <v>26512.6</v>
      </c>
      <c r="DK161">
        <v>61230</v>
      </c>
      <c r="DL161">
        <v>0</v>
      </c>
      <c r="DM161">
        <v>0</v>
      </c>
    </row>
    <row r="162" spans="1:117" x14ac:dyDescent="0.3">
      <c r="A162" t="s">
        <v>173</v>
      </c>
      <c r="B162">
        <v>2030</v>
      </c>
      <c r="C162">
        <v>376543650</v>
      </c>
      <c r="D162">
        <v>24161422</v>
      </c>
      <c r="E162">
        <v>11375346</v>
      </c>
      <c r="F162">
        <v>2706588.4</v>
      </c>
      <c r="G162">
        <v>414787018.60000002</v>
      </c>
      <c r="H162">
        <v>363005320.5</v>
      </c>
      <c r="I162">
        <v>253503330.69999999</v>
      </c>
      <c r="J162">
        <v>140697500</v>
      </c>
      <c r="K162">
        <v>142156160</v>
      </c>
      <c r="L162">
        <v>3.5900000000000001E-2</v>
      </c>
      <c r="M162">
        <v>5.3999999999999999E-2</v>
      </c>
      <c r="N162">
        <v>0.14879999999999999</v>
      </c>
      <c r="O162">
        <v>73171.88</v>
      </c>
      <c r="P162">
        <v>86432.8</v>
      </c>
      <c r="Q162">
        <v>0.77</v>
      </c>
      <c r="R162">
        <v>0.72</v>
      </c>
      <c r="S162">
        <v>110.6</v>
      </c>
      <c r="T162">
        <v>6</v>
      </c>
      <c r="U162">
        <v>0.82</v>
      </c>
      <c r="V162">
        <v>12.2</v>
      </c>
      <c r="W162">
        <v>459.4</v>
      </c>
      <c r="X162">
        <v>0.11</v>
      </c>
      <c r="Y162">
        <v>111</v>
      </c>
      <c r="Z162">
        <v>26</v>
      </c>
      <c r="AA162">
        <v>137</v>
      </c>
      <c r="AB162">
        <v>141.4</v>
      </c>
      <c r="AC162">
        <v>7.9</v>
      </c>
      <c r="AD162">
        <v>1.08</v>
      </c>
      <c r="AE162">
        <v>15</v>
      </c>
      <c r="AF162">
        <v>579.6</v>
      </c>
      <c r="AG162">
        <v>0.13</v>
      </c>
      <c r="AH162">
        <v>141.9</v>
      </c>
      <c r="AI162">
        <v>32.299999999999997</v>
      </c>
      <c r="AJ162">
        <v>174.2</v>
      </c>
      <c r="AK162">
        <v>196.2</v>
      </c>
      <c r="AL162">
        <v>8.4</v>
      </c>
      <c r="AM162">
        <v>1.1000000000000001</v>
      </c>
      <c r="AN162">
        <v>18.899999999999999</v>
      </c>
      <c r="AO162">
        <v>875.6</v>
      </c>
      <c r="AP162">
        <v>0.09</v>
      </c>
      <c r="AQ162">
        <v>196.8</v>
      </c>
      <c r="AR162">
        <v>45.1</v>
      </c>
      <c r="AS162">
        <v>241.8</v>
      </c>
      <c r="AT162">
        <v>558.20000000000005</v>
      </c>
      <c r="AU162">
        <v>39</v>
      </c>
      <c r="AV162">
        <v>5.5</v>
      </c>
      <c r="AW162">
        <v>41.4</v>
      </c>
      <c r="AX162">
        <v>1974.7</v>
      </c>
      <c r="AY162">
        <v>0.31</v>
      </c>
      <c r="AZ162">
        <v>560.79999999999995</v>
      </c>
      <c r="BA162">
        <v>100.3</v>
      </c>
      <c r="BB162">
        <v>661.1</v>
      </c>
      <c r="BC162">
        <v>45585815.899999999</v>
      </c>
      <c r="BD162">
        <v>2488.6999999999998</v>
      </c>
      <c r="BE162">
        <v>337.5</v>
      </c>
      <c r="BF162">
        <v>5052292.3</v>
      </c>
      <c r="BG162">
        <v>189497.1</v>
      </c>
      <c r="BH162">
        <v>45.2</v>
      </c>
      <c r="BI162">
        <v>45752104.5</v>
      </c>
      <c r="BJ162">
        <v>10711648.199999999</v>
      </c>
      <c r="BK162">
        <v>56463752.700000003</v>
      </c>
      <c r="BL162">
        <v>0</v>
      </c>
      <c r="BM162">
        <v>24.18</v>
      </c>
      <c r="BN162">
        <v>13.19</v>
      </c>
      <c r="BO162">
        <v>0</v>
      </c>
      <c r="BP162">
        <v>37.369999999999997</v>
      </c>
      <c r="BQ162">
        <v>26.66</v>
      </c>
      <c r="BR162">
        <v>15.56</v>
      </c>
      <c r="BS162">
        <v>0</v>
      </c>
      <c r="BT162">
        <v>42.22</v>
      </c>
      <c r="BU162">
        <v>416189630</v>
      </c>
      <c r="BV162">
        <v>161283680</v>
      </c>
      <c r="BW162">
        <v>20541296</v>
      </c>
      <c r="BX162">
        <v>2591213.7999999998</v>
      </c>
      <c r="BY162">
        <v>0</v>
      </c>
      <c r="BZ162">
        <v>0</v>
      </c>
      <c r="CA162">
        <v>17561808</v>
      </c>
      <c r="CB162">
        <v>0</v>
      </c>
      <c r="CC162">
        <v>0</v>
      </c>
      <c r="CD162">
        <v>10056798</v>
      </c>
      <c r="CE162">
        <v>77353890</v>
      </c>
      <c r="CF162">
        <v>0</v>
      </c>
      <c r="CG162">
        <v>398799.4</v>
      </c>
      <c r="CH162">
        <v>0</v>
      </c>
      <c r="CI162">
        <v>8926127</v>
      </c>
      <c r="CJ162">
        <v>118401980</v>
      </c>
      <c r="CK162">
        <v>4194</v>
      </c>
      <c r="CL162">
        <v>9126633</v>
      </c>
      <c r="CM162">
        <v>0</v>
      </c>
      <c r="CN162">
        <v>135249630</v>
      </c>
      <c r="CO162">
        <v>924783.2</v>
      </c>
      <c r="CP162">
        <v>15052470</v>
      </c>
      <c r="CQ162">
        <v>13487.1</v>
      </c>
      <c r="CR162">
        <v>533.5</v>
      </c>
      <c r="CS162">
        <v>0</v>
      </c>
      <c r="CT162">
        <v>12970</v>
      </c>
      <c r="CU162">
        <v>0</v>
      </c>
      <c r="CV162">
        <v>0</v>
      </c>
      <c r="CW162">
        <v>7052.4</v>
      </c>
      <c r="CX162">
        <v>17749.2</v>
      </c>
      <c r="CY162">
        <v>0</v>
      </c>
      <c r="CZ162">
        <v>12568.5</v>
      </c>
      <c r="DA162">
        <v>0</v>
      </c>
      <c r="DB162">
        <v>4223.1000000000004</v>
      </c>
      <c r="DC162">
        <v>15334.8</v>
      </c>
      <c r="DD162">
        <v>957.3</v>
      </c>
      <c r="DE162">
        <v>6123</v>
      </c>
      <c r="DF162">
        <v>0</v>
      </c>
      <c r="DG162">
        <v>61315.9</v>
      </c>
      <c r="DH162">
        <v>4353.8999999999996</v>
      </c>
      <c r="DI162">
        <v>304.7</v>
      </c>
      <c r="DJ162">
        <v>56959.6</v>
      </c>
      <c r="DK162">
        <v>61230</v>
      </c>
      <c r="DL162">
        <v>0</v>
      </c>
      <c r="DM162">
        <v>0</v>
      </c>
    </row>
    <row r="163" spans="1:117" x14ac:dyDescent="0.3">
      <c r="A163" t="s">
        <v>173</v>
      </c>
      <c r="B163">
        <v>2035</v>
      </c>
      <c r="C163">
        <v>420720960</v>
      </c>
      <c r="D163">
        <v>47998130</v>
      </c>
      <c r="E163">
        <v>11873613</v>
      </c>
      <c r="F163">
        <v>2999826.9</v>
      </c>
      <c r="G163">
        <v>483592540.10000002</v>
      </c>
      <c r="H163">
        <v>405594614</v>
      </c>
      <c r="I163">
        <v>264588392.09999999</v>
      </c>
      <c r="J163">
        <v>154165340</v>
      </c>
      <c r="K163">
        <v>147083660</v>
      </c>
      <c r="L163">
        <v>3.5900000000000001E-2</v>
      </c>
      <c r="M163">
        <v>5.3999999999999999E-2</v>
      </c>
      <c r="N163">
        <v>0.14879999999999999</v>
      </c>
      <c r="O163">
        <v>91653.96</v>
      </c>
      <c r="P163">
        <v>99617.3</v>
      </c>
      <c r="Q163">
        <v>0.83</v>
      </c>
      <c r="R163">
        <v>0.78</v>
      </c>
      <c r="S163">
        <v>77.5</v>
      </c>
      <c r="T163">
        <v>3.8</v>
      </c>
      <c r="U163">
        <v>0.51</v>
      </c>
      <c r="V163">
        <v>9.4</v>
      </c>
      <c r="W163">
        <v>336.4</v>
      </c>
      <c r="X163">
        <v>0.09</v>
      </c>
      <c r="Y163">
        <v>77.7</v>
      </c>
      <c r="Z163">
        <v>19.399999999999999</v>
      </c>
      <c r="AA163">
        <v>97.1</v>
      </c>
      <c r="AB163">
        <v>109.8</v>
      </c>
      <c r="AC163">
        <v>5.6</v>
      </c>
      <c r="AD163">
        <v>0.76</v>
      </c>
      <c r="AE163">
        <v>12.4</v>
      </c>
      <c r="AF163">
        <v>467.5</v>
      </c>
      <c r="AG163">
        <v>0.11</v>
      </c>
      <c r="AH163">
        <v>110.2</v>
      </c>
      <c r="AI163">
        <v>26.4</v>
      </c>
      <c r="AJ163">
        <v>136.6</v>
      </c>
      <c r="AK163">
        <v>179.3</v>
      </c>
      <c r="AL163">
        <v>10.5</v>
      </c>
      <c r="AM163">
        <v>1.44</v>
      </c>
      <c r="AN163">
        <v>14.8</v>
      </c>
      <c r="AO163">
        <v>711.4</v>
      </c>
      <c r="AP163">
        <v>0.08</v>
      </c>
      <c r="AQ163">
        <v>180</v>
      </c>
      <c r="AR163">
        <v>36</v>
      </c>
      <c r="AS163">
        <v>216</v>
      </c>
      <c r="AT163">
        <v>504.5</v>
      </c>
      <c r="AU163">
        <v>34.6</v>
      </c>
      <c r="AV163">
        <v>4.8499999999999996</v>
      </c>
      <c r="AW163">
        <v>37.9</v>
      </c>
      <c r="AX163">
        <v>1820.6</v>
      </c>
      <c r="AY163">
        <v>0.27</v>
      </c>
      <c r="AZ163">
        <v>506.9</v>
      </c>
      <c r="BA163">
        <v>92.2</v>
      </c>
      <c r="BB163">
        <v>599.1</v>
      </c>
      <c r="BC163">
        <v>36442519</v>
      </c>
      <c r="BD163">
        <v>1783.2</v>
      </c>
      <c r="BE163">
        <v>237.9</v>
      </c>
      <c r="BF163">
        <v>4418566.5</v>
      </c>
      <c r="BG163">
        <v>158495.70000000001</v>
      </c>
      <c r="BH163">
        <v>40.4</v>
      </c>
      <c r="BI163">
        <v>36560614.299999997</v>
      </c>
      <c r="BJ163">
        <v>9152758.0999999996</v>
      </c>
      <c r="BK163">
        <v>45713372.399999999</v>
      </c>
      <c r="BL163">
        <v>0</v>
      </c>
      <c r="BM163">
        <v>21.57</v>
      </c>
      <c r="BN163">
        <v>16.12</v>
      </c>
      <c r="BO163">
        <v>0</v>
      </c>
      <c r="BP163">
        <v>37.69</v>
      </c>
      <c r="BQ163">
        <v>24.57</v>
      </c>
      <c r="BR163">
        <v>19.84</v>
      </c>
      <c r="BS163">
        <v>0</v>
      </c>
      <c r="BT163">
        <v>44.41</v>
      </c>
      <c r="BU163">
        <v>476440830</v>
      </c>
      <c r="BV163">
        <v>219004130</v>
      </c>
      <c r="BW163">
        <v>40885360</v>
      </c>
      <c r="BX163">
        <v>2134806.7999999998</v>
      </c>
      <c r="BY163">
        <v>0</v>
      </c>
      <c r="BZ163">
        <v>0</v>
      </c>
      <c r="CA163">
        <v>11998951</v>
      </c>
      <c r="CB163">
        <v>0</v>
      </c>
      <c r="CC163">
        <v>0</v>
      </c>
      <c r="CD163">
        <v>15162710</v>
      </c>
      <c r="CE163">
        <v>67674790</v>
      </c>
      <c r="CF163">
        <v>0</v>
      </c>
      <c r="CG163">
        <v>304297.5</v>
      </c>
      <c r="CH163">
        <v>0</v>
      </c>
      <c r="CI163">
        <v>8713725</v>
      </c>
      <c r="CJ163">
        <v>116216910</v>
      </c>
      <c r="CK163">
        <v>3468.3</v>
      </c>
      <c r="CL163">
        <v>9504358</v>
      </c>
      <c r="CM163">
        <v>0</v>
      </c>
      <c r="CN163">
        <v>184505950</v>
      </c>
      <c r="CO163">
        <v>4499458.5</v>
      </c>
      <c r="CP163">
        <v>14836030</v>
      </c>
      <c r="CQ163">
        <v>22732.2</v>
      </c>
      <c r="CR163">
        <v>486.5</v>
      </c>
      <c r="CS163">
        <v>0</v>
      </c>
      <c r="CT163">
        <v>12230</v>
      </c>
      <c r="CU163">
        <v>0</v>
      </c>
      <c r="CV163">
        <v>0</v>
      </c>
      <c r="CW163">
        <v>11144.9</v>
      </c>
      <c r="CX163">
        <v>17629.099999999999</v>
      </c>
      <c r="CY163">
        <v>0</v>
      </c>
      <c r="CZ163">
        <v>12528.5</v>
      </c>
      <c r="DA163">
        <v>0</v>
      </c>
      <c r="DB163">
        <v>4227.6000000000004</v>
      </c>
      <c r="DC163">
        <v>15334.8</v>
      </c>
      <c r="DD163">
        <v>707.3</v>
      </c>
      <c r="DE163">
        <v>6123</v>
      </c>
      <c r="DF163">
        <v>0</v>
      </c>
      <c r="DG163">
        <v>86173.1</v>
      </c>
      <c r="DH163">
        <v>4353.8999999999996</v>
      </c>
      <c r="DI163">
        <v>1359.2</v>
      </c>
      <c r="DJ163">
        <v>120069.1</v>
      </c>
      <c r="DK163">
        <v>61230</v>
      </c>
      <c r="DL163">
        <v>0</v>
      </c>
      <c r="DM163">
        <v>0</v>
      </c>
    </row>
    <row r="164" spans="1:117" x14ac:dyDescent="0.3">
      <c r="A164" t="s">
        <v>173</v>
      </c>
      <c r="B164">
        <v>2040</v>
      </c>
      <c r="C164">
        <v>469582080</v>
      </c>
      <c r="D164">
        <v>68851976</v>
      </c>
      <c r="E164">
        <v>12217655</v>
      </c>
      <c r="F164">
        <v>3191927.5</v>
      </c>
      <c r="G164">
        <v>553843628.29999995</v>
      </c>
      <c r="H164">
        <v>452699205.19999999</v>
      </c>
      <c r="I164">
        <v>298943642.19999999</v>
      </c>
      <c r="J164">
        <v>171432060</v>
      </c>
      <c r="K164">
        <v>149376540</v>
      </c>
      <c r="L164">
        <v>3.5900000000000001E-2</v>
      </c>
      <c r="M164">
        <v>5.3999999999999999E-2</v>
      </c>
      <c r="N164">
        <v>0.14879999999999999</v>
      </c>
      <c r="O164">
        <v>90597.09</v>
      </c>
      <c r="P164">
        <v>114287.2</v>
      </c>
      <c r="Q164">
        <v>0.85</v>
      </c>
      <c r="R164">
        <v>0.83</v>
      </c>
      <c r="S164">
        <v>69</v>
      </c>
      <c r="T164">
        <v>3.2</v>
      </c>
      <c r="U164">
        <v>0.42</v>
      </c>
      <c r="V164">
        <v>8.5</v>
      </c>
      <c r="W164">
        <v>306.89999999999998</v>
      </c>
      <c r="X164">
        <v>0.08</v>
      </c>
      <c r="Y164">
        <v>69.2</v>
      </c>
      <c r="Z164">
        <v>17.7</v>
      </c>
      <c r="AA164">
        <v>86.9</v>
      </c>
      <c r="AB164">
        <v>82.7</v>
      </c>
      <c r="AC164">
        <v>3.9</v>
      </c>
      <c r="AD164">
        <v>0.51</v>
      </c>
      <c r="AE164">
        <v>9.8000000000000007</v>
      </c>
      <c r="AF164">
        <v>364</v>
      </c>
      <c r="AG164">
        <v>0.08</v>
      </c>
      <c r="AH164">
        <v>82.9</v>
      </c>
      <c r="AI164">
        <v>20.7</v>
      </c>
      <c r="AJ164">
        <v>103.6</v>
      </c>
      <c r="AK164">
        <v>167.6</v>
      </c>
      <c r="AL164">
        <v>11.1</v>
      </c>
      <c r="AM164">
        <v>1.55</v>
      </c>
      <c r="AN164">
        <v>12.6</v>
      </c>
      <c r="AO164">
        <v>623.1</v>
      </c>
      <c r="AP164">
        <v>0.08</v>
      </c>
      <c r="AQ164">
        <v>168.3</v>
      </c>
      <c r="AR164">
        <v>31.2</v>
      </c>
      <c r="AS164">
        <v>199.5</v>
      </c>
      <c r="AT164">
        <v>472</v>
      </c>
      <c r="AU164">
        <v>29.6</v>
      </c>
      <c r="AV164">
        <v>4.12</v>
      </c>
      <c r="AW164">
        <v>38</v>
      </c>
      <c r="AX164">
        <v>1784.6</v>
      </c>
      <c r="AY164">
        <v>0.25</v>
      </c>
      <c r="AZ164">
        <v>474.1</v>
      </c>
      <c r="BA164">
        <v>91.2</v>
      </c>
      <c r="BB164">
        <v>565.29999999999995</v>
      </c>
      <c r="BC164">
        <v>36155868.799999997</v>
      </c>
      <c r="BD164">
        <v>1643.9</v>
      </c>
      <c r="BE164">
        <v>216.7</v>
      </c>
      <c r="BF164">
        <v>4499439.5</v>
      </c>
      <c r="BG164">
        <v>161225.9</v>
      </c>
      <c r="BH164">
        <v>40</v>
      </c>
      <c r="BI164">
        <v>36264019.5</v>
      </c>
      <c r="BJ164">
        <v>9314901.1999999993</v>
      </c>
      <c r="BK164">
        <v>45578920.700000003</v>
      </c>
      <c r="BL164">
        <v>0</v>
      </c>
      <c r="BM164">
        <v>20.309999999999999</v>
      </c>
      <c r="BN164">
        <v>15.85</v>
      </c>
      <c r="BO164">
        <v>0</v>
      </c>
      <c r="BP164">
        <v>36.159999999999997</v>
      </c>
      <c r="BQ164">
        <v>23.46</v>
      </c>
      <c r="BR164">
        <v>20.04</v>
      </c>
      <c r="BS164">
        <v>0</v>
      </c>
      <c r="BT164">
        <v>43.51</v>
      </c>
      <c r="BU164">
        <v>531635360</v>
      </c>
      <c r="BV164">
        <v>254900000</v>
      </c>
      <c r="BW164">
        <v>58874104</v>
      </c>
      <c r="BX164">
        <v>2095669.8</v>
      </c>
      <c r="BY164">
        <v>0</v>
      </c>
      <c r="BZ164">
        <v>0</v>
      </c>
      <c r="CA164">
        <v>10660508</v>
      </c>
      <c r="CB164">
        <v>0</v>
      </c>
      <c r="CC164">
        <v>0</v>
      </c>
      <c r="CD164">
        <v>16781340</v>
      </c>
      <c r="CE164">
        <v>70391530</v>
      </c>
      <c r="CF164">
        <v>0</v>
      </c>
      <c r="CG164">
        <v>537997.9</v>
      </c>
      <c r="CH164">
        <v>0</v>
      </c>
      <c r="CI164">
        <v>8625432</v>
      </c>
      <c r="CJ164">
        <v>115635150</v>
      </c>
      <c r="CK164">
        <v>1837.5</v>
      </c>
      <c r="CL164">
        <v>9913162</v>
      </c>
      <c r="CM164">
        <v>0</v>
      </c>
      <c r="CN164">
        <v>216784820</v>
      </c>
      <c r="CO164">
        <v>6693526.5</v>
      </c>
      <c r="CP164">
        <v>14640310</v>
      </c>
      <c r="CQ164">
        <v>32496.9</v>
      </c>
      <c r="CR164">
        <v>486.5</v>
      </c>
      <c r="CS164">
        <v>0</v>
      </c>
      <c r="CT164">
        <v>12230</v>
      </c>
      <c r="CU164">
        <v>0</v>
      </c>
      <c r="CV164">
        <v>0</v>
      </c>
      <c r="CW164">
        <v>12643.6</v>
      </c>
      <c r="CX164">
        <v>17629.099999999999</v>
      </c>
      <c r="CY164">
        <v>0</v>
      </c>
      <c r="CZ164">
        <v>16082.1</v>
      </c>
      <c r="DA164">
        <v>0</v>
      </c>
      <c r="DB164">
        <v>4232.1000000000004</v>
      </c>
      <c r="DC164">
        <v>15334.8</v>
      </c>
      <c r="DD164">
        <v>689.6</v>
      </c>
      <c r="DE164">
        <v>6123</v>
      </c>
      <c r="DF164">
        <v>0</v>
      </c>
      <c r="DG164">
        <v>103620.2</v>
      </c>
      <c r="DH164">
        <v>4353.8999999999996</v>
      </c>
      <c r="DI164">
        <v>2018.6</v>
      </c>
      <c r="DJ164">
        <v>174204.7</v>
      </c>
      <c r="DK164">
        <v>61230</v>
      </c>
      <c r="DL164">
        <v>0</v>
      </c>
      <c r="DM164">
        <v>0</v>
      </c>
    </row>
    <row r="165" spans="1:117" x14ac:dyDescent="0.3">
      <c r="A165" t="s">
        <v>173</v>
      </c>
      <c r="B165">
        <v>2045</v>
      </c>
      <c r="C165">
        <v>516579420</v>
      </c>
      <c r="D165">
        <v>96587180</v>
      </c>
      <c r="E165">
        <v>12212991</v>
      </c>
      <c r="F165">
        <v>3692885.2</v>
      </c>
      <c r="G165">
        <v>629072524.20000005</v>
      </c>
      <c r="H165">
        <v>498007093.60000002</v>
      </c>
      <c r="I165">
        <v>314764857.5</v>
      </c>
      <c r="J165">
        <v>206769420</v>
      </c>
      <c r="K165">
        <v>153101870</v>
      </c>
      <c r="L165">
        <v>3.5900000000000001E-2</v>
      </c>
      <c r="M165">
        <v>5.3900000000000003E-2</v>
      </c>
      <c r="N165">
        <v>0.1487</v>
      </c>
      <c r="O165">
        <v>89362.5</v>
      </c>
      <c r="P165">
        <v>128125.3</v>
      </c>
      <c r="Q165">
        <v>0.92</v>
      </c>
      <c r="R165">
        <v>0.93</v>
      </c>
      <c r="S165">
        <v>37.700000000000003</v>
      </c>
      <c r="T165">
        <v>2.1</v>
      </c>
      <c r="U165">
        <v>0.28999999999999998</v>
      </c>
      <c r="V165">
        <v>5</v>
      </c>
      <c r="W165">
        <v>156.69999999999999</v>
      </c>
      <c r="X165">
        <v>0.06</v>
      </c>
      <c r="Y165">
        <v>37.799999999999997</v>
      </c>
      <c r="Z165">
        <v>9.6999999999999993</v>
      </c>
      <c r="AA165">
        <v>47.5</v>
      </c>
      <c r="AB165">
        <v>38.700000000000003</v>
      </c>
      <c r="AC165">
        <v>2.1</v>
      </c>
      <c r="AD165">
        <v>0.28000000000000003</v>
      </c>
      <c r="AE165">
        <v>4.7</v>
      </c>
      <c r="AF165">
        <v>162.19999999999999</v>
      </c>
      <c r="AG165">
        <v>0.05</v>
      </c>
      <c r="AH165">
        <v>38.799999999999997</v>
      </c>
      <c r="AI165">
        <v>9.5</v>
      </c>
      <c r="AJ165">
        <v>48.3</v>
      </c>
      <c r="AK165">
        <v>107.3</v>
      </c>
      <c r="AL165">
        <v>6.2</v>
      </c>
      <c r="AM165">
        <v>0.85</v>
      </c>
      <c r="AN165">
        <v>8.9</v>
      </c>
      <c r="AO165">
        <v>426.9</v>
      </c>
      <c r="AP165">
        <v>0.05</v>
      </c>
      <c r="AQ165">
        <v>107.7</v>
      </c>
      <c r="AR165">
        <v>21.6</v>
      </c>
      <c r="AS165">
        <v>129.30000000000001</v>
      </c>
      <c r="AT165">
        <v>472.9</v>
      </c>
      <c r="AU165">
        <v>29.3</v>
      </c>
      <c r="AV165">
        <v>4.07</v>
      </c>
      <c r="AW165">
        <v>38.4</v>
      </c>
      <c r="AX165">
        <v>1799.6</v>
      </c>
      <c r="AY165">
        <v>0.25</v>
      </c>
      <c r="AZ165">
        <v>474.8</v>
      </c>
      <c r="BA165">
        <v>92</v>
      </c>
      <c r="BB165">
        <v>566.9</v>
      </c>
      <c r="BC165">
        <v>21384928.399999999</v>
      </c>
      <c r="BD165">
        <v>1202.2</v>
      </c>
      <c r="BE165">
        <v>163.69999999999999</v>
      </c>
      <c r="BF165">
        <v>2854913.6</v>
      </c>
      <c r="BG165">
        <v>89096.7</v>
      </c>
      <c r="BH165">
        <v>33.1</v>
      </c>
      <c r="BI165">
        <v>21465430.600000001</v>
      </c>
      <c r="BJ165">
        <v>5519040.9000000004</v>
      </c>
      <c r="BK165">
        <v>26984471.399999999</v>
      </c>
      <c r="BL165">
        <v>0</v>
      </c>
      <c r="BM165">
        <v>19.579999999999998</v>
      </c>
      <c r="BN165">
        <v>15.34</v>
      </c>
      <c r="BO165">
        <v>0</v>
      </c>
      <c r="BP165">
        <v>34.92</v>
      </c>
      <c r="BQ165">
        <v>22.89</v>
      </c>
      <c r="BR165">
        <v>20.04</v>
      </c>
      <c r="BS165">
        <v>0</v>
      </c>
      <c r="BT165">
        <v>42.93</v>
      </c>
      <c r="BU165">
        <v>574817150</v>
      </c>
      <c r="BV165">
        <v>314307680</v>
      </c>
      <c r="BW165">
        <v>82217490</v>
      </c>
      <c r="BX165">
        <v>1444487.6</v>
      </c>
      <c r="BY165">
        <v>0</v>
      </c>
      <c r="BZ165">
        <v>0</v>
      </c>
      <c r="CA165">
        <v>8786483</v>
      </c>
      <c r="CB165">
        <v>0</v>
      </c>
      <c r="CC165">
        <v>0</v>
      </c>
      <c r="CD165">
        <v>17691476</v>
      </c>
      <c r="CE165">
        <v>33878790</v>
      </c>
      <c r="CF165">
        <v>0</v>
      </c>
      <c r="CG165">
        <v>1004021.3</v>
      </c>
      <c r="CH165">
        <v>0</v>
      </c>
      <c r="CI165">
        <v>8545519</v>
      </c>
      <c r="CJ165">
        <v>114741144</v>
      </c>
      <c r="CK165">
        <v>61.9</v>
      </c>
      <c r="CL165">
        <v>9891479</v>
      </c>
      <c r="CM165">
        <v>0</v>
      </c>
      <c r="CN165">
        <v>274066020</v>
      </c>
      <c r="CO165">
        <v>8152169</v>
      </c>
      <c r="CP165">
        <v>14398013</v>
      </c>
      <c r="CQ165">
        <v>46615.199999999997</v>
      </c>
      <c r="CR165">
        <v>401.5</v>
      </c>
      <c r="CS165">
        <v>0</v>
      </c>
      <c r="CT165">
        <v>9523</v>
      </c>
      <c r="CU165">
        <v>0</v>
      </c>
      <c r="CV165">
        <v>0</v>
      </c>
      <c r="CW165">
        <v>14107.1</v>
      </c>
      <c r="CX165">
        <v>8426</v>
      </c>
      <c r="CY165">
        <v>0</v>
      </c>
      <c r="CZ165">
        <v>24747.4</v>
      </c>
      <c r="DA165">
        <v>0</v>
      </c>
      <c r="DB165">
        <v>4236.6000000000004</v>
      </c>
      <c r="DC165">
        <v>15334.8</v>
      </c>
      <c r="DD165">
        <v>507.6</v>
      </c>
      <c r="DE165">
        <v>6123</v>
      </c>
      <c r="DF165">
        <v>0</v>
      </c>
      <c r="DG165">
        <v>134279.9</v>
      </c>
      <c r="DH165">
        <v>4353.8999999999996</v>
      </c>
      <c r="DI165">
        <v>2504.8000000000002</v>
      </c>
      <c r="DJ165">
        <v>249680.5</v>
      </c>
      <c r="DK165">
        <v>61230</v>
      </c>
      <c r="DL165">
        <v>0</v>
      </c>
      <c r="DM165">
        <v>0</v>
      </c>
    </row>
    <row r="166" spans="1:117" x14ac:dyDescent="0.3">
      <c r="A166" t="s">
        <v>173</v>
      </c>
      <c r="B166">
        <v>2050</v>
      </c>
      <c r="C166">
        <v>564782000</v>
      </c>
      <c r="D166">
        <v>113643390</v>
      </c>
      <c r="E166">
        <v>12615444</v>
      </c>
      <c r="F166">
        <v>3810466.5</v>
      </c>
      <c r="G166">
        <v>694851342.79999995</v>
      </c>
      <c r="H166">
        <v>544476964.10000002</v>
      </c>
      <c r="I166">
        <v>339813149.39999998</v>
      </c>
      <c r="J166">
        <v>221190880</v>
      </c>
      <c r="K166">
        <v>154949780</v>
      </c>
      <c r="L166">
        <v>3.5900000000000001E-2</v>
      </c>
      <c r="M166">
        <v>5.3900000000000003E-2</v>
      </c>
      <c r="N166">
        <v>0.14860000000000001</v>
      </c>
      <c r="O166">
        <v>86374.81</v>
      </c>
      <c r="P166">
        <v>142603.20000000001</v>
      </c>
      <c r="Q166">
        <v>0.93</v>
      </c>
      <c r="R166">
        <v>0.97</v>
      </c>
      <c r="S166">
        <v>29.5</v>
      </c>
      <c r="T166">
        <v>1.2</v>
      </c>
      <c r="U166">
        <v>0.15</v>
      </c>
      <c r="V166">
        <v>4.5999999999999996</v>
      </c>
      <c r="W166">
        <v>139.19999999999999</v>
      </c>
      <c r="X166">
        <v>0.05</v>
      </c>
      <c r="Y166">
        <v>29.6</v>
      </c>
      <c r="Z166">
        <v>8.8000000000000007</v>
      </c>
      <c r="AA166">
        <v>38.4</v>
      </c>
      <c r="AB166">
        <v>13.8</v>
      </c>
      <c r="AC166">
        <v>0.7</v>
      </c>
      <c r="AD166">
        <v>0.1</v>
      </c>
      <c r="AE166">
        <v>1.8</v>
      </c>
      <c r="AF166">
        <v>59.2</v>
      </c>
      <c r="AG166">
        <v>0.02</v>
      </c>
      <c r="AH166">
        <v>13.8</v>
      </c>
      <c r="AI166">
        <v>3.6</v>
      </c>
      <c r="AJ166">
        <v>17.5</v>
      </c>
      <c r="AK166">
        <v>81.8</v>
      </c>
      <c r="AL166">
        <v>4.3</v>
      </c>
      <c r="AM166">
        <v>0.56999999999999995</v>
      </c>
      <c r="AN166">
        <v>7.3</v>
      </c>
      <c r="AO166">
        <v>341.5</v>
      </c>
      <c r="AP166">
        <v>0.04</v>
      </c>
      <c r="AQ166">
        <v>82.1</v>
      </c>
      <c r="AR166">
        <v>17.5</v>
      </c>
      <c r="AS166">
        <v>99.6</v>
      </c>
      <c r="AT166">
        <v>449</v>
      </c>
      <c r="AU166">
        <v>24.3</v>
      </c>
      <c r="AV166">
        <v>3.31</v>
      </c>
      <c r="AW166">
        <v>39.6</v>
      </c>
      <c r="AX166">
        <v>1830.1</v>
      </c>
      <c r="AY166">
        <v>0.23</v>
      </c>
      <c r="AZ166">
        <v>450.6</v>
      </c>
      <c r="BA166">
        <v>94.2</v>
      </c>
      <c r="BB166">
        <v>544.79999999999995</v>
      </c>
      <c r="BC166">
        <v>18207198.5</v>
      </c>
      <c r="BD166">
        <v>715.1</v>
      </c>
      <c r="BE166">
        <v>91.7</v>
      </c>
      <c r="BF166">
        <v>2862997.1</v>
      </c>
      <c r="BG166">
        <v>85994.2</v>
      </c>
      <c r="BH166">
        <v>31.4</v>
      </c>
      <c r="BI166">
        <v>18253547.600000001</v>
      </c>
      <c r="BJ166">
        <v>5434191.5</v>
      </c>
      <c r="BK166">
        <v>23687739.100000001</v>
      </c>
      <c r="BL166">
        <v>0</v>
      </c>
      <c r="BM166">
        <v>20.16</v>
      </c>
      <c r="BN166">
        <v>14.8</v>
      </c>
      <c r="BO166">
        <v>0.01</v>
      </c>
      <c r="BP166">
        <v>34.96</v>
      </c>
      <c r="BQ166">
        <v>23.8</v>
      </c>
      <c r="BR166">
        <v>19.53</v>
      </c>
      <c r="BS166">
        <v>0.01</v>
      </c>
      <c r="BT166">
        <v>43.34</v>
      </c>
      <c r="BU166">
        <v>627999800</v>
      </c>
      <c r="BV166">
        <v>355038200</v>
      </c>
      <c r="BW166">
        <v>96710210</v>
      </c>
      <c r="BX166">
        <v>1461045.1</v>
      </c>
      <c r="BY166">
        <v>0</v>
      </c>
      <c r="BZ166">
        <v>0</v>
      </c>
      <c r="CA166">
        <v>4004932</v>
      </c>
      <c r="CB166">
        <v>0</v>
      </c>
      <c r="CC166">
        <v>0</v>
      </c>
      <c r="CD166">
        <v>19145082</v>
      </c>
      <c r="CE166">
        <v>35787996</v>
      </c>
      <c r="CF166">
        <v>0</v>
      </c>
      <c r="CG166">
        <v>2018774.8</v>
      </c>
      <c r="CH166">
        <v>0</v>
      </c>
      <c r="CI166">
        <v>8513682</v>
      </c>
      <c r="CJ166">
        <v>114267560</v>
      </c>
      <c r="CK166">
        <v>0</v>
      </c>
      <c r="CL166">
        <v>10197425</v>
      </c>
      <c r="CM166">
        <v>0</v>
      </c>
      <c r="CN166">
        <v>307399680</v>
      </c>
      <c r="CO166">
        <v>14373931</v>
      </c>
      <c r="CP166">
        <v>14119501</v>
      </c>
      <c r="CQ166">
        <v>53829.9</v>
      </c>
      <c r="CR166">
        <v>401.5</v>
      </c>
      <c r="CS166">
        <v>0</v>
      </c>
      <c r="CT166">
        <v>5662</v>
      </c>
      <c r="CU166">
        <v>0</v>
      </c>
      <c r="CV166">
        <v>0</v>
      </c>
      <c r="CW166">
        <v>15754.5</v>
      </c>
      <c r="CX166">
        <v>8426</v>
      </c>
      <c r="CY166">
        <v>0</v>
      </c>
      <c r="CZ166">
        <v>32687.599999999999</v>
      </c>
      <c r="DA166">
        <v>0</v>
      </c>
      <c r="DB166">
        <v>4241.1000000000004</v>
      </c>
      <c r="DC166">
        <v>15334.8</v>
      </c>
      <c r="DD166">
        <v>507.6</v>
      </c>
      <c r="DE166">
        <v>6123</v>
      </c>
      <c r="DF166">
        <v>0</v>
      </c>
      <c r="DG166">
        <v>151588.4</v>
      </c>
      <c r="DH166">
        <v>4343.2</v>
      </c>
      <c r="DI166">
        <v>4391.8999999999996</v>
      </c>
      <c r="DJ166">
        <v>299765.09999999998</v>
      </c>
      <c r="DK166">
        <v>61230</v>
      </c>
      <c r="DL166">
        <v>0</v>
      </c>
      <c r="DM16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7E7B-B699-4820-B22B-29B238D2DB0B}">
  <dimension ref="A1:AT489"/>
  <sheetViews>
    <sheetView zoomScale="80" zoomScaleNormal="80" workbookViewId="0">
      <selection activeCell="I6" sqref="I6:V6"/>
    </sheetView>
  </sheetViews>
  <sheetFormatPr defaultRowHeight="14.4" x14ac:dyDescent="0.3"/>
  <cols>
    <col min="1" max="1" width="14.44140625" customWidth="1"/>
    <col min="2" max="2" width="18.6640625" customWidth="1"/>
    <col min="9" max="9" width="22.33203125" customWidth="1"/>
    <col min="10" max="10" width="19" customWidth="1"/>
    <col min="12" max="12" width="23.109375" customWidth="1"/>
    <col min="13" max="13" width="15.6640625" customWidth="1"/>
    <col min="14" max="14" width="15.21875" customWidth="1"/>
    <col min="16" max="16" width="16.44140625" customWidth="1"/>
    <col min="17" max="17" width="17.21875" customWidth="1"/>
    <col min="18" max="18" width="17.5546875" customWidth="1"/>
    <col min="19" max="19" width="18.44140625" customWidth="1"/>
    <col min="20" max="20" width="14.44140625" customWidth="1"/>
    <col min="21" max="21" width="17.109375" customWidth="1"/>
    <col min="22" max="22" width="17.6640625" customWidth="1"/>
  </cols>
  <sheetData>
    <row r="1" spans="1:46" x14ac:dyDescent="0.3">
      <c r="C1" t="s">
        <v>0</v>
      </c>
      <c r="D1" t="s">
        <v>1</v>
      </c>
    </row>
    <row r="2" spans="1:46" x14ac:dyDescent="0.3">
      <c r="C2" t="s">
        <v>6</v>
      </c>
      <c r="D2" t="s">
        <v>7</v>
      </c>
    </row>
    <row r="3" spans="1:46" x14ac:dyDescent="0.3">
      <c r="C3" t="s">
        <v>11</v>
      </c>
    </row>
    <row r="4" spans="1:46" x14ac:dyDescent="0.3">
      <c r="C4" t="s">
        <v>12</v>
      </c>
      <c r="D4" t="s">
        <v>13</v>
      </c>
      <c r="E4" t="s">
        <v>17</v>
      </c>
      <c r="F4" t="s">
        <v>17</v>
      </c>
      <c r="G4" t="s">
        <v>18</v>
      </c>
      <c r="H4" t="s">
        <v>18</v>
      </c>
      <c r="Y4" t="s">
        <v>21</v>
      </c>
      <c r="Z4" t="s">
        <v>21</v>
      </c>
      <c r="AA4" t="s">
        <v>21</v>
      </c>
      <c r="AB4" t="s">
        <v>21</v>
      </c>
      <c r="AC4" t="s">
        <v>21</v>
      </c>
      <c r="AD4" t="s">
        <v>21</v>
      </c>
      <c r="AE4" t="s">
        <v>21</v>
      </c>
      <c r="AF4" t="s">
        <v>21</v>
      </c>
      <c r="AG4" t="s">
        <v>21</v>
      </c>
      <c r="AH4" t="s">
        <v>21</v>
      </c>
      <c r="AI4" t="s">
        <v>21</v>
      </c>
      <c r="AJ4" t="s">
        <v>21</v>
      </c>
      <c r="AK4" t="s">
        <v>21</v>
      </c>
      <c r="AL4" t="s">
        <v>21</v>
      </c>
      <c r="AM4" t="s">
        <v>21</v>
      </c>
      <c r="AN4" t="s">
        <v>21</v>
      </c>
      <c r="AO4" t="s">
        <v>21</v>
      </c>
      <c r="AP4" t="s">
        <v>21</v>
      </c>
      <c r="AQ4" t="s">
        <v>21</v>
      </c>
      <c r="AR4" t="s">
        <v>21</v>
      </c>
      <c r="AS4" t="s">
        <v>21</v>
      </c>
      <c r="AT4" t="s">
        <v>21</v>
      </c>
    </row>
    <row r="5" spans="1:46" x14ac:dyDescent="0.3">
      <c r="C5" t="s">
        <v>25</v>
      </c>
      <c r="D5" t="s">
        <v>25</v>
      </c>
      <c r="E5" t="s">
        <v>31</v>
      </c>
      <c r="F5" t="s">
        <v>31</v>
      </c>
      <c r="G5" t="s">
        <v>32</v>
      </c>
      <c r="H5" t="s">
        <v>32</v>
      </c>
      <c r="Y5" t="s">
        <v>26</v>
      </c>
      <c r="Z5" t="s">
        <v>26</v>
      </c>
      <c r="AA5" t="s">
        <v>26</v>
      </c>
      <c r="AB5" t="s">
        <v>26</v>
      </c>
      <c r="AC5" t="s">
        <v>26</v>
      </c>
      <c r="AD5" t="s">
        <v>26</v>
      </c>
      <c r="AE5" t="s">
        <v>26</v>
      </c>
      <c r="AF5" t="s">
        <v>26</v>
      </c>
      <c r="AG5" t="s">
        <v>26</v>
      </c>
      <c r="AH5" t="s">
        <v>26</v>
      </c>
      <c r="AI5" t="s">
        <v>26</v>
      </c>
      <c r="AJ5" t="s">
        <v>26</v>
      </c>
      <c r="AK5" t="s">
        <v>26</v>
      </c>
      <c r="AL5" t="s">
        <v>26</v>
      </c>
      <c r="AM5" t="s">
        <v>26</v>
      </c>
      <c r="AN5" t="s">
        <v>26</v>
      </c>
      <c r="AO5" t="s">
        <v>26</v>
      </c>
      <c r="AP5" t="s">
        <v>26</v>
      </c>
      <c r="AQ5" t="s">
        <v>26</v>
      </c>
      <c r="AR5" t="s">
        <v>26</v>
      </c>
      <c r="AS5" t="s">
        <v>26</v>
      </c>
      <c r="AT5" t="s">
        <v>26</v>
      </c>
    </row>
    <row r="6" spans="1:46" x14ac:dyDescent="0.3">
      <c r="A6" t="s">
        <v>176</v>
      </c>
      <c r="B6" t="s">
        <v>177</v>
      </c>
      <c r="C6" t="s">
        <v>174</v>
      </c>
      <c r="D6" t="s">
        <v>175</v>
      </c>
      <c r="E6" t="s">
        <v>53</v>
      </c>
      <c r="F6" t="s">
        <v>54</v>
      </c>
      <c r="G6" t="s">
        <v>81</v>
      </c>
      <c r="H6" t="s">
        <v>90</v>
      </c>
      <c r="I6" s="1" t="s">
        <v>180</v>
      </c>
      <c r="J6" s="1" t="s">
        <v>181</v>
      </c>
      <c r="K6" s="1" t="s">
        <v>182</v>
      </c>
      <c r="L6" s="1" t="s">
        <v>183</v>
      </c>
      <c r="M6" s="1" t="s">
        <v>184</v>
      </c>
      <c r="N6" s="1" t="s">
        <v>185</v>
      </c>
      <c r="O6" s="1" t="s">
        <v>186</v>
      </c>
      <c r="P6" s="1" t="s">
        <v>187</v>
      </c>
      <c r="Q6" s="1" t="s">
        <v>188</v>
      </c>
      <c r="R6" s="2" t="s">
        <v>189</v>
      </c>
      <c r="S6" s="2" t="s">
        <v>190</v>
      </c>
      <c r="T6" s="2" t="s">
        <v>191</v>
      </c>
      <c r="U6" s="2" t="s">
        <v>192</v>
      </c>
      <c r="V6" s="2" t="s">
        <v>193</v>
      </c>
      <c r="Y6" t="s">
        <v>109</v>
      </c>
      <c r="Z6" t="s">
        <v>110</v>
      </c>
      <c r="AA6" t="s">
        <v>111</v>
      </c>
      <c r="AB6" t="s">
        <v>112</v>
      </c>
      <c r="AC6" t="s">
        <v>113</v>
      </c>
      <c r="AD6" t="s">
        <v>114</v>
      </c>
      <c r="AE6" t="s">
        <v>115</v>
      </c>
      <c r="AF6" t="s">
        <v>116</v>
      </c>
      <c r="AG6" t="s">
        <v>117</v>
      </c>
      <c r="AH6" t="s">
        <v>118</v>
      </c>
      <c r="AI6" t="s">
        <v>119</v>
      </c>
      <c r="AJ6" t="s">
        <v>120</v>
      </c>
      <c r="AK6" t="s">
        <v>121</v>
      </c>
      <c r="AL6" t="s">
        <v>122</v>
      </c>
      <c r="AM6" t="s">
        <v>123</v>
      </c>
      <c r="AN6" t="s">
        <v>124</v>
      </c>
      <c r="AO6" t="s">
        <v>125</v>
      </c>
      <c r="AP6" t="s">
        <v>126</v>
      </c>
      <c r="AQ6" t="s">
        <v>127</v>
      </c>
      <c r="AR6" t="s">
        <v>128</v>
      </c>
      <c r="AS6" t="s">
        <v>129</v>
      </c>
      <c r="AT6" t="s">
        <v>130</v>
      </c>
    </row>
    <row r="7" spans="1:46" x14ac:dyDescent="0.3">
      <c r="A7" t="s">
        <v>6</v>
      </c>
      <c r="B7" t="s">
        <v>7</v>
      </c>
      <c r="C7" t="s">
        <v>154</v>
      </c>
      <c r="D7">
        <v>2024</v>
      </c>
      <c r="E7">
        <v>0.63</v>
      </c>
      <c r="F7">
        <v>0.62</v>
      </c>
      <c r="G7">
        <v>326.89999999999998</v>
      </c>
      <c r="H7">
        <v>777.1</v>
      </c>
      <c r="I7">
        <f>Cambium22_MidCase_annual_gea!BU7</f>
        <v>185725700</v>
      </c>
      <c r="J7">
        <f>Cambium22_MidCase_annual_gea!BZ7</f>
        <v>0</v>
      </c>
      <c r="K7">
        <f>SUM(Cambium22_MidCase_annual_gea!BX7,Cambium22_MidCase_annual_gea!BY7)</f>
        <v>268082.59999999998</v>
      </c>
      <c r="L7">
        <f>$I7-$J7-$K7</f>
        <v>185457617.40000001</v>
      </c>
      <c r="M7">
        <f>SUM(Cambium22_MidCase_annual_gea!CA7,Cambium22_MidCase_annual_gea!CB7)</f>
        <v>22849070</v>
      </c>
      <c r="N7">
        <f>SUM(Cambium22_MidCase_annual_gea!CE7,Cambium22_MidCase_annual_gea!CF7,Cambium22_MidCase_annual_gea!CG7)</f>
        <v>46188801.100000001</v>
      </c>
      <c r="O7">
        <f>Cambium22_MidCase_annual_gea!CK7</f>
        <v>35759</v>
      </c>
      <c r="P7">
        <f>Cambium22_MidCase_annual_gea!CJ7</f>
        <v>30865014</v>
      </c>
      <c r="Q7">
        <f>SUM([1]Cambium23_allScenarios_annual_b!CF5640,[1]Cambium23_allScenarios_annual_b!CL5640,[1]Cambium23_allScenarios_annual_b!CM5640,[1]Cambium23_allScenarios_annual_b!CQ5640,[1]Cambium23_allScenarios_annual_b!CR5640,[1]Cambium23_allScenarios_annual_b!CU5640,[1]Cambium23_allScenarios_annual_b!CV5640,[1]Cambium23_allScenarios_annual_b!CW5640,[1]Cambium23_allScenarios_annual_b!CX5640,[1]Cambium23_allScenarios_annual_b!CY5640)</f>
        <v>7560222.1000000006</v>
      </c>
      <c r="R7" s="3" t="e">
        <f t="shared" ref="R7:R9" si="0">$K7/$J7</f>
        <v>#DIV/0!</v>
      </c>
      <c r="S7" s="3" t="e">
        <f t="shared" ref="S7:S9" si="1">$L7/$J7</f>
        <v>#DIV/0!</v>
      </c>
      <c r="T7" s="3" t="e">
        <f t="shared" ref="T7:T9" si="2">$M7/$J7</f>
        <v>#DIV/0!</v>
      </c>
      <c r="U7" s="3" t="e">
        <f t="shared" ref="U7:U9" si="3">$N7/$J7</f>
        <v>#DIV/0!</v>
      </c>
      <c r="V7" s="3" t="e">
        <f t="shared" ref="V7:V9" si="4">$O7/$J7</f>
        <v>#DIV/0!</v>
      </c>
      <c r="Y7">
        <v>185725700</v>
      </c>
      <c r="Z7">
        <v>74605900</v>
      </c>
      <c r="AA7">
        <v>1058299.8999999999</v>
      </c>
      <c r="AB7">
        <v>268082.59999999998</v>
      </c>
      <c r="AC7">
        <v>0</v>
      </c>
      <c r="AD7">
        <v>0</v>
      </c>
      <c r="AE7">
        <v>22849070</v>
      </c>
      <c r="AF7">
        <v>0</v>
      </c>
      <c r="AG7">
        <v>610865.5</v>
      </c>
      <c r="AH7">
        <v>4276916</v>
      </c>
      <c r="AI7">
        <v>45641604</v>
      </c>
      <c r="AJ7">
        <v>0</v>
      </c>
      <c r="AK7">
        <v>547197.1</v>
      </c>
      <c r="AL7">
        <v>64042.6</v>
      </c>
      <c r="AM7">
        <v>9500686</v>
      </c>
      <c r="AN7">
        <v>30865014</v>
      </c>
      <c r="AO7">
        <v>35759</v>
      </c>
      <c r="AP7">
        <v>290045.5</v>
      </c>
      <c r="AQ7">
        <v>0</v>
      </c>
      <c r="AR7">
        <v>60049544</v>
      </c>
      <c r="AS7">
        <v>9668579</v>
      </c>
      <c r="AT7">
        <v>0</v>
      </c>
    </row>
    <row r="8" spans="1:46" x14ac:dyDescent="0.3">
      <c r="A8" t="s">
        <v>6</v>
      </c>
      <c r="B8" t="s">
        <v>7</v>
      </c>
      <c r="C8" t="s">
        <v>154</v>
      </c>
      <c r="D8">
        <v>2026</v>
      </c>
      <c r="E8">
        <v>0.69</v>
      </c>
      <c r="F8">
        <v>0.69</v>
      </c>
      <c r="G8">
        <v>193.9</v>
      </c>
      <c r="H8">
        <v>709.7</v>
      </c>
      <c r="I8">
        <f>Cambium22_MidCase_annual_gea!BU8</f>
        <v>192790580</v>
      </c>
      <c r="J8">
        <f>Cambium22_MidCase_annual_gea!BZ8</f>
        <v>0</v>
      </c>
      <c r="K8">
        <f>SUM(Cambium22_MidCase_annual_gea!BX8,Cambium22_MidCase_annual_gea!BY8)</f>
        <v>264561</v>
      </c>
      <c r="L8">
        <f t="shared" ref="L8:L71" si="5">$I8-$J8-$K8</f>
        <v>192526019</v>
      </c>
      <c r="M8">
        <f>SUM(Cambium22_MidCase_annual_gea!CA8,Cambium22_MidCase_annual_gea!CB8)</f>
        <v>21009922</v>
      </c>
      <c r="N8">
        <f>SUM(Cambium22_MidCase_annual_gea!CE8,Cambium22_MidCase_annual_gea!CF8,Cambium22_MidCase_annual_gea!CG8)</f>
        <v>38928884.399999999</v>
      </c>
      <c r="O8">
        <f>Cambium22_MidCase_annual_gea!CK8</f>
        <v>26155.8</v>
      </c>
      <c r="P8">
        <f>Cambium22_MidCase_annual_gea!CJ8</f>
        <v>30392044</v>
      </c>
      <c r="Q8">
        <f>SUM([1]Cambium23_allScenarios_annual_b!CF5641,[1]Cambium23_allScenarios_annual_b!CL5641,[1]Cambium23_allScenarios_annual_b!CM5641,[1]Cambium23_allScenarios_annual_b!CQ5641,[1]Cambium23_allScenarios_annual_b!CR5641,[1]Cambium23_allScenarios_annual_b!CU5641,[1]Cambium23_allScenarios_annual_b!CV5641,[1]Cambium23_allScenarios_annual_b!CW5641,[1]Cambium23_allScenarios_annual_b!CX5641,[1]Cambium23_allScenarios_annual_b!CY5641)</f>
        <v>102249156.39999999</v>
      </c>
      <c r="R8" s="3" t="e">
        <f t="shared" si="0"/>
        <v>#DIV/0!</v>
      </c>
      <c r="S8" s="3" t="e">
        <f t="shared" si="1"/>
        <v>#DIV/0!</v>
      </c>
      <c r="T8" s="3" t="e">
        <f t="shared" si="2"/>
        <v>#DIV/0!</v>
      </c>
      <c r="U8" s="3" t="e">
        <f t="shared" si="3"/>
        <v>#DIV/0!</v>
      </c>
      <c r="V8" s="3" t="e">
        <f t="shared" si="4"/>
        <v>#DIV/0!</v>
      </c>
      <c r="Y8">
        <v>192790580</v>
      </c>
      <c r="Z8">
        <v>87517200</v>
      </c>
      <c r="AA8">
        <v>3477472.5</v>
      </c>
      <c r="AB8">
        <v>264561</v>
      </c>
      <c r="AC8">
        <v>0</v>
      </c>
      <c r="AD8">
        <v>0</v>
      </c>
      <c r="AE8">
        <v>21009922</v>
      </c>
      <c r="AF8">
        <v>0</v>
      </c>
      <c r="AG8">
        <v>608656.19999999995</v>
      </c>
      <c r="AH8">
        <v>5319292.5</v>
      </c>
      <c r="AI8">
        <v>38507870</v>
      </c>
      <c r="AJ8">
        <v>0</v>
      </c>
      <c r="AK8">
        <v>421014.4</v>
      </c>
      <c r="AL8">
        <v>63990.2</v>
      </c>
      <c r="AM8">
        <v>10746645</v>
      </c>
      <c r="AN8">
        <v>30392044</v>
      </c>
      <c r="AO8">
        <v>26155.8</v>
      </c>
      <c r="AP8">
        <v>363703.8</v>
      </c>
      <c r="AQ8">
        <v>0</v>
      </c>
      <c r="AR8">
        <v>70623930</v>
      </c>
      <c r="AS8">
        <v>10965319</v>
      </c>
      <c r="AT8">
        <v>0</v>
      </c>
    </row>
    <row r="9" spans="1:46" x14ac:dyDescent="0.3">
      <c r="A9" t="s">
        <v>6</v>
      </c>
      <c r="B9" t="s">
        <v>7</v>
      </c>
      <c r="C9" t="s">
        <v>154</v>
      </c>
      <c r="D9">
        <v>2028</v>
      </c>
      <c r="E9">
        <v>0.8</v>
      </c>
      <c r="F9">
        <v>0.8</v>
      </c>
      <c r="G9">
        <v>130.5</v>
      </c>
      <c r="H9">
        <v>576.4</v>
      </c>
      <c r="I9">
        <f>Cambium22_MidCase_annual_gea!BU9</f>
        <v>193906060</v>
      </c>
      <c r="J9">
        <f>Cambium22_MidCase_annual_gea!BZ9</f>
        <v>0</v>
      </c>
      <c r="K9">
        <f>SUM(Cambium22_MidCase_annual_gea!BX9,Cambium22_MidCase_annual_gea!BY9)</f>
        <v>255561.7</v>
      </c>
      <c r="L9">
        <f t="shared" si="5"/>
        <v>193650498.30000001</v>
      </c>
      <c r="M9">
        <f>SUM(Cambium22_MidCase_annual_gea!CA9,Cambium22_MidCase_annual_gea!CB9)</f>
        <v>14483350</v>
      </c>
      <c r="N9">
        <f>SUM(Cambium22_MidCase_annual_gea!CE9,Cambium22_MidCase_annual_gea!CF9,Cambium22_MidCase_annual_gea!CG9)</f>
        <v>25156486.800000001</v>
      </c>
      <c r="O9">
        <f>Cambium22_MidCase_annual_gea!CK9</f>
        <v>19751.400000000001</v>
      </c>
      <c r="P9">
        <f>Cambium22_MidCase_annual_gea!CJ9</f>
        <v>29352388</v>
      </c>
      <c r="Q9">
        <f>SUM([1]Cambium23_allScenarios_annual_b!CF5642,[1]Cambium23_allScenarios_annual_b!CL5642,[1]Cambium23_allScenarios_annual_b!CM5642,[1]Cambium23_allScenarios_annual_b!CQ5642,[1]Cambium23_allScenarios_annual_b!CR5642,[1]Cambium23_allScenarios_annual_b!CU5642,[1]Cambium23_allScenarios_annual_b!CV5642,[1]Cambium23_allScenarios_annual_b!CW5642,[1]Cambium23_allScenarios_annual_b!CX5642,[1]Cambium23_allScenarios_annual_b!CY5642)</f>
        <v>97658180.200000003</v>
      </c>
      <c r="R9" s="3" t="e">
        <f t="shared" si="0"/>
        <v>#DIV/0!</v>
      </c>
      <c r="S9" s="3" t="e">
        <f t="shared" si="1"/>
        <v>#DIV/0!</v>
      </c>
      <c r="T9" s="3" t="e">
        <f t="shared" si="2"/>
        <v>#DIV/0!</v>
      </c>
      <c r="U9" s="3" t="e">
        <f t="shared" si="3"/>
        <v>#DIV/0!</v>
      </c>
      <c r="V9" s="3" t="e">
        <f t="shared" si="4"/>
        <v>#DIV/0!</v>
      </c>
      <c r="Y9">
        <v>193906060</v>
      </c>
      <c r="Z9">
        <v>108173544</v>
      </c>
      <c r="AA9">
        <v>5395934.5</v>
      </c>
      <c r="AB9">
        <v>255561.7</v>
      </c>
      <c r="AC9">
        <v>0</v>
      </c>
      <c r="AD9">
        <v>0</v>
      </c>
      <c r="AE9">
        <v>14483350</v>
      </c>
      <c r="AF9">
        <v>0</v>
      </c>
      <c r="AG9">
        <v>556958.6</v>
      </c>
      <c r="AH9">
        <v>6520668.5</v>
      </c>
      <c r="AI9">
        <v>24957266</v>
      </c>
      <c r="AJ9">
        <v>0</v>
      </c>
      <c r="AK9">
        <v>199220.8</v>
      </c>
      <c r="AL9">
        <v>62781.2</v>
      </c>
      <c r="AM9">
        <v>10590049</v>
      </c>
      <c r="AN9">
        <v>29352388</v>
      </c>
      <c r="AO9">
        <v>19751.400000000001</v>
      </c>
      <c r="AP9">
        <v>416224.2</v>
      </c>
      <c r="AQ9">
        <v>0</v>
      </c>
      <c r="AR9">
        <v>81877870</v>
      </c>
      <c r="AS9">
        <v>19218034</v>
      </c>
      <c r="AT9">
        <v>0</v>
      </c>
    </row>
    <row r="10" spans="1:46" x14ac:dyDescent="0.3">
      <c r="A10" t="s">
        <v>6</v>
      </c>
      <c r="B10" t="s">
        <v>7</v>
      </c>
      <c r="C10" t="s">
        <v>154</v>
      </c>
      <c r="D10">
        <v>2030</v>
      </c>
      <c r="E10">
        <v>0.84</v>
      </c>
      <c r="F10">
        <v>0.84</v>
      </c>
      <c r="G10">
        <v>103.7</v>
      </c>
      <c r="H10">
        <v>486.7</v>
      </c>
      <c r="I10">
        <f>Cambium22_MidCase_annual_gea!BU10</f>
        <v>193562020</v>
      </c>
      <c r="J10">
        <f>Cambium22_MidCase_annual_gea!BZ10</f>
        <v>0</v>
      </c>
      <c r="K10">
        <f>SUM(Cambium22_MidCase_annual_gea!BX10,Cambium22_MidCase_annual_gea!BY10)</f>
        <v>248627.6</v>
      </c>
      <c r="L10">
        <f t="shared" si="5"/>
        <v>193313392.40000001</v>
      </c>
      <c r="M10">
        <f>SUM(Cambium22_MidCase_annual_gea!CA10,Cambium22_MidCase_annual_gea!CB10)</f>
        <v>13433882</v>
      </c>
      <c r="N10">
        <f>SUM(Cambium22_MidCase_annual_gea!CE10,Cambium22_MidCase_annual_gea!CF10,Cambium22_MidCase_annual_gea!CG10)</f>
        <v>18404394.399999999</v>
      </c>
      <c r="O10">
        <f>Cambium22_MidCase_annual_gea!CK10</f>
        <v>2684.8</v>
      </c>
      <c r="P10">
        <f>Cambium22_MidCase_annual_gea!CJ10</f>
        <v>28571094</v>
      </c>
      <c r="Y10">
        <v>193562020</v>
      </c>
      <c r="Z10">
        <v>113367950</v>
      </c>
      <c r="AA10">
        <v>8528383</v>
      </c>
      <c r="AB10">
        <v>248627.6</v>
      </c>
      <c r="AC10">
        <v>0</v>
      </c>
      <c r="AD10">
        <v>0</v>
      </c>
      <c r="AE10">
        <v>13433882</v>
      </c>
      <c r="AF10">
        <v>0</v>
      </c>
      <c r="AG10">
        <v>441317.3</v>
      </c>
      <c r="AH10">
        <v>7608230.5</v>
      </c>
      <c r="AI10">
        <v>18266398</v>
      </c>
      <c r="AJ10">
        <v>0</v>
      </c>
      <c r="AK10">
        <v>137996.4</v>
      </c>
      <c r="AL10">
        <v>61267.8</v>
      </c>
      <c r="AM10">
        <v>10472780</v>
      </c>
      <c r="AN10">
        <v>28571094</v>
      </c>
      <c r="AO10">
        <v>2684.8</v>
      </c>
      <c r="AP10">
        <v>470947.8</v>
      </c>
      <c r="AQ10">
        <v>0</v>
      </c>
      <c r="AR10">
        <v>82395040</v>
      </c>
      <c r="AS10">
        <v>22923364</v>
      </c>
      <c r="AT10">
        <v>0</v>
      </c>
    </row>
    <row r="11" spans="1:46" x14ac:dyDescent="0.3">
      <c r="A11" t="s">
        <v>6</v>
      </c>
      <c r="B11" t="s">
        <v>7</v>
      </c>
      <c r="C11" t="s">
        <v>154</v>
      </c>
      <c r="D11">
        <v>2035</v>
      </c>
      <c r="E11">
        <v>0.89</v>
      </c>
      <c r="F11">
        <v>0.89</v>
      </c>
      <c r="G11">
        <v>149.4</v>
      </c>
      <c r="H11">
        <v>398.4</v>
      </c>
      <c r="I11">
        <f>Cambium22_MidCase_annual_gea!BU11</f>
        <v>210627860</v>
      </c>
      <c r="J11">
        <f>Cambium22_MidCase_annual_gea!BZ11</f>
        <v>0</v>
      </c>
      <c r="K11">
        <f>SUM(Cambium22_MidCase_annual_gea!BX11,Cambium22_MidCase_annual_gea!BY11)</f>
        <v>225081.4</v>
      </c>
      <c r="L11">
        <f t="shared" si="5"/>
        <v>210402778.59999999</v>
      </c>
      <c r="M11">
        <f>SUM(Cambium22_MidCase_annual_gea!CA11,Cambium22_MidCase_annual_gea!CB11)</f>
        <v>8231337.5</v>
      </c>
      <c r="N11">
        <f>SUM(Cambium22_MidCase_annual_gea!CE11,Cambium22_MidCase_annual_gea!CF11,Cambium22_MidCase_annual_gea!CG11)</f>
        <v>14217323.4</v>
      </c>
      <c r="O11">
        <f>Cambium22_MidCase_annual_gea!CK11</f>
        <v>4222.1000000000004</v>
      </c>
      <c r="P11">
        <f>Cambium22_MidCase_annual_gea!CJ11</f>
        <v>27536908</v>
      </c>
      <c r="Y11">
        <v>210627860</v>
      </c>
      <c r="Z11">
        <v>128952530</v>
      </c>
      <c r="AA11">
        <v>20532598</v>
      </c>
      <c r="AB11">
        <v>225081.4</v>
      </c>
      <c r="AC11">
        <v>0</v>
      </c>
      <c r="AD11">
        <v>0</v>
      </c>
      <c r="AE11">
        <v>8231337.5</v>
      </c>
      <c r="AF11">
        <v>0</v>
      </c>
      <c r="AG11">
        <v>378828.1</v>
      </c>
      <c r="AH11">
        <v>8916487</v>
      </c>
      <c r="AI11">
        <v>14103992</v>
      </c>
      <c r="AJ11">
        <v>0</v>
      </c>
      <c r="AK11">
        <v>113331.4</v>
      </c>
      <c r="AL11">
        <v>60463.1</v>
      </c>
      <c r="AM11">
        <v>10419592</v>
      </c>
      <c r="AN11">
        <v>27536908</v>
      </c>
      <c r="AO11">
        <v>4222.1000000000004</v>
      </c>
      <c r="AP11">
        <v>447807</v>
      </c>
      <c r="AQ11">
        <v>0</v>
      </c>
      <c r="AR11">
        <v>96125930</v>
      </c>
      <c r="AS11">
        <v>23531278</v>
      </c>
      <c r="AT11">
        <v>0</v>
      </c>
    </row>
    <row r="12" spans="1:46" x14ac:dyDescent="0.3">
      <c r="A12" t="s">
        <v>6</v>
      </c>
      <c r="B12" t="s">
        <v>7</v>
      </c>
      <c r="C12" t="s">
        <v>154</v>
      </c>
      <c r="D12">
        <v>2040</v>
      </c>
      <c r="E12">
        <v>0.94</v>
      </c>
      <c r="F12">
        <v>0.93</v>
      </c>
      <c r="G12">
        <v>190.5</v>
      </c>
      <c r="H12">
        <v>357.2</v>
      </c>
      <c r="I12">
        <f>Cambium22_MidCase_annual_gea!BU12</f>
        <v>241941730</v>
      </c>
      <c r="J12">
        <f>Cambium22_MidCase_annual_gea!BZ12</f>
        <v>0</v>
      </c>
      <c r="K12">
        <f>SUM(Cambium22_MidCase_annual_gea!BX12,Cambium22_MidCase_annual_gea!BY12)</f>
        <v>218856.6</v>
      </c>
      <c r="L12">
        <f t="shared" si="5"/>
        <v>241722873.40000001</v>
      </c>
      <c r="M12">
        <f>SUM(Cambium22_MidCase_annual_gea!CA12,Cambium22_MidCase_annual_gea!CB12)</f>
        <v>6037824</v>
      </c>
      <c r="N12">
        <f>SUM(Cambium22_MidCase_annual_gea!CE12,Cambium22_MidCase_annual_gea!CF12,Cambium22_MidCase_annual_gea!CG12)</f>
        <v>9593444.8000000007</v>
      </c>
      <c r="O12">
        <f>Cambium22_MidCase_annual_gea!CK12</f>
        <v>535.6</v>
      </c>
      <c r="P12">
        <f>Cambium22_MidCase_annual_gea!CJ12</f>
        <v>26945542</v>
      </c>
      <c r="Y12">
        <v>241941730</v>
      </c>
      <c r="Z12">
        <v>154730400</v>
      </c>
      <c r="AA12">
        <v>33760680</v>
      </c>
      <c r="AB12">
        <v>218856.6</v>
      </c>
      <c r="AC12">
        <v>0</v>
      </c>
      <c r="AD12">
        <v>0</v>
      </c>
      <c r="AE12">
        <v>6037824</v>
      </c>
      <c r="AF12">
        <v>0</v>
      </c>
      <c r="AG12">
        <v>368334.2</v>
      </c>
      <c r="AH12">
        <v>8922198</v>
      </c>
      <c r="AI12">
        <v>9530107</v>
      </c>
      <c r="AJ12">
        <v>0</v>
      </c>
      <c r="AK12">
        <v>63337.8</v>
      </c>
      <c r="AL12">
        <v>60463.5</v>
      </c>
      <c r="AM12">
        <v>10166571</v>
      </c>
      <c r="AN12">
        <v>26945542</v>
      </c>
      <c r="AO12">
        <v>535.6</v>
      </c>
      <c r="AP12">
        <v>427417.8</v>
      </c>
      <c r="AQ12">
        <v>0</v>
      </c>
      <c r="AR12">
        <v>114344270</v>
      </c>
      <c r="AS12">
        <v>31095594</v>
      </c>
      <c r="AT12">
        <v>0</v>
      </c>
    </row>
    <row r="13" spans="1:46" x14ac:dyDescent="0.3">
      <c r="A13" t="s">
        <v>6</v>
      </c>
      <c r="B13" t="s">
        <v>7</v>
      </c>
      <c r="C13" t="s">
        <v>154</v>
      </c>
      <c r="D13">
        <v>2045</v>
      </c>
      <c r="E13">
        <v>0.95</v>
      </c>
      <c r="F13">
        <v>0.95</v>
      </c>
      <c r="G13">
        <v>189.5</v>
      </c>
      <c r="H13">
        <v>261.5</v>
      </c>
      <c r="I13">
        <f>Cambium22_MidCase_annual_gea!BU13</f>
        <v>264769330</v>
      </c>
      <c r="J13">
        <f>Cambium22_MidCase_annual_gea!BZ13</f>
        <v>0</v>
      </c>
      <c r="K13">
        <f>SUM(Cambium22_MidCase_annual_gea!BX13,Cambium22_MidCase_annual_gea!BY13)</f>
        <v>211938</v>
      </c>
      <c r="L13">
        <f t="shared" si="5"/>
        <v>264557392</v>
      </c>
      <c r="M13">
        <f>SUM(Cambium22_MidCase_annual_gea!CA13,Cambium22_MidCase_annual_gea!CB13)</f>
        <v>5122842.5</v>
      </c>
      <c r="N13">
        <f>SUM(Cambium22_MidCase_annual_gea!CE13,Cambium22_MidCase_annual_gea!CF13,Cambium22_MidCase_annual_gea!CG13)</f>
        <v>7331817.9000000004</v>
      </c>
      <c r="O13">
        <f>Cambium22_MidCase_annual_gea!CK13</f>
        <v>107.1</v>
      </c>
      <c r="P13">
        <f>Cambium22_MidCase_annual_gea!CJ13</f>
        <v>26072742</v>
      </c>
      <c r="Y13">
        <v>264769330</v>
      </c>
      <c r="Z13">
        <v>171053340</v>
      </c>
      <c r="AA13">
        <v>44897732</v>
      </c>
      <c r="AB13">
        <v>211938</v>
      </c>
      <c r="AC13">
        <v>0</v>
      </c>
      <c r="AD13">
        <v>0</v>
      </c>
      <c r="AE13">
        <v>5122842.5</v>
      </c>
      <c r="AF13">
        <v>0</v>
      </c>
      <c r="AG13">
        <v>0</v>
      </c>
      <c r="AH13">
        <v>8252094.5</v>
      </c>
      <c r="AI13">
        <v>7293065.5</v>
      </c>
      <c r="AJ13">
        <v>0</v>
      </c>
      <c r="AK13">
        <v>38752.400000000001</v>
      </c>
      <c r="AL13">
        <v>48722</v>
      </c>
      <c r="AM13">
        <v>9580631</v>
      </c>
      <c r="AN13">
        <v>26072742</v>
      </c>
      <c r="AO13">
        <v>107.1</v>
      </c>
      <c r="AP13">
        <v>449454</v>
      </c>
      <c r="AQ13">
        <v>0</v>
      </c>
      <c r="AR13">
        <v>132639150</v>
      </c>
      <c r="AS13">
        <v>30162106</v>
      </c>
      <c r="AT13">
        <v>0</v>
      </c>
    </row>
    <row r="14" spans="1:46" x14ac:dyDescent="0.3">
      <c r="A14" t="s">
        <v>6</v>
      </c>
      <c r="B14" t="s">
        <v>7</v>
      </c>
      <c r="C14" t="s">
        <v>154</v>
      </c>
      <c r="D14">
        <v>2050</v>
      </c>
      <c r="E14">
        <v>0.94</v>
      </c>
      <c r="F14">
        <v>0.95</v>
      </c>
      <c r="G14">
        <v>191.9</v>
      </c>
      <c r="H14">
        <v>247.7</v>
      </c>
      <c r="I14">
        <f>Cambium22_MidCase_annual_gea!BU14</f>
        <v>271038600</v>
      </c>
      <c r="J14">
        <f>Cambium22_MidCase_annual_gea!BZ14</f>
        <v>0</v>
      </c>
      <c r="K14">
        <f>SUM(Cambium22_MidCase_annual_gea!BX14,Cambium22_MidCase_annual_gea!BY14)</f>
        <v>193587.6</v>
      </c>
      <c r="L14">
        <f t="shared" si="5"/>
        <v>270845012.39999998</v>
      </c>
      <c r="M14">
        <f>SUM(Cambium22_MidCase_annual_gea!CA14,Cambium22_MidCase_annual_gea!CB14)</f>
        <v>5555184</v>
      </c>
      <c r="N14">
        <f>SUM(Cambium22_MidCase_annual_gea!CE14,Cambium22_MidCase_annual_gea!CF14,Cambium22_MidCase_annual_gea!CG14)</f>
        <v>9508577.5</v>
      </c>
      <c r="O14">
        <f>Cambium22_MidCase_annual_gea!CK14</f>
        <v>142.80000000000001</v>
      </c>
      <c r="P14">
        <f>Cambium22_MidCase_annual_gea!CJ14</f>
        <v>26040922</v>
      </c>
      <c r="Y14">
        <v>271038600</v>
      </c>
      <c r="Z14">
        <v>175808600</v>
      </c>
      <c r="AA14">
        <v>43643510</v>
      </c>
      <c r="AB14">
        <v>193587.6</v>
      </c>
      <c r="AC14">
        <v>0</v>
      </c>
      <c r="AD14">
        <v>0</v>
      </c>
      <c r="AE14">
        <v>5555184</v>
      </c>
      <c r="AF14">
        <v>0</v>
      </c>
      <c r="AG14">
        <v>0</v>
      </c>
      <c r="AH14">
        <v>8400748</v>
      </c>
      <c r="AI14">
        <v>9447664</v>
      </c>
      <c r="AJ14">
        <v>0</v>
      </c>
      <c r="AK14">
        <v>60913.5</v>
      </c>
      <c r="AL14">
        <v>0</v>
      </c>
      <c r="AM14">
        <v>9805172</v>
      </c>
      <c r="AN14">
        <v>26040922</v>
      </c>
      <c r="AO14">
        <v>142.80000000000001</v>
      </c>
      <c r="AP14">
        <v>482890.2</v>
      </c>
      <c r="AQ14">
        <v>0</v>
      </c>
      <c r="AR14">
        <v>137592000</v>
      </c>
      <c r="AS14">
        <v>29815860</v>
      </c>
      <c r="AT14">
        <v>0</v>
      </c>
    </row>
    <row r="15" spans="1:46" x14ac:dyDescent="0.3">
      <c r="A15" t="s">
        <v>6</v>
      </c>
      <c r="B15" t="s">
        <v>7</v>
      </c>
      <c r="C15" t="s">
        <v>155</v>
      </c>
      <c r="D15">
        <v>2024</v>
      </c>
      <c r="E15">
        <v>0.71</v>
      </c>
      <c r="F15">
        <v>0.69</v>
      </c>
      <c r="G15">
        <v>207.5</v>
      </c>
      <c r="H15">
        <v>754.3</v>
      </c>
      <c r="I15">
        <f>Cambium22_MidCase_annual_gea!BU15</f>
        <v>246363440</v>
      </c>
      <c r="J15">
        <f>Cambium22_MidCase_annual_gea!BZ15</f>
        <v>0</v>
      </c>
      <c r="K15">
        <f>SUM(Cambium22_MidCase_annual_gea!BX15,Cambium22_MidCase_annual_gea!BY15)</f>
        <v>5366078</v>
      </c>
      <c r="L15">
        <f t="shared" si="5"/>
        <v>240997362</v>
      </c>
      <c r="M15">
        <f>SUM(Cambium22_MidCase_annual_gea!CA15,Cambium22_MidCase_annual_gea!CB15)</f>
        <v>0</v>
      </c>
      <c r="N15">
        <f>SUM(Cambium22_MidCase_annual_gea!CE15,Cambium22_MidCase_annual_gea!CF15,Cambium22_MidCase_annual_gea!CG15)</f>
        <v>70979337</v>
      </c>
      <c r="O15">
        <f>Cambium22_MidCase_annual_gea!CK15</f>
        <v>9997.6</v>
      </c>
      <c r="P15">
        <f>Cambium22_MidCase_annual_gea!CJ15</f>
        <v>17623994</v>
      </c>
      <c r="Y15">
        <v>246363440</v>
      </c>
      <c r="Z15">
        <v>91679410</v>
      </c>
      <c r="AA15">
        <v>4226390.5</v>
      </c>
      <c r="AB15">
        <v>5366078</v>
      </c>
      <c r="AC15">
        <v>0</v>
      </c>
      <c r="AD15">
        <v>0</v>
      </c>
      <c r="AE15">
        <v>0</v>
      </c>
      <c r="AF15">
        <v>0</v>
      </c>
      <c r="AG15">
        <v>1918365</v>
      </c>
      <c r="AH15">
        <v>21138596</v>
      </c>
      <c r="AI15">
        <v>70561864</v>
      </c>
      <c r="AJ15">
        <v>0</v>
      </c>
      <c r="AK15">
        <v>417473</v>
      </c>
      <c r="AL15">
        <v>23130482</v>
      </c>
      <c r="AM15">
        <v>27932236</v>
      </c>
      <c r="AN15">
        <v>17623994</v>
      </c>
      <c r="AO15">
        <v>9997.6</v>
      </c>
      <c r="AP15">
        <v>5415509</v>
      </c>
      <c r="AQ15">
        <v>0</v>
      </c>
      <c r="AR15">
        <v>53870304</v>
      </c>
      <c r="AS15">
        <v>14752144</v>
      </c>
      <c r="AT15">
        <v>0</v>
      </c>
    </row>
    <row r="16" spans="1:46" x14ac:dyDescent="0.3">
      <c r="A16" t="s">
        <v>6</v>
      </c>
      <c r="B16" t="s">
        <v>7</v>
      </c>
      <c r="C16" t="s">
        <v>155</v>
      </c>
      <c r="D16">
        <v>2026</v>
      </c>
      <c r="E16">
        <v>0.74</v>
      </c>
      <c r="F16">
        <v>0.73</v>
      </c>
      <c r="G16">
        <v>118.9</v>
      </c>
      <c r="H16">
        <v>694.9</v>
      </c>
      <c r="I16">
        <f>Cambium22_MidCase_annual_gea!BU16</f>
        <v>242446260</v>
      </c>
      <c r="J16">
        <f>Cambium22_MidCase_annual_gea!BZ16</f>
        <v>0</v>
      </c>
      <c r="K16">
        <f>SUM(Cambium22_MidCase_annual_gea!BX16,Cambium22_MidCase_annual_gea!BY16)</f>
        <v>5289804.5</v>
      </c>
      <c r="L16">
        <f t="shared" si="5"/>
        <v>237156455.5</v>
      </c>
      <c r="M16">
        <f>SUM(Cambium22_MidCase_annual_gea!CA16,Cambium22_MidCase_annual_gea!CB16)</f>
        <v>0</v>
      </c>
      <c r="N16">
        <f>SUM(Cambium22_MidCase_annual_gea!CE16,Cambium22_MidCase_annual_gea!CF16,Cambium22_MidCase_annual_gea!CG16)</f>
        <v>62609311.899999999</v>
      </c>
      <c r="O16">
        <f>Cambium22_MidCase_annual_gea!CK16</f>
        <v>7732.7</v>
      </c>
      <c r="P16">
        <f>Cambium22_MidCase_annual_gea!CJ16</f>
        <v>17396206</v>
      </c>
      <c r="Y16">
        <v>242446260</v>
      </c>
      <c r="Z16">
        <v>95106984</v>
      </c>
      <c r="AA16">
        <v>4705290.5</v>
      </c>
      <c r="AB16">
        <v>5289804.5</v>
      </c>
      <c r="AC16">
        <v>0</v>
      </c>
      <c r="AD16">
        <v>0</v>
      </c>
      <c r="AE16">
        <v>0</v>
      </c>
      <c r="AF16">
        <v>0</v>
      </c>
      <c r="AG16">
        <v>1916708.4</v>
      </c>
      <c r="AH16">
        <v>24547802</v>
      </c>
      <c r="AI16">
        <v>62213364</v>
      </c>
      <c r="AJ16">
        <v>0</v>
      </c>
      <c r="AK16">
        <v>395947.9</v>
      </c>
      <c r="AL16">
        <v>23130482</v>
      </c>
      <c r="AM16">
        <v>28328100</v>
      </c>
      <c r="AN16">
        <v>17396206</v>
      </c>
      <c r="AO16">
        <v>7732.7</v>
      </c>
      <c r="AP16">
        <v>5872349</v>
      </c>
      <c r="AQ16">
        <v>0</v>
      </c>
      <c r="AR16">
        <v>53953190</v>
      </c>
      <c r="AS16">
        <v>14689280</v>
      </c>
      <c r="AT16">
        <v>0</v>
      </c>
    </row>
    <row r="17" spans="1:46" x14ac:dyDescent="0.3">
      <c r="A17" t="s">
        <v>6</v>
      </c>
      <c r="B17" t="s">
        <v>7</v>
      </c>
      <c r="C17" t="s">
        <v>155</v>
      </c>
      <c r="D17">
        <v>2028</v>
      </c>
      <c r="E17">
        <v>0.82</v>
      </c>
      <c r="F17">
        <v>0.81</v>
      </c>
      <c r="G17">
        <v>62.8</v>
      </c>
      <c r="H17">
        <v>590.4</v>
      </c>
      <c r="I17">
        <f>Cambium22_MidCase_annual_gea!BU17</f>
        <v>247660240</v>
      </c>
      <c r="J17">
        <f>Cambium22_MidCase_annual_gea!BZ17</f>
        <v>0</v>
      </c>
      <c r="K17">
        <f>SUM(Cambium22_MidCase_annual_gea!BX17,Cambium22_MidCase_annual_gea!BY17)</f>
        <v>5138186.5</v>
      </c>
      <c r="L17">
        <f t="shared" si="5"/>
        <v>242522053.5</v>
      </c>
      <c r="M17">
        <f>SUM(Cambium22_MidCase_annual_gea!CA17,Cambium22_MidCase_annual_gea!CB17)</f>
        <v>0</v>
      </c>
      <c r="N17">
        <f>SUM(Cambium22_MidCase_annual_gea!CE17,Cambium22_MidCase_annual_gea!CF17,Cambium22_MidCase_annual_gea!CG17)</f>
        <v>44207507</v>
      </c>
      <c r="O17">
        <f>Cambium22_MidCase_annual_gea!CK17</f>
        <v>5966.6</v>
      </c>
      <c r="P17">
        <f>Cambium22_MidCase_annual_gea!CJ17</f>
        <v>16964816</v>
      </c>
      <c r="Y17">
        <v>247660240</v>
      </c>
      <c r="Z17">
        <v>113554160</v>
      </c>
      <c r="AA17">
        <v>8787496</v>
      </c>
      <c r="AB17">
        <v>5138186.5</v>
      </c>
      <c r="AC17">
        <v>0</v>
      </c>
      <c r="AD17">
        <v>0</v>
      </c>
      <c r="AE17">
        <v>0</v>
      </c>
      <c r="AF17">
        <v>0</v>
      </c>
      <c r="AG17">
        <v>1926788.4</v>
      </c>
      <c r="AH17">
        <v>28361828</v>
      </c>
      <c r="AI17">
        <v>43784080</v>
      </c>
      <c r="AJ17">
        <v>0</v>
      </c>
      <c r="AK17">
        <v>423427</v>
      </c>
      <c r="AL17">
        <v>24373016</v>
      </c>
      <c r="AM17">
        <v>27678868</v>
      </c>
      <c r="AN17">
        <v>16964816</v>
      </c>
      <c r="AO17">
        <v>5966.6</v>
      </c>
      <c r="AP17">
        <v>6950205</v>
      </c>
      <c r="AQ17">
        <v>0</v>
      </c>
      <c r="AR17">
        <v>66869516</v>
      </c>
      <c r="AS17">
        <v>14606058</v>
      </c>
      <c r="AT17">
        <v>1789975.4</v>
      </c>
    </row>
    <row r="18" spans="1:46" x14ac:dyDescent="0.3">
      <c r="A18" t="s">
        <v>6</v>
      </c>
      <c r="B18" t="s">
        <v>7</v>
      </c>
      <c r="C18" t="s">
        <v>155</v>
      </c>
      <c r="D18">
        <v>2030</v>
      </c>
      <c r="E18">
        <v>0.89</v>
      </c>
      <c r="F18">
        <v>0.86</v>
      </c>
      <c r="G18">
        <v>39.9</v>
      </c>
      <c r="H18">
        <v>494.5</v>
      </c>
      <c r="I18">
        <f>Cambium22_MidCase_annual_gea!BU18</f>
        <v>286100320</v>
      </c>
      <c r="J18">
        <f>Cambium22_MidCase_annual_gea!BZ18</f>
        <v>0</v>
      </c>
      <c r="K18">
        <f>SUM(Cambium22_MidCase_annual_gea!BX18,Cambium22_MidCase_annual_gea!BY18)</f>
        <v>4815912.5</v>
      </c>
      <c r="L18">
        <f t="shared" si="5"/>
        <v>281284407.5</v>
      </c>
      <c r="M18">
        <f>SUM(Cambium22_MidCase_annual_gea!CA18,Cambium22_MidCase_annual_gea!CB18)</f>
        <v>0</v>
      </c>
      <c r="N18">
        <f>SUM(Cambium22_MidCase_annual_gea!CE18,Cambium22_MidCase_annual_gea!CF18,Cambium22_MidCase_annual_gea!CG18)</f>
        <v>32582443</v>
      </c>
      <c r="O18">
        <f>Cambium22_MidCase_annual_gea!CK18</f>
        <v>4614.1000000000004</v>
      </c>
      <c r="P18">
        <f>Cambium22_MidCase_annual_gea!CJ18</f>
        <v>0</v>
      </c>
      <c r="Y18">
        <v>286100320</v>
      </c>
      <c r="Z18">
        <v>166772110</v>
      </c>
      <c r="AA18">
        <v>18685536</v>
      </c>
      <c r="AB18">
        <v>4815912.5</v>
      </c>
      <c r="AC18">
        <v>0</v>
      </c>
      <c r="AD18">
        <v>0</v>
      </c>
      <c r="AE18">
        <v>0</v>
      </c>
      <c r="AF18">
        <v>0</v>
      </c>
      <c r="AG18">
        <v>1859431.8</v>
      </c>
      <c r="AH18">
        <v>32213684</v>
      </c>
      <c r="AI18">
        <v>32232058</v>
      </c>
      <c r="AJ18">
        <v>0</v>
      </c>
      <c r="AK18">
        <v>350385</v>
      </c>
      <c r="AL18">
        <v>24345480</v>
      </c>
      <c r="AM18">
        <v>26768320</v>
      </c>
      <c r="AN18">
        <v>0</v>
      </c>
      <c r="AO18">
        <v>4614.1000000000004</v>
      </c>
      <c r="AP18">
        <v>12125892</v>
      </c>
      <c r="AQ18">
        <v>0</v>
      </c>
      <c r="AR18">
        <v>110645890</v>
      </c>
      <c r="AS18">
        <v>14813338</v>
      </c>
      <c r="AT18">
        <v>7239773</v>
      </c>
    </row>
    <row r="19" spans="1:46" x14ac:dyDescent="0.3">
      <c r="A19" t="s">
        <v>6</v>
      </c>
      <c r="B19" t="s">
        <v>7</v>
      </c>
      <c r="C19" t="s">
        <v>155</v>
      </c>
      <c r="D19">
        <v>2035</v>
      </c>
      <c r="E19">
        <v>0.93</v>
      </c>
      <c r="F19">
        <v>0.92</v>
      </c>
      <c r="G19">
        <v>42.5</v>
      </c>
      <c r="H19">
        <v>409.2</v>
      </c>
      <c r="I19">
        <f>Cambium22_MidCase_annual_gea!BU19</f>
        <v>351632860</v>
      </c>
      <c r="J19">
        <f>Cambium22_MidCase_annual_gea!BZ19</f>
        <v>0</v>
      </c>
      <c r="K19">
        <f>SUM(Cambium22_MidCase_annual_gea!BX19,Cambium22_MidCase_annual_gea!BY19)</f>
        <v>1867576</v>
      </c>
      <c r="L19">
        <f t="shared" si="5"/>
        <v>349765284</v>
      </c>
      <c r="M19">
        <f>SUM(Cambium22_MidCase_annual_gea!CA19,Cambium22_MidCase_annual_gea!CB19)</f>
        <v>0</v>
      </c>
      <c r="N19">
        <f>SUM(Cambium22_MidCase_annual_gea!CE19,Cambium22_MidCase_annual_gea!CF19,Cambium22_MidCase_annual_gea!CG19)</f>
        <v>24278327</v>
      </c>
      <c r="O19">
        <f>Cambium22_MidCase_annual_gea!CK19</f>
        <v>7656.3</v>
      </c>
      <c r="P19">
        <f>Cambium22_MidCase_annual_gea!CJ19</f>
        <v>0</v>
      </c>
      <c r="Y19">
        <v>351632860</v>
      </c>
      <c r="Z19">
        <v>225814560</v>
      </c>
      <c r="AA19">
        <v>28511484</v>
      </c>
      <c r="AB19">
        <v>1867576</v>
      </c>
      <c r="AC19">
        <v>0</v>
      </c>
      <c r="AD19">
        <v>0</v>
      </c>
      <c r="AE19">
        <v>0</v>
      </c>
      <c r="AF19">
        <v>0</v>
      </c>
      <c r="AG19">
        <v>1660649.2</v>
      </c>
      <c r="AH19">
        <v>37491212</v>
      </c>
      <c r="AI19">
        <v>24006908</v>
      </c>
      <c r="AJ19">
        <v>0</v>
      </c>
      <c r="AK19">
        <v>271419</v>
      </c>
      <c r="AL19">
        <v>24158948</v>
      </c>
      <c r="AM19">
        <v>26454136</v>
      </c>
      <c r="AN19">
        <v>0</v>
      </c>
      <c r="AO19">
        <v>7656.3</v>
      </c>
      <c r="AP19">
        <v>20540162</v>
      </c>
      <c r="AQ19">
        <v>0</v>
      </c>
      <c r="AR19">
        <v>146437650</v>
      </c>
      <c r="AS19">
        <v>14493099</v>
      </c>
      <c r="AT19">
        <v>25731962</v>
      </c>
    </row>
    <row r="20" spans="1:46" x14ac:dyDescent="0.3">
      <c r="A20" t="s">
        <v>6</v>
      </c>
      <c r="B20" t="s">
        <v>7</v>
      </c>
      <c r="C20" t="s">
        <v>155</v>
      </c>
      <c r="D20">
        <v>2040</v>
      </c>
      <c r="E20">
        <v>0.96</v>
      </c>
      <c r="F20">
        <v>0.95</v>
      </c>
      <c r="G20">
        <v>20.9</v>
      </c>
      <c r="H20">
        <v>376.1</v>
      </c>
      <c r="I20">
        <f>Cambium22_MidCase_annual_gea!BU20</f>
        <v>406478620</v>
      </c>
      <c r="J20">
        <f>Cambium22_MidCase_annual_gea!BZ20</f>
        <v>0</v>
      </c>
      <c r="K20">
        <f>SUM(Cambium22_MidCase_annual_gea!BX20,Cambium22_MidCase_annual_gea!BY20)</f>
        <v>1220886.3999999999</v>
      </c>
      <c r="L20">
        <f t="shared" si="5"/>
        <v>405257733.60000002</v>
      </c>
      <c r="M20">
        <f>SUM(Cambium22_MidCase_annual_gea!CA20,Cambium22_MidCase_annual_gea!CB20)</f>
        <v>0</v>
      </c>
      <c r="N20">
        <f>SUM(Cambium22_MidCase_annual_gea!CE20,Cambium22_MidCase_annual_gea!CF20,Cambium22_MidCase_annual_gea!CG20)</f>
        <v>15594628.5</v>
      </c>
      <c r="O20">
        <f>Cambium22_MidCase_annual_gea!CK20</f>
        <v>1152</v>
      </c>
      <c r="P20">
        <f>Cambium22_MidCase_annual_gea!CJ20</f>
        <v>0</v>
      </c>
      <c r="Y20">
        <v>406478620</v>
      </c>
      <c r="Z20">
        <v>283854700</v>
      </c>
      <c r="AA20">
        <v>39506936</v>
      </c>
      <c r="AB20">
        <v>1220886.3999999999</v>
      </c>
      <c r="AC20">
        <v>0</v>
      </c>
      <c r="AD20">
        <v>0</v>
      </c>
      <c r="AE20">
        <v>0</v>
      </c>
      <c r="AF20">
        <v>0</v>
      </c>
      <c r="AG20">
        <v>1437662.2</v>
      </c>
      <c r="AH20">
        <v>38648770</v>
      </c>
      <c r="AI20">
        <v>15447642</v>
      </c>
      <c r="AJ20">
        <v>0</v>
      </c>
      <c r="AK20">
        <v>146986.5</v>
      </c>
      <c r="AL20">
        <v>23853950</v>
      </c>
      <c r="AM20">
        <v>23748570</v>
      </c>
      <c r="AN20">
        <v>0</v>
      </c>
      <c r="AO20">
        <v>1152</v>
      </c>
      <c r="AP20">
        <v>18697804</v>
      </c>
      <c r="AQ20">
        <v>0</v>
      </c>
      <c r="AR20">
        <v>155949010</v>
      </c>
      <c r="AS20">
        <v>15677990</v>
      </c>
      <c r="AT20">
        <v>72141270</v>
      </c>
    </row>
    <row r="21" spans="1:46" x14ac:dyDescent="0.3">
      <c r="A21" t="s">
        <v>6</v>
      </c>
      <c r="B21" t="s">
        <v>7</v>
      </c>
      <c r="C21" t="s">
        <v>155</v>
      </c>
      <c r="D21">
        <v>2045</v>
      </c>
      <c r="E21">
        <v>0.97</v>
      </c>
      <c r="F21">
        <v>1</v>
      </c>
      <c r="G21">
        <v>8.5</v>
      </c>
      <c r="H21">
        <v>279.7</v>
      </c>
      <c r="I21">
        <f>Cambium22_MidCase_annual_gea!BU21</f>
        <v>473901470</v>
      </c>
      <c r="J21">
        <f>Cambium22_MidCase_annual_gea!BZ21</f>
        <v>0</v>
      </c>
      <c r="K21">
        <f>SUM(Cambium22_MidCase_annual_gea!BX21,Cambium22_MidCase_annual_gea!BY21)</f>
        <v>1064288.8</v>
      </c>
      <c r="L21">
        <f t="shared" si="5"/>
        <v>472837181.19999999</v>
      </c>
      <c r="M21">
        <f>SUM(Cambium22_MidCase_annual_gea!CA21,Cambium22_MidCase_annual_gea!CB21)</f>
        <v>0</v>
      </c>
      <c r="N21">
        <f>SUM(Cambium22_MidCase_annual_gea!CE21,Cambium22_MidCase_annual_gea!CF21,Cambium22_MidCase_annual_gea!CG21)</f>
        <v>13033759.9</v>
      </c>
      <c r="O21">
        <f>Cambium22_MidCase_annual_gea!CK21</f>
        <v>1064.3</v>
      </c>
      <c r="P21">
        <f>Cambium22_MidCase_annual_gea!CJ21</f>
        <v>0</v>
      </c>
      <c r="Y21">
        <v>473901470</v>
      </c>
      <c r="Z21">
        <v>351720160</v>
      </c>
      <c r="AA21">
        <v>45333640</v>
      </c>
      <c r="AB21">
        <v>1064288.8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36740704</v>
      </c>
      <c r="AI21">
        <v>12914269</v>
      </c>
      <c r="AJ21">
        <v>0</v>
      </c>
      <c r="AK21">
        <v>119490.9</v>
      </c>
      <c r="AL21">
        <v>22988662</v>
      </c>
      <c r="AM21">
        <v>20249258</v>
      </c>
      <c r="AN21">
        <v>0</v>
      </c>
      <c r="AO21">
        <v>1064.3</v>
      </c>
      <c r="AP21">
        <v>19510634</v>
      </c>
      <c r="AQ21">
        <v>0</v>
      </c>
      <c r="AR21">
        <v>179422080</v>
      </c>
      <c r="AS21">
        <v>23148018</v>
      </c>
      <c r="AT21">
        <v>112409370</v>
      </c>
    </row>
    <row r="22" spans="1:46" x14ac:dyDescent="0.3">
      <c r="A22" t="s">
        <v>6</v>
      </c>
      <c r="B22" t="s">
        <v>7</v>
      </c>
      <c r="C22" t="s">
        <v>155</v>
      </c>
      <c r="D22">
        <v>2050</v>
      </c>
      <c r="E22">
        <v>0.96</v>
      </c>
      <c r="F22">
        <v>1</v>
      </c>
      <c r="G22">
        <v>0</v>
      </c>
      <c r="H22">
        <v>287.3</v>
      </c>
      <c r="I22">
        <f>Cambium22_MidCase_annual_gea!BU22</f>
        <v>516398660</v>
      </c>
      <c r="J22">
        <f>Cambium22_MidCase_annual_gea!BZ22</f>
        <v>0</v>
      </c>
      <c r="K22">
        <f>SUM(Cambium22_MidCase_annual_gea!BX22,Cambium22_MidCase_annual_gea!BY22)</f>
        <v>1076869.8</v>
      </c>
      <c r="L22">
        <f t="shared" si="5"/>
        <v>515321790.19999999</v>
      </c>
      <c r="M22">
        <f>SUM(Cambium22_MidCase_annual_gea!CA22,Cambium22_MidCase_annual_gea!CB22)</f>
        <v>0</v>
      </c>
      <c r="N22">
        <f>SUM(Cambium22_MidCase_annual_gea!CE22,Cambium22_MidCase_annual_gea!CF22,Cambium22_MidCase_annual_gea!CG22)</f>
        <v>18565916.600000001</v>
      </c>
      <c r="O22">
        <f>Cambium22_MidCase_annual_gea!CK22</f>
        <v>1057.8</v>
      </c>
      <c r="P22">
        <f>Cambium22_MidCase_annual_gea!CJ22</f>
        <v>0</v>
      </c>
      <c r="Y22">
        <v>516398660</v>
      </c>
      <c r="Z22">
        <v>384368700</v>
      </c>
      <c r="AA22">
        <v>55887390</v>
      </c>
      <c r="AB22">
        <v>1076869.8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36734956</v>
      </c>
      <c r="AI22">
        <v>18417282</v>
      </c>
      <c r="AJ22">
        <v>0</v>
      </c>
      <c r="AK22">
        <v>148634.6</v>
      </c>
      <c r="AL22">
        <v>15824574</v>
      </c>
      <c r="AM22">
        <v>21590900</v>
      </c>
      <c r="AN22">
        <v>0</v>
      </c>
      <c r="AO22">
        <v>1057.8</v>
      </c>
      <c r="AP22">
        <v>19083210</v>
      </c>
      <c r="AQ22">
        <v>0</v>
      </c>
      <c r="AR22">
        <v>206559500</v>
      </c>
      <c r="AS22">
        <v>29841734</v>
      </c>
      <c r="AT22">
        <v>111232500</v>
      </c>
    </row>
    <row r="23" spans="1:46" x14ac:dyDescent="0.3">
      <c r="A23" t="s">
        <v>6</v>
      </c>
      <c r="B23" t="s">
        <v>7</v>
      </c>
      <c r="C23" t="s">
        <v>156</v>
      </c>
      <c r="D23">
        <v>2024</v>
      </c>
      <c r="E23">
        <v>0.6</v>
      </c>
      <c r="F23">
        <v>0.59</v>
      </c>
      <c r="G23">
        <v>294</v>
      </c>
      <c r="H23">
        <v>655.20000000000005</v>
      </c>
      <c r="I23">
        <f>Cambium22_MidCase_annual_gea!BU23</f>
        <v>402297150</v>
      </c>
      <c r="J23">
        <f>Cambium22_MidCase_annual_gea!BZ23</f>
        <v>0</v>
      </c>
      <c r="K23">
        <f>SUM(Cambium22_MidCase_annual_gea!BX23,Cambium22_MidCase_annual_gea!BY23)</f>
        <v>584395.6</v>
      </c>
      <c r="L23">
        <f t="shared" si="5"/>
        <v>401712754.39999998</v>
      </c>
      <c r="M23">
        <f>SUM(Cambium22_MidCase_annual_gea!CA23,Cambium22_MidCase_annual_gea!CB23)</f>
        <v>39003504</v>
      </c>
      <c r="N23">
        <f>SUM(Cambium22_MidCase_annual_gea!CE23,Cambium22_MidCase_annual_gea!CF23,Cambium22_MidCase_annual_gea!CG23)</f>
        <v>119340685.5</v>
      </c>
      <c r="O23">
        <f>Cambium22_MidCase_annual_gea!CK23</f>
        <v>2476326</v>
      </c>
      <c r="P23">
        <f>Cambium22_MidCase_annual_gea!CJ23</f>
        <v>37684412</v>
      </c>
      <c r="Y23">
        <v>402297150</v>
      </c>
      <c r="Z23">
        <v>200993900</v>
      </c>
      <c r="AA23">
        <v>1625282.4</v>
      </c>
      <c r="AB23">
        <v>584395.6</v>
      </c>
      <c r="AC23">
        <v>0</v>
      </c>
      <c r="AD23">
        <v>0</v>
      </c>
      <c r="AE23">
        <v>39003504</v>
      </c>
      <c r="AF23">
        <v>0</v>
      </c>
      <c r="AG23">
        <v>0</v>
      </c>
      <c r="AH23">
        <v>2615561.2000000002</v>
      </c>
      <c r="AI23">
        <v>116088400</v>
      </c>
      <c r="AJ23">
        <v>0</v>
      </c>
      <c r="AK23">
        <v>3252285.5</v>
      </c>
      <c r="AL23">
        <v>0</v>
      </c>
      <c r="AM23">
        <v>579877.19999999995</v>
      </c>
      <c r="AN23">
        <v>37684412</v>
      </c>
      <c r="AO23">
        <v>2476326</v>
      </c>
      <c r="AP23">
        <v>8788.9</v>
      </c>
      <c r="AQ23">
        <v>0</v>
      </c>
      <c r="AR23">
        <v>78896290</v>
      </c>
      <c r="AS23">
        <v>119482050</v>
      </c>
      <c r="AT23">
        <v>0</v>
      </c>
    </row>
    <row r="24" spans="1:46" x14ac:dyDescent="0.3">
      <c r="A24" t="s">
        <v>6</v>
      </c>
      <c r="B24" t="s">
        <v>7</v>
      </c>
      <c r="C24" t="s">
        <v>156</v>
      </c>
      <c r="D24">
        <v>2026</v>
      </c>
      <c r="E24">
        <v>0.7</v>
      </c>
      <c r="F24">
        <v>0.69</v>
      </c>
      <c r="G24">
        <v>189.3</v>
      </c>
      <c r="H24">
        <v>562.4</v>
      </c>
      <c r="I24">
        <f>Cambium22_MidCase_annual_gea!BU24</f>
        <v>415504400</v>
      </c>
      <c r="J24">
        <f>Cambium22_MidCase_annual_gea!BZ24</f>
        <v>0</v>
      </c>
      <c r="K24">
        <f>SUM(Cambium22_MidCase_annual_gea!BX24,Cambium22_MidCase_annual_gea!BY24)</f>
        <v>488456.9</v>
      </c>
      <c r="L24">
        <f t="shared" si="5"/>
        <v>415015943.10000002</v>
      </c>
      <c r="M24">
        <f>SUM(Cambium22_MidCase_annual_gea!CA24,Cambium22_MidCase_annual_gea!CB24)</f>
        <v>23904080</v>
      </c>
      <c r="N24">
        <f>SUM(Cambium22_MidCase_annual_gea!CE24,Cambium22_MidCase_annual_gea!CF24,Cambium22_MidCase_annual_gea!CG24)</f>
        <v>99504063.799999997</v>
      </c>
      <c r="O24">
        <f>Cambium22_MidCase_annual_gea!CK24</f>
        <v>1288690.8999999999</v>
      </c>
      <c r="P24">
        <f>Cambium22_MidCase_annual_gea!CJ24</f>
        <v>36206856</v>
      </c>
      <c r="Y24">
        <v>415504400</v>
      </c>
      <c r="Z24">
        <v>249312480</v>
      </c>
      <c r="AA24">
        <v>4257701</v>
      </c>
      <c r="AB24">
        <v>488456.9</v>
      </c>
      <c r="AC24">
        <v>0</v>
      </c>
      <c r="AD24">
        <v>0</v>
      </c>
      <c r="AE24">
        <v>23904080</v>
      </c>
      <c r="AF24">
        <v>0</v>
      </c>
      <c r="AG24">
        <v>0</v>
      </c>
      <c r="AH24">
        <v>4681808.5</v>
      </c>
      <c r="AI24">
        <v>97304480</v>
      </c>
      <c r="AJ24">
        <v>0</v>
      </c>
      <c r="AK24">
        <v>2199583.7999999998</v>
      </c>
      <c r="AL24">
        <v>0</v>
      </c>
      <c r="AM24">
        <v>532413</v>
      </c>
      <c r="AN24">
        <v>36206856</v>
      </c>
      <c r="AO24">
        <v>1288690.8999999999</v>
      </c>
      <c r="AP24">
        <v>9618.2000000000007</v>
      </c>
      <c r="AQ24">
        <v>0</v>
      </c>
      <c r="AR24">
        <v>81305350</v>
      </c>
      <c r="AS24">
        <v>163325330</v>
      </c>
      <c r="AT24">
        <v>0</v>
      </c>
    </row>
    <row r="25" spans="1:46" x14ac:dyDescent="0.3">
      <c r="A25" t="s">
        <v>6</v>
      </c>
      <c r="B25" t="s">
        <v>7</v>
      </c>
      <c r="C25" t="s">
        <v>156</v>
      </c>
      <c r="D25">
        <v>2028</v>
      </c>
      <c r="E25">
        <v>0.82</v>
      </c>
      <c r="F25">
        <v>0.81</v>
      </c>
      <c r="G25">
        <v>73.400000000000006</v>
      </c>
      <c r="H25">
        <v>431.9</v>
      </c>
      <c r="I25">
        <f>Cambium22_MidCase_annual_gea!BU25</f>
        <v>435697730</v>
      </c>
      <c r="J25">
        <f>Cambium22_MidCase_annual_gea!BZ25</f>
        <v>0</v>
      </c>
      <c r="K25">
        <f>SUM(Cambium22_MidCase_annual_gea!BX25,Cambium22_MidCase_annual_gea!BY25)</f>
        <v>387076.7</v>
      </c>
      <c r="L25">
        <f t="shared" si="5"/>
        <v>435310653.30000001</v>
      </c>
      <c r="M25">
        <f>SUM(Cambium22_MidCase_annual_gea!CA25,Cambium22_MidCase_annual_gea!CB25)</f>
        <v>10449178</v>
      </c>
      <c r="N25">
        <f>SUM(Cambium22_MidCase_annual_gea!CE25,Cambium22_MidCase_annual_gea!CF25,Cambium22_MidCase_annual_gea!CG25)</f>
        <v>69106176.799999997</v>
      </c>
      <c r="O25">
        <f>Cambium22_MidCase_annual_gea!CK25</f>
        <v>821457.2</v>
      </c>
      <c r="P25">
        <f>Cambium22_MidCase_annual_gea!CJ25</f>
        <v>34244904</v>
      </c>
      <c r="Y25">
        <v>435697730</v>
      </c>
      <c r="Z25">
        <v>310917600</v>
      </c>
      <c r="AA25">
        <v>9294660</v>
      </c>
      <c r="AB25">
        <v>387076.7</v>
      </c>
      <c r="AC25">
        <v>0</v>
      </c>
      <c r="AD25">
        <v>0</v>
      </c>
      <c r="AE25">
        <v>10449178</v>
      </c>
      <c r="AF25">
        <v>0</v>
      </c>
      <c r="AG25">
        <v>0</v>
      </c>
      <c r="AH25">
        <v>7814090.5</v>
      </c>
      <c r="AI25">
        <v>67857800</v>
      </c>
      <c r="AJ25">
        <v>0</v>
      </c>
      <c r="AK25">
        <v>1248376.8</v>
      </c>
      <c r="AL25">
        <v>0</v>
      </c>
      <c r="AM25">
        <v>468673.6</v>
      </c>
      <c r="AN25">
        <v>34244904</v>
      </c>
      <c r="AO25">
        <v>821457.2</v>
      </c>
      <c r="AP25">
        <v>7976.3</v>
      </c>
      <c r="AQ25">
        <v>0</v>
      </c>
      <c r="AR25">
        <v>84630424</v>
      </c>
      <c r="AS25">
        <v>218473120</v>
      </c>
      <c r="AT25">
        <v>0</v>
      </c>
    </row>
    <row r="26" spans="1:46" x14ac:dyDescent="0.3">
      <c r="A26" t="s">
        <v>6</v>
      </c>
      <c r="B26" t="s">
        <v>7</v>
      </c>
      <c r="C26" t="s">
        <v>156</v>
      </c>
      <c r="D26">
        <v>2030</v>
      </c>
      <c r="E26">
        <v>0.87</v>
      </c>
      <c r="F26">
        <v>0.86</v>
      </c>
      <c r="G26">
        <v>40</v>
      </c>
      <c r="H26">
        <v>377</v>
      </c>
      <c r="I26">
        <f>Cambium22_MidCase_annual_gea!BU26</f>
        <v>470501980</v>
      </c>
      <c r="J26">
        <f>Cambium22_MidCase_annual_gea!BZ26</f>
        <v>0</v>
      </c>
      <c r="K26">
        <f>SUM(Cambium22_MidCase_annual_gea!BX26,Cambium22_MidCase_annual_gea!BY26)</f>
        <v>337452.5</v>
      </c>
      <c r="L26">
        <f t="shared" si="5"/>
        <v>470164527.5</v>
      </c>
      <c r="M26">
        <f>SUM(Cambium22_MidCase_annual_gea!CA26,Cambium22_MidCase_annual_gea!CB26)</f>
        <v>8955824</v>
      </c>
      <c r="N26">
        <f>SUM(Cambium22_MidCase_annual_gea!CE26,Cambium22_MidCase_annual_gea!CF26,Cambium22_MidCase_annual_gea!CG26)</f>
        <v>50667412.399999999</v>
      </c>
      <c r="O26">
        <f>Cambium22_MidCase_annual_gea!CK26</f>
        <v>613017.80000000005</v>
      </c>
      <c r="P26">
        <f>Cambium22_MidCase_annual_gea!CJ26</f>
        <v>33279494</v>
      </c>
      <c r="Y26">
        <v>470501980</v>
      </c>
      <c r="Z26">
        <v>363377180</v>
      </c>
      <c r="AA26">
        <v>12823374</v>
      </c>
      <c r="AB26">
        <v>337452.5</v>
      </c>
      <c r="AC26">
        <v>0</v>
      </c>
      <c r="AD26">
        <v>0</v>
      </c>
      <c r="AE26">
        <v>8955824</v>
      </c>
      <c r="AF26">
        <v>0</v>
      </c>
      <c r="AG26">
        <v>0</v>
      </c>
      <c r="AH26">
        <v>11923816</v>
      </c>
      <c r="AI26">
        <v>49836256</v>
      </c>
      <c r="AJ26">
        <v>0</v>
      </c>
      <c r="AK26">
        <v>831156.4</v>
      </c>
      <c r="AL26">
        <v>0</v>
      </c>
      <c r="AM26">
        <v>441150.1</v>
      </c>
      <c r="AN26">
        <v>33279494</v>
      </c>
      <c r="AO26">
        <v>613017.80000000005</v>
      </c>
      <c r="AP26">
        <v>7079.1</v>
      </c>
      <c r="AQ26">
        <v>0</v>
      </c>
      <c r="AR26">
        <v>98402024</v>
      </c>
      <c r="AS26">
        <v>253051340</v>
      </c>
      <c r="AT26">
        <v>0</v>
      </c>
    </row>
    <row r="27" spans="1:46" x14ac:dyDescent="0.3">
      <c r="A27" t="s">
        <v>6</v>
      </c>
      <c r="B27" t="s">
        <v>7</v>
      </c>
      <c r="C27" t="s">
        <v>156</v>
      </c>
      <c r="D27">
        <v>2035</v>
      </c>
      <c r="E27">
        <v>0.91</v>
      </c>
      <c r="F27">
        <v>0.9</v>
      </c>
      <c r="G27">
        <v>69.599999999999994</v>
      </c>
      <c r="H27">
        <v>331.2</v>
      </c>
      <c r="I27">
        <f>Cambium22_MidCase_annual_gea!BU27</f>
        <v>516159500</v>
      </c>
      <c r="J27">
        <f>Cambium22_MidCase_annual_gea!BZ27</f>
        <v>0</v>
      </c>
      <c r="K27">
        <f>SUM(Cambium22_MidCase_annual_gea!BX27,Cambium22_MidCase_annual_gea!BY27)</f>
        <v>300626.5</v>
      </c>
      <c r="L27">
        <f t="shared" si="5"/>
        <v>515858873.5</v>
      </c>
      <c r="M27">
        <f>SUM(Cambium22_MidCase_annual_gea!CA27,Cambium22_MidCase_annual_gea!CB27)</f>
        <v>7533997</v>
      </c>
      <c r="N27">
        <f>SUM(Cambium22_MidCase_annual_gea!CE27,Cambium22_MidCase_annual_gea!CF27,Cambium22_MidCase_annual_gea!CG27)</f>
        <v>37619188.700000003</v>
      </c>
      <c r="O27">
        <f>Cambium22_MidCase_annual_gea!CK27</f>
        <v>479099.6</v>
      </c>
      <c r="P27">
        <f>Cambium22_MidCase_annual_gea!CJ27</f>
        <v>32694092</v>
      </c>
      <c r="Y27">
        <v>516159500</v>
      </c>
      <c r="Z27">
        <v>413010370</v>
      </c>
      <c r="AA27">
        <v>24112970</v>
      </c>
      <c r="AB27">
        <v>300626.5</v>
      </c>
      <c r="AC27">
        <v>0</v>
      </c>
      <c r="AD27">
        <v>0</v>
      </c>
      <c r="AE27">
        <v>7533997</v>
      </c>
      <c r="AF27">
        <v>0</v>
      </c>
      <c r="AG27">
        <v>0</v>
      </c>
      <c r="AH27">
        <v>16755690</v>
      </c>
      <c r="AI27">
        <v>37001750</v>
      </c>
      <c r="AJ27">
        <v>0</v>
      </c>
      <c r="AK27">
        <v>617438.69999999995</v>
      </c>
      <c r="AL27">
        <v>0</v>
      </c>
      <c r="AM27">
        <v>403604.2</v>
      </c>
      <c r="AN27">
        <v>32694092</v>
      </c>
      <c r="AO27">
        <v>479099.6</v>
      </c>
      <c r="AP27">
        <v>5521.4</v>
      </c>
      <c r="AQ27">
        <v>0</v>
      </c>
      <c r="AR27">
        <v>119762420</v>
      </c>
      <c r="AS27">
        <v>276492260</v>
      </c>
      <c r="AT27">
        <v>0</v>
      </c>
    </row>
    <row r="28" spans="1:46" x14ac:dyDescent="0.3">
      <c r="A28" t="s">
        <v>6</v>
      </c>
      <c r="B28" t="s">
        <v>7</v>
      </c>
      <c r="C28" t="s">
        <v>156</v>
      </c>
      <c r="D28">
        <v>2040</v>
      </c>
      <c r="E28">
        <v>0.92</v>
      </c>
      <c r="F28">
        <v>0.91</v>
      </c>
      <c r="G28">
        <v>93.7</v>
      </c>
      <c r="H28">
        <v>313.8</v>
      </c>
      <c r="I28">
        <f>Cambium22_MidCase_annual_gea!BU28</f>
        <v>558088400</v>
      </c>
      <c r="J28">
        <f>Cambium22_MidCase_annual_gea!BZ28</f>
        <v>0</v>
      </c>
      <c r="K28">
        <f>SUM(Cambium22_MidCase_annual_gea!BX28,Cambium22_MidCase_annual_gea!BY28)</f>
        <v>296266.5</v>
      </c>
      <c r="L28">
        <f t="shared" si="5"/>
        <v>557792133.5</v>
      </c>
      <c r="M28">
        <f>SUM(Cambium22_MidCase_annual_gea!CA28,Cambium22_MidCase_annual_gea!CB28)</f>
        <v>6937382.5</v>
      </c>
      <c r="N28">
        <f>SUM(Cambium22_MidCase_annual_gea!CE28,Cambium22_MidCase_annual_gea!CF28,Cambium22_MidCase_annual_gea!CG28)</f>
        <v>36785238.5</v>
      </c>
      <c r="O28">
        <f>Cambium22_MidCase_annual_gea!CK28</f>
        <v>361700.4</v>
      </c>
      <c r="P28">
        <f>Cambium22_MidCase_annual_gea!CJ28</f>
        <v>32631706</v>
      </c>
      <c r="Y28">
        <v>558088400</v>
      </c>
      <c r="Z28">
        <v>449588830</v>
      </c>
      <c r="AA28">
        <v>31076724</v>
      </c>
      <c r="AB28">
        <v>296266.5</v>
      </c>
      <c r="AC28">
        <v>0</v>
      </c>
      <c r="AD28">
        <v>0</v>
      </c>
      <c r="AE28">
        <v>6937382.5</v>
      </c>
      <c r="AF28">
        <v>0</v>
      </c>
      <c r="AG28">
        <v>0</v>
      </c>
      <c r="AH28">
        <v>17200530</v>
      </c>
      <c r="AI28">
        <v>36064520</v>
      </c>
      <c r="AJ28">
        <v>0</v>
      </c>
      <c r="AK28">
        <v>720718.5</v>
      </c>
      <c r="AL28">
        <v>0</v>
      </c>
      <c r="AM28">
        <v>404672.3</v>
      </c>
      <c r="AN28">
        <v>32631706</v>
      </c>
      <c r="AO28">
        <v>361700.4</v>
      </c>
      <c r="AP28">
        <v>5864.6</v>
      </c>
      <c r="AQ28">
        <v>0</v>
      </c>
      <c r="AR28">
        <v>121827520</v>
      </c>
      <c r="AS28">
        <v>310560800</v>
      </c>
      <c r="AT28">
        <v>0</v>
      </c>
    </row>
    <row r="29" spans="1:46" x14ac:dyDescent="0.3">
      <c r="A29" t="s">
        <v>6</v>
      </c>
      <c r="B29" t="s">
        <v>7</v>
      </c>
      <c r="C29" t="s">
        <v>156</v>
      </c>
      <c r="D29">
        <v>2045</v>
      </c>
      <c r="E29">
        <v>0.92</v>
      </c>
      <c r="F29">
        <v>0.91</v>
      </c>
      <c r="G29">
        <v>83.9</v>
      </c>
      <c r="H29">
        <v>283.39999999999998</v>
      </c>
      <c r="I29">
        <f>Cambium22_MidCase_annual_gea!BU29</f>
        <v>595048300</v>
      </c>
      <c r="J29">
        <f>Cambium22_MidCase_annual_gea!BZ29</f>
        <v>0</v>
      </c>
      <c r="K29">
        <f>SUM(Cambium22_MidCase_annual_gea!BX29,Cambium22_MidCase_annual_gea!BY29)</f>
        <v>280945.2</v>
      </c>
      <c r="L29">
        <f t="shared" si="5"/>
        <v>594767354.79999995</v>
      </c>
      <c r="M29">
        <f>SUM(Cambium22_MidCase_annual_gea!CA29,Cambium22_MidCase_annual_gea!CB29)</f>
        <v>6006679.5</v>
      </c>
      <c r="N29">
        <f>SUM(Cambium22_MidCase_annual_gea!CE29,Cambium22_MidCase_annual_gea!CF29,Cambium22_MidCase_annual_gea!CG29)</f>
        <v>41280171.200000003</v>
      </c>
      <c r="O29">
        <f>Cambium22_MidCase_annual_gea!CK29</f>
        <v>98036.5</v>
      </c>
      <c r="P29">
        <f>Cambium22_MidCase_annual_gea!CJ29</f>
        <v>15603870</v>
      </c>
      <c r="Y29">
        <v>595048300</v>
      </c>
      <c r="Z29">
        <v>492659970</v>
      </c>
      <c r="AA29">
        <v>38725380</v>
      </c>
      <c r="AB29">
        <v>280945.2</v>
      </c>
      <c r="AC29">
        <v>0</v>
      </c>
      <c r="AD29">
        <v>0</v>
      </c>
      <c r="AE29">
        <v>6006679.5</v>
      </c>
      <c r="AF29">
        <v>0</v>
      </c>
      <c r="AG29">
        <v>0</v>
      </c>
      <c r="AH29">
        <v>18154944</v>
      </c>
      <c r="AI29">
        <v>39548250</v>
      </c>
      <c r="AJ29">
        <v>0</v>
      </c>
      <c r="AK29">
        <v>1731921.2</v>
      </c>
      <c r="AL29">
        <v>0</v>
      </c>
      <c r="AM29">
        <v>387345.4</v>
      </c>
      <c r="AN29">
        <v>15603870</v>
      </c>
      <c r="AO29">
        <v>98036.5</v>
      </c>
      <c r="AP29">
        <v>5947.3</v>
      </c>
      <c r="AQ29">
        <v>0</v>
      </c>
      <c r="AR29">
        <v>144497180</v>
      </c>
      <c r="AS29">
        <v>330007840</v>
      </c>
      <c r="AT29">
        <v>0</v>
      </c>
    </row>
    <row r="30" spans="1:46" x14ac:dyDescent="0.3">
      <c r="A30" t="s">
        <v>6</v>
      </c>
      <c r="B30" t="s">
        <v>7</v>
      </c>
      <c r="C30" t="s">
        <v>156</v>
      </c>
      <c r="D30">
        <v>2050</v>
      </c>
      <c r="E30">
        <v>0.93</v>
      </c>
      <c r="F30">
        <v>0.92</v>
      </c>
      <c r="G30">
        <v>59.7</v>
      </c>
      <c r="H30">
        <v>262.7</v>
      </c>
      <c r="I30">
        <f>Cambium22_MidCase_annual_gea!BU30</f>
        <v>638738750</v>
      </c>
      <c r="J30">
        <f>Cambium22_MidCase_annual_gea!BZ30</f>
        <v>0</v>
      </c>
      <c r="K30">
        <f>SUM(Cambium22_MidCase_annual_gea!BX30,Cambium22_MidCase_annual_gea!BY30)</f>
        <v>237573.7</v>
      </c>
      <c r="L30">
        <f t="shared" si="5"/>
        <v>638501176.29999995</v>
      </c>
      <c r="M30">
        <f>SUM(Cambium22_MidCase_annual_gea!CA30,Cambium22_MidCase_annual_gea!CB30)</f>
        <v>6688204</v>
      </c>
      <c r="N30">
        <f>SUM(Cambium22_MidCase_annual_gea!CE30,Cambium22_MidCase_annual_gea!CF30,Cambium22_MidCase_annual_gea!CG30)</f>
        <v>39543612.799999997</v>
      </c>
      <c r="O30">
        <f>Cambium22_MidCase_annual_gea!CK30</f>
        <v>25100.2</v>
      </c>
      <c r="P30">
        <f>Cambium22_MidCase_annual_gea!CJ30</f>
        <v>0</v>
      </c>
      <c r="Y30">
        <v>638738750</v>
      </c>
      <c r="Z30">
        <v>553041300</v>
      </c>
      <c r="AA30">
        <v>38849916</v>
      </c>
      <c r="AB30">
        <v>237573.7</v>
      </c>
      <c r="AC30">
        <v>0</v>
      </c>
      <c r="AD30">
        <v>0</v>
      </c>
      <c r="AE30">
        <v>6688204</v>
      </c>
      <c r="AF30">
        <v>0</v>
      </c>
      <c r="AG30">
        <v>0</v>
      </c>
      <c r="AH30">
        <v>19504834</v>
      </c>
      <c r="AI30">
        <v>36988480</v>
      </c>
      <c r="AJ30">
        <v>0</v>
      </c>
      <c r="AK30">
        <v>2555132.7999999998</v>
      </c>
      <c r="AL30">
        <v>0</v>
      </c>
      <c r="AM30">
        <v>347831</v>
      </c>
      <c r="AN30">
        <v>0</v>
      </c>
      <c r="AO30">
        <v>25100.2</v>
      </c>
      <c r="AP30">
        <v>5226.6000000000004</v>
      </c>
      <c r="AQ30">
        <v>0</v>
      </c>
      <c r="AR30">
        <v>139707740</v>
      </c>
      <c r="AS30">
        <v>393828670</v>
      </c>
      <c r="AT30">
        <v>0</v>
      </c>
    </row>
    <row r="31" spans="1:46" x14ac:dyDescent="0.3">
      <c r="A31" t="s">
        <v>6</v>
      </c>
      <c r="B31" t="s">
        <v>7</v>
      </c>
      <c r="C31" t="s">
        <v>157</v>
      </c>
      <c r="D31">
        <v>2024</v>
      </c>
      <c r="E31">
        <v>0.36</v>
      </c>
      <c r="F31">
        <v>0.36</v>
      </c>
      <c r="G31">
        <v>286.8</v>
      </c>
      <c r="H31">
        <v>772.6</v>
      </c>
      <c r="I31">
        <f>Cambium22_MidCase_annual_gea!BU31</f>
        <v>234797520</v>
      </c>
      <c r="J31">
        <f>Cambium22_MidCase_annual_gea!BZ31</f>
        <v>0</v>
      </c>
      <c r="K31">
        <f>SUM(Cambium22_MidCase_annual_gea!BX31,Cambium22_MidCase_annual_gea!BY31)</f>
        <v>3976722.5</v>
      </c>
      <c r="L31">
        <f t="shared" si="5"/>
        <v>230820797.5</v>
      </c>
      <c r="M31">
        <f>SUM(Cambium22_MidCase_annual_gea!CA31,Cambium22_MidCase_annual_gea!CB31)</f>
        <v>14605453</v>
      </c>
      <c r="N31">
        <f>SUM(Cambium22_MidCase_annual_gea!CE31,Cambium22_MidCase_annual_gea!CF31,Cambium22_MidCase_annual_gea!CG31)</f>
        <v>135402476.80000001</v>
      </c>
      <c r="O31">
        <f>Cambium22_MidCase_annual_gea!CK31</f>
        <v>0</v>
      </c>
      <c r="P31">
        <f>Cambium22_MidCase_annual_gea!CJ31</f>
        <v>29227546</v>
      </c>
      <c r="Y31">
        <v>234797520</v>
      </c>
      <c r="Z31">
        <v>50977324</v>
      </c>
      <c r="AA31">
        <v>391524.5</v>
      </c>
      <c r="AB31">
        <v>3976722.5</v>
      </c>
      <c r="AC31">
        <v>0</v>
      </c>
      <c r="AD31">
        <v>0</v>
      </c>
      <c r="AE31">
        <v>14605453</v>
      </c>
      <c r="AF31">
        <v>0</v>
      </c>
      <c r="AG31">
        <v>0</v>
      </c>
      <c r="AH31">
        <v>2700809</v>
      </c>
      <c r="AI31">
        <v>134679710</v>
      </c>
      <c r="AJ31">
        <v>0</v>
      </c>
      <c r="AK31">
        <v>722766.8</v>
      </c>
      <c r="AL31">
        <v>0</v>
      </c>
      <c r="AM31">
        <v>216461.9</v>
      </c>
      <c r="AN31">
        <v>29227546</v>
      </c>
      <c r="AO31">
        <v>0</v>
      </c>
      <c r="AP31">
        <v>0</v>
      </c>
      <c r="AQ31">
        <v>0</v>
      </c>
      <c r="AR31">
        <v>48276516</v>
      </c>
      <c r="AS31">
        <v>0</v>
      </c>
      <c r="AT31">
        <v>0</v>
      </c>
    </row>
    <row r="32" spans="1:46" x14ac:dyDescent="0.3">
      <c r="A32" t="s">
        <v>6</v>
      </c>
      <c r="B32" t="s">
        <v>7</v>
      </c>
      <c r="C32" t="s">
        <v>157</v>
      </c>
      <c r="D32">
        <v>2026</v>
      </c>
      <c r="E32">
        <v>0.48</v>
      </c>
      <c r="F32">
        <v>0.46</v>
      </c>
      <c r="G32">
        <v>228.1</v>
      </c>
      <c r="H32">
        <v>632.4</v>
      </c>
      <c r="I32">
        <f>Cambium22_MidCase_annual_gea!BU32</f>
        <v>251568540</v>
      </c>
      <c r="J32">
        <f>Cambium22_MidCase_annual_gea!BZ32</f>
        <v>0</v>
      </c>
      <c r="K32">
        <f>SUM(Cambium22_MidCase_annual_gea!BX32,Cambium22_MidCase_annual_gea!BY32)</f>
        <v>3774815.5</v>
      </c>
      <c r="L32">
        <f t="shared" si="5"/>
        <v>247793724.5</v>
      </c>
      <c r="M32">
        <f>SUM(Cambium22_MidCase_annual_gea!CA32,Cambium22_MidCase_annual_gea!CB32)</f>
        <v>12232729</v>
      </c>
      <c r="N32">
        <f>SUM(Cambium22_MidCase_annual_gea!CE32,Cambium22_MidCase_annual_gea!CF32,Cambium22_MidCase_annual_gea!CG32)</f>
        <v>118091982.40000001</v>
      </c>
      <c r="O32">
        <f>Cambium22_MidCase_annual_gea!CK32</f>
        <v>0</v>
      </c>
      <c r="P32">
        <f>Cambium22_MidCase_annual_gea!CJ32</f>
        <v>28165948</v>
      </c>
      <c r="Y32">
        <v>251568540</v>
      </c>
      <c r="Z32">
        <v>85497770</v>
      </c>
      <c r="AA32">
        <v>3591514.5</v>
      </c>
      <c r="AB32">
        <v>3774815.5</v>
      </c>
      <c r="AC32">
        <v>0</v>
      </c>
      <c r="AD32">
        <v>0</v>
      </c>
      <c r="AE32">
        <v>12232729</v>
      </c>
      <c r="AF32">
        <v>0</v>
      </c>
      <c r="AG32">
        <v>0</v>
      </c>
      <c r="AH32">
        <v>4221342</v>
      </c>
      <c r="AI32">
        <v>117386160</v>
      </c>
      <c r="AJ32">
        <v>0</v>
      </c>
      <c r="AK32">
        <v>705822.4</v>
      </c>
      <c r="AL32">
        <v>0</v>
      </c>
      <c r="AM32">
        <v>213767.2</v>
      </c>
      <c r="AN32">
        <v>28165948</v>
      </c>
      <c r="AO32">
        <v>0</v>
      </c>
      <c r="AP32">
        <v>0</v>
      </c>
      <c r="AQ32">
        <v>0</v>
      </c>
      <c r="AR32">
        <v>81276424</v>
      </c>
      <c r="AS32">
        <v>0</v>
      </c>
      <c r="AT32">
        <v>0</v>
      </c>
    </row>
    <row r="33" spans="1:46" x14ac:dyDescent="0.3">
      <c r="A33" t="s">
        <v>6</v>
      </c>
      <c r="B33" t="s">
        <v>7</v>
      </c>
      <c r="C33" t="s">
        <v>157</v>
      </c>
      <c r="D33">
        <v>2028</v>
      </c>
      <c r="E33">
        <v>0.55000000000000004</v>
      </c>
      <c r="F33">
        <v>0.52</v>
      </c>
      <c r="G33">
        <v>173.5</v>
      </c>
      <c r="H33">
        <v>548.5</v>
      </c>
      <c r="I33">
        <f>Cambium22_MidCase_annual_gea!BU33</f>
        <v>257657810</v>
      </c>
      <c r="J33">
        <f>Cambium22_MidCase_annual_gea!BZ33</f>
        <v>0</v>
      </c>
      <c r="K33">
        <f>SUM(Cambium22_MidCase_annual_gea!BX33,Cambium22_MidCase_annual_gea!BY33)</f>
        <v>3535332.5</v>
      </c>
      <c r="L33">
        <f t="shared" si="5"/>
        <v>254122477.5</v>
      </c>
      <c r="M33">
        <f>SUM(Cambium22_MidCase_annual_gea!CA33,Cambium22_MidCase_annual_gea!CB33)</f>
        <v>7408961.5</v>
      </c>
      <c r="N33">
        <f>SUM(Cambium22_MidCase_annual_gea!CE33,Cambium22_MidCase_annual_gea!CF33,Cambium22_MidCase_annual_gea!CG33)</f>
        <v>109519666</v>
      </c>
      <c r="O33">
        <f>Cambium22_MidCase_annual_gea!CK33</f>
        <v>0</v>
      </c>
      <c r="P33">
        <f>Cambium22_MidCase_annual_gea!CJ33</f>
        <v>27510182</v>
      </c>
      <c r="Y33">
        <v>257657810</v>
      </c>
      <c r="Z33">
        <v>102171720</v>
      </c>
      <c r="AA33">
        <v>7287149.5</v>
      </c>
      <c r="AB33">
        <v>3535332.5</v>
      </c>
      <c r="AC33">
        <v>0</v>
      </c>
      <c r="AD33">
        <v>0</v>
      </c>
      <c r="AE33">
        <v>7408961.5</v>
      </c>
      <c r="AF33">
        <v>0</v>
      </c>
      <c r="AG33">
        <v>0</v>
      </c>
      <c r="AH33">
        <v>7025517</v>
      </c>
      <c r="AI33">
        <v>108844160</v>
      </c>
      <c r="AJ33">
        <v>0</v>
      </c>
      <c r="AK33">
        <v>675506</v>
      </c>
      <c r="AL33">
        <v>0</v>
      </c>
      <c r="AM33">
        <v>224774.9</v>
      </c>
      <c r="AN33">
        <v>27510182</v>
      </c>
      <c r="AO33">
        <v>0</v>
      </c>
      <c r="AP33">
        <v>0</v>
      </c>
      <c r="AQ33">
        <v>0</v>
      </c>
      <c r="AR33">
        <v>95146210</v>
      </c>
      <c r="AS33">
        <v>0</v>
      </c>
      <c r="AT33">
        <v>0</v>
      </c>
    </row>
    <row r="34" spans="1:46" x14ac:dyDescent="0.3">
      <c r="A34" t="s">
        <v>6</v>
      </c>
      <c r="B34" t="s">
        <v>7</v>
      </c>
      <c r="C34" t="s">
        <v>157</v>
      </c>
      <c r="D34">
        <v>2030</v>
      </c>
      <c r="E34">
        <v>0.61</v>
      </c>
      <c r="F34">
        <v>0.57999999999999996</v>
      </c>
      <c r="G34">
        <v>195.8</v>
      </c>
      <c r="H34">
        <v>504.5</v>
      </c>
      <c r="I34">
        <f>Cambium22_MidCase_annual_gea!BU34</f>
        <v>269284060</v>
      </c>
      <c r="J34">
        <f>Cambium22_MidCase_annual_gea!BZ34</f>
        <v>0</v>
      </c>
      <c r="K34">
        <f>SUM(Cambium22_MidCase_annual_gea!BX34,Cambium22_MidCase_annual_gea!BY34)</f>
        <v>3362444</v>
      </c>
      <c r="L34">
        <f t="shared" si="5"/>
        <v>265921616</v>
      </c>
      <c r="M34">
        <f>SUM(Cambium22_MidCase_annual_gea!CA34,Cambium22_MidCase_annual_gea!CB34)</f>
        <v>6065688</v>
      </c>
      <c r="N34">
        <f>SUM(Cambium22_MidCase_annual_gea!CE34,Cambium22_MidCase_annual_gea!CF34,Cambium22_MidCase_annual_gea!CG34)</f>
        <v>98015069.299999997</v>
      </c>
      <c r="O34">
        <f>Cambium22_MidCase_annual_gea!CK34</f>
        <v>0</v>
      </c>
      <c r="P34">
        <f>Cambium22_MidCase_annual_gea!CJ34</f>
        <v>27110458</v>
      </c>
      <c r="Y34">
        <v>269284060</v>
      </c>
      <c r="Z34">
        <v>121463510</v>
      </c>
      <c r="AA34">
        <v>13042988</v>
      </c>
      <c r="AB34">
        <v>3362444</v>
      </c>
      <c r="AC34">
        <v>0</v>
      </c>
      <c r="AD34">
        <v>0</v>
      </c>
      <c r="AE34">
        <v>6065688</v>
      </c>
      <c r="AF34">
        <v>0</v>
      </c>
      <c r="AG34">
        <v>0</v>
      </c>
      <c r="AH34">
        <v>10878983</v>
      </c>
      <c r="AI34">
        <v>97353576</v>
      </c>
      <c r="AJ34">
        <v>0</v>
      </c>
      <c r="AK34">
        <v>661493.30000000005</v>
      </c>
      <c r="AL34">
        <v>0</v>
      </c>
      <c r="AM34">
        <v>223900.6</v>
      </c>
      <c r="AN34">
        <v>27110458</v>
      </c>
      <c r="AO34">
        <v>0</v>
      </c>
      <c r="AP34">
        <v>0</v>
      </c>
      <c r="AQ34">
        <v>0</v>
      </c>
      <c r="AR34">
        <v>110584530</v>
      </c>
      <c r="AS34">
        <v>0</v>
      </c>
      <c r="AT34">
        <v>0</v>
      </c>
    </row>
    <row r="35" spans="1:46" x14ac:dyDescent="0.3">
      <c r="A35" t="s">
        <v>6</v>
      </c>
      <c r="B35" t="s">
        <v>7</v>
      </c>
      <c r="C35" t="s">
        <v>157</v>
      </c>
      <c r="D35">
        <v>2035</v>
      </c>
      <c r="E35">
        <v>0.72</v>
      </c>
      <c r="F35">
        <v>0.67</v>
      </c>
      <c r="G35">
        <v>244.3</v>
      </c>
      <c r="H35">
        <v>439.6</v>
      </c>
      <c r="I35">
        <f>Cambium22_MidCase_annual_gea!BU35</f>
        <v>311626240</v>
      </c>
      <c r="J35">
        <f>Cambium22_MidCase_annual_gea!BZ35</f>
        <v>0</v>
      </c>
      <c r="K35">
        <f>SUM(Cambium22_MidCase_annual_gea!BX35,Cambium22_MidCase_annual_gea!BY35)</f>
        <v>3122460.5</v>
      </c>
      <c r="L35">
        <f t="shared" si="5"/>
        <v>308503779.5</v>
      </c>
      <c r="M35">
        <f>SUM(Cambium22_MidCase_annual_gea!CA35,Cambium22_MidCase_annual_gea!CB35)</f>
        <v>1850455.8</v>
      </c>
      <c r="N35">
        <f>SUM(Cambium22_MidCase_annual_gea!CE35,Cambium22_MidCase_annual_gea!CF35,Cambium22_MidCase_annual_gea!CG35)</f>
        <v>84457371.299999997</v>
      </c>
      <c r="O35">
        <f>Cambium22_MidCase_annual_gea!CK35</f>
        <v>0</v>
      </c>
      <c r="P35">
        <f>Cambium22_MidCase_annual_gea!CJ35</f>
        <v>26697360</v>
      </c>
      <c r="Y35">
        <v>311626240</v>
      </c>
      <c r="Z35">
        <v>163179340</v>
      </c>
      <c r="AA35">
        <v>32097264</v>
      </c>
      <c r="AB35">
        <v>3122460.5</v>
      </c>
      <c r="AC35">
        <v>0</v>
      </c>
      <c r="AD35">
        <v>0</v>
      </c>
      <c r="AE35">
        <v>1850455.8</v>
      </c>
      <c r="AF35">
        <v>0</v>
      </c>
      <c r="AG35">
        <v>0</v>
      </c>
      <c r="AH35">
        <v>11855756</v>
      </c>
      <c r="AI35">
        <v>83822424</v>
      </c>
      <c r="AJ35">
        <v>0</v>
      </c>
      <c r="AK35">
        <v>634947.30000000005</v>
      </c>
      <c r="AL35">
        <v>0</v>
      </c>
      <c r="AM35">
        <v>221980.4</v>
      </c>
      <c r="AN35">
        <v>26697360</v>
      </c>
      <c r="AO35">
        <v>0</v>
      </c>
      <c r="AP35">
        <v>0</v>
      </c>
      <c r="AQ35">
        <v>0</v>
      </c>
      <c r="AR35">
        <v>151323600</v>
      </c>
      <c r="AS35">
        <v>0</v>
      </c>
      <c r="AT35">
        <v>0</v>
      </c>
    </row>
    <row r="36" spans="1:46" x14ac:dyDescent="0.3">
      <c r="A36" t="s">
        <v>6</v>
      </c>
      <c r="B36" t="s">
        <v>7</v>
      </c>
      <c r="C36" t="s">
        <v>157</v>
      </c>
      <c r="D36">
        <v>2040</v>
      </c>
      <c r="E36">
        <v>0.75</v>
      </c>
      <c r="F36">
        <v>0.71</v>
      </c>
      <c r="G36">
        <v>294.89999999999998</v>
      </c>
      <c r="H36">
        <v>425.2</v>
      </c>
      <c r="I36">
        <f>Cambium22_MidCase_annual_gea!BU36</f>
        <v>339393700</v>
      </c>
      <c r="J36">
        <f>Cambium22_MidCase_annual_gea!BZ36</f>
        <v>0</v>
      </c>
      <c r="K36">
        <f>SUM(Cambium22_MidCase_annual_gea!BX36,Cambium22_MidCase_annual_gea!BY36)</f>
        <v>3187635.8</v>
      </c>
      <c r="L36">
        <f t="shared" si="5"/>
        <v>336206064.19999999</v>
      </c>
      <c r="M36">
        <f>SUM(Cambium22_MidCase_annual_gea!CA36,Cambium22_MidCase_annual_gea!CB36)</f>
        <v>1368786.4</v>
      </c>
      <c r="N36">
        <f>SUM(Cambium22_MidCase_annual_gea!CE36,Cambium22_MidCase_annual_gea!CF36,Cambium22_MidCase_annual_gea!CG36)</f>
        <v>83107653</v>
      </c>
      <c r="O36">
        <f>Cambium22_MidCase_annual_gea!CK36</f>
        <v>0</v>
      </c>
      <c r="P36">
        <f>Cambium22_MidCase_annual_gea!CJ36</f>
        <v>26852204</v>
      </c>
      <c r="Y36">
        <v>339393700</v>
      </c>
      <c r="Z36">
        <v>181232400</v>
      </c>
      <c r="AA36">
        <v>43422696</v>
      </c>
      <c r="AB36">
        <v>3187635.8</v>
      </c>
      <c r="AC36">
        <v>0</v>
      </c>
      <c r="AD36">
        <v>0</v>
      </c>
      <c r="AE36">
        <v>1368786.4</v>
      </c>
      <c r="AF36">
        <v>0</v>
      </c>
      <c r="AG36">
        <v>0</v>
      </c>
      <c r="AH36">
        <v>12824179</v>
      </c>
      <c r="AI36">
        <v>82505170</v>
      </c>
      <c r="AJ36">
        <v>0</v>
      </c>
      <c r="AK36">
        <v>602483</v>
      </c>
      <c r="AL36">
        <v>0</v>
      </c>
      <c r="AM36">
        <v>222336.6</v>
      </c>
      <c r="AN36">
        <v>26852204</v>
      </c>
      <c r="AO36">
        <v>0</v>
      </c>
      <c r="AP36">
        <v>0</v>
      </c>
      <c r="AQ36">
        <v>0</v>
      </c>
      <c r="AR36">
        <v>168408220</v>
      </c>
      <c r="AS36">
        <v>0</v>
      </c>
      <c r="AT36">
        <v>0</v>
      </c>
    </row>
    <row r="37" spans="1:46" x14ac:dyDescent="0.3">
      <c r="A37" t="s">
        <v>6</v>
      </c>
      <c r="B37" t="s">
        <v>7</v>
      </c>
      <c r="C37" t="s">
        <v>157</v>
      </c>
      <c r="D37">
        <v>2045</v>
      </c>
      <c r="E37">
        <v>0.78</v>
      </c>
      <c r="F37">
        <v>0.73</v>
      </c>
      <c r="G37">
        <v>339.7</v>
      </c>
      <c r="H37">
        <v>382.8</v>
      </c>
      <c r="I37">
        <f>Cambium22_MidCase_annual_gea!BU37</f>
        <v>374949920</v>
      </c>
      <c r="J37">
        <f>Cambium22_MidCase_annual_gea!BZ37</f>
        <v>0</v>
      </c>
      <c r="K37">
        <f>SUM(Cambium22_MidCase_annual_gea!BX37,Cambium22_MidCase_annual_gea!BY37)</f>
        <v>2515949.5</v>
      </c>
      <c r="L37">
        <f t="shared" si="5"/>
        <v>372433970.5</v>
      </c>
      <c r="M37">
        <f>SUM(Cambium22_MidCase_annual_gea!CA37,Cambium22_MidCase_annual_gea!CB37)</f>
        <v>876720.5</v>
      </c>
      <c r="N37">
        <f>SUM(Cambium22_MidCase_annual_gea!CE37,Cambium22_MidCase_annual_gea!CF37,Cambium22_MidCase_annual_gea!CG37)</f>
        <v>82409421.799999997</v>
      </c>
      <c r="O37">
        <f>Cambium22_MidCase_annual_gea!CK37</f>
        <v>0</v>
      </c>
      <c r="P37">
        <f>Cambium22_MidCase_annual_gea!CJ37</f>
        <v>26613694</v>
      </c>
      <c r="Y37">
        <v>374949920</v>
      </c>
      <c r="Z37">
        <v>204784210</v>
      </c>
      <c r="AA37">
        <v>57528250</v>
      </c>
      <c r="AB37">
        <v>2515949.5</v>
      </c>
      <c r="AC37">
        <v>0</v>
      </c>
      <c r="AD37">
        <v>0</v>
      </c>
      <c r="AE37">
        <v>876720.5</v>
      </c>
      <c r="AF37">
        <v>0</v>
      </c>
      <c r="AG37">
        <v>0</v>
      </c>
      <c r="AH37">
        <v>12046082</v>
      </c>
      <c r="AI37">
        <v>81879656</v>
      </c>
      <c r="AJ37">
        <v>0</v>
      </c>
      <c r="AK37">
        <v>529765.80000000005</v>
      </c>
      <c r="AL37">
        <v>0</v>
      </c>
      <c r="AM37">
        <v>221678.3</v>
      </c>
      <c r="AN37">
        <v>26613694</v>
      </c>
      <c r="AO37">
        <v>0</v>
      </c>
      <c r="AP37">
        <v>0</v>
      </c>
      <c r="AQ37">
        <v>0</v>
      </c>
      <c r="AR37">
        <v>192738130</v>
      </c>
      <c r="AS37">
        <v>0</v>
      </c>
      <c r="AT37">
        <v>0</v>
      </c>
    </row>
    <row r="38" spans="1:46" x14ac:dyDescent="0.3">
      <c r="A38" t="s">
        <v>6</v>
      </c>
      <c r="B38" t="s">
        <v>7</v>
      </c>
      <c r="C38" t="s">
        <v>157</v>
      </c>
      <c r="D38">
        <v>2050</v>
      </c>
      <c r="E38">
        <v>0.74</v>
      </c>
      <c r="F38">
        <v>0.7</v>
      </c>
      <c r="G38">
        <v>356.9</v>
      </c>
      <c r="H38">
        <v>394.3</v>
      </c>
      <c r="I38">
        <f>Cambium22_MidCase_annual_gea!BU38</f>
        <v>387332060</v>
      </c>
      <c r="J38">
        <f>Cambium22_MidCase_annual_gea!BZ38</f>
        <v>0</v>
      </c>
      <c r="K38">
        <f>SUM(Cambium22_MidCase_annual_gea!BX38,Cambium22_MidCase_annual_gea!BY38)</f>
        <v>2501639</v>
      </c>
      <c r="L38">
        <f t="shared" si="5"/>
        <v>384830421</v>
      </c>
      <c r="M38">
        <f>SUM(Cambium22_MidCase_annual_gea!CA38,Cambium22_MidCase_annual_gea!CB38)</f>
        <v>1245260.6000000001</v>
      </c>
      <c r="N38">
        <f>SUM(Cambium22_MidCase_annual_gea!CE38,Cambium22_MidCase_annual_gea!CF38,Cambium22_MidCase_annual_gea!CG38)</f>
        <v>99191219.200000003</v>
      </c>
      <c r="O38">
        <f>Cambium22_MidCase_annual_gea!CK38</f>
        <v>0</v>
      </c>
      <c r="P38">
        <f>Cambium22_MidCase_annual_gea!CJ38</f>
        <v>26571642</v>
      </c>
      <c r="Y38">
        <v>387332060</v>
      </c>
      <c r="Z38">
        <v>203463200</v>
      </c>
      <c r="AA38">
        <v>54137460</v>
      </c>
      <c r="AB38">
        <v>2501639</v>
      </c>
      <c r="AC38">
        <v>0</v>
      </c>
      <c r="AD38">
        <v>0</v>
      </c>
      <c r="AE38">
        <v>1245260.6000000001</v>
      </c>
      <c r="AF38">
        <v>0</v>
      </c>
      <c r="AG38">
        <v>0</v>
      </c>
      <c r="AH38">
        <v>13047015</v>
      </c>
      <c r="AI38">
        <v>98292330</v>
      </c>
      <c r="AJ38">
        <v>0</v>
      </c>
      <c r="AK38">
        <v>898889.2</v>
      </c>
      <c r="AL38">
        <v>0</v>
      </c>
      <c r="AM38">
        <v>221651.4</v>
      </c>
      <c r="AN38">
        <v>26571642</v>
      </c>
      <c r="AO38">
        <v>0</v>
      </c>
      <c r="AP38">
        <v>0</v>
      </c>
      <c r="AQ38">
        <v>0</v>
      </c>
      <c r="AR38">
        <v>190416180</v>
      </c>
      <c r="AS38">
        <v>0</v>
      </c>
      <c r="AT38">
        <v>0</v>
      </c>
    </row>
    <row r="39" spans="1:46" x14ac:dyDescent="0.3">
      <c r="A39" t="s">
        <v>6</v>
      </c>
      <c r="B39" t="s">
        <v>7</v>
      </c>
      <c r="C39" t="s">
        <v>158</v>
      </c>
      <c r="D39">
        <v>2024</v>
      </c>
      <c r="E39">
        <v>0.55000000000000004</v>
      </c>
      <c r="F39">
        <v>0.65</v>
      </c>
      <c r="G39">
        <v>349</v>
      </c>
      <c r="H39">
        <v>943.3</v>
      </c>
      <c r="I39">
        <f>Cambium22_MidCase_annual_gea!BU39</f>
        <v>36378740</v>
      </c>
      <c r="J39">
        <f>Cambium22_MidCase_annual_gea!BZ39</f>
        <v>0</v>
      </c>
      <c r="K39">
        <f>SUM(Cambium22_MidCase_annual_gea!BX39,Cambium22_MidCase_annual_gea!BY39)</f>
        <v>963797.5</v>
      </c>
      <c r="L39">
        <f t="shared" si="5"/>
        <v>35414942.5</v>
      </c>
      <c r="M39">
        <f>SUM(Cambium22_MidCase_annual_gea!CA39,Cambium22_MidCase_annual_gea!CB39)</f>
        <v>3032180.2</v>
      </c>
      <c r="N39">
        <f>SUM(Cambium22_MidCase_annual_gea!CE39,Cambium22_MidCase_annual_gea!CF39,Cambium22_MidCase_annual_gea!CG39)</f>
        <v>13387535.4</v>
      </c>
      <c r="O39">
        <f>Cambium22_MidCase_annual_gea!CK39</f>
        <v>84206</v>
      </c>
      <c r="P39">
        <f>Cambium22_MidCase_annual_gea!CJ39</f>
        <v>9559418</v>
      </c>
      <c r="Y39">
        <v>36378740</v>
      </c>
      <c r="Z39">
        <v>7877576</v>
      </c>
      <c r="AA39">
        <v>18</v>
      </c>
      <c r="AB39">
        <v>963797.5</v>
      </c>
      <c r="AC39">
        <v>0</v>
      </c>
      <c r="AD39">
        <v>0</v>
      </c>
      <c r="AE39">
        <v>3032180.2</v>
      </c>
      <c r="AF39">
        <v>0</v>
      </c>
      <c r="AG39">
        <v>0</v>
      </c>
      <c r="AH39">
        <v>81561.2</v>
      </c>
      <c r="AI39">
        <v>12864336</v>
      </c>
      <c r="AJ39">
        <v>0</v>
      </c>
      <c r="AK39">
        <v>523199.4</v>
      </c>
      <c r="AL39">
        <v>0</v>
      </c>
      <c r="AM39">
        <v>1474008.9</v>
      </c>
      <c r="AN39">
        <v>9559418</v>
      </c>
      <c r="AO39">
        <v>84206</v>
      </c>
      <c r="AP39">
        <v>0</v>
      </c>
      <c r="AQ39">
        <v>0</v>
      </c>
      <c r="AR39">
        <v>5064003</v>
      </c>
      <c r="AS39">
        <v>2732011.8</v>
      </c>
      <c r="AT39">
        <v>0</v>
      </c>
    </row>
    <row r="40" spans="1:46" x14ac:dyDescent="0.3">
      <c r="A40" t="s">
        <v>6</v>
      </c>
      <c r="B40" t="s">
        <v>7</v>
      </c>
      <c r="C40" t="s">
        <v>158</v>
      </c>
      <c r="D40">
        <v>2026</v>
      </c>
      <c r="E40">
        <v>0.62</v>
      </c>
      <c r="F40">
        <v>0.73</v>
      </c>
      <c r="G40">
        <v>270.39999999999998</v>
      </c>
      <c r="H40">
        <v>896</v>
      </c>
      <c r="I40">
        <f>Cambium22_MidCase_annual_gea!BU40</f>
        <v>39367184</v>
      </c>
      <c r="J40">
        <f>Cambium22_MidCase_annual_gea!BZ40</f>
        <v>0</v>
      </c>
      <c r="K40">
        <f>SUM(Cambium22_MidCase_annual_gea!BX40,Cambium22_MidCase_annual_gea!BY40)</f>
        <v>962931.8</v>
      </c>
      <c r="L40">
        <f t="shared" si="5"/>
        <v>38404252.200000003</v>
      </c>
      <c r="M40">
        <f>SUM(Cambium22_MidCase_annual_gea!CA40,Cambium22_MidCase_annual_gea!CB40)</f>
        <v>2598254.7999999998</v>
      </c>
      <c r="N40">
        <f>SUM(Cambium22_MidCase_annual_gea!CE40,Cambium22_MidCase_annual_gea!CF40,Cambium22_MidCase_annual_gea!CG40)</f>
        <v>12120037.199999999</v>
      </c>
      <c r="O40">
        <f>Cambium22_MidCase_annual_gea!CK40</f>
        <v>56263.1</v>
      </c>
      <c r="P40">
        <f>Cambium22_MidCase_annual_gea!CJ40</f>
        <v>9540268</v>
      </c>
      <c r="Y40">
        <v>39367184</v>
      </c>
      <c r="Z40">
        <v>12123652</v>
      </c>
      <c r="AA40">
        <v>491875</v>
      </c>
      <c r="AB40">
        <v>962931.8</v>
      </c>
      <c r="AC40">
        <v>0</v>
      </c>
      <c r="AD40">
        <v>0</v>
      </c>
      <c r="AE40">
        <v>2598254.7999999998</v>
      </c>
      <c r="AF40">
        <v>0</v>
      </c>
      <c r="AG40">
        <v>0</v>
      </c>
      <c r="AH40">
        <v>136023.79999999999</v>
      </c>
      <c r="AI40">
        <v>11836708</v>
      </c>
      <c r="AJ40">
        <v>0</v>
      </c>
      <c r="AK40">
        <v>283329.2</v>
      </c>
      <c r="AL40">
        <v>0</v>
      </c>
      <c r="AM40">
        <v>1473900.1</v>
      </c>
      <c r="AN40">
        <v>9540268</v>
      </c>
      <c r="AO40">
        <v>56263.1</v>
      </c>
      <c r="AP40">
        <v>0</v>
      </c>
      <c r="AQ40">
        <v>0</v>
      </c>
      <c r="AR40">
        <v>9238448</v>
      </c>
      <c r="AS40">
        <v>2749180.2</v>
      </c>
      <c r="AT40">
        <v>0</v>
      </c>
    </row>
    <row r="41" spans="1:46" x14ac:dyDescent="0.3">
      <c r="A41" t="s">
        <v>6</v>
      </c>
      <c r="B41" t="s">
        <v>7</v>
      </c>
      <c r="C41" t="s">
        <v>158</v>
      </c>
      <c r="D41">
        <v>2028</v>
      </c>
      <c r="E41">
        <v>0.7</v>
      </c>
      <c r="F41">
        <v>0.81</v>
      </c>
      <c r="G41">
        <v>223.9</v>
      </c>
      <c r="H41">
        <v>681.1</v>
      </c>
      <c r="I41">
        <f>Cambium22_MidCase_annual_gea!BU41</f>
        <v>35131720</v>
      </c>
      <c r="J41">
        <f>Cambium22_MidCase_annual_gea!BZ41</f>
        <v>0</v>
      </c>
      <c r="K41">
        <f>SUM(Cambium22_MidCase_annual_gea!BX41,Cambium22_MidCase_annual_gea!BY41)</f>
        <v>898749.4</v>
      </c>
      <c r="L41">
        <f t="shared" si="5"/>
        <v>34232970.600000001</v>
      </c>
      <c r="M41">
        <f>SUM(Cambium22_MidCase_annual_gea!CA41,Cambium22_MidCase_annual_gea!CB41)</f>
        <v>1197605.3999999999</v>
      </c>
      <c r="N41">
        <f>SUM(Cambium22_MidCase_annual_gea!CE41,Cambium22_MidCase_annual_gea!CF41,Cambium22_MidCase_annual_gea!CG41)</f>
        <v>9222253</v>
      </c>
      <c r="O41">
        <f>Cambium22_MidCase_annual_gea!CK41</f>
        <v>46509.4</v>
      </c>
      <c r="P41">
        <f>Cambium22_MidCase_annual_gea!CJ41</f>
        <v>9155939</v>
      </c>
      <c r="Y41">
        <v>35131720</v>
      </c>
      <c r="Z41">
        <v>12599724</v>
      </c>
      <c r="AA41">
        <v>619534</v>
      </c>
      <c r="AB41">
        <v>898749.4</v>
      </c>
      <c r="AC41">
        <v>0</v>
      </c>
      <c r="AD41">
        <v>0</v>
      </c>
      <c r="AE41">
        <v>1197605.3999999999</v>
      </c>
      <c r="AF41">
        <v>0</v>
      </c>
      <c r="AG41">
        <v>0</v>
      </c>
      <c r="AH41">
        <v>239940.4</v>
      </c>
      <c r="AI41">
        <v>9007560</v>
      </c>
      <c r="AJ41">
        <v>0</v>
      </c>
      <c r="AK41">
        <v>214693</v>
      </c>
      <c r="AL41">
        <v>0</v>
      </c>
      <c r="AM41">
        <v>1391404.8</v>
      </c>
      <c r="AN41">
        <v>9155939</v>
      </c>
      <c r="AO41">
        <v>46509.4</v>
      </c>
      <c r="AP41">
        <v>0</v>
      </c>
      <c r="AQ41">
        <v>0</v>
      </c>
      <c r="AR41">
        <v>9315904</v>
      </c>
      <c r="AS41">
        <v>3043879.8</v>
      </c>
      <c r="AT41">
        <v>0</v>
      </c>
    </row>
    <row r="42" spans="1:46" x14ac:dyDescent="0.3">
      <c r="A42" t="s">
        <v>6</v>
      </c>
      <c r="B42" t="s">
        <v>7</v>
      </c>
      <c r="C42" t="s">
        <v>158</v>
      </c>
      <c r="D42">
        <v>2030</v>
      </c>
      <c r="E42">
        <v>0.77</v>
      </c>
      <c r="F42">
        <v>0.86</v>
      </c>
      <c r="G42">
        <v>213.6</v>
      </c>
      <c r="H42">
        <v>571.4</v>
      </c>
      <c r="I42">
        <f>Cambium22_MidCase_annual_gea!BU42</f>
        <v>32820314</v>
      </c>
      <c r="J42">
        <f>Cambium22_MidCase_annual_gea!BZ42</f>
        <v>0</v>
      </c>
      <c r="K42">
        <f>SUM(Cambium22_MidCase_annual_gea!BX42,Cambium22_MidCase_annual_gea!BY42)</f>
        <v>384387.4</v>
      </c>
      <c r="L42">
        <f t="shared" si="5"/>
        <v>32435926.600000001</v>
      </c>
      <c r="M42">
        <f>SUM(Cambium22_MidCase_annual_gea!CA42,Cambium22_MidCase_annual_gea!CB42)</f>
        <v>925301.2</v>
      </c>
      <c r="N42">
        <f>SUM(Cambium22_MidCase_annual_gea!CE42,Cambium22_MidCase_annual_gea!CF42,Cambium22_MidCase_annual_gea!CG42)</f>
        <v>6712764.4000000004</v>
      </c>
      <c r="O42">
        <f>Cambium22_MidCase_annual_gea!CK42</f>
        <v>333.3</v>
      </c>
      <c r="P42">
        <f>Cambium22_MidCase_annual_gea!CJ42</f>
        <v>8760282</v>
      </c>
      <c r="Y42">
        <v>32820314</v>
      </c>
      <c r="Z42">
        <v>14074797</v>
      </c>
      <c r="AA42">
        <v>687328.9</v>
      </c>
      <c r="AB42">
        <v>384387.4</v>
      </c>
      <c r="AC42">
        <v>0</v>
      </c>
      <c r="AD42">
        <v>0</v>
      </c>
      <c r="AE42">
        <v>925301.2</v>
      </c>
      <c r="AF42">
        <v>0</v>
      </c>
      <c r="AG42">
        <v>0</v>
      </c>
      <c r="AH42">
        <v>437118.4</v>
      </c>
      <c r="AI42">
        <v>6609967.5</v>
      </c>
      <c r="AJ42">
        <v>0</v>
      </c>
      <c r="AK42">
        <v>102796.9</v>
      </c>
      <c r="AL42">
        <v>0</v>
      </c>
      <c r="AM42">
        <v>1275118.5</v>
      </c>
      <c r="AN42">
        <v>8760282</v>
      </c>
      <c r="AO42">
        <v>333.3</v>
      </c>
      <c r="AP42">
        <v>0</v>
      </c>
      <c r="AQ42">
        <v>0</v>
      </c>
      <c r="AR42">
        <v>9466725</v>
      </c>
      <c r="AS42">
        <v>4170953.2</v>
      </c>
      <c r="AT42">
        <v>0</v>
      </c>
    </row>
    <row r="43" spans="1:46" x14ac:dyDescent="0.3">
      <c r="A43" t="s">
        <v>6</v>
      </c>
      <c r="B43" t="s">
        <v>7</v>
      </c>
      <c r="C43" t="s">
        <v>158</v>
      </c>
      <c r="D43">
        <v>2035</v>
      </c>
      <c r="E43">
        <v>0.81</v>
      </c>
      <c r="F43">
        <v>0.88</v>
      </c>
      <c r="G43">
        <v>229.9</v>
      </c>
      <c r="H43">
        <v>526.9</v>
      </c>
      <c r="I43">
        <f>Cambium22_MidCase_annual_gea!BU43</f>
        <v>37387856</v>
      </c>
      <c r="J43">
        <f>Cambium22_MidCase_annual_gea!BZ43</f>
        <v>0</v>
      </c>
      <c r="K43">
        <f>SUM(Cambium22_MidCase_annual_gea!BX43,Cambium22_MidCase_annual_gea!BY43)</f>
        <v>362120.3</v>
      </c>
      <c r="L43">
        <f t="shared" si="5"/>
        <v>37025735.700000003</v>
      </c>
      <c r="M43">
        <f>SUM(Cambium22_MidCase_annual_gea!CA43,Cambium22_MidCase_annual_gea!CB43)</f>
        <v>757514.8</v>
      </c>
      <c r="N43">
        <f>SUM(Cambium22_MidCase_annual_gea!CE43,Cambium22_MidCase_annual_gea!CF43,Cambium22_MidCase_annual_gea!CG43)</f>
        <v>6172971.5999999996</v>
      </c>
      <c r="O43">
        <f>Cambium22_MidCase_annual_gea!CK43</f>
        <v>138</v>
      </c>
      <c r="P43">
        <f>Cambium22_MidCase_annual_gea!CJ43</f>
        <v>8631984</v>
      </c>
      <c r="Y43">
        <v>37387856</v>
      </c>
      <c r="Z43">
        <v>19027606</v>
      </c>
      <c r="AA43">
        <v>1223773.2</v>
      </c>
      <c r="AB43">
        <v>362120.3</v>
      </c>
      <c r="AC43">
        <v>0</v>
      </c>
      <c r="AD43">
        <v>0</v>
      </c>
      <c r="AE43">
        <v>757514.8</v>
      </c>
      <c r="AF43">
        <v>0</v>
      </c>
      <c r="AG43">
        <v>0</v>
      </c>
      <c r="AH43">
        <v>964628.1</v>
      </c>
      <c r="AI43">
        <v>6057795.5</v>
      </c>
      <c r="AJ43">
        <v>0</v>
      </c>
      <c r="AK43">
        <v>115176.1</v>
      </c>
      <c r="AL43">
        <v>0</v>
      </c>
      <c r="AM43">
        <v>1211749.6000000001</v>
      </c>
      <c r="AN43">
        <v>8631984</v>
      </c>
      <c r="AO43">
        <v>138</v>
      </c>
      <c r="AP43">
        <v>0</v>
      </c>
      <c r="AQ43">
        <v>0</v>
      </c>
      <c r="AR43">
        <v>12660536</v>
      </c>
      <c r="AS43">
        <v>5402442</v>
      </c>
      <c r="AT43">
        <v>0</v>
      </c>
    </row>
    <row r="44" spans="1:46" x14ac:dyDescent="0.3">
      <c r="A44" t="s">
        <v>6</v>
      </c>
      <c r="B44" t="s">
        <v>7</v>
      </c>
      <c r="C44" t="s">
        <v>158</v>
      </c>
      <c r="D44">
        <v>2040</v>
      </c>
      <c r="E44">
        <v>0.86</v>
      </c>
      <c r="F44">
        <v>0.9</v>
      </c>
      <c r="G44">
        <v>237</v>
      </c>
      <c r="H44">
        <v>454.5</v>
      </c>
      <c r="I44">
        <f>Cambium22_MidCase_annual_gea!BU44</f>
        <v>46022852</v>
      </c>
      <c r="J44">
        <f>Cambium22_MidCase_annual_gea!BZ44</f>
        <v>0</v>
      </c>
      <c r="K44">
        <f>SUM(Cambium22_MidCase_annual_gea!BX44,Cambium22_MidCase_annual_gea!BY44)</f>
        <v>332045.5</v>
      </c>
      <c r="L44">
        <f t="shared" si="5"/>
        <v>45690806.5</v>
      </c>
      <c r="M44">
        <f>SUM(Cambium22_MidCase_annual_gea!CA44,Cambium22_MidCase_annual_gea!CB44)</f>
        <v>512263.4</v>
      </c>
      <c r="N44">
        <f>SUM(Cambium22_MidCase_annual_gea!CE44,Cambium22_MidCase_annual_gea!CF44,Cambium22_MidCase_annual_gea!CG44)</f>
        <v>6030471</v>
      </c>
      <c r="O44">
        <f>Cambium22_MidCase_annual_gea!CK44</f>
        <v>195.5</v>
      </c>
      <c r="P44">
        <f>Cambium22_MidCase_annual_gea!CJ44</f>
        <v>8453271</v>
      </c>
      <c r="Y44">
        <v>46022852</v>
      </c>
      <c r="Z44">
        <v>27573724</v>
      </c>
      <c r="AA44">
        <v>1978941.8</v>
      </c>
      <c r="AB44">
        <v>332045.5</v>
      </c>
      <c r="AC44">
        <v>0</v>
      </c>
      <c r="AD44">
        <v>0</v>
      </c>
      <c r="AE44">
        <v>512263.4</v>
      </c>
      <c r="AF44">
        <v>0</v>
      </c>
      <c r="AG44">
        <v>0</v>
      </c>
      <c r="AH44">
        <v>992781.4</v>
      </c>
      <c r="AI44">
        <v>5911050.5</v>
      </c>
      <c r="AJ44">
        <v>0</v>
      </c>
      <c r="AK44">
        <v>119420.5</v>
      </c>
      <c r="AL44">
        <v>0</v>
      </c>
      <c r="AM44">
        <v>1141939.8999999999</v>
      </c>
      <c r="AN44">
        <v>8453271</v>
      </c>
      <c r="AO44">
        <v>195.5</v>
      </c>
      <c r="AP44">
        <v>0</v>
      </c>
      <c r="AQ44">
        <v>0</v>
      </c>
      <c r="AR44">
        <v>17125132</v>
      </c>
      <c r="AS44">
        <v>9455811</v>
      </c>
      <c r="AT44">
        <v>0</v>
      </c>
    </row>
    <row r="45" spans="1:46" x14ac:dyDescent="0.3">
      <c r="A45" t="s">
        <v>6</v>
      </c>
      <c r="B45" t="s">
        <v>7</v>
      </c>
      <c r="C45" t="s">
        <v>158</v>
      </c>
      <c r="D45">
        <v>2045</v>
      </c>
      <c r="E45">
        <v>0.82</v>
      </c>
      <c r="F45">
        <v>0.88</v>
      </c>
      <c r="G45">
        <v>262.39999999999998</v>
      </c>
      <c r="H45">
        <v>441.9</v>
      </c>
      <c r="I45">
        <f>Cambium22_MidCase_annual_gea!BU45</f>
        <v>49778950</v>
      </c>
      <c r="J45">
        <f>Cambium22_MidCase_annual_gea!BZ45</f>
        <v>0</v>
      </c>
      <c r="K45">
        <f>SUM(Cambium22_MidCase_annual_gea!BX45,Cambium22_MidCase_annual_gea!BY45)</f>
        <v>324652.79999999999</v>
      </c>
      <c r="L45">
        <f t="shared" si="5"/>
        <v>49454297.200000003</v>
      </c>
      <c r="M45">
        <f>SUM(Cambium22_MidCase_annual_gea!CA45,Cambium22_MidCase_annual_gea!CB45)</f>
        <v>667454</v>
      </c>
      <c r="N45">
        <f>SUM(Cambium22_MidCase_annual_gea!CE45,Cambium22_MidCase_annual_gea!CF45,Cambium22_MidCase_annual_gea!CG45)</f>
        <v>8150336.2000000002</v>
      </c>
      <c r="O45">
        <f>Cambium22_MidCase_annual_gea!CK45</f>
        <v>74.400000000000006</v>
      </c>
      <c r="P45">
        <f>Cambium22_MidCase_annual_gea!CJ45</f>
        <v>8412177</v>
      </c>
      <c r="Y45">
        <v>49778950</v>
      </c>
      <c r="Z45">
        <v>29406502</v>
      </c>
      <c r="AA45">
        <v>1705365.2</v>
      </c>
      <c r="AB45">
        <v>324652.79999999999</v>
      </c>
      <c r="AC45">
        <v>0</v>
      </c>
      <c r="AD45">
        <v>0</v>
      </c>
      <c r="AE45">
        <v>667454</v>
      </c>
      <c r="AF45">
        <v>0</v>
      </c>
      <c r="AG45">
        <v>0</v>
      </c>
      <c r="AH45">
        <v>1013970.6</v>
      </c>
      <c r="AI45">
        <v>6912091</v>
      </c>
      <c r="AJ45">
        <v>0</v>
      </c>
      <c r="AK45">
        <v>1238245.2</v>
      </c>
      <c r="AL45">
        <v>0</v>
      </c>
      <c r="AM45">
        <v>1112389.6000000001</v>
      </c>
      <c r="AN45">
        <v>8412177</v>
      </c>
      <c r="AO45">
        <v>74.400000000000006</v>
      </c>
      <c r="AP45">
        <v>0</v>
      </c>
      <c r="AQ45">
        <v>0</v>
      </c>
      <c r="AR45">
        <v>16900218</v>
      </c>
      <c r="AS45">
        <v>11492315</v>
      </c>
      <c r="AT45">
        <v>0</v>
      </c>
    </row>
    <row r="46" spans="1:46" x14ac:dyDescent="0.3">
      <c r="A46" t="s">
        <v>6</v>
      </c>
      <c r="B46" t="s">
        <v>7</v>
      </c>
      <c r="C46" t="s">
        <v>158</v>
      </c>
      <c r="D46">
        <v>2050</v>
      </c>
      <c r="E46">
        <v>0.78</v>
      </c>
      <c r="F46">
        <v>0.85</v>
      </c>
      <c r="G46">
        <v>267.5</v>
      </c>
      <c r="H46">
        <v>441.6</v>
      </c>
      <c r="I46">
        <f>Cambium22_MidCase_annual_gea!BU46</f>
        <v>52860496</v>
      </c>
      <c r="J46">
        <f>Cambium22_MidCase_annual_gea!BZ46</f>
        <v>0</v>
      </c>
      <c r="K46">
        <f>SUM(Cambium22_MidCase_annual_gea!BX46,Cambium22_MidCase_annual_gea!BY46)</f>
        <v>323399.2</v>
      </c>
      <c r="L46">
        <f t="shared" si="5"/>
        <v>52537096.799999997</v>
      </c>
      <c r="M46">
        <f>SUM(Cambium22_MidCase_annual_gea!CA46,Cambium22_MidCase_annual_gea!CB46)</f>
        <v>1010865.9</v>
      </c>
      <c r="N46">
        <f>SUM(Cambium22_MidCase_annual_gea!CE46,Cambium22_MidCase_annual_gea!CF46,Cambium22_MidCase_annual_gea!CG46)</f>
        <v>10668758</v>
      </c>
      <c r="O46">
        <f>Cambium22_MidCase_annual_gea!CK46</f>
        <v>37.200000000000003</v>
      </c>
      <c r="P46">
        <f>Cambium22_MidCase_annual_gea!CJ46</f>
        <v>4211325.5</v>
      </c>
      <c r="Y46">
        <v>52860496</v>
      </c>
      <c r="Z46">
        <v>34082700</v>
      </c>
      <c r="AA46">
        <v>1452327.6</v>
      </c>
      <c r="AB46">
        <v>323399.2</v>
      </c>
      <c r="AC46">
        <v>0</v>
      </c>
      <c r="AD46">
        <v>0</v>
      </c>
      <c r="AE46">
        <v>1010865.9</v>
      </c>
      <c r="AF46">
        <v>0</v>
      </c>
      <c r="AG46">
        <v>0</v>
      </c>
      <c r="AH46">
        <v>1083197.8</v>
      </c>
      <c r="AI46">
        <v>7441836</v>
      </c>
      <c r="AJ46">
        <v>0</v>
      </c>
      <c r="AK46">
        <v>3226922</v>
      </c>
      <c r="AL46">
        <v>0</v>
      </c>
      <c r="AM46">
        <v>1111080.6000000001</v>
      </c>
      <c r="AN46">
        <v>4211325.5</v>
      </c>
      <c r="AO46">
        <v>37.200000000000003</v>
      </c>
      <c r="AP46">
        <v>0</v>
      </c>
      <c r="AQ46">
        <v>0</v>
      </c>
      <c r="AR46">
        <v>16128422</v>
      </c>
      <c r="AS46">
        <v>16871082</v>
      </c>
      <c r="AT46">
        <v>0</v>
      </c>
    </row>
    <row r="47" spans="1:46" x14ac:dyDescent="0.3">
      <c r="A47" t="s">
        <v>6</v>
      </c>
      <c r="B47" t="s">
        <v>7</v>
      </c>
      <c r="C47" t="s">
        <v>159</v>
      </c>
      <c r="D47">
        <v>2024</v>
      </c>
      <c r="E47">
        <v>0.72</v>
      </c>
      <c r="F47">
        <v>0.71</v>
      </c>
      <c r="G47">
        <v>286.60000000000002</v>
      </c>
      <c r="H47">
        <v>884.6</v>
      </c>
      <c r="I47">
        <f>Cambium22_MidCase_annual_gea!BU47</f>
        <v>268669820</v>
      </c>
      <c r="J47">
        <f>Cambium22_MidCase_annual_gea!BZ47</f>
        <v>14641422</v>
      </c>
      <c r="K47">
        <f>SUM(Cambium22_MidCase_annual_gea!BX47,Cambium22_MidCase_annual_gea!BY47)</f>
        <v>1095240.2</v>
      </c>
      <c r="L47">
        <f t="shared" si="5"/>
        <v>252933157.80000001</v>
      </c>
      <c r="M47">
        <f>SUM(Cambium22_MidCase_annual_gea!CA47,Cambium22_MidCase_annual_gea!CB47)</f>
        <v>58913292</v>
      </c>
      <c r="N47">
        <f>SUM(Cambium22_MidCase_annual_gea!CE47,Cambium22_MidCase_annual_gea!CF47,Cambium22_MidCase_annual_gea!CG47)</f>
        <v>16196286.800000001</v>
      </c>
      <c r="O47">
        <f>Cambium22_MidCase_annual_gea!CK47</f>
        <v>307449.59999999998</v>
      </c>
      <c r="P47">
        <f>Cambium22_MidCase_annual_gea!CJ47</f>
        <v>18684632</v>
      </c>
      <c r="Y47">
        <v>268669820</v>
      </c>
      <c r="Z47">
        <v>147602260</v>
      </c>
      <c r="AA47">
        <v>14605.4</v>
      </c>
      <c r="AB47">
        <v>1095240.2</v>
      </c>
      <c r="AC47">
        <v>0</v>
      </c>
      <c r="AD47">
        <v>14641422</v>
      </c>
      <c r="AE47">
        <v>58913292</v>
      </c>
      <c r="AF47">
        <v>0</v>
      </c>
      <c r="AG47">
        <v>0</v>
      </c>
      <c r="AH47">
        <v>1686599.6</v>
      </c>
      <c r="AI47">
        <v>15284430</v>
      </c>
      <c r="AJ47">
        <v>0</v>
      </c>
      <c r="AK47">
        <v>911856.8</v>
      </c>
      <c r="AL47">
        <v>0</v>
      </c>
      <c r="AM47">
        <v>11214647</v>
      </c>
      <c r="AN47">
        <v>18684632</v>
      </c>
      <c r="AO47">
        <v>307449.59999999998</v>
      </c>
      <c r="AP47">
        <v>0</v>
      </c>
      <c r="AQ47">
        <v>0</v>
      </c>
      <c r="AR47">
        <v>14732074</v>
      </c>
      <c r="AS47">
        <v>131183590</v>
      </c>
      <c r="AT47">
        <v>0</v>
      </c>
    </row>
    <row r="48" spans="1:46" x14ac:dyDescent="0.3">
      <c r="A48" t="s">
        <v>6</v>
      </c>
      <c r="B48" t="s">
        <v>7</v>
      </c>
      <c r="C48" t="s">
        <v>159</v>
      </c>
      <c r="D48">
        <v>2026</v>
      </c>
      <c r="E48">
        <v>0.81</v>
      </c>
      <c r="F48">
        <v>0.81</v>
      </c>
      <c r="G48">
        <v>167.7</v>
      </c>
      <c r="H48">
        <v>741.5</v>
      </c>
      <c r="I48">
        <f>Cambium22_MidCase_annual_gea!BU48</f>
        <v>282701760</v>
      </c>
      <c r="J48">
        <f>Cambium22_MidCase_annual_gea!BZ48</f>
        <v>13592046</v>
      </c>
      <c r="K48">
        <f>SUM(Cambium22_MidCase_annual_gea!BX48,Cambium22_MidCase_annual_gea!BY48)</f>
        <v>1023650.5</v>
      </c>
      <c r="L48">
        <f t="shared" si="5"/>
        <v>268086063.5</v>
      </c>
      <c r="M48">
        <f>SUM(Cambium22_MidCase_annual_gea!CA48,Cambium22_MidCase_annual_gea!CB48)</f>
        <v>40523730</v>
      </c>
      <c r="N48">
        <f>SUM(Cambium22_MidCase_annual_gea!CE48,Cambium22_MidCase_annual_gea!CF48,Cambium22_MidCase_annual_gea!CG48)</f>
        <v>13114198.1</v>
      </c>
      <c r="O48">
        <f>Cambium22_MidCase_annual_gea!CK48</f>
        <v>249156.6</v>
      </c>
      <c r="P48">
        <f>Cambium22_MidCase_annual_gea!CJ48</f>
        <v>17835076</v>
      </c>
      <c r="Y48">
        <v>282701760</v>
      </c>
      <c r="Z48">
        <v>184566030</v>
      </c>
      <c r="AA48">
        <v>113481.1</v>
      </c>
      <c r="AB48">
        <v>1023650.5</v>
      </c>
      <c r="AC48">
        <v>0</v>
      </c>
      <c r="AD48">
        <v>13592046</v>
      </c>
      <c r="AE48">
        <v>40523730</v>
      </c>
      <c r="AF48">
        <v>0</v>
      </c>
      <c r="AG48">
        <v>0</v>
      </c>
      <c r="AH48">
        <v>2130700.2000000002</v>
      </c>
      <c r="AI48">
        <v>12649018</v>
      </c>
      <c r="AJ48">
        <v>0</v>
      </c>
      <c r="AK48">
        <v>465180.1</v>
      </c>
      <c r="AL48">
        <v>0</v>
      </c>
      <c r="AM48">
        <v>11684405</v>
      </c>
      <c r="AN48">
        <v>17835076</v>
      </c>
      <c r="AO48">
        <v>249156.6</v>
      </c>
      <c r="AP48">
        <v>0</v>
      </c>
      <c r="AQ48">
        <v>0</v>
      </c>
      <c r="AR48">
        <v>37877810</v>
      </c>
      <c r="AS48">
        <v>144557520</v>
      </c>
      <c r="AT48">
        <v>0</v>
      </c>
    </row>
    <row r="49" spans="1:46" x14ac:dyDescent="0.3">
      <c r="A49" t="s">
        <v>6</v>
      </c>
      <c r="B49" t="s">
        <v>7</v>
      </c>
      <c r="C49" t="s">
        <v>159</v>
      </c>
      <c r="D49">
        <v>2028</v>
      </c>
      <c r="E49">
        <v>0.89</v>
      </c>
      <c r="F49">
        <v>0.89</v>
      </c>
      <c r="G49">
        <v>100.9</v>
      </c>
      <c r="H49">
        <v>570.29999999999995</v>
      </c>
      <c r="I49">
        <f>Cambium22_MidCase_annual_gea!BU49</f>
        <v>315632000</v>
      </c>
      <c r="J49">
        <f>Cambium22_MidCase_annual_gea!BZ49</f>
        <v>16607819</v>
      </c>
      <c r="K49">
        <f>SUM(Cambium22_MidCase_annual_gea!BX49,Cambium22_MidCase_annual_gea!BY49)</f>
        <v>839348.4</v>
      </c>
      <c r="L49">
        <f t="shared" si="5"/>
        <v>298184832.60000002</v>
      </c>
      <c r="M49">
        <f>SUM(Cambium22_MidCase_annual_gea!CA49,Cambium22_MidCase_annual_gea!CB49)</f>
        <v>24343110</v>
      </c>
      <c r="N49">
        <f>SUM(Cambium22_MidCase_annual_gea!CE49,Cambium22_MidCase_annual_gea!CF49,Cambium22_MidCase_annual_gea!CG49)</f>
        <v>8811960.4000000004</v>
      </c>
      <c r="O49">
        <f>Cambium22_MidCase_annual_gea!CK49</f>
        <v>130385.8</v>
      </c>
      <c r="P49">
        <f>Cambium22_MidCase_annual_gea!CJ49</f>
        <v>17086728</v>
      </c>
      <c r="Y49">
        <v>315632000</v>
      </c>
      <c r="Z49">
        <v>234223660</v>
      </c>
      <c r="AA49">
        <v>2328474.5</v>
      </c>
      <c r="AB49">
        <v>839348.4</v>
      </c>
      <c r="AC49">
        <v>0</v>
      </c>
      <c r="AD49">
        <v>16607819</v>
      </c>
      <c r="AE49">
        <v>24343110</v>
      </c>
      <c r="AF49">
        <v>0</v>
      </c>
      <c r="AG49">
        <v>0</v>
      </c>
      <c r="AH49">
        <v>2875825.2</v>
      </c>
      <c r="AI49">
        <v>8598744</v>
      </c>
      <c r="AJ49">
        <v>0</v>
      </c>
      <c r="AK49">
        <v>213216.4</v>
      </c>
      <c r="AL49">
        <v>0</v>
      </c>
      <c r="AM49">
        <v>11260508</v>
      </c>
      <c r="AN49">
        <v>17086728</v>
      </c>
      <c r="AO49">
        <v>130385.8</v>
      </c>
      <c r="AP49">
        <v>0</v>
      </c>
      <c r="AQ49">
        <v>0</v>
      </c>
      <c r="AR49">
        <v>38322360</v>
      </c>
      <c r="AS49">
        <v>193025470</v>
      </c>
      <c r="AT49">
        <v>0</v>
      </c>
    </row>
    <row r="50" spans="1:46" x14ac:dyDescent="0.3">
      <c r="A50" t="s">
        <v>6</v>
      </c>
      <c r="B50" t="s">
        <v>7</v>
      </c>
      <c r="C50" t="s">
        <v>159</v>
      </c>
      <c r="D50">
        <v>2030</v>
      </c>
      <c r="E50">
        <v>0.93</v>
      </c>
      <c r="F50">
        <v>0.93</v>
      </c>
      <c r="G50">
        <v>119.9</v>
      </c>
      <c r="H50">
        <v>483.2</v>
      </c>
      <c r="I50">
        <f>Cambium22_MidCase_annual_gea!BU50</f>
        <v>333374850</v>
      </c>
      <c r="J50">
        <f>Cambium22_MidCase_annual_gea!BZ50</f>
        <v>19165756</v>
      </c>
      <c r="K50">
        <f>SUM(Cambium22_MidCase_annual_gea!BX50,Cambium22_MidCase_annual_gea!BY50)</f>
        <v>665927.19999999995</v>
      </c>
      <c r="L50">
        <f t="shared" si="5"/>
        <v>313543166.80000001</v>
      </c>
      <c r="M50">
        <f>SUM(Cambium22_MidCase_annual_gea!CA50,Cambium22_MidCase_annual_gea!CB50)</f>
        <v>17980714</v>
      </c>
      <c r="N50">
        <f>SUM(Cambium22_MidCase_annual_gea!CE50,Cambium22_MidCase_annual_gea!CF50,Cambium22_MidCase_annual_gea!CG50)</f>
        <v>5089575.8</v>
      </c>
      <c r="O50">
        <f>Cambium22_MidCase_annual_gea!CK50</f>
        <v>54578.8</v>
      </c>
      <c r="P50">
        <f>Cambium22_MidCase_annual_gea!CJ50</f>
        <v>16609906</v>
      </c>
      <c r="Y50">
        <v>333374850</v>
      </c>
      <c r="Z50">
        <v>257612060</v>
      </c>
      <c r="AA50">
        <v>5467554.5</v>
      </c>
      <c r="AB50">
        <v>665927.19999999995</v>
      </c>
      <c r="AC50">
        <v>0</v>
      </c>
      <c r="AD50">
        <v>19165756</v>
      </c>
      <c r="AE50">
        <v>17980714</v>
      </c>
      <c r="AF50">
        <v>0</v>
      </c>
      <c r="AG50">
        <v>0</v>
      </c>
      <c r="AH50">
        <v>4054896</v>
      </c>
      <c r="AI50">
        <v>5022318</v>
      </c>
      <c r="AJ50">
        <v>0</v>
      </c>
      <c r="AK50">
        <v>67257.8</v>
      </c>
      <c r="AL50">
        <v>0</v>
      </c>
      <c r="AM50">
        <v>10728802</v>
      </c>
      <c r="AN50">
        <v>16609906</v>
      </c>
      <c r="AO50">
        <v>54578.8</v>
      </c>
      <c r="AP50">
        <v>0</v>
      </c>
      <c r="AQ50">
        <v>0</v>
      </c>
      <c r="AR50">
        <v>42541240</v>
      </c>
      <c r="AS50">
        <v>211015900</v>
      </c>
      <c r="AT50">
        <v>0</v>
      </c>
    </row>
    <row r="51" spans="1:46" x14ac:dyDescent="0.3">
      <c r="A51" t="s">
        <v>6</v>
      </c>
      <c r="B51" t="s">
        <v>7</v>
      </c>
      <c r="C51" t="s">
        <v>159</v>
      </c>
      <c r="D51">
        <v>2035</v>
      </c>
      <c r="E51">
        <v>0.95</v>
      </c>
      <c r="F51">
        <v>0.95</v>
      </c>
      <c r="G51">
        <v>153.19999999999999</v>
      </c>
      <c r="H51">
        <v>458.8</v>
      </c>
      <c r="I51">
        <f>Cambium22_MidCase_annual_gea!BU51</f>
        <v>342392860</v>
      </c>
      <c r="J51">
        <f>Cambium22_MidCase_annual_gea!BZ51</f>
        <v>18926190</v>
      </c>
      <c r="K51">
        <f>SUM(Cambium22_MidCase_annual_gea!BX51,Cambium22_MidCase_annual_gea!BY51)</f>
        <v>662207</v>
      </c>
      <c r="L51">
        <f t="shared" si="5"/>
        <v>322804463</v>
      </c>
      <c r="M51">
        <f>SUM(Cambium22_MidCase_annual_gea!CA51,Cambium22_MidCase_annual_gea!CB51)</f>
        <v>13734346</v>
      </c>
      <c r="N51">
        <f>SUM(Cambium22_MidCase_annual_gea!CE51,Cambium22_MidCase_annual_gea!CF51,Cambium22_MidCase_annual_gea!CG51)</f>
        <v>3889782.1</v>
      </c>
      <c r="O51">
        <f>Cambium22_MidCase_annual_gea!CK51</f>
        <v>26195.599999999999</v>
      </c>
      <c r="P51">
        <f>Cambium22_MidCase_annual_gea!CJ51</f>
        <v>11340396</v>
      </c>
      <c r="Y51">
        <v>342392860</v>
      </c>
      <c r="Z51">
        <v>273982980</v>
      </c>
      <c r="AA51">
        <v>9451142</v>
      </c>
      <c r="AB51">
        <v>662207</v>
      </c>
      <c r="AC51">
        <v>0</v>
      </c>
      <c r="AD51">
        <v>18926190</v>
      </c>
      <c r="AE51">
        <v>13734346</v>
      </c>
      <c r="AF51">
        <v>0</v>
      </c>
      <c r="AG51">
        <v>0</v>
      </c>
      <c r="AH51">
        <v>6179694</v>
      </c>
      <c r="AI51">
        <v>3862182</v>
      </c>
      <c r="AJ51">
        <v>0</v>
      </c>
      <c r="AK51">
        <v>27600.1</v>
      </c>
      <c r="AL51">
        <v>0</v>
      </c>
      <c r="AM51">
        <v>10379643</v>
      </c>
      <c r="AN51">
        <v>11340396</v>
      </c>
      <c r="AO51">
        <v>26195.599999999999</v>
      </c>
      <c r="AP51">
        <v>0</v>
      </c>
      <c r="AQ51">
        <v>0</v>
      </c>
      <c r="AR51">
        <v>48780900</v>
      </c>
      <c r="AS51">
        <v>219022370</v>
      </c>
      <c r="AT51">
        <v>0</v>
      </c>
    </row>
    <row r="52" spans="1:46" x14ac:dyDescent="0.3">
      <c r="A52" t="s">
        <v>6</v>
      </c>
      <c r="B52" t="s">
        <v>7</v>
      </c>
      <c r="C52" t="s">
        <v>159</v>
      </c>
      <c r="D52">
        <v>2040</v>
      </c>
      <c r="E52">
        <v>0.97</v>
      </c>
      <c r="F52">
        <v>0.97</v>
      </c>
      <c r="G52">
        <v>176.2</v>
      </c>
      <c r="H52">
        <v>386.3</v>
      </c>
      <c r="I52">
        <f>Cambium22_MidCase_annual_gea!BU52</f>
        <v>370737100</v>
      </c>
      <c r="J52">
        <f>Cambium22_MidCase_annual_gea!BZ52</f>
        <v>19024540</v>
      </c>
      <c r="K52">
        <f>SUM(Cambium22_MidCase_annual_gea!BX52,Cambium22_MidCase_annual_gea!BY52)</f>
        <v>630517.19999999995</v>
      </c>
      <c r="L52">
        <f t="shared" si="5"/>
        <v>351082042.80000001</v>
      </c>
      <c r="M52">
        <f>SUM(Cambium22_MidCase_annual_gea!CA52,Cambium22_MidCase_annual_gea!CB52)</f>
        <v>9696122</v>
      </c>
      <c r="N52">
        <f>SUM(Cambium22_MidCase_annual_gea!CE52,Cambium22_MidCase_annual_gea!CF52,Cambium22_MidCase_annual_gea!CG52)</f>
        <v>2782262.6</v>
      </c>
      <c r="O52">
        <f>Cambium22_MidCase_annual_gea!CK52</f>
        <v>16130.2</v>
      </c>
      <c r="P52">
        <f>Cambium22_MidCase_annual_gea!CJ52</f>
        <v>11082539</v>
      </c>
      <c r="Y52">
        <v>370737100</v>
      </c>
      <c r="Z52">
        <v>304503200</v>
      </c>
      <c r="AA52">
        <v>13191828</v>
      </c>
      <c r="AB52">
        <v>630517.19999999995</v>
      </c>
      <c r="AC52">
        <v>0</v>
      </c>
      <c r="AD52">
        <v>19024540</v>
      </c>
      <c r="AE52">
        <v>9696122</v>
      </c>
      <c r="AF52">
        <v>0</v>
      </c>
      <c r="AG52">
        <v>0</v>
      </c>
      <c r="AH52">
        <v>6570208.5</v>
      </c>
      <c r="AI52">
        <v>2767042</v>
      </c>
      <c r="AJ52">
        <v>0</v>
      </c>
      <c r="AK52">
        <v>15220.6</v>
      </c>
      <c r="AL52">
        <v>0</v>
      </c>
      <c r="AM52">
        <v>9809969</v>
      </c>
      <c r="AN52">
        <v>11082539</v>
      </c>
      <c r="AO52">
        <v>16130.2</v>
      </c>
      <c r="AP52">
        <v>0</v>
      </c>
      <c r="AQ52">
        <v>0</v>
      </c>
      <c r="AR52">
        <v>61231564</v>
      </c>
      <c r="AS52">
        <v>236701400</v>
      </c>
      <c r="AT52">
        <v>0</v>
      </c>
    </row>
    <row r="53" spans="1:46" x14ac:dyDescent="0.3">
      <c r="A53" t="s">
        <v>6</v>
      </c>
      <c r="B53" t="s">
        <v>7</v>
      </c>
      <c r="C53" t="s">
        <v>159</v>
      </c>
      <c r="D53">
        <v>2045</v>
      </c>
      <c r="E53">
        <v>0.97</v>
      </c>
      <c r="F53">
        <v>0.97</v>
      </c>
      <c r="G53">
        <v>179.7</v>
      </c>
      <c r="H53">
        <v>366.5</v>
      </c>
      <c r="I53">
        <f>Cambium22_MidCase_annual_gea!BU53</f>
        <v>379137660</v>
      </c>
      <c r="J53">
        <f>Cambium22_MidCase_annual_gea!BZ53</f>
        <v>19209920</v>
      </c>
      <c r="K53">
        <f>SUM(Cambium22_MidCase_annual_gea!BX53,Cambium22_MidCase_annual_gea!BY53)</f>
        <v>629948.30000000005</v>
      </c>
      <c r="L53">
        <f t="shared" si="5"/>
        <v>359297791.69999999</v>
      </c>
      <c r="M53">
        <f>SUM(Cambium22_MidCase_annual_gea!CA53,Cambium22_MidCase_annual_gea!CB53)</f>
        <v>8908457</v>
      </c>
      <c r="N53">
        <f>SUM(Cambium22_MidCase_annual_gea!CE53,Cambium22_MidCase_annual_gea!CF53,Cambium22_MidCase_annual_gea!CG53)</f>
        <v>3853154.4000000004</v>
      </c>
      <c r="O53">
        <f>Cambium22_MidCase_annual_gea!CK53</f>
        <v>13.9</v>
      </c>
      <c r="P53">
        <f>Cambium22_MidCase_annual_gea!CJ53</f>
        <v>954196.8</v>
      </c>
      <c r="Y53">
        <v>379137660</v>
      </c>
      <c r="Z53">
        <v>320685380</v>
      </c>
      <c r="AA53">
        <v>15182178</v>
      </c>
      <c r="AB53">
        <v>629948.30000000005</v>
      </c>
      <c r="AC53">
        <v>0</v>
      </c>
      <c r="AD53">
        <v>19209920</v>
      </c>
      <c r="AE53">
        <v>8908457</v>
      </c>
      <c r="AF53">
        <v>0</v>
      </c>
      <c r="AG53">
        <v>0</v>
      </c>
      <c r="AH53">
        <v>7052172</v>
      </c>
      <c r="AI53">
        <v>3735263.2</v>
      </c>
      <c r="AJ53">
        <v>0</v>
      </c>
      <c r="AK53">
        <v>117891.2</v>
      </c>
      <c r="AL53">
        <v>0</v>
      </c>
      <c r="AM53">
        <v>9714425</v>
      </c>
      <c r="AN53">
        <v>954196.8</v>
      </c>
      <c r="AO53">
        <v>13.9</v>
      </c>
      <c r="AP53">
        <v>0</v>
      </c>
      <c r="AQ53">
        <v>0</v>
      </c>
      <c r="AR53">
        <v>70732696</v>
      </c>
      <c r="AS53">
        <v>242900510</v>
      </c>
      <c r="AT53">
        <v>0</v>
      </c>
    </row>
    <row r="54" spans="1:46" x14ac:dyDescent="0.3">
      <c r="A54" t="s">
        <v>6</v>
      </c>
      <c r="B54" t="s">
        <v>7</v>
      </c>
      <c r="C54" t="s">
        <v>159</v>
      </c>
      <c r="D54">
        <v>2050</v>
      </c>
      <c r="E54">
        <v>0.97</v>
      </c>
      <c r="F54">
        <v>0.97</v>
      </c>
      <c r="G54">
        <v>183.2</v>
      </c>
      <c r="H54">
        <v>341.9</v>
      </c>
      <c r="I54">
        <f>Cambium22_MidCase_annual_gea!BU54</f>
        <v>405100400</v>
      </c>
      <c r="J54">
        <f>Cambium22_MidCase_annual_gea!BZ54</f>
        <v>19306928</v>
      </c>
      <c r="K54">
        <f>SUM(Cambium22_MidCase_annual_gea!BX54,Cambium22_MidCase_annual_gea!BY54)</f>
        <v>372115</v>
      </c>
      <c r="L54">
        <f t="shared" si="5"/>
        <v>385421357</v>
      </c>
      <c r="M54">
        <f>SUM(Cambium22_MidCase_annual_gea!CA54,Cambium22_MidCase_annual_gea!CB54)</f>
        <v>7199694.5</v>
      </c>
      <c r="N54">
        <f>SUM(Cambium22_MidCase_annual_gea!CE54,Cambium22_MidCase_annual_gea!CF54,Cambium22_MidCase_annual_gea!CG54)</f>
        <v>4828206.7</v>
      </c>
      <c r="O54">
        <f>Cambium22_MidCase_annual_gea!CK54</f>
        <v>0</v>
      </c>
      <c r="P54">
        <f>Cambium22_MidCase_annual_gea!CJ54</f>
        <v>0</v>
      </c>
      <c r="Y54">
        <v>405100400</v>
      </c>
      <c r="Z54">
        <v>346778340</v>
      </c>
      <c r="AA54">
        <v>17077694</v>
      </c>
      <c r="AB54">
        <v>372115</v>
      </c>
      <c r="AC54">
        <v>0</v>
      </c>
      <c r="AD54">
        <v>19306928</v>
      </c>
      <c r="AE54">
        <v>7199694.5</v>
      </c>
      <c r="AF54">
        <v>0</v>
      </c>
      <c r="AG54">
        <v>0</v>
      </c>
      <c r="AH54">
        <v>7444001.5</v>
      </c>
      <c r="AI54">
        <v>4592516</v>
      </c>
      <c r="AJ54">
        <v>0</v>
      </c>
      <c r="AK54">
        <v>235690.7</v>
      </c>
      <c r="AL54">
        <v>0</v>
      </c>
      <c r="AM54">
        <v>9537465</v>
      </c>
      <c r="AN54">
        <v>0</v>
      </c>
      <c r="AO54">
        <v>0</v>
      </c>
      <c r="AP54">
        <v>0</v>
      </c>
      <c r="AQ54">
        <v>0</v>
      </c>
      <c r="AR54">
        <v>88750360</v>
      </c>
      <c r="AS54">
        <v>250583970</v>
      </c>
      <c r="AT54">
        <v>0</v>
      </c>
    </row>
    <row r="55" spans="1:46" x14ac:dyDescent="0.3">
      <c r="A55" t="s">
        <v>6</v>
      </c>
      <c r="B55" t="s">
        <v>7</v>
      </c>
      <c r="C55" t="s">
        <v>160</v>
      </c>
      <c r="D55">
        <v>2024</v>
      </c>
      <c r="E55">
        <v>0.7</v>
      </c>
      <c r="F55">
        <v>0.69</v>
      </c>
      <c r="G55">
        <v>367.4</v>
      </c>
      <c r="H55">
        <v>758.2</v>
      </c>
      <c r="I55">
        <f>Cambium22_MidCase_annual_gea!BU55</f>
        <v>130210640</v>
      </c>
      <c r="J55">
        <f>Cambium22_MidCase_annual_gea!BZ55</f>
        <v>25291684</v>
      </c>
      <c r="K55">
        <f>SUM(Cambium22_MidCase_annual_gea!BX55,Cambium22_MidCase_annual_gea!BY55)</f>
        <v>6460556.5</v>
      </c>
      <c r="L55">
        <f t="shared" si="5"/>
        <v>98458399.5</v>
      </c>
      <c r="M55">
        <f>SUM(Cambium22_MidCase_annual_gea!CA55,Cambium22_MidCase_annual_gea!CB55)</f>
        <v>308564.2</v>
      </c>
      <c r="N55">
        <f>SUM(Cambium22_MidCase_annual_gea!CE55,Cambium22_MidCase_annual_gea!CF55,Cambium22_MidCase_annual_gea!CG55)</f>
        <v>38981093.399999999</v>
      </c>
      <c r="O55">
        <f>Cambium22_MidCase_annual_gea!CK55</f>
        <v>29147.599999999999</v>
      </c>
      <c r="P55">
        <f>Cambium22_MidCase_annual_gea!CJ55</f>
        <v>26513462</v>
      </c>
      <c r="Y55">
        <v>130210640</v>
      </c>
      <c r="Z55">
        <v>23267522</v>
      </c>
      <c r="AA55">
        <v>102804.6</v>
      </c>
      <c r="AB55">
        <v>6460556.5</v>
      </c>
      <c r="AC55">
        <v>0</v>
      </c>
      <c r="AD55">
        <v>25291684</v>
      </c>
      <c r="AE55">
        <v>308564.2</v>
      </c>
      <c r="AF55">
        <v>0</v>
      </c>
      <c r="AG55">
        <v>0</v>
      </c>
      <c r="AH55">
        <v>5799717.5</v>
      </c>
      <c r="AI55">
        <v>38884492</v>
      </c>
      <c r="AJ55">
        <v>0</v>
      </c>
      <c r="AK55">
        <v>96601.4</v>
      </c>
      <c r="AL55">
        <v>0</v>
      </c>
      <c r="AM55">
        <v>7545445.5</v>
      </c>
      <c r="AN55">
        <v>26513462</v>
      </c>
      <c r="AO55">
        <v>29147.599999999999</v>
      </c>
      <c r="AP55">
        <v>1710360.8</v>
      </c>
      <c r="AQ55">
        <v>0</v>
      </c>
      <c r="AR55">
        <v>5497026</v>
      </c>
      <c r="AS55">
        <v>6043843</v>
      </c>
      <c r="AT55">
        <v>5926936</v>
      </c>
    </row>
    <row r="56" spans="1:46" x14ac:dyDescent="0.3">
      <c r="A56" t="s">
        <v>6</v>
      </c>
      <c r="B56" t="s">
        <v>7</v>
      </c>
      <c r="C56" t="s">
        <v>160</v>
      </c>
      <c r="D56">
        <v>2026</v>
      </c>
      <c r="E56">
        <v>0.71</v>
      </c>
      <c r="F56">
        <v>0.71</v>
      </c>
      <c r="G56">
        <v>322.10000000000002</v>
      </c>
      <c r="H56">
        <v>707.2</v>
      </c>
      <c r="I56">
        <f>Cambium22_MidCase_annual_gea!BU56</f>
        <v>138127820</v>
      </c>
      <c r="J56">
        <f>Cambium22_MidCase_annual_gea!BZ56</f>
        <v>24597320</v>
      </c>
      <c r="K56">
        <f>SUM(Cambium22_MidCase_annual_gea!BX56,Cambium22_MidCase_annual_gea!BY56)</f>
        <v>6460120</v>
      </c>
      <c r="L56">
        <f t="shared" si="5"/>
        <v>107070380</v>
      </c>
      <c r="M56">
        <f>SUM(Cambium22_MidCase_annual_gea!CA56,Cambium22_MidCase_annual_gea!CB56)</f>
        <v>155105.4</v>
      </c>
      <c r="N56">
        <f>SUM(Cambium22_MidCase_annual_gea!CE56,Cambium22_MidCase_annual_gea!CF56,Cambium22_MidCase_annual_gea!CG56)</f>
        <v>40334818</v>
      </c>
      <c r="O56">
        <f>Cambium22_MidCase_annual_gea!CK56</f>
        <v>29147.9</v>
      </c>
      <c r="P56">
        <f>Cambium22_MidCase_annual_gea!CJ56</f>
        <v>26463058</v>
      </c>
      <c r="Y56">
        <v>138127820</v>
      </c>
      <c r="Z56">
        <v>30704980</v>
      </c>
      <c r="AA56">
        <v>129960.1</v>
      </c>
      <c r="AB56">
        <v>6460120</v>
      </c>
      <c r="AC56">
        <v>0</v>
      </c>
      <c r="AD56">
        <v>24597320</v>
      </c>
      <c r="AE56">
        <v>155105.4</v>
      </c>
      <c r="AF56">
        <v>0</v>
      </c>
      <c r="AG56">
        <v>0</v>
      </c>
      <c r="AH56">
        <v>6513414</v>
      </c>
      <c r="AI56">
        <v>40228570</v>
      </c>
      <c r="AJ56">
        <v>0</v>
      </c>
      <c r="AK56">
        <v>106248</v>
      </c>
      <c r="AL56">
        <v>0</v>
      </c>
      <c r="AM56">
        <v>7538838.5</v>
      </c>
      <c r="AN56">
        <v>26463058</v>
      </c>
      <c r="AO56">
        <v>29147.9</v>
      </c>
      <c r="AP56">
        <v>1714472.8</v>
      </c>
      <c r="AQ56">
        <v>0</v>
      </c>
      <c r="AR56">
        <v>5668230</v>
      </c>
      <c r="AS56">
        <v>6416181.5</v>
      </c>
      <c r="AT56">
        <v>12107156</v>
      </c>
    </row>
    <row r="57" spans="1:46" x14ac:dyDescent="0.3">
      <c r="A57" t="s">
        <v>6</v>
      </c>
      <c r="B57" t="s">
        <v>7</v>
      </c>
      <c r="C57" t="s">
        <v>160</v>
      </c>
      <c r="D57">
        <v>2028</v>
      </c>
      <c r="E57">
        <v>0.73</v>
      </c>
      <c r="F57">
        <v>0.73</v>
      </c>
      <c r="G57">
        <v>276.39999999999998</v>
      </c>
      <c r="H57">
        <v>644.4</v>
      </c>
      <c r="I57">
        <f>Cambium22_MidCase_annual_gea!BU57</f>
        <v>145698220</v>
      </c>
      <c r="J57">
        <f>Cambium22_MidCase_annual_gea!BZ57</f>
        <v>24314008</v>
      </c>
      <c r="K57">
        <f>SUM(Cambium22_MidCase_annual_gea!BX57,Cambium22_MidCase_annual_gea!BY57)</f>
        <v>6436005.5</v>
      </c>
      <c r="L57">
        <f t="shared" si="5"/>
        <v>114948206.5</v>
      </c>
      <c r="M57">
        <f>SUM(Cambium22_MidCase_annual_gea!CA57,Cambium22_MidCase_annual_gea!CB57)</f>
        <v>1853.7</v>
      </c>
      <c r="N57">
        <f>SUM(Cambium22_MidCase_annual_gea!CE57,Cambium22_MidCase_annual_gea!CF57,Cambium22_MidCase_annual_gea!CG57)</f>
        <v>39073399.399999999</v>
      </c>
      <c r="O57">
        <f>Cambium22_MidCase_annual_gea!CK57</f>
        <v>37834.6</v>
      </c>
      <c r="P57">
        <f>Cambium22_MidCase_annual_gea!CJ57</f>
        <v>26311200</v>
      </c>
      <c r="Y57">
        <v>145698220</v>
      </c>
      <c r="Z57">
        <v>39160436</v>
      </c>
      <c r="AA57">
        <v>872755.8</v>
      </c>
      <c r="AB57">
        <v>6436005.5</v>
      </c>
      <c r="AC57">
        <v>0</v>
      </c>
      <c r="AD57">
        <v>24314008</v>
      </c>
      <c r="AE57">
        <v>1853.7</v>
      </c>
      <c r="AF57">
        <v>0</v>
      </c>
      <c r="AG57">
        <v>0</v>
      </c>
      <c r="AH57">
        <v>7252269</v>
      </c>
      <c r="AI57">
        <v>38988096</v>
      </c>
      <c r="AJ57">
        <v>0</v>
      </c>
      <c r="AK57">
        <v>85303.4</v>
      </c>
      <c r="AL57">
        <v>0</v>
      </c>
      <c r="AM57">
        <v>7501107</v>
      </c>
      <c r="AN57">
        <v>26311200</v>
      </c>
      <c r="AO57">
        <v>37834.6</v>
      </c>
      <c r="AP57">
        <v>1989616.6</v>
      </c>
      <c r="AQ57">
        <v>0</v>
      </c>
      <c r="AR57">
        <v>5959445.5</v>
      </c>
      <c r="AS57">
        <v>7337866.5</v>
      </c>
      <c r="AT57">
        <v>18610858</v>
      </c>
    </row>
    <row r="58" spans="1:46" x14ac:dyDescent="0.3">
      <c r="A58" t="s">
        <v>6</v>
      </c>
      <c r="B58" t="s">
        <v>7</v>
      </c>
      <c r="C58" t="s">
        <v>160</v>
      </c>
      <c r="D58">
        <v>2030</v>
      </c>
      <c r="E58">
        <v>0.77</v>
      </c>
      <c r="F58">
        <v>0.76</v>
      </c>
      <c r="G58">
        <v>246.9</v>
      </c>
      <c r="H58">
        <v>606.79999999999995</v>
      </c>
      <c r="I58">
        <f>Cambium22_MidCase_annual_gea!BU58</f>
        <v>148870060</v>
      </c>
      <c r="J58">
        <f>Cambium22_MidCase_annual_gea!BZ58</f>
        <v>23872054</v>
      </c>
      <c r="K58">
        <f>SUM(Cambium22_MidCase_annual_gea!BX58,Cambium22_MidCase_annual_gea!BY58)</f>
        <v>5675408.5</v>
      </c>
      <c r="L58">
        <f t="shared" si="5"/>
        <v>119322597.5</v>
      </c>
      <c r="M58">
        <f>SUM(Cambium22_MidCase_annual_gea!CA58,Cambium22_MidCase_annual_gea!CB58)</f>
        <v>0</v>
      </c>
      <c r="N58">
        <f>SUM(Cambium22_MidCase_annual_gea!CE58,Cambium22_MidCase_annual_gea!CF58,Cambium22_MidCase_annual_gea!CG58)</f>
        <v>34273736.600000001</v>
      </c>
      <c r="O58">
        <f>Cambium22_MidCase_annual_gea!CK58</f>
        <v>28349.5</v>
      </c>
      <c r="P58">
        <f>Cambium22_MidCase_annual_gea!CJ58</f>
        <v>26081988</v>
      </c>
      <c r="Y58">
        <v>148870060</v>
      </c>
      <c r="Z58">
        <v>47420056</v>
      </c>
      <c r="AA58">
        <v>1863237.2</v>
      </c>
      <c r="AB58">
        <v>5675408.5</v>
      </c>
      <c r="AC58">
        <v>0</v>
      </c>
      <c r="AD58">
        <v>23872054</v>
      </c>
      <c r="AE58">
        <v>0</v>
      </c>
      <c r="AF58">
        <v>0</v>
      </c>
      <c r="AG58">
        <v>0</v>
      </c>
      <c r="AH58">
        <v>8248931</v>
      </c>
      <c r="AI58">
        <v>34189610</v>
      </c>
      <c r="AJ58">
        <v>0</v>
      </c>
      <c r="AK58">
        <v>84126.6</v>
      </c>
      <c r="AL58">
        <v>0</v>
      </c>
      <c r="AM58">
        <v>7493241.5</v>
      </c>
      <c r="AN58">
        <v>26081988</v>
      </c>
      <c r="AO58">
        <v>28349.5</v>
      </c>
      <c r="AP58">
        <v>2161989.7999999998</v>
      </c>
      <c r="AQ58">
        <v>0</v>
      </c>
      <c r="AR58">
        <v>6312323</v>
      </c>
      <c r="AS58">
        <v>10313039</v>
      </c>
      <c r="AT58">
        <v>22545760</v>
      </c>
    </row>
    <row r="59" spans="1:46" x14ac:dyDescent="0.3">
      <c r="A59" t="s">
        <v>6</v>
      </c>
      <c r="B59" t="s">
        <v>7</v>
      </c>
      <c r="C59" t="s">
        <v>160</v>
      </c>
      <c r="D59">
        <v>2035</v>
      </c>
      <c r="E59">
        <v>0.81</v>
      </c>
      <c r="F59">
        <v>0.81</v>
      </c>
      <c r="G59">
        <v>228.7</v>
      </c>
      <c r="H59">
        <v>558.29999999999995</v>
      </c>
      <c r="I59">
        <f>Cambium22_MidCase_annual_gea!BU59</f>
        <v>150085440</v>
      </c>
      <c r="J59">
        <f>Cambium22_MidCase_annual_gea!BZ59</f>
        <v>21660106</v>
      </c>
      <c r="K59">
        <f>SUM(Cambium22_MidCase_annual_gea!BX59,Cambium22_MidCase_annual_gea!BY59)</f>
        <v>3715485.5</v>
      </c>
      <c r="L59">
        <f t="shared" si="5"/>
        <v>124709848.5</v>
      </c>
      <c r="M59">
        <f>SUM(Cambium22_MidCase_annual_gea!CA59,Cambium22_MidCase_annual_gea!CB59)</f>
        <v>1853.7</v>
      </c>
      <c r="N59">
        <f>SUM(Cambium22_MidCase_annual_gea!CE59,Cambium22_MidCase_annual_gea!CF59,Cambium22_MidCase_annual_gea!CG59)</f>
        <v>28259400.899999999</v>
      </c>
      <c r="O59">
        <f>Cambium22_MidCase_annual_gea!CK59</f>
        <v>28500.5</v>
      </c>
      <c r="P59">
        <f>Cambium22_MidCase_annual_gea!CJ59</f>
        <v>25842428</v>
      </c>
      <c r="Y59">
        <v>150085440</v>
      </c>
      <c r="Z59">
        <v>57853830</v>
      </c>
      <c r="AA59">
        <v>3268978</v>
      </c>
      <c r="AB59">
        <v>3715485.5</v>
      </c>
      <c r="AC59">
        <v>0</v>
      </c>
      <c r="AD59">
        <v>21660106</v>
      </c>
      <c r="AE59">
        <v>1853.7</v>
      </c>
      <c r="AF59">
        <v>0</v>
      </c>
      <c r="AG59">
        <v>0</v>
      </c>
      <c r="AH59">
        <v>9285512</v>
      </c>
      <c r="AI59">
        <v>27953834</v>
      </c>
      <c r="AJ59">
        <v>0</v>
      </c>
      <c r="AK59">
        <v>305566.90000000002</v>
      </c>
      <c r="AL59">
        <v>0</v>
      </c>
      <c r="AM59">
        <v>7366241</v>
      </c>
      <c r="AN59">
        <v>25842428</v>
      </c>
      <c r="AO59">
        <v>28500.5</v>
      </c>
      <c r="AP59">
        <v>2088614.4</v>
      </c>
      <c r="AQ59">
        <v>0</v>
      </c>
      <c r="AR59">
        <v>6183551.5</v>
      </c>
      <c r="AS59">
        <v>10179249</v>
      </c>
      <c r="AT59">
        <v>32205516</v>
      </c>
    </row>
    <row r="60" spans="1:46" x14ac:dyDescent="0.3">
      <c r="A60" t="s">
        <v>6</v>
      </c>
      <c r="B60" t="s">
        <v>7</v>
      </c>
      <c r="C60" t="s">
        <v>160</v>
      </c>
      <c r="D60">
        <v>2040</v>
      </c>
      <c r="E60">
        <v>0.81</v>
      </c>
      <c r="F60">
        <v>0.81</v>
      </c>
      <c r="G60">
        <v>212.7</v>
      </c>
      <c r="H60">
        <v>540.5</v>
      </c>
      <c r="I60">
        <f>Cambium22_MidCase_annual_gea!BU60</f>
        <v>152496780</v>
      </c>
      <c r="J60">
        <f>Cambium22_MidCase_annual_gea!BZ60</f>
        <v>20470698</v>
      </c>
      <c r="K60">
        <f>SUM(Cambium22_MidCase_annual_gea!BX60,Cambium22_MidCase_annual_gea!BY60)</f>
        <v>3156590</v>
      </c>
      <c r="L60">
        <f t="shared" si="5"/>
        <v>128869492</v>
      </c>
      <c r="M60">
        <f>SUM(Cambium22_MidCase_annual_gea!CA60,Cambium22_MidCase_annual_gea!CB60)</f>
        <v>0</v>
      </c>
      <c r="N60">
        <f>SUM(Cambium22_MidCase_annual_gea!CE60,Cambium22_MidCase_annual_gea!CF60,Cambium22_MidCase_annual_gea!CG60)</f>
        <v>29440320</v>
      </c>
      <c r="O60">
        <f>Cambium22_MidCase_annual_gea!CK60</f>
        <v>23706.6</v>
      </c>
      <c r="P60">
        <f>Cambium22_MidCase_annual_gea!CJ60</f>
        <v>25831508</v>
      </c>
      <c r="Y60">
        <v>152496780</v>
      </c>
      <c r="Z60">
        <v>58122970</v>
      </c>
      <c r="AA60">
        <v>6057572</v>
      </c>
      <c r="AB60">
        <v>3156590</v>
      </c>
      <c r="AC60">
        <v>0</v>
      </c>
      <c r="AD60">
        <v>20470698</v>
      </c>
      <c r="AE60">
        <v>0</v>
      </c>
      <c r="AF60">
        <v>0</v>
      </c>
      <c r="AG60">
        <v>0</v>
      </c>
      <c r="AH60">
        <v>9303164</v>
      </c>
      <c r="AI60">
        <v>28268806</v>
      </c>
      <c r="AJ60">
        <v>0</v>
      </c>
      <c r="AK60">
        <v>1171514</v>
      </c>
      <c r="AL60">
        <v>0</v>
      </c>
      <c r="AM60">
        <v>7346872</v>
      </c>
      <c r="AN60">
        <v>25831508</v>
      </c>
      <c r="AO60">
        <v>23706.6</v>
      </c>
      <c r="AP60">
        <v>2046555.6</v>
      </c>
      <c r="AQ60">
        <v>0</v>
      </c>
      <c r="AR60">
        <v>6970210.5</v>
      </c>
      <c r="AS60">
        <v>10074486</v>
      </c>
      <c r="AT60">
        <v>31775108</v>
      </c>
    </row>
    <row r="61" spans="1:46" x14ac:dyDescent="0.3">
      <c r="A61" t="s">
        <v>6</v>
      </c>
      <c r="B61" t="s">
        <v>7</v>
      </c>
      <c r="C61" t="s">
        <v>160</v>
      </c>
      <c r="D61">
        <v>2045</v>
      </c>
      <c r="E61">
        <v>0.78</v>
      </c>
      <c r="F61">
        <v>0.79</v>
      </c>
      <c r="G61">
        <v>194</v>
      </c>
      <c r="H61">
        <v>560.5</v>
      </c>
      <c r="I61">
        <f>Cambium22_MidCase_annual_gea!BU61</f>
        <v>162950900</v>
      </c>
      <c r="J61">
        <f>Cambium22_MidCase_annual_gea!BZ61</f>
        <v>20507206</v>
      </c>
      <c r="K61">
        <f>SUM(Cambium22_MidCase_annual_gea!BX61,Cambium22_MidCase_annual_gea!BY61)</f>
        <v>3209516</v>
      </c>
      <c r="L61">
        <f t="shared" si="5"/>
        <v>139234178</v>
      </c>
      <c r="M61">
        <f>SUM(Cambium22_MidCase_annual_gea!CA61,Cambium22_MidCase_annual_gea!CB61)</f>
        <v>0</v>
      </c>
      <c r="N61">
        <f>SUM(Cambium22_MidCase_annual_gea!CE61,Cambium22_MidCase_annual_gea!CF61,Cambium22_MidCase_annual_gea!CG61)</f>
        <v>35479467.200000003</v>
      </c>
      <c r="O61">
        <f>Cambium22_MidCase_annual_gea!CK61</f>
        <v>11025.6</v>
      </c>
      <c r="P61">
        <f>Cambium22_MidCase_annual_gea!CJ61</f>
        <v>25994922</v>
      </c>
      <c r="Y61">
        <v>162950900</v>
      </c>
      <c r="Z61">
        <v>60343296</v>
      </c>
      <c r="AA61">
        <v>8100487</v>
      </c>
      <c r="AB61">
        <v>3209516</v>
      </c>
      <c r="AC61">
        <v>0</v>
      </c>
      <c r="AD61">
        <v>20507206</v>
      </c>
      <c r="AE61">
        <v>0</v>
      </c>
      <c r="AF61">
        <v>0</v>
      </c>
      <c r="AG61">
        <v>0</v>
      </c>
      <c r="AH61">
        <v>9455518</v>
      </c>
      <c r="AI61">
        <v>33833896</v>
      </c>
      <c r="AJ61">
        <v>0</v>
      </c>
      <c r="AK61">
        <v>1645571.2</v>
      </c>
      <c r="AL61">
        <v>0</v>
      </c>
      <c r="AM61">
        <v>7425887</v>
      </c>
      <c r="AN61">
        <v>25994922</v>
      </c>
      <c r="AO61">
        <v>11025.6</v>
      </c>
      <c r="AP61">
        <v>1879080.4</v>
      </c>
      <c r="AQ61">
        <v>0</v>
      </c>
      <c r="AR61">
        <v>8706681</v>
      </c>
      <c r="AS61">
        <v>10832036</v>
      </c>
      <c r="AT61">
        <v>31349060</v>
      </c>
    </row>
    <row r="62" spans="1:46" x14ac:dyDescent="0.3">
      <c r="A62" t="s">
        <v>6</v>
      </c>
      <c r="B62" t="s">
        <v>7</v>
      </c>
      <c r="C62" t="s">
        <v>160</v>
      </c>
      <c r="D62">
        <v>2050</v>
      </c>
      <c r="E62">
        <v>0.79</v>
      </c>
      <c r="F62">
        <v>0.79</v>
      </c>
      <c r="G62">
        <v>182.8</v>
      </c>
      <c r="H62">
        <v>552.5</v>
      </c>
      <c r="I62">
        <f>Cambium22_MidCase_annual_gea!BU62</f>
        <v>177133400</v>
      </c>
      <c r="J62">
        <f>Cambium22_MidCase_annual_gea!BZ62</f>
        <v>20503488</v>
      </c>
      <c r="K62">
        <f>SUM(Cambium22_MidCase_annual_gea!BX62,Cambium22_MidCase_annual_gea!BY62)</f>
        <v>3117859</v>
      </c>
      <c r="L62">
        <f t="shared" si="5"/>
        <v>153512053</v>
      </c>
      <c r="M62">
        <f>SUM(Cambium22_MidCase_annual_gea!CA62,Cambium22_MidCase_annual_gea!CB62)</f>
        <v>0</v>
      </c>
      <c r="N62">
        <f>SUM(Cambium22_MidCase_annual_gea!CE62,Cambium22_MidCase_annual_gea!CF62,Cambium22_MidCase_annual_gea!CG62)</f>
        <v>37643808.799999997</v>
      </c>
      <c r="O62">
        <f>Cambium22_MidCase_annual_gea!CK62</f>
        <v>7051.2</v>
      </c>
      <c r="P62">
        <f>Cambium22_MidCase_annual_gea!CJ62</f>
        <v>25748554</v>
      </c>
      <c r="Y62">
        <v>177133400</v>
      </c>
      <c r="Z62">
        <v>70696960</v>
      </c>
      <c r="AA62">
        <v>10015959</v>
      </c>
      <c r="AB62">
        <v>3117859</v>
      </c>
      <c r="AC62">
        <v>0</v>
      </c>
      <c r="AD62">
        <v>20503488</v>
      </c>
      <c r="AE62">
        <v>0</v>
      </c>
      <c r="AF62">
        <v>0</v>
      </c>
      <c r="AG62">
        <v>0</v>
      </c>
      <c r="AH62">
        <v>9722595</v>
      </c>
      <c r="AI62">
        <v>35079508</v>
      </c>
      <c r="AJ62">
        <v>0</v>
      </c>
      <c r="AK62">
        <v>2564300.7999999998</v>
      </c>
      <c r="AL62">
        <v>0</v>
      </c>
      <c r="AM62">
        <v>7258913.5</v>
      </c>
      <c r="AN62">
        <v>25748554</v>
      </c>
      <c r="AO62">
        <v>7051.2</v>
      </c>
      <c r="AP62">
        <v>2140811.2000000002</v>
      </c>
      <c r="AQ62">
        <v>0</v>
      </c>
      <c r="AR62">
        <v>15179402</v>
      </c>
      <c r="AS62">
        <v>14836563</v>
      </c>
      <c r="AT62">
        <v>30958396</v>
      </c>
    </row>
    <row r="63" spans="1:46" x14ac:dyDescent="0.3">
      <c r="A63" t="s">
        <v>6</v>
      </c>
      <c r="B63" t="s">
        <v>7</v>
      </c>
      <c r="C63" t="s">
        <v>161</v>
      </c>
      <c r="D63">
        <v>2024</v>
      </c>
      <c r="E63">
        <v>0.76</v>
      </c>
      <c r="F63">
        <v>0.76</v>
      </c>
      <c r="G63">
        <v>333.9</v>
      </c>
      <c r="H63">
        <v>793.8</v>
      </c>
      <c r="I63">
        <f>Cambium22_MidCase_annual_gea!BU63</f>
        <v>289099620</v>
      </c>
      <c r="J63">
        <f>Cambium22_MidCase_annual_gea!BZ63</f>
        <v>8768596</v>
      </c>
      <c r="K63">
        <f>SUM(Cambium22_MidCase_annual_gea!BX63,Cambium22_MidCase_annual_gea!BY63)</f>
        <v>1895702.2</v>
      </c>
      <c r="L63">
        <f t="shared" si="5"/>
        <v>278435321.80000001</v>
      </c>
      <c r="M63">
        <f>SUM(Cambium22_MidCase_annual_gea!CA63,Cambium22_MidCase_annual_gea!CB63)</f>
        <v>39999676</v>
      </c>
      <c r="N63">
        <f>SUM(Cambium22_MidCase_annual_gea!CE63,Cambium22_MidCase_annual_gea!CF63,Cambium22_MidCase_annual_gea!CG63)</f>
        <v>29628636.800000001</v>
      </c>
      <c r="O63">
        <f>Cambium22_MidCase_annual_gea!CK63</f>
        <v>4786.3</v>
      </c>
      <c r="P63">
        <f>Cambium22_MidCase_annual_gea!CJ63</f>
        <v>9071488</v>
      </c>
      <c r="Y63">
        <v>289099620</v>
      </c>
      <c r="Z63">
        <v>44148724</v>
      </c>
      <c r="AA63">
        <v>351900.6</v>
      </c>
      <c r="AB63">
        <v>1895702.2</v>
      </c>
      <c r="AC63">
        <v>0</v>
      </c>
      <c r="AD63">
        <v>8768596</v>
      </c>
      <c r="AE63">
        <v>39999676</v>
      </c>
      <c r="AF63">
        <v>0</v>
      </c>
      <c r="AG63">
        <v>223158.39999999999</v>
      </c>
      <c r="AH63">
        <v>2596831.7999999998</v>
      </c>
      <c r="AI63">
        <v>29582748</v>
      </c>
      <c r="AJ63">
        <v>0</v>
      </c>
      <c r="AK63">
        <v>45888.800000000003</v>
      </c>
      <c r="AL63">
        <v>5848751.5</v>
      </c>
      <c r="AM63">
        <v>149234580</v>
      </c>
      <c r="AN63">
        <v>9071488</v>
      </c>
      <c r="AO63">
        <v>4786.3</v>
      </c>
      <c r="AP63">
        <v>146778.5</v>
      </c>
      <c r="AQ63">
        <v>0</v>
      </c>
      <c r="AR63">
        <v>11473924</v>
      </c>
      <c r="AS63">
        <v>29854810</v>
      </c>
      <c r="AT63">
        <v>0</v>
      </c>
    </row>
    <row r="64" spans="1:46" x14ac:dyDescent="0.3">
      <c r="A64" t="s">
        <v>6</v>
      </c>
      <c r="B64" t="s">
        <v>7</v>
      </c>
      <c r="C64" t="s">
        <v>161</v>
      </c>
      <c r="D64">
        <v>2026</v>
      </c>
      <c r="E64">
        <v>0.81</v>
      </c>
      <c r="F64">
        <v>0.81</v>
      </c>
      <c r="G64">
        <v>238</v>
      </c>
      <c r="H64">
        <v>714.2</v>
      </c>
      <c r="I64">
        <f>Cambium22_MidCase_annual_gea!BU64</f>
        <v>286633570</v>
      </c>
      <c r="J64">
        <f>Cambium22_MidCase_annual_gea!BZ64</f>
        <v>10671875</v>
      </c>
      <c r="K64">
        <f>SUM(Cambium22_MidCase_annual_gea!BX64,Cambium22_MidCase_annual_gea!BY64)</f>
        <v>1861153</v>
      </c>
      <c r="L64">
        <f t="shared" si="5"/>
        <v>274100542</v>
      </c>
      <c r="M64">
        <f>SUM(Cambium22_MidCase_annual_gea!CA64,Cambium22_MidCase_annual_gea!CB64)</f>
        <v>29347580</v>
      </c>
      <c r="N64">
        <f>SUM(Cambium22_MidCase_annual_gea!CE64,Cambium22_MidCase_annual_gea!CF64,Cambium22_MidCase_annual_gea!CG64)</f>
        <v>25317655.800000001</v>
      </c>
      <c r="O64">
        <f>Cambium22_MidCase_annual_gea!CK64</f>
        <v>3059.9</v>
      </c>
      <c r="P64">
        <f>Cambium22_MidCase_annual_gea!CJ64</f>
        <v>8958378</v>
      </c>
      <c r="Y64">
        <v>286633570</v>
      </c>
      <c r="Z64">
        <v>50077096</v>
      </c>
      <c r="AA64">
        <v>1665078.1</v>
      </c>
      <c r="AB64">
        <v>1861153</v>
      </c>
      <c r="AC64">
        <v>0</v>
      </c>
      <c r="AD64">
        <v>10671875</v>
      </c>
      <c r="AE64">
        <v>29347580</v>
      </c>
      <c r="AF64">
        <v>0</v>
      </c>
      <c r="AG64">
        <v>224728.6</v>
      </c>
      <c r="AH64">
        <v>3607382.5</v>
      </c>
      <c r="AI64">
        <v>25281858</v>
      </c>
      <c r="AJ64">
        <v>0</v>
      </c>
      <c r="AK64">
        <v>35797.800000000003</v>
      </c>
      <c r="AL64">
        <v>5848751.5</v>
      </c>
      <c r="AM64">
        <v>152647650</v>
      </c>
      <c r="AN64">
        <v>8958378</v>
      </c>
      <c r="AO64">
        <v>3059.9</v>
      </c>
      <c r="AP64">
        <v>235274.1</v>
      </c>
      <c r="AQ64">
        <v>0</v>
      </c>
      <c r="AR64">
        <v>16531562</v>
      </c>
      <c r="AS64">
        <v>29713424</v>
      </c>
      <c r="AT64">
        <v>0</v>
      </c>
    </row>
    <row r="65" spans="1:46" x14ac:dyDescent="0.3">
      <c r="A65" t="s">
        <v>6</v>
      </c>
      <c r="B65" t="s">
        <v>7</v>
      </c>
      <c r="C65" t="s">
        <v>161</v>
      </c>
      <c r="D65">
        <v>2028</v>
      </c>
      <c r="E65">
        <v>0.86</v>
      </c>
      <c r="F65">
        <v>0.87</v>
      </c>
      <c r="G65">
        <v>149.9</v>
      </c>
      <c r="H65">
        <v>626.6</v>
      </c>
      <c r="I65">
        <f>Cambium22_MidCase_annual_gea!BU65</f>
        <v>280275740</v>
      </c>
      <c r="J65">
        <f>Cambium22_MidCase_annual_gea!BZ65</f>
        <v>10473821</v>
      </c>
      <c r="K65">
        <f>SUM(Cambium22_MidCase_annual_gea!BX65,Cambium22_MidCase_annual_gea!BY65)</f>
        <v>1342711.8</v>
      </c>
      <c r="L65">
        <f t="shared" si="5"/>
        <v>268459207.19999999</v>
      </c>
      <c r="M65">
        <f>SUM(Cambium22_MidCase_annual_gea!CA65,Cambium22_MidCase_annual_gea!CB65)</f>
        <v>22426418</v>
      </c>
      <c r="N65">
        <f>SUM(Cambium22_MidCase_annual_gea!CE65,Cambium22_MidCase_annual_gea!CF65,Cambium22_MidCase_annual_gea!CG65)</f>
        <v>17530405.399999999</v>
      </c>
      <c r="O65">
        <f>Cambium22_MidCase_annual_gea!CK65</f>
        <v>361.9</v>
      </c>
      <c r="P65">
        <f>Cambium22_MidCase_annual_gea!CJ65</f>
        <v>8729332</v>
      </c>
      <c r="Y65">
        <v>280275740</v>
      </c>
      <c r="Z65">
        <v>58111870</v>
      </c>
      <c r="AA65">
        <v>2677546.5</v>
      </c>
      <c r="AB65">
        <v>1342711.8</v>
      </c>
      <c r="AC65">
        <v>0</v>
      </c>
      <c r="AD65">
        <v>10473821</v>
      </c>
      <c r="AE65">
        <v>22426418</v>
      </c>
      <c r="AF65">
        <v>0</v>
      </c>
      <c r="AG65">
        <v>221165</v>
      </c>
      <c r="AH65">
        <v>4756781</v>
      </c>
      <c r="AI65">
        <v>17527062</v>
      </c>
      <c r="AJ65">
        <v>0</v>
      </c>
      <c r="AK65">
        <v>3343.4</v>
      </c>
      <c r="AL65">
        <v>7832711</v>
      </c>
      <c r="AM65">
        <v>150769630</v>
      </c>
      <c r="AN65">
        <v>8729332</v>
      </c>
      <c r="AO65">
        <v>361.9</v>
      </c>
      <c r="AP65">
        <v>380909.8</v>
      </c>
      <c r="AQ65">
        <v>0</v>
      </c>
      <c r="AR65">
        <v>19576828</v>
      </c>
      <c r="AS65">
        <v>33557100</v>
      </c>
      <c r="AT65">
        <v>0</v>
      </c>
    </row>
    <row r="66" spans="1:46" x14ac:dyDescent="0.3">
      <c r="A66" t="s">
        <v>6</v>
      </c>
      <c r="B66" t="s">
        <v>7</v>
      </c>
      <c r="C66" t="s">
        <v>161</v>
      </c>
      <c r="D66">
        <v>2030</v>
      </c>
      <c r="E66">
        <v>0.88</v>
      </c>
      <c r="F66">
        <v>0.91</v>
      </c>
      <c r="G66">
        <v>86.7</v>
      </c>
      <c r="H66">
        <v>535.29999999999995</v>
      </c>
      <c r="I66">
        <f>Cambium22_MidCase_annual_gea!BU66</f>
        <v>280538460</v>
      </c>
      <c r="J66">
        <f>Cambium22_MidCase_annual_gea!BZ66</f>
        <v>10254136</v>
      </c>
      <c r="K66">
        <f>SUM(Cambium22_MidCase_annual_gea!BX66,Cambium22_MidCase_annual_gea!BY66)</f>
        <v>1102021.3999999999</v>
      </c>
      <c r="L66">
        <f t="shared" si="5"/>
        <v>269182302.60000002</v>
      </c>
      <c r="M66">
        <f>SUM(Cambium22_MidCase_annual_gea!CA66,Cambium22_MidCase_annual_gea!CB66)</f>
        <v>20060306</v>
      </c>
      <c r="N66">
        <f>SUM(Cambium22_MidCase_annual_gea!CE66,Cambium22_MidCase_annual_gea!CF66,Cambium22_MidCase_annual_gea!CG66)</f>
        <v>14289957.6</v>
      </c>
      <c r="O66">
        <f>Cambium22_MidCase_annual_gea!CK66</f>
        <v>141.69999999999999</v>
      </c>
      <c r="P66">
        <f>Cambium22_MidCase_annual_gea!CJ66</f>
        <v>8430975</v>
      </c>
      <c r="Y66">
        <v>280538460</v>
      </c>
      <c r="Z66">
        <v>67375980</v>
      </c>
      <c r="AA66">
        <v>3844197.5</v>
      </c>
      <c r="AB66">
        <v>1102021.3999999999</v>
      </c>
      <c r="AC66">
        <v>0</v>
      </c>
      <c r="AD66">
        <v>10254136</v>
      </c>
      <c r="AE66">
        <v>20060306</v>
      </c>
      <c r="AF66">
        <v>0</v>
      </c>
      <c r="AG66">
        <v>221549.8</v>
      </c>
      <c r="AH66">
        <v>6530977</v>
      </c>
      <c r="AI66">
        <v>14266789</v>
      </c>
      <c r="AJ66">
        <v>0</v>
      </c>
      <c r="AK66">
        <v>23168.6</v>
      </c>
      <c r="AL66">
        <v>7832711</v>
      </c>
      <c r="AM66">
        <v>146907700</v>
      </c>
      <c r="AN66">
        <v>8430975</v>
      </c>
      <c r="AO66">
        <v>141.69999999999999</v>
      </c>
      <c r="AP66">
        <v>440325</v>
      </c>
      <c r="AQ66">
        <v>0</v>
      </c>
      <c r="AR66">
        <v>22816128</v>
      </c>
      <c r="AS66">
        <v>37807324</v>
      </c>
      <c r="AT66">
        <v>0</v>
      </c>
    </row>
    <row r="67" spans="1:46" x14ac:dyDescent="0.3">
      <c r="A67" t="s">
        <v>6</v>
      </c>
      <c r="B67" t="s">
        <v>7</v>
      </c>
      <c r="C67" t="s">
        <v>161</v>
      </c>
      <c r="D67">
        <v>2035</v>
      </c>
      <c r="E67">
        <v>0.9</v>
      </c>
      <c r="F67">
        <v>0.94</v>
      </c>
      <c r="G67">
        <v>81.7</v>
      </c>
      <c r="H67">
        <v>447.2</v>
      </c>
      <c r="I67">
        <f>Cambium22_MidCase_annual_gea!BU67</f>
        <v>304503650</v>
      </c>
      <c r="J67">
        <f>Cambium22_MidCase_annual_gea!BZ67</f>
        <v>9740400</v>
      </c>
      <c r="K67">
        <f>SUM(Cambium22_MidCase_annual_gea!BX67,Cambium22_MidCase_annual_gea!BY67)</f>
        <v>697627.3</v>
      </c>
      <c r="L67">
        <f t="shared" si="5"/>
        <v>294065622.69999999</v>
      </c>
      <c r="M67">
        <f>SUM(Cambium22_MidCase_annual_gea!CA67,Cambium22_MidCase_annual_gea!CB67)</f>
        <v>16421213</v>
      </c>
      <c r="N67">
        <f>SUM(Cambium22_MidCase_annual_gea!CE67,Cambium22_MidCase_annual_gea!CF67,Cambium22_MidCase_annual_gea!CG67)</f>
        <v>12537964.300000001</v>
      </c>
      <c r="O67">
        <f>Cambium22_MidCase_annual_gea!CK67</f>
        <v>170.4</v>
      </c>
      <c r="P67">
        <f>Cambium22_MidCase_annual_gea!CJ67</f>
        <v>8186439</v>
      </c>
      <c r="Y67">
        <v>304503650</v>
      </c>
      <c r="Z67">
        <v>99148190</v>
      </c>
      <c r="AA67">
        <v>7145430.5</v>
      </c>
      <c r="AB67">
        <v>697627.3</v>
      </c>
      <c r="AC67">
        <v>0</v>
      </c>
      <c r="AD67">
        <v>9740400</v>
      </c>
      <c r="AE67">
        <v>16421213</v>
      </c>
      <c r="AF67">
        <v>0</v>
      </c>
      <c r="AG67">
        <v>221845.2</v>
      </c>
      <c r="AH67">
        <v>8596439</v>
      </c>
      <c r="AI67">
        <v>12445308</v>
      </c>
      <c r="AJ67">
        <v>0</v>
      </c>
      <c r="AK67">
        <v>92656.3</v>
      </c>
      <c r="AL67">
        <v>7832531</v>
      </c>
      <c r="AM67">
        <v>141930400</v>
      </c>
      <c r="AN67">
        <v>8186439</v>
      </c>
      <c r="AO67">
        <v>170.4</v>
      </c>
      <c r="AP67">
        <v>863274.5</v>
      </c>
      <c r="AQ67">
        <v>0</v>
      </c>
      <c r="AR67">
        <v>34311550</v>
      </c>
      <c r="AS67">
        <v>56018356</v>
      </c>
      <c r="AT67">
        <v>0</v>
      </c>
    </row>
    <row r="68" spans="1:46" x14ac:dyDescent="0.3">
      <c r="A68" t="s">
        <v>6</v>
      </c>
      <c r="B68" t="s">
        <v>7</v>
      </c>
      <c r="C68" t="s">
        <v>161</v>
      </c>
      <c r="D68">
        <v>2040</v>
      </c>
      <c r="E68">
        <v>0.93</v>
      </c>
      <c r="F68">
        <v>0.96</v>
      </c>
      <c r="G68">
        <v>89.7</v>
      </c>
      <c r="H68">
        <v>424.5</v>
      </c>
      <c r="I68">
        <f>Cambium22_MidCase_annual_gea!BU68</f>
        <v>327691650</v>
      </c>
      <c r="J68">
        <f>Cambium22_MidCase_annual_gea!BZ68</f>
        <v>9855291</v>
      </c>
      <c r="K68">
        <f>SUM(Cambium22_MidCase_annual_gea!BX68,Cambium22_MidCase_annual_gea!BY68)</f>
        <v>639405.1</v>
      </c>
      <c r="L68">
        <f t="shared" si="5"/>
        <v>317196953.89999998</v>
      </c>
      <c r="M68">
        <f>SUM(Cambium22_MidCase_annual_gea!CA68,Cambium22_MidCase_annual_gea!CB68)</f>
        <v>13228244</v>
      </c>
      <c r="N68">
        <f>SUM(Cambium22_MidCase_annual_gea!CE68,Cambium22_MidCase_annual_gea!CF68,Cambium22_MidCase_annual_gea!CG68)</f>
        <v>10935215.4</v>
      </c>
      <c r="O68">
        <f>Cambium22_MidCase_annual_gea!CK68</f>
        <v>104.1</v>
      </c>
      <c r="P68">
        <f>Cambium22_MidCase_annual_gea!CJ68</f>
        <v>8082529</v>
      </c>
      <c r="Y68">
        <v>327691650</v>
      </c>
      <c r="Z68">
        <v>132228940</v>
      </c>
      <c r="AA68">
        <v>11530153</v>
      </c>
      <c r="AB68">
        <v>639405.1</v>
      </c>
      <c r="AC68">
        <v>0</v>
      </c>
      <c r="AD68">
        <v>9855291</v>
      </c>
      <c r="AE68">
        <v>13228244</v>
      </c>
      <c r="AF68">
        <v>0</v>
      </c>
      <c r="AG68">
        <v>220253.9</v>
      </c>
      <c r="AH68">
        <v>8694907</v>
      </c>
      <c r="AI68">
        <v>10803421</v>
      </c>
      <c r="AJ68">
        <v>0</v>
      </c>
      <c r="AK68">
        <v>131794.4</v>
      </c>
      <c r="AL68">
        <v>7049069</v>
      </c>
      <c r="AM68">
        <v>132477580</v>
      </c>
      <c r="AN68">
        <v>8082529</v>
      </c>
      <c r="AO68">
        <v>104.1</v>
      </c>
      <c r="AP68">
        <v>1665121.4</v>
      </c>
      <c r="AQ68">
        <v>0</v>
      </c>
      <c r="AR68">
        <v>53510480</v>
      </c>
      <c r="AS68">
        <v>69803304</v>
      </c>
      <c r="AT68">
        <v>0</v>
      </c>
    </row>
    <row r="69" spans="1:46" x14ac:dyDescent="0.3">
      <c r="A69" t="s">
        <v>6</v>
      </c>
      <c r="B69" t="s">
        <v>7</v>
      </c>
      <c r="C69" t="s">
        <v>161</v>
      </c>
      <c r="D69">
        <v>2045</v>
      </c>
      <c r="E69">
        <v>0.94</v>
      </c>
      <c r="F69">
        <v>0.97</v>
      </c>
      <c r="G69">
        <v>83.8</v>
      </c>
      <c r="H69">
        <v>358.8</v>
      </c>
      <c r="I69">
        <f>Cambium22_MidCase_annual_gea!BU69</f>
        <v>343564030</v>
      </c>
      <c r="J69">
        <f>Cambium22_MidCase_annual_gea!BZ69</f>
        <v>9670921</v>
      </c>
      <c r="K69">
        <f>SUM(Cambium22_MidCase_annual_gea!BX69,Cambium22_MidCase_annual_gea!BY69)</f>
        <v>585333</v>
      </c>
      <c r="L69">
        <f t="shared" si="5"/>
        <v>333307776</v>
      </c>
      <c r="M69">
        <f>SUM(Cambium22_MidCase_annual_gea!CA69,Cambium22_MidCase_annual_gea!CB69)</f>
        <v>10247970</v>
      </c>
      <c r="N69">
        <f>SUM(Cambium22_MidCase_annual_gea!CE69,Cambium22_MidCase_annual_gea!CF69,Cambium22_MidCase_annual_gea!CG69)</f>
        <v>10586304.4</v>
      </c>
      <c r="O69">
        <f>Cambium22_MidCase_annual_gea!CK69</f>
        <v>54</v>
      </c>
      <c r="P69">
        <f>Cambium22_MidCase_annual_gea!CJ69</f>
        <v>7896798.5</v>
      </c>
      <c r="Y69">
        <v>343564030</v>
      </c>
      <c r="Z69">
        <v>152918540</v>
      </c>
      <c r="AA69">
        <v>18175754</v>
      </c>
      <c r="AB69">
        <v>585333</v>
      </c>
      <c r="AC69">
        <v>0</v>
      </c>
      <c r="AD69">
        <v>9670921</v>
      </c>
      <c r="AE69">
        <v>10247970</v>
      </c>
      <c r="AF69">
        <v>0</v>
      </c>
      <c r="AG69">
        <v>205508.9</v>
      </c>
      <c r="AH69">
        <v>8797574</v>
      </c>
      <c r="AI69">
        <v>10412306</v>
      </c>
      <c r="AJ69">
        <v>0</v>
      </c>
      <c r="AK69">
        <v>173998.4</v>
      </c>
      <c r="AL69">
        <v>6374805</v>
      </c>
      <c r="AM69">
        <v>125241420</v>
      </c>
      <c r="AN69">
        <v>7896798.5</v>
      </c>
      <c r="AO69">
        <v>54</v>
      </c>
      <c r="AP69">
        <v>1866129.6</v>
      </c>
      <c r="AQ69">
        <v>0</v>
      </c>
      <c r="AR69">
        <v>72931460</v>
      </c>
      <c r="AS69">
        <v>70983990</v>
      </c>
      <c r="AT69">
        <v>0</v>
      </c>
    </row>
    <row r="70" spans="1:46" x14ac:dyDescent="0.3">
      <c r="A70" t="s">
        <v>6</v>
      </c>
      <c r="B70" t="s">
        <v>7</v>
      </c>
      <c r="C70" t="s">
        <v>161</v>
      </c>
      <c r="D70">
        <v>2050</v>
      </c>
      <c r="E70">
        <v>0.95</v>
      </c>
      <c r="F70">
        <v>0.98</v>
      </c>
      <c r="G70">
        <v>87.6</v>
      </c>
      <c r="H70">
        <v>364.8</v>
      </c>
      <c r="I70">
        <f>Cambium22_MidCase_annual_gea!BU70</f>
        <v>389590140</v>
      </c>
      <c r="J70">
        <f>Cambium22_MidCase_annual_gea!BZ70</f>
        <v>9904730</v>
      </c>
      <c r="K70">
        <f>SUM(Cambium22_MidCase_annual_gea!BX70,Cambium22_MidCase_annual_gea!BY70)</f>
        <v>593402.19999999995</v>
      </c>
      <c r="L70">
        <f t="shared" si="5"/>
        <v>379092007.80000001</v>
      </c>
      <c r="M70">
        <f>SUM(Cambium22_MidCase_annual_gea!CA70,Cambium22_MidCase_annual_gea!CB70)</f>
        <v>8156198.5</v>
      </c>
      <c r="N70">
        <f>SUM(Cambium22_MidCase_annual_gea!CE70,Cambium22_MidCase_annual_gea!CF70,Cambium22_MidCase_annual_gea!CG70)</f>
        <v>11951043</v>
      </c>
      <c r="O70">
        <f>Cambium22_MidCase_annual_gea!CK70</f>
        <v>24.3</v>
      </c>
      <c r="P70">
        <f>Cambium22_MidCase_annual_gea!CJ70</f>
        <v>7906249.5</v>
      </c>
      <c r="Y70">
        <v>389590140</v>
      </c>
      <c r="Z70">
        <v>197033710</v>
      </c>
      <c r="AA70">
        <v>22415258</v>
      </c>
      <c r="AB70">
        <v>593402.19999999995</v>
      </c>
      <c r="AC70">
        <v>0</v>
      </c>
      <c r="AD70">
        <v>9904730</v>
      </c>
      <c r="AE70">
        <v>8156198.5</v>
      </c>
      <c r="AF70">
        <v>0</v>
      </c>
      <c r="AG70">
        <v>0</v>
      </c>
      <c r="AH70">
        <v>8961576</v>
      </c>
      <c r="AI70">
        <v>11382034</v>
      </c>
      <c r="AJ70">
        <v>0</v>
      </c>
      <c r="AK70">
        <v>569009</v>
      </c>
      <c r="AL70">
        <v>5385158</v>
      </c>
      <c r="AM70">
        <v>124376880</v>
      </c>
      <c r="AN70">
        <v>7906249.5</v>
      </c>
      <c r="AO70">
        <v>24.3</v>
      </c>
      <c r="AP70">
        <v>1867495.2</v>
      </c>
      <c r="AQ70">
        <v>0</v>
      </c>
      <c r="AR70">
        <v>81998940</v>
      </c>
      <c r="AS70">
        <v>106073190</v>
      </c>
      <c r="AT70">
        <v>0</v>
      </c>
    </row>
    <row r="71" spans="1:46" x14ac:dyDescent="0.3">
      <c r="A71" t="s">
        <v>6</v>
      </c>
      <c r="B71" t="s">
        <v>7</v>
      </c>
      <c r="C71" t="s">
        <v>162</v>
      </c>
      <c r="D71">
        <v>2024</v>
      </c>
      <c r="E71">
        <v>0.68</v>
      </c>
      <c r="F71">
        <v>0.65</v>
      </c>
      <c r="G71">
        <v>307.3</v>
      </c>
      <c r="H71">
        <v>823.8</v>
      </c>
      <c r="I71">
        <f>Cambium22_MidCase_annual_gea!BU71</f>
        <v>143947660</v>
      </c>
      <c r="J71">
        <f>Cambium22_MidCase_annual_gea!BZ71</f>
        <v>13723090</v>
      </c>
      <c r="K71">
        <f>SUM(Cambium22_MidCase_annual_gea!BX71,Cambium22_MidCase_annual_gea!BY71)</f>
        <v>2012466.8</v>
      </c>
      <c r="L71">
        <f t="shared" si="5"/>
        <v>128212103.2</v>
      </c>
      <c r="M71">
        <f>SUM(Cambium22_MidCase_annual_gea!CA71,Cambium22_MidCase_annual_gea!CB71)</f>
        <v>1649607.2</v>
      </c>
      <c r="N71">
        <f>SUM(Cambium22_MidCase_annual_gea!CE71,Cambium22_MidCase_annual_gea!CF71,Cambium22_MidCase_annual_gea!CG71)</f>
        <v>38201556.100000001</v>
      </c>
      <c r="O71">
        <f>Cambium22_MidCase_annual_gea!CK71</f>
        <v>6372602.5</v>
      </c>
      <c r="P71">
        <f>Cambium22_MidCase_annual_gea!CJ71</f>
        <v>25580812</v>
      </c>
      <c r="Y71">
        <v>143947660</v>
      </c>
      <c r="Z71">
        <v>27038692</v>
      </c>
      <c r="AA71">
        <v>1426944</v>
      </c>
      <c r="AB71">
        <v>2012466.8</v>
      </c>
      <c r="AC71">
        <v>0</v>
      </c>
      <c r="AD71">
        <v>13723090</v>
      </c>
      <c r="AE71">
        <v>1649607.2</v>
      </c>
      <c r="AF71">
        <v>0</v>
      </c>
      <c r="AG71">
        <v>0</v>
      </c>
      <c r="AH71">
        <v>2489203.7999999998</v>
      </c>
      <c r="AI71">
        <v>36841290</v>
      </c>
      <c r="AJ71">
        <v>0</v>
      </c>
      <c r="AK71">
        <v>1360266.1</v>
      </c>
      <c r="AL71">
        <v>0</v>
      </c>
      <c r="AM71">
        <v>26825330</v>
      </c>
      <c r="AN71">
        <v>25580812</v>
      </c>
      <c r="AO71">
        <v>6372602.5</v>
      </c>
      <c r="AP71">
        <v>1116574.1000000001</v>
      </c>
      <c r="AQ71">
        <v>0</v>
      </c>
      <c r="AR71">
        <v>7190846.5</v>
      </c>
      <c r="AS71">
        <v>16875878</v>
      </c>
      <c r="AT71">
        <v>482764.3</v>
      </c>
    </row>
    <row r="72" spans="1:46" x14ac:dyDescent="0.3">
      <c r="A72" t="s">
        <v>6</v>
      </c>
      <c r="B72" t="s">
        <v>7</v>
      </c>
      <c r="C72" t="s">
        <v>162</v>
      </c>
      <c r="D72">
        <v>2026</v>
      </c>
      <c r="E72">
        <v>0.75</v>
      </c>
      <c r="F72">
        <v>0.73</v>
      </c>
      <c r="G72">
        <v>266.39999999999998</v>
      </c>
      <c r="H72">
        <v>759.6</v>
      </c>
      <c r="I72">
        <f>Cambium22_MidCase_annual_gea!BU72</f>
        <v>157177250</v>
      </c>
      <c r="J72">
        <f>Cambium22_MidCase_annual_gea!BZ72</f>
        <v>22661086</v>
      </c>
      <c r="K72">
        <f>SUM(Cambium22_MidCase_annual_gea!BX72,Cambium22_MidCase_annual_gea!BY72)</f>
        <v>2001249.8</v>
      </c>
      <c r="L72">
        <f t="shared" ref="L72:L135" si="6">$I72-$J72-$K72</f>
        <v>132514914.2</v>
      </c>
      <c r="M72">
        <f>SUM(Cambium22_MidCase_annual_gea!CA72,Cambium22_MidCase_annual_gea!CB72)</f>
        <v>927272.9</v>
      </c>
      <c r="N72">
        <f>SUM(Cambium22_MidCase_annual_gea!CE72,Cambium22_MidCase_annual_gea!CF72,Cambium22_MidCase_annual_gea!CG72)</f>
        <v>34533334.100000001</v>
      </c>
      <c r="O72">
        <f>Cambium22_MidCase_annual_gea!CK72</f>
        <v>3147550.8</v>
      </c>
      <c r="P72">
        <f>Cambium22_MidCase_annual_gea!CJ72</f>
        <v>25553040</v>
      </c>
      <c r="Y72">
        <v>157177250</v>
      </c>
      <c r="Z72">
        <v>37839550</v>
      </c>
      <c r="AA72">
        <v>1607114.6</v>
      </c>
      <c r="AB72">
        <v>2001249.8</v>
      </c>
      <c r="AC72">
        <v>0</v>
      </c>
      <c r="AD72">
        <v>22661086</v>
      </c>
      <c r="AE72">
        <v>927272.9</v>
      </c>
      <c r="AF72">
        <v>0</v>
      </c>
      <c r="AG72">
        <v>0</v>
      </c>
      <c r="AH72">
        <v>2833035.2</v>
      </c>
      <c r="AI72">
        <v>33723550</v>
      </c>
      <c r="AJ72">
        <v>0</v>
      </c>
      <c r="AK72">
        <v>809784.1</v>
      </c>
      <c r="AL72">
        <v>0</v>
      </c>
      <c r="AM72">
        <v>27635302</v>
      </c>
      <c r="AN72">
        <v>25553040</v>
      </c>
      <c r="AO72">
        <v>3147550.8</v>
      </c>
      <c r="AP72">
        <v>1271744.8</v>
      </c>
      <c r="AQ72">
        <v>0</v>
      </c>
      <c r="AR72">
        <v>7075147</v>
      </c>
      <c r="AS72">
        <v>16784872</v>
      </c>
      <c r="AT72">
        <v>11146498</v>
      </c>
    </row>
    <row r="73" spans="1:46" x14ac:dyDescent="0.3">
      <c r="A73" t="s">
        <v>6</v>
      </c>
      <c r="B73" t="s">
        <v>7</v>
      </c>
      <c r="C73" t="s">
        <v>162</v>
      </c>
      <c r="D73">
        <v>2028</v>
      </c>
      <c r="E73">
        <v>0.78</v>
      </c>
      <c r="F73">
        <v>0.76</v>
      </c>
      <c r="G73">
        <v>174.6</v>
      </c>
      <c r="H73">
        <v>693.3</v>
      </c>
      <c r="I73">
        <f>Cambium22_MidCase_annual_gea!BU73</f>
        <v>161944130</v>
      </c>
      <c r="J73">
        <f>Cambium22_MidCase_annual_gea!BZ73</f>
        <v>25161198</v>
      </c>
      <c r="K73">
        <f>SUM(Cambium22_MidCase_annual_gea!BX73,Cambium22_MidCase_annual_gea!BY73)</f>
        <v>1980483.4</v>
      </c>
      <c r="L73">
        <f t="shared" si="6"/>
        <v>134802448.59999999</v>
      </c>
      <c r="M73">
        <f>SUM(Cambium22_MidCase_annual_gea!CA73,Cambium22_MidCase_annual_gea!CB73)</f>
        <v>551808.19999999995</v>
      </c>
      <c r="N73">
        <f>SUM(Cambium22_MidCase_annual_gea!CE73,Cambium22_MidCase_annual_gea!CF73,Cambium22_MidCase_annual_gea!CG73)</f>
        <v>32249063</v>
      </c>
      <c r="O73">
        <f>Cambium22_MidCase_annual_gea!CK73</f>
        <v>2630115</v>
      </c>
      <c r="P73">
        <f>Cambium22_MidCase_annual_gea!CJ73</f>
        <v>25447464</v>
      </c>
      <c r="Y73">
        <v>161944130</v>
      </c>
      <c r="Z73">
        <v>42530976</v>
      </c>
      <c r="AA73">
        <v>2159781.2000000002</v>
      </c>
      <c r="AB73">
        <v>1980483.4</v>
      </c>
      <c r="AC73">
        <v>0</v>
      </c>
      <c r="AD73">
        <v>25161198</v>
      </c>
      <c r="AE73">
        <v>551808.19999999995</v>
      </c>
      <c r="AF73">
        <v>0</v>
      </c>
      <c r="AG73">
        <v>0</v>
      </c>
      <c r="AH73">
        <v>3372916.8</v>
      </c>
      <c r="AI73">
        <v>31539120</v>
      </c>
      <c r="AJ73">
        <v>0</v>
      </c>
      <c r="AK73">
        <v>709943</v>
      </c>
      <c r="AL73">
        <v>0</v>
      </c>
      <c r="AM73">
        <v>27822364</v>
      </c>
      <c r="AN73">
        <v>25447464</v>
      </c>
      <c r="AO73">
        <v>2630115</v>
      </c>
      <c r="AP73">
        <v>1410871.2</v>
      </c>
      <c r="AQ73">
        <v>0</v>
      </c>
      <c r="AR73">
        <v>6957111</v>
      </c>
      <c r="AS73">
        <v>16694354</v>
      </c>
      <c r="AT73">
        <v>15506594</v>
      </c>
    </row>
    <row r="74" spans="1:46" x14ac:dyDescent="0.3">
      <c r="A74" t="s">
        <v>6</v>
      </c>
      <c r="B74" t="s">
        <v>7</v>
      </c>
      <c r="C74" t="s">
        <v>162</v>
      </c>
      <c r="D74">
        <v>2030</v>
      </c>
      <c r="E74">
        <v>0.82</v>
      </c>
      <c r="F74">
        <v>0.9</v>
      </c>
      <c r="G74">
        <v>102</v>
      </c>
      <c r="H74">
        <v>646.4</v>
      </c>
      <c r="I74">
        <f>Cambium22_MidCase_annual_gea!BU74</f>
        <v>170528720</v>
      </c>
      <c r="J74">
        <f>Cambium22_MidCase_annual_gea!BZ74</f>
        <v>24765420</v>
      </c>
      <c r="K74">
        <f>SUM(Cambium22_MidCase_annual_gea!BX74,Cambium22_MidCase_annual_gea!BY74)</f>
        <v>1948413.4</v>
      </c>
      <c r="L74">
        <f t="shared" si="6"/>
        <v>143814886.59999999</v>
      </c>
      <c r="M74">
        <f>SUM(Cambium22_MidCase_annual_gea!CA74,Cambium22_MidCase_annual_gea!CB74)</f>
        <v>371687</v>
      </c>
      <c r="N74">
        <f>SUM(Cambium22_MidCase_annual_gea!CE74,Cambium22_MidCase_annual_gea!CF74,Cambium22_MidCase_annual_gea!CG74)</f>
        <v>28386850</v>
      </c>
      <c r="O74">
        <f>Cambium22_MidCase_annual_gea!CK74</f>
        <v>2372179.5</v>
      </c>
      <c r="P74">
        <f>Cambium22_MidCase_annual_gea!CJ74</f>
        <v>25165082</v>
      </c>
      <c r="Y74">
        <v>170528720</v>
      </c>
      <c r="Z74">
        <v>54342772</v>
      </c>
      <c r="AA74">
        <v>3904798</v>
      </c>
      <c r="AB74">
        <v>1948413.4</v>
      </c>
      <c r="AC74">
        <v>0</v>
      </c>
      <c r="AD74">
        <v>24765420</v>
      </c>
      <c r="AE74">
        <v>371687</v>
      </c>
      <c r="AF74">
        <v>0</v>
      </c>
      <c r="AG74">
        <v>0</v>
      </c>
      <c r="AH74">
        <v>4248445</v>
      </c>
      <c r="AI74">
        <v>27744876</v>
      </c>
      <c r="AJ74">
        <v>0</v>
      </c>
      <c r="AK74">
        <v>641974</v>
      </c>
      <c r="AL74">
        <v>0</v>
      </c>
      <c r="AM74">
        <v>27697132</v>
      </c>
      <c r="AN74">
        <v>25165082</v>
      </c>
      <c r="AO74">
        <v>2372179.5</v>
      </c>
      <c r="AP74">
        <v>1574388.9</v>
      </c>
      <c r="AQ74">
        <v>0</v>
      </c>
      <c r="AR74">
        <v>18064484</v>
      </c>
      <c r="AS74">
        <v>16604243</v>
      </c>
      <c r="AT74">
        <v>15425594</v>
      </c>
    </row>
    <row r="75" spans="1:46" x14ac:dyDescent="0.3">
      <c r="A75" t="s">
        <v>6</v>
      </c>
      <c r="B75" t="s">
        <v>7</v>
      </c>
      <c r="C75" t="s">
        <v>162</v>
      </c>
      <c r="D75">
        <v>2035</v>
      </c>
      <c r="E75">
        <v>0.85</v>
      </c>
      <c r="F75">
        <v>0.95</v>
      </c>
      <c r="G75">
        <v>31.2</v>
      </c>
      <c r="H75">
        <v>582.4</v>
      </c>
      <c r="I75">
        <f>Cambium22_MidCase_annual_gea!BU75</f>
        <v>182936580</v>
      </c>
      <c r="J75">
        <f>Cambium22_MidCase_annual_gea!BZ75</f>
        <v>24039834</v>
      </c>
      <c r="K75">
        <f>SUM(Cambium22_MidCase_annual_gea!BX75,Cambium22_MidCase_annual_gea!BY75)</f>
        <v>1507715.8</v>
      </c>
      <c r="L75">
        <f t="shared" si="6"/>
        <v>157389030.19999999</v>
      </c>
      <c r="M75">
        <f>SUM(Cambium22_MidCase_annual_gea!CA75,Cambium22_MidCase_annual_gea!CB75)</f>
        <v>0</v>
      </c>
      <c r="N75">
        <f>SUM(Cambium22_MidCase_annual_gea!CE75,Cambium22_MidCase_annual_gea!CF75,Cambium22_MidCase_annual_gea!CG75)</f>
        <v>25267271.199999999</v>
      </c>
      <c r="O75">
        <f>Cambium22_MidCase_annual_gea!CK75</f>
        <v>1691023.2</v>
      </c>
      <c r="P75">
        <f>Cambium22_MidCase_annual_gea!CJ75</f>
        <v>24922274</v>
      </c>
      <c r="Y75">
        <v>182936580</v>
      </c>
      <c r="Z75">
        <v>70963464</v>
      </c>
      <c r="AA75">
        <v>5602665</v>
      </c>
      <c r="AB75">
        <v>1507715.8</v>
      </c>
      <c r="AC75">
        <v>0</v>
      </c>
      <c r="AD75">
        <v>24039834</v>
      </c>
      <c r="AE75">
        <v>0</v>
      </c>
      <c r="AF75">
        <v>0</v>
      </c>
      <c r="AG75">
        <v>0</v>
      </c>
      <c r="AH75">
        <v>5277882.5</v>
      </c>
      <c r="AI75">
        <v>23497018</v>
      </c>
      <c r="AJ75">
        <v>0</v>
      </c>
      <c r="AK75">
        <v>1770253.2</v>
      </c>
      <c r="AL75">
        <v>0</v>
      </c>
      <c r="AM75">
        <v>27427226</v>
      </c>
      <c r="AN75">
        <v>24922274</v>
      </c>
      <c r="AO75">
        <v>1691023.2</v>
      </c>
      <c r="AP75">
        <v>1515112.2</v>
      </c>
      <c r="AQ75">
        <v>0</v>
      </c>
      <c r="AR75">
        <v>17448220</v>
      </c>
      <c r="AS75">
        <v>16585222</v>
      </c>
      <c r="AT75">
        <v>31652134</v>
      </c>
    </row>
    <row r="76" spans="1:46" x14ac:dyDescent="0.3">
      <c r="A76" t="s">
        <v>6</v>
      </c>
      <c r="B76" t="s">
        <v>7</v>
      </c>
      <c r="C76" t="s">
        <v>162</v>
      </c>
      <c r="D76">
        <v>2040</v>
      </c>
      <c r="E76">
        <v>0.86</v>
      </c>
      <c r="F76">
        <v>1</v>
      </c>
      <c r="G76">
        <v>9</v>
      </c>
      <c r="H76">
        <v>559.29999999999995</v>
      </c>
      <c r="I76">
        <f>Cambium22_MidCase_annual_gea!BU76</f>
        <v>204323940</v>
      </c>
      <c r="J76">
        <f>Cambium22_MidCase_annual_gea!BZ76</f>
        <v>23039164</v>
      </c>
      <c r="K76">
        <f>SUM(Cambium22_MidCase_annual_gea!BX76,Cambium22_MidCase_annual_gea!BY76)</f>
        <v>1488370.2</v>
      </c>
      <c r="L76">
        <f t="shared" si="6"/>
        <v>179796405.80000001</v>
      </c>
      <c r="M76">
        <f>SUM(Cambium22_MidCase_annual_gea!CA76,Cambium22_MidCase_annual_gea!CB76)</f>
        <v>0</v>
      </c>
      <c r="N76">
        <f>SUM(Cambium22_MidCase_annual_gea!CE76,Cambium22_MidCase_annual_gea!CF76,Cambium22_MidCase_annual_gea!CG76)</f>
        <v>28512060</v>
      </c>
      <c r="O76">
        <f>Cambium22_MidCase_annual_gea!CK76</f>
        <v>1008618.7</v>
      </c>
      <c r="P76">
        <f>Cambium22_MidCase_annual_gea!CJ76</f>
        <v>24776306</v>
      </c>
      <c r="Y76">
        <v>204323940</v>
      </c>
      <c r="Z76">
        <v>88532390</v>
      </c>
      <c r="AA76">
        <v>7900216</v>
      </c>
      <c r="AB76">
        <v>1488370.2</v>
      </c>
      <c r="AC76">
        <v>0</v>
      </c>
      <c r="AD76">
        <v>23039164</v>
      </c>
      <c r="AE76">
        <v>0</v>
      </c>
      <c r="AF76">
        <v>0</v>
      </c>
      <c r="AG76">
        <v>0</v>
      </c>
      <c r="AH76">
        <v>5474068</v>
      </c>
      <c r="AI76">
        <v>24565338</v>
      </c>
      <c r="AJ76">
        <v>0</v>
      </c>
      <c r="AK76">
        <v>3946722</v>
      </c>
      <c r="AL76">
        <v>0</v>
      </c>
      <c r="AM76">
        <v>27253242</v>
      </c>
      <c r="AN76">
        <v>24776306</v>
      </c>
      <c r="AO76">
        <v>1008618.7</v>
      </c>
      <c r="AP76">
        <v>1813566.2</v>
      </c>
      <c r="AQ76">
        <v>0</v>
      </c>
      <c r="AR76">
        <v>31298970</v>
      </c>
      <c r="AS76">
        <v>20523480</v>
      </c>
      <c r="AT76">
        <v>31235876</v>
      </c>
    </row>
    <row r="77" spans="1:46" x14ac:dyDescent="0.3">
      <c r="A77" t="s">
        <v>6</v>
      </c>
      <c r="B77" t="s">
        <v>7</v>
      </c>
      <c r="C77" t="s">
        <v>162</v>
      </c>
      <c r="D77">
        <v>2045</v>
      </c>
      <c r="E77">
        <v>0.84</v>
      </c>
      <c r="F77">
        <v>1</v>
      </c>
      <c r="G77">
        <v>0</v>
      </c>
      <c r="H77">
        <v>577.5</v>
      </c>
      <c r="I77">
        <f>Cambium22_MidCase_annual_gea!BU77</f>
        <v>219006750</v>
      </c>
      <c r="J77">
        <f>Cambium22_MidCase_annual_gea!BZ77</f>
        <v>23079352</v>
      </c>
      <c r="K77">
        <f>SUM(Cambium22_MidCase_annual_gea!BX77,Cambium22_MidCase_annual_gea!BY77)</f>
        <v>1515029.8</v>
      </c>
      <c r="L77">
        <f t="shared" si="6"/>
        <v>194412368.19999999</v>
      </c>
      <c r="M77">
        <f>SUM(Cambium22_MidCase_annual_gea!CA77,Cambium22_MidCase_annual_gea!CB77)</f>
        <v>0</v>
      </c>
      <c r="N77">
        <f>SUM(Cambium22_MidCase_annual_gea!CE77,Cambium22_MidCase_annual_gea!CF77,Cambium22_MidCase_annual_gea!CG77)</f>
        <v>34927150.5</v>
      </c>
      <c r="O77">
        <f>Cambium22_MidCase_annual_gea!CK77</f>
        <v>1122312.3999999999</v>
      </c>
      <c r="P77">
        <f>Cambium22_MidCase_annual_gea!CJ77</f>
        <v>24925642</v>
      </c>
      <c r="Y77">
        <v>219006750</v>
      </c>
      <c r="Z77">
        <v>94959140</v>
      </c>
      <c r="AA77">
        <v>9273931</v>
      </c>
      <c r="AB77">
        <v>1515029.8</v>
      </c>
      <c r="AC77">
        <v>0</v>
      </c>
      <c r="AD77">
        <v>23079352</v>
      </c>
      <c r="AE77">
        <v>0</v>
      </c>
      <c r="AF77">
        <v>0</v>
      </c>
      <c r="AG77">
        <v>0</v>
      </c>
      <c r="AH77">
        <v>6293379</v>
      </c>
      <c r="AI77">
        <v>29700516</v>
      </c>
      <c r="AJ77">
        <v>0</v>
      </c>
      <c r="AK77">
        <v>5226634.5</v>
      </c>
      <c r="AL77">
        <v>0</v>
      </c>
      <c r="AM77">
        <v>27421824</v>
      </c>
      <c r="AN77">
        <v>24925642</v>
      </c>
      <c r="AO77">
        <v>1122312.3999999999</v>
      </c>
      <c r="AP77">
        <v>1782368.8</v>
      </c>
      <c r="AQ77">
        <v>0</v>
      </c>
      <c r="AR77">
        <v>35474988</v>
      </c>
      <c r="AS77">
        <v>22362578</v>
      </c>
      <c r="AT77">
        <v>30828186</v>
      </c>
    </row>
    <row r="78" spans="1:46" x14ac:dyDescent="0.3">
      <c r="A78" t="s">
        <v>6</v>
      </c>
      <c r="B78" t="s">
        <v>7</v>
      </c>
      <c r="C78" t="s">
        <v>162</v>
      </c>
      <c r="D78">
        <v>2050</v>
      </c>
      <c r="E78">
        <v>0.82</v>
      </c>
      <c r="F78">
        <v>1</v>
      </c>
      <c r="G78">
        <v>0</v>
      </c>
      <c r="H78">
        <v>563.9</v>
      </c>
      <c r="I78">
        <f>Cambium22_MidCase_annual_gea!BU78</f>
        <v>238265950</v>
      </c>
      <c r="J78">
        <f>Cambium22_MidCase_annual_gea!BZ78</f>
        <v>23078046</v>
      </c>
      <c r="K78">
        <f>SUM(Cambium22_MidCase_annual_gea!BX78,Cambium22_MidCase_annual_gea!BY78)</f>
        <v>1477852.2</v>
      </c>
      <c r="L78">
        <f t="shared" si="6"/>
        <v>213710051.80000001</v>
      </c>
      <c r="M78">
        <f>SUM(Cambium22_MidCase_annual_gea!CA78,Cambium22_MidCase_annual_gea!CB78)</f>
        <v>0</v>
      </c>
      <c r="N78">
        <f>SUM(Cambium22_MidCase_annual_gea!CE78,Cambium22_MidCase_annual_gea!CF78,Cambium22_MidCase_annual_gea!CG78)</f>
        <v>42682536</v>
      </c>
      <c r="O78">
        <f>Cambium22_MidCase_annual_gea!CK78</f>
        <v>289845.8</v>
      </c>
      <c r="P78">
        <f>Cambium22_MidCase_annual_gea!CJ78</f>
        <v>15306237</v>
      </c>
      <c r="Y78">
        <v>238265950</v>
      </c>
      <c r="Z78">
        <v>115322776</v>
      </c>
      <c r="AA78">
        <v>11031965</v>
      </c>
      <c r="AB78">
        <v>1477852.2</v>
      </c>
      <c r="AC78">
        <v>0</v>
      </c>
      <c r="AD78">
        <v>23078046</v>
      </c>
      <c r="AE78">
        <v>0</v>
      </c>
      <c r="AF78">
        <v>0</v>
      </c>
      <c r="AG78">
        <v>0</v>
      </c>
      <c r="AH78">
        <v>6878811</v>
      </c>
      <c r="AI78">
        <v>30087612</v>
      </c>
      <c r="AJ78">
        <v>0</v>
      </c>
      <c r="AK78">
        <v>12594924</v>
      </c>
      <c r="AL78">
        <v>0</v>
      </c>
      <c r="AM78">
        <v>27093300</v>
      </c>
      <c r="AN78">
        <v>15306237</v>
      </c>
      <c r="AO78">
        <v>289845.8</v>
      </c>
      <c r="AP78">
        <v>1983410.2</v>
      </c>
      <c r="AQ78">
        <v>0</v>
      </c>
      <c r="AR78">
        <v>50628260</v>
      </c>
      <c r="AS78">
        <v>27449760</v>
      </c>
      <c r="AT78">
        <v>30365946</v>
      </c>
    </row>
    <row r="79" spans="1:46" x14ac:dyDescent="0.3">
      <c r="A79" t="s">
        <v>6</v>
      </c>
      <c r="B79" t="s">
        <v>7</v>
      </c>
      <c r="C79" t="s">
        <v>163</v>
      </c>
      <c r="D79">
        <v>2024</v>
      </c>
      <c r="E79">
        <v>0.47</v>
      </c>
      <c r="F79">
        <v>0.46</v>
      </c>
      <c r="G79">
        <v>417.1</v>
      </c>
      <c r="H79">
        <v>857.8</v>
      </c>
      <c r="I79">
        <f>Cambium22_MidCase_annual_gea!BU79</f>
        <v>335006700</v>
      </c>
      <c r="J79">
        <f>Cambium22_MidCase_annual_gea!BZ79</f>
        <v>0</v>
      </c>
      <c r="K79">
        <f>SUM(Cambium22_MidCase_annual_gea!BX79,Cambium22_MidCase_annual_gea!BY79)</f>
        <v>2688081.5</v>
      </c>
      <c r="L79">
        <f t="shared" si="6"/>
        <v>332318618.5</v>
      </c>
      <c r="M79">
        <f>SUM(Cambium22_MidCase_annual_gea!CA79,Cambium22_MidCase_annual_gea!CB79)</f>
        <v>14348781</v>
      </c>
      <c r="N79">
        <f>SUM(Cambium22_MidCase_annual_gea!CE79,Cambium22_MidCase_annual_gea!CF79,Cambium22_MidCase_annual_gea!CG79)</f>
        <v>162749199.19999999</v>
      </c>
      <c r="O79">
        <f>Cambium22_MidCase_annual_gea!CK79</f>
        <v>547121.5</v>
      </c>
      <c r="P79">
        <f>Cambium22_MidCase_annual_gea!CJ79</f>
        <v>99559470</v>
      </c>
      <c r="Y79">
        <v>335006700</v>
      </c>
      <c r="Z79">
        <v>48273770</v>
      </c>
      <c r="AA79">
        <v>920591.1</v>
      </c>
      <c r="AB79">
        <v>2688081.5</v>
      </c>
      <c r="AC79">
        <v>0</v>
      </c>
      <c r="AD79">
        <v>0</v>
      </c>
      <c r="AE79">
        <v>14348781</v>
      </c>
      <c r="AF79">
        <v>0</v>
      </c>
      <c r="AG79">
        <v>0</v>
      </c>
      <c r="AH79">
        <v>7439134.5</v>
      </c>
      <c r="AI79">
        <v>161994580</v>
      </c>
      <c r="AJ79">
        <v>0</v>
      </c>
      <c r="AK79">
        <v>754619.2</v>
      </c>
      <c r="AL79">
        <v>0</v>
      </c>
      <c r="AM79">
        <v>4541562</v>
      </c>
      <c r="AN79">
        <v>99559470</v>
      </c>
      <c r="AO79">
        <v>547121.5</v>
      </c>
      <c r="AP79">
        <v>1378104.2</v>
      </c>
      <c r="AQ79">
        <v>0</v>
      </c>
      <c r="AR79">
        <v>22120764</v>
      </c>
      <c r="AS79">
        <v>9439877</v>
      </c>
      <c r="AT79">
        <v>9273992</v>
      </c>
    </row>
    <row r="80" spans="1:46" x14ac:dyDescent="0.3">
      <c r="A80" t="s">
        <v>6</v>
      </c>
      <c r="B80" t="s">
        <v>7</v>
      </c>
      <c r="C80" t="s">
        <v>163</v>
      </c>
      <c r="D80">
        <v>2026</v>
      </c>
      <c r="E80">
        <v>0.5</v>
      </c>
      <c r="F80">
        <v>0.5</v>
      </c>
      <c r="G80">
        <v>369.4</v>
      </c>
      <c r="H80">
        <v>802.2</v>
      </c>
      <c r="I80">
        <f>Cambium22_MidCase_annual_gea!BU80</f>
        <v>335880500</v>
      </c>
      <c r="J80">
        <f>Cambium22_MidCase_annual_gea!BZ80</f>
        <v>0</v>
      </c>
      <c r="K80">
        <f>SUM(Cambium22_MidCase_annual_gea!BX80,Cambium22_MidCase_annual_gea!BY80)</f>
        <v>2684401.8</v>
      </c>
      <c r="L80">
        <f t="shared" si="6"/>
        <v>333196098.19999999</v>
      </c>
      <c r="M80">
        <f>SUM(Cambium22_MidCase_annual_gea!CA80,Cambium22_MidCase_annual_gea!CB80)</f>
        <v>10881668</v>
      </c>
      <c r="N80">
        <f>SUM(Cambium22_MidCase_annual_gea!CE80,Cambium22_MidCase_annual_gea!CF80,Cambium22_MidCase_annual_gea!CG80)</f>
        <v>158262493.69999999</v>
      </c>
      <c r="O80">
        <f>Cambium22_MidCase_annual_gea!CK80</f>
        <v>441971.4</v>
      </c>
      <c r="P80">
        <f>Cambium22_MidCase_annual_gea!CJ80</f>
        <v>99465040</v>
      </c>
      <c r="Y80">
        <v>335880500</v>
      </c>
      <c r="Z80">
        <v>56463690</v>
      </c>
      <c r="AA80">
        <v>1498775.6</v>
      </c>
      <c r="AB80">
        <v>2684401.8</v>
      </c>
      <c r="AC80">
        <v>0</v>
      </c>
      <c r="AD80">
        <v>0</v>
      </c>
      <c r="AE80">
        <v>10881668</v>
      </c>
      <c r="AF80">
        <v>0</v>
      </c>
      <c r="AG80">
        <v>0</v>
      </c>
      <c r="AH80">
        <v>9485922</v>
      </c>
      <c r="AI80">
        <v>157608800</v>
      </c>
      <c r="AJ80">
        <v>0</v>
      </c>
      <c r="AK80">
        <v>653693.69999999995</v>
      </c>
      <c r="AL80">
        <v>0</v>
      </c>
      <c r="AM80">
        <v>4729960</v>
      </c>
      <c r="AN80">
        <v>99465040</v>
      </c>
      <c r="AO80">
        <v>441971.4</v>
      </c>
      <c r="AP80">
        <v>1452505</v>
      </c>
      <c r="AQ80">
        <v>0</v>
      </c>
      <c r="AR80">
        <v>21819928</v>
      </c>
      <c r="AS80">
        <v>9388973</v>
      </c>
      <c r="AT80">
        <v>15768867</v>
      </c>
    </row>
    <row r="81" spans="1:46" x14ac:dyDescent="0.3">
      <c r="A81" t="s">
        <v>6</v>
      </c>
      <c r="B81" t="s">
        <v>7</v>
      </c>
      <c r="C81" t="s">
        <v>163</v>
      </c>
      <c r="D81">
        <v>2028</v>
      </c>
      <c r="E81">
        <v>0.53</v>
      </c>
      <c r="F81">
        <v>0.54</v>
      </c>
      <c r="G81">
        <v>307.5</v>
      </c>
      <c r="H81">
        <v>730.8</v>
      </c>
      <c r="I81">
        <f>Cambium22_MidCase_annual_gea!BU81</f>
        <v>340865800</v>
      </c>
      <c r="J81">
        <f>Cambium22_MidCase_annual_gea!BZ81</f>
        <v>0</v>
      </c>
      <c r="K81">
        <f>SUM(Cambium22_MidCase_annual_gea!BX81,Cambium22_MidCase_annual_gea!BY81)</f>
        <v>2653348</v>
      </c>
      <c r="L81">
        <f t="shared" si="6"/>
        <v>338212452</v>
      </c>
      <c r="M81">
        <f>SUM(Cambium22_MidCase_annual_gea!CA81,Cambium22_MidCase_annual_gea!CB81)</f>
        <v>7203283</v>
      </c>
      <c r="N81">
        <f>SUM(Cambium22_MidCase_annual_gea!CE81,Cambium22_MidCase_annual_gea!CF81,Cambium22_MidCase_annual_gea!CG81)</f>
        <v>154192347.59999999</v>
      </c>
      <c r="O81">
        <f>Cambium22_MidCase_annual_gea!CK81</f>
        <v>417275.4</v>
      </c>
      <c r="P81">
        <f>Cambium22_MidCase_annual_gea!CJ81</f>
        <v>98980480</v>
      </c>
      <c r="Y81">
        <v>340865800</v>
      </c>
      <c r="Z81">
        <v>68354300</v>
      </c>
      <c r="AA81">
        <v>2240619.5</v>
      </c>
      <c r="AB81">
        <v>2653348</v>
      </c>
      <c r="AC81">
        <v>0</v>
      </c>
      <c r="AD81">
        <v>0</v>
      </c>
      <c r="AE81">
        <v>7203283</v>
      </c>
      <c r="AF81">
        <v>0</v>
      </c>
      <c r="AG81">
        <v>0</v>
      </c>
      <c r="AH81">
        <v>11954572</v>
      </c>
      <c r="AI81">
        <v>153536830</v>
      </c>
      <c r="AJ81">
        <v>0</v>
      </c>
      <c r="AK81">
        <v>655517.6</v>
      </c>
      <c r="AL81">
        <v>0</v>
      </c>
      <c r="AM81">
        <v>4690955</v>
      </c>
      <c r="AN81">
        <v>98980480</v>
      </c>
      <c r="AO81">
        <v>417275.4</v>
      </c>
      <c r="AP81">
        <v>2133185.2000000002</v>
      </c>
      <c r="AQ81">
        <v>0</v>
      </c>
      <c r="AR81">
        <v>21510380</v>
      </c>
      <c r="AS81">
        <v>9338336</v>
      </c>
      <c r="AT81">
        <v>25551012</v>
      </c>
    </row>
    <row r="82" spans="1:46" x14ac:dyDescent="0.3">
      <c r="A82" t="s">
        <v>6</v>
      </c>
      <c r="B82" t="s">
        <v>7</v>
      </c>
      <c r="C82" t="s">
        <v>163</v>
      </c>
      <c r="D82">
        <v>2030</v>
      </c>
      <c r="E82">
        <v>0.55000000000000004</v>
      </c>
      <c r="F82">
        <v>0.56000000000000005</v>
      </c>
      <c r="G82">
        <v>313.39999999999998</v>
      </c>
      <c r="H82">
        <v>682</v>
      </c>
      <c r="I82">
        <f>Cambium22_MidCase_annual_gea!BU82</f>
        <v>331169000</v>
      </c>
      <c r="J82">
        <f>Cambium22_MidCase_annual_gea!BZ82</f>
        <v>0</v>
      </c>
      <c r="K82">
        <f>SUM(Cambium22_MidCase_annual_gea!BX82,Cambium22_MidCase_annual_gea!BY82)</f>
        <v>2601434.5</v>
      </c>
      <c r="L82">
        <f t="shared" si="6"/>
        <v>328567565.5</v>
      </c>
      <c r="M82">
        <f>SUM(Cambium22_MidCase_annual_gea!CA82,Cambium22_MidCase_annual_gea!CB82)</f>
        <v>6499398.5</v>
      </c>
      <c r="N82">
        <f>SUM(Cambium22_MidCase_annual_gea!CE82,Cambium22_MidCase_annual_gea!CF82,Cambium22_MidCase_annual_gea!CG82)</f>
        <v>143210460.80000001</v>
      </c>
      <c r="O82">
        <f>Cambium22_MidCase_annual_gea!CK82</f>
        <v>292899.20000000001</v>
      </c>
      <c r="P82">
        <f>Cambium22_MidCase_annual_gea!CJ82</f>
        <v>98087080</v>
      </c>
      <c r="Y82">
        <v>331169000</v>
      </c>
      <c r="Z82">
        <v>71191800</v>
      </c>
      <c r="AA82">
        <v>2288478.7999999998</v>
      </c>
      <c r="AB82">
        <v>2601434.5</v>
      </c>
      <c r="AC82">
        <v>0</v>
      </c>
      <c r="AD82">
        <v>0</v>
      </c>
      <c r="AE82">
        <v>6499398.5</v>
      </c>
      <c r="AF82">
        <v>0</v>
      </c>
      <c r="AG82">
        <v>0</v>
      </c>
      <c r="AH82">
        <v>15240286</v>
      </c>
      <c r="AI82">
        <v>142801060</v>
      </c>
      <c r="AJ82">
        <v>0</v>
      </c>
      <c r="AK82">
        <v>409400.8</v>
      </c>
      <c r="AL82">
        <v>0</v>
      </c>
      <c r="AM82">
        <v>4609221.5</v>
      </c>
      <c r="AN82">
        <v>98087080</v>
      </c>
      <c r="AO82">
        <v>292899.20000000001</v>
      </c>
      <c r="AP82">
        <v>2388228.7999999998</v>
      </c>
      <c r="AQ82">
        <v>0</v>
      </c>
      <c r="AR82">
        <v>21212490</v>
      </c>
      <c r="AS82">
        <v>9287980</v>
      </c>
      <c r="AT82">
        <v>25451048</v>
      </c>
    </row>
    <row r="83" spans="1:46" x14ac:dyDescent="0.3">
      <c r="A83" t="s">
        <v>6</v>
      </c>
      <c r="B83" t="s">
        <v>7</v>
      </c>
      <c r="C83" t="s">
        <v>163</v>
      </c>
      <c r="D83">
        <v>2035</v>
      </c>
      <c r="E83">
        <v>0.61</v>
      </c>
      <c r="F83">
        <v>0.63</v>
      </c>
      <c r="G83">
        <v>332.6</v>
      </c>
      <c r="H83">
        <v>637.79999999999995</v>
      </c>
      <c r="I83">
        <f>Cambium22_MidCase_annual_gea!BU83</f>
        <v>338221150</v>
      </c>
      <c r="J83">
        <f>Cambium22_MidCase_annual_gea!BZ83</f>
        <v>0</v>
      </c>
      <c r="K83">
        <f>SUM(Cambium22_MidCase_annual_gea!BX83,Cambium22_MidCase_annual_gea!BY83)</f>
        <v>2527155.7999999998</v>
      </c>
      <c r="L83">
        <f t="shared" si="6"/>
        <v>335693994.19999999</v>
      </c>
      <c r="M83">
        <f>SUM(Cambium22_MidCase_annual_gea!CA83,Cambium22_MidCase_annual_gea!CB83)</f>
        <v>6038583.5</v>
      </c>
      <c r="N83">
        <f>SUM(Cambium22_MidCase_annual_gea!CE83,Cambium22_MidCase_annual_gea!CF83,Cambium22_MidCase_annual_gea!CG83)</f>
        <v>125848209.40000001</v>
      </c>
      <c r="O83">
        <f>Cambium22_MidCase_annual_gea!CK83</f>
        <v>210899.6</v>
      </c>
      <c r="P83">
        <f>Cambium22_MidCase_annual_gea!CJ83</f>
        <v>97256880</v>
      </c>
      <c r="Y83">
        <v>338221150</v>
      </c>
      <c r="Z83">
        <v>93660640</v>
      </c>
      <c r="AA83">
        <v>5690398.5</v>
      </c>
      <c r="AB83">
        <v>2527155.7999999998</v>
      </c>
      <c r="AC83">
        <v>0</v>
      </c>
      <c r="AD83">
        <v>0</v>
      </c>
      <c r="AE83">
        <v>6038583.5</v>
      </c>
      <c r="AF83">
        <v>0</v>
      </c>
      <c r="AG83">
        <v>0</v>
      </c>
      <c r="AH83">
        <v>16541214</v>
      </c>
      <c r="AI83">
        <v>125462890</v>
      </c>
      <c r="AJ83">
        <v>0</v>
      </c>
      <c r="AK83">
        <v>385319.4</v>
      </c>
      <c r="AL83">
        <v>0</v>
      </c>
      <c r="AM83">
        <v>4455752.5</v>
      </c>
      <c r="AN83">
        <v>97256880</v>
      </c>
      <c r="AO83">
        <v>210899.6</v>
      </c>
      <c r="AP83">
        <v>2532651.5</v>
      </c>
      <c r="AQ83">
        <v>0</v>
      </c>
      <c r="AR83">
        <v>21101226</v>
      </c>
      <c r="AS83">
        <v>9317112</v>
      </c>
      <c r="AT83">
        <v>46701084</v>
      </c>
    </row>
    <row r="84" spans="1:46" x14ac:dyDescent="0.3">
      <c r="A84" t="s">
        <v>6</v>
      </c>
      <c r="B84" t="s">
        <v>7</v>
      </c>
      <c r="C84" t="s">
        <v>163</v>
      </c>
      <c r="D84">
        <v>2040</v>
      </c>
      <c r="E84">
        <v>0.62</v>
      </c>
      <c r="F84">
        <v>0.65</v>
      </c>
      <c r="G84">
        <v>355.8</v>
      </c>
      <c r="H84">
        <v>589.1</v>
      </c>
      <c r="I84">
        <f>Cambium22_MidCase_annual_gea!BU84</f>
        <v>335996320</v>
      </c>
      <c r="J84">
        <f>Cambium22_MidCase_annual_gea!BZ84</f>
        <v>0</v>
      </c>
      <c r="K84">
        <f>SUM(Cambium22_MidCase_annual_gea!BX84,Cambium22_MidCase_annual_gea!BY84)</f>
        <v>2463737.2000000002</v>
      </c>
      <c r="L84">
        <f t="shared" si="6"/>
        <v>333532582.80000001</v>
      </c>
      <c r="M84">
        <f>SUM(Cambium22_MidCase_annual_gea!CA84,Cambium22_MidCase_annual_gea!CB84)</f>
        <v>3703305.5</v>
      </c>
      <c r="N84">
        <f>SUM(Cambium22_MidCase_annual_gea!CE84,Cambium22_MidCase_annual_gea!CF84,Cambium22_MidCase_annual_gea!CG84)</f>
        <v>122563578.5</v>
      </c>
      <c r="O84">
        <f>Cambium22_MidCase_annual_gea!CK84</f>
        <v>260611.4</v>
      </c>
      <c r="P84">
        <f>Cambium22_MidCase_annual_gea!CJ84</f>
        <v>96380410</v>
      </c>
      <c r="Y84">
        <v>335996320</v>
      </c>
      <c r="Z84">
        <v>95379970</v>
      </c>
      <c r="AA84">
        <v>8191985.5</v>
      </c>
      <c r="AB84">
        <v>2463737.2000000002</v>
      </c>
      <c r="AC84">
        <v>0</v>
      </c>
      <c r="AD84">
        <v>0</v>
      </c>
      <c r="AE84">
        <v>3703305.5</v>
      </c>
      <c r="AF84">
        <v>0</v>
      </c>
      <c r="AG84">
        <v>0</v>
      </c>
      <c r="AH84">
        <v>16120506</v>
      </c>
      <c r="AI84">
        <v>121901976</v>
      </c>
      <c r="AJ84">
        <v>0</v>
      </c>
      <c r="AK84">
        <v>661602.5</v>
      </c>
      <c r="AL84">
        <v>0</v>
      </c>
      <c r="AM84">
        <v>4308134.5</v>
      </c>
      <c r="AN84">
        <v>96380410</v>
      </c>
      <c r="AO84">
        <v>260611.4</v>
      </c>
      <c r="AP84">
        <v>2744578.5</v>
      </c>
      <c r="AQ84">
        <v>0</v>
      </c>
      <c r="AR84">
        <v>20398788</v>
      </c>
      <c r="AS84">
        <v>12675896</v>
      </c>
      <c r="AT84">
        <v>46184776</v>
      </c>
    </row>
    <row r="85" spans="1:46" x14ac:dyDescent="0.3">
      <c r="A85" t="s">
        <v>6</v>
      </c>
      <c r="B85" t="s">
        <v>7</v>
      </c>
      <c r="C85" t="s">
        <v>163</v>
      </c>
      <c r="D85">
        <v>2045</v>
      </c>
      <c r="E85">
        <v>0.61</v>
      </c>
      <c r="F85">
        <v>0.64</v>
      </c>
      <c r="G85">
        <v>358.1</v>
      </c>
      <c r="H85">
        <v>600.4</v>
      </c>
      <c r="I85">
        <f>Cambium22_MidCase_annual_gea!BU85</f>
        <v>355156350</v>
      </c>
      <c r="J85">
        <f>Cambium22_MidCase_annual_gea!BZ85</f>
        <v>0</v>
      </c>
      <c r="K85">
        <f>SUM(Cambium22_MidCase_annual_gea!BX85,Cambium22_MidCase_annual_gea!BY85)</f>
        <v>2498270</v>
      </c>
      <c r="L85">
        <f t="shared" si="6"/>
        <v>352658080</v>
      </c>
      <c r="M85">
        <f>SUM(Cambium22_MidCase_annual_gea!CA85,Cambium22_MidCase_annual_gea!CB85)</f>
        <v>2880144.8</v>
      </c>
      <c r="N85">
        <f>SUM(Cambium22_MidCase_annual_gea!CE85,Cambium22_MidCase_annual_gea!CF85,Cambium22_MidCase_annual_gea!CG85)</f>
        <v>133764019.2</v>
      </c>
      <c r="O85">
        <f>Cambium22_MidCase_annual_gea!CK85</f>
        <v>127804.6</v>
      </c>
      <c r="P85">
        <f>Cambium22_MidCase_annual_gea!CJ85</f>
        <v>96930136</v>
      </c>
      <c r="Y85">
        <v>355156350</v>
      </c>
      <c r="Z85">
        <v>99555864</v>
      </c>
      <c r="AA85">
        <v>12558779</v>
      </c>
      <c r="AB85">
        <v>2498270</v>
      </c>
      <c r="AC85">
        <v>0</v>
      </c>
      <c r="AD85">
        <v>0</v>
      </c>
      <c r="AE85">
        <v>2880144.8</v>
      </c>
      <c r="AF85">
        <v>0</v>
      </c>
      <c r="AG85">
        <v>0</v>
      </c>
      <c r="AH85">
        <v>15883600</v>
      </c>
      <c r="AI85">
        <v>130569704</v>
      </c>
      <c r="AJ85">
        <v>0</v>
      </c>
      <c r="AK85">
        <v>3194315.2</v>
      </c>
      <c r="AL85">
        <v>0</v>
      </c>
      <c r="AM85">
        <v>4357410</v>
      </c>
      <c r="AN85">
        <v>96930136</v>
      </c>
      <c r="AO85">
        <v>127804.6</v>
      </c>
      <c r="AP85">
        <v>2483916.7999999998</v>
      </c>
      <c r="AQ85">
        <v>0</v>
      </c>
      <c r="AR85">
        <v>19493230</v>
      </c>
      <c r="AS85">
        <v>18380542</v>
      </c>
      <c r="AT85">
        <v>45798496</v>
      </c>
    </row>
    <row r="86" spans="1:46" x14ac:dyDescent="0.3">
      <c r="A86" t="s">
        <v>6</v>
      </c>
      <c r="B86" t="s">
        <v>7</v>
      </c>
      <c r="C86" t="s">
        <v>163</v>
      </c>
      <c r="D86">
        <v>2050</v>
      </c>
      <c r="E86">
        <v>0.6</v>
      </c>
      <c r="F86">
        <v>0.63</v>
      </c>
      <c r="G86">
        <v>354.3</v>
      </c>
      <c r="H86">
        <v>601.5</v>
      </c>
      <c r="I86">
        <f>Cambium22_MidCase_annual_gea!BU86</f>
        <v>362609570</v>
      </c>
      <c r="J86">
        <f>Cambium22_MidCase_annual_gea!BZ86</f>
        <v>0</v>
      </c>
      <c r="K86">
        <f>SUM(Cambium22_MidCase_annual_gea!BX86,Cambium22_MidCase_annual_gea!BY86)</f>
        <v>2459965</v>
      </c>
      <c r="L86">
        <f t="shared" si="6"/>
        <v>360149605</v>
      </c>
      <c r="M86">
        <f>SUM(Cambium22_MidCase_annual_gea!CA86,Cambium22_MidCase_annual_gea!CB86)</f>
        <v>896330.1</v>
      </c>
      <c r="N86">
        <f>SUM(Cambium22_MidCase_annual_gea!CE86,Cambium22_MidCase_annual_gea!CF86,Cambium22_MidCase_annual_gea!CG86)</f>
        <v>142992274</v>
      </c>
      <c r="O86">
        <f>Cambium22_MidCase_annual_gea!CK86</f>
        <v>68743.899999999994</v>
      </c>
      <c r="P86">
        <f>Cambium22_MidCase_annual_gea!CJ86</f>
        <v>96415170</v>
      </c>
      <c r="Y86">
        <v>362609570</v>
      </c>
      <c r="Z86">
        <v>99916270</v>
      </c>
      <c r="AA86">
        <v>12664554</v>
      </c>
      <c r="AB86">
        <v>2459965</v>
      </c>
      <c r="AC86">
        <v>0</v>
      </c>
      <c r="AD86">
        <v>0</v>
      </c>
      <c r="AE86">
        <v>896330.1</v>
      </c>
      <c r="AF86">
        <v>0</v>
      </c>
      <c r="AG86">
        <v>0</v>
      </c>
      <c r="AH86">
        <v>15912382</v>
      </c>
      <c r="AI86">
        <v>127611220</v>
      </c>
      <c r="AJ86">
        <v>0</v>
      </c>
      <c r="AK86">
        <v>15381054</v>
      </c>
      <c r="AL86">
        <v>0</v>
      </c>
      <c r="AM86">
        <v>4322455</v>
      </c>
      <c r="AN86">
        <v>96415170</v>
      </c>
      <c r="AO86">
        <v>68743.899999999994</v>
      </c>
      <c r="AP86">
        <v>2873808.2</v>
      </c>
      <c r="AQ86">
        <v>0</v>
      </c>
      <c r="AR86">
        <v>19541176</v>
      </c>
      <c r="AS86">
        <v>19126706</v>
      </c>
      <c r="AT86">
        <v>45336010</v>
      </c>
    </row>
    <row r="87" spans="1:46" x14ac:dyDescent="0.3">
      <c r="A87" t="s">
        <v>6</v>
      </c>
      <c r="B87" t="s">
        <v>7</v>
      </c>
      <c r="C87" t="s">
        <v>164</v>
      </c>
      <c r="D87">
        <v>2024</v>
      </c>
      <c r="E87">
        <v>0.39</v>
      </c>
      <c r="F87">
        <v>0.38</v>
      </c>
      <c r="G87">
        <v>436</v>
      </c>
      <c r="H87">
        <v>923.4</v>
      </c>
      <c r="I87">
        <f>Cambium22_MidCase_annual_gea!BU87</f>
        <v>114153256</v>
      </c>
      <c r="J87">
        <f>Cambium22_MidCase_annual_gea!BZ87</f>
        <v>1680363.8</v>
      </c>
      <c r="K87">
        <f>SUM(Cambium22_MidCase_annual_gea!BX87,Cambium22_MidCase_annual_gea!BY87)</f>
        <v>1918568.8</v>
      </c>
      <c r="L87">
        <f t="shared" si="6"/>
        <v>110554323.40000001</v>
      </c>
      <c r="M87">
        <f>SUM(Cambium22_MidCase_annual_gea!CA87,Cambium22_MidCase_annual_gea!CB87)</f>
        <v>33172444</v>
      </c>
      <c r="N87">
        <f>SUM(Cambium22_MidCase_annual_gea!CE87,Cambium22_MidCase_annual_gea!CF87,Cambium22_MidCase_annual_gea!CG87)</f>
        <v>34471870.200000003</v>
      </c>
      <c r="O87">
        <f>Cambium22_MidCase_annual_gea!CK87</f>
        <v>1714456.4</v>
      </c>
      <c r="P87">
        <f>Cambium22_MidCase_annual_gea!CJ87</f>
        <v>26501848</v>
      </c>
      <c r="Y87">
        <v>114153256</v>
      </c>
      <c r="Z87">
        <v>12849710</v>
      </c>
      <c r="AA87">
        <v>678.8</v>
      </c>
      <c r="AB87">
        <v>1918568.8</v>
      </c>
      <c r="AC87">
        <v>0</v>
      </c>
      <c r="AD87">
        <v>1680363.8</v>
      </c>
      <c r="AE87">
        <v>33172444</v>
      </c>
      <c r="AF87">
        <v>0</v>
      </c>
      <c r="AG87">
        <v>0</v>
      </c>
      <c r="AH87">
        <v>294164</v>
      </c>
      <c r="AI87">
        <v>32590598</v>
      </c>
      <c r="AJ87">
        <v>0</v>
      </c>
      <c r="AK87">
        <v>1881272.2</v>
      </c>
      <c r="AL87">
        <v>0</v>
      </c>
      <c r="AM87">
        <v>629257.4</v>
      </c>
      <c r="AN87">
        <v>26501848</v>
      </c>
      <c r="AO87">
        <v>1714456.4</v>
      </c>
      <c r="AP87">
        <v>1214052.8999999999</v>
      </c>
      <c r="AQ87">
        <v>0</v>
      </c>
      <c r="AR87">
        <v>2450471</v>
      </c>
      <c r="AS87">
        <v>10105075</v>
      </c>
      <c r="AT87">
        <v>0</v>
      </c>
    </row>
    <row r="88" spans="1:46" x14ac:dyDescent="0.3">
      <c r="A88" t="s">
        <v>6</v>
      </c>
      <c r="B88" t="s">
        <v>7</v>
      </c>
      <c r="C88" t="s">
        <v>164</v>
      </c>
      <c r="D88">
        <v>2026</v>
      </c>
      <c r="E88">
        <v>0.37</v>
      </c>
      <c r="F88">
        <v>0.36</v>
      </c>
      <c r="G88">
        <v>424.2</v>
      </c>
      <c r="H88">
        <v>874.1</v>
      </c>
      <c r="I88">
        <f>Cambium22_MidCase_annual_gea!BU88</f>
        <v>119962770</v>
      </c>
      <c r="J88">
        <f>Cambium22_MidCase_annual_gea!BZ88</f>
        <v>586552.69999999995</v>
      </c>
      <c r="K88">
        <f>SUM(Cambium22_MidCase_annual_gea!BX88,Cambium22_MidCase_annual_gea!BY88)</f>
        <v>1918432.4</v>
      </c>
      <c r="L88">
        <f t="shared" si="6"/>
        <v>117457784.89999999</v>
      </c>
      <c r="M88">
        <f>SUM(Cambium22_MidCase_annual_gea!CA88,Cambium22_MidCase_annual_gea!CB88)</f>
        <v>21679692</v>
      </c>
      <c r="N88">
        <f>SUM(Cambium22_MidCase_annual_gea!CE88,Cambium22_MidCase_annual_gea!CF88,Cambium22_MidCase_annual_gea!CG88)</f>
        <v>52505666.399999999</v>
      </c>
      <c r="O88">
        <f>Cambium22_MidCase_annual_gea!CK88</f>
        <v>1349593.2</v>
      </c>
      <c r="P88">
        <f>Cambium22_MidCase_annual_gea!CJ88</f>
        <v>26494382</v>
      </c>
      <c r="Y88">
        <v>119962770</v>
      </c>
      <c r="Z88">
        <v>13034385</v>
      </c>
      <c r="AA88">
        <v>28254.400000000001</v>
      </c>
      <c r="AB88">
        <v>1918432.4</v>
      </c>
      <c r="AC88">
        <v>0</v>
      </c>
      <c r="AD88">
        <v>586552.69999999995</v>
      </c>
      <c r="AE88">
        <v>21679692</v>
      </c>
      <c r="AF88">
        <v>0</v>
      </c>
      <c r="AG88">
        <v>0</v>
      </c>
      <c r="AH88">
        <v>567520.4</v>
      </c>
      <c r="AI88">
        <v>51384716</v>
      </c>
      <c r="AJ88">
        <v>0</v>
      </c>
      <c r="AK88">
        <v>1120950.3999999999</v>
      </c>
      <c r="AL88">
        <v>0</v>
      </c>
      <c r="AM88">
        <v>629187.80000000005</v>
      </c>
      <c r="AN88">
        <v>26494382</v>
      </c>
      <c r="AO88">
        <v>1349593.2</v>
      </c>
      <c r="AP88">
        <v>1736614.4</v>
      </c>
      <c r="AQ88">
        <v>0</v>
      </c>
      <c r="AR88">
        <v>2416285</v>
      </c>
      <c r="AS88">
        <v>10050580</v>
      </c>
      <c r="AT88">
        <v>0</v>
      </c>
    </row>
    <row r="89" spans="1:46" x14ac:dyDescent="0.3">
      <c r="A89" t="s">
        <v>6</v>
      </c>
      <c r="B89" t="s">
        <v>7</v>
      </c>
      <c r="C89" t="s">
        <v>164</v>
      </c>
      <c r="D89">
        <v>2028</v>
      </c>
      <c r="E89">
        <v>0.39</v>
      </c>
      <c r="F89">
        <v>0.4</v>
      </c>
      <c r="G89">
        <v>418.7</v>
      </c>
      <c r="H89">
        <v>787.9</v>
      </c>
      <c r="I89">
        <f>Cambium22_MidCase_annual_gea!BU89</f>
        <v>122795220</v>
      </c>
      <c r="J89">
        <f>Cambium22_MidCase_annual_gea!BZ89</f>
        <v>3221663.8</v>
      </c>
      <c r="K89">
        <f>SUM(Cambium22_MidCase_annual_gea!BX89,Cambium22_MidCase_annual_gea!BY89)</f>
        <v>1909904.2</v>
      </c>
      <c r="L89">
        <f t="shared" si="6"/>
        <v>117663652</v>
      </c>
      <c r="M89">
        <f>SUM(Cambium22_MidCase_annual_gea!CA89,Cambium22_MidCase_annual_gea!CB89)</f>
        <v>16185565</v>
      </c>
      <c r="N89">
        <f>SUM(Cambium22_MidCase_annual_gea!CE89,Cambium22_MidCase_annual_gea!CF89,Cambium22_MidCase_annual_gea!CG89)</f>
        <v>57031679.299999997</v>
      </c>
      <c r="O89">
        <f>Cambium22_MidCase_annual_gea!CK89</f>
        <v>1268740.6000000001</v>
      </c>
      <c r="P89">
        <f>Cambium22_MidCase_annual_gea!CJ89</f>
        <v>26386752</v>
      </c>
      <c r="Y89">
        <v>122795220</v>
      </c>
      <c r="Z89">
        <v>13642701</v>
      </c>
      <c r="AA89">
        <v>102156.8</v>
      </c>
      <c r="AB89">
        <v>1909904.2</v>
      </c>
      <c r="AC89">
        <v>0</v>
      </c>
      <c r="AD89">
        <v>3221663.8</v>
      </c>
      <c r="AE89">
        <v>16185565</v>
      </c>
      <c r="AF89">
        <v>0</v>
      </c>
      <c r="AG89">
        <v>0</v>
      </c>
      <c r="AH89">
        <v>1122784.1000000001</v>
      </c>
      <c r="AI89">
        <v>56054056</v>
      </c>
      <c r="AJ89">
        <v>0</v>
      </c>
      <c r="AK89">
        <v>977623.3</v>
      </c>
      <c r="AL89">
        <v>0</v>
      </c>
      <c r="AM89">
        <v>624602.9</v>
      </c>
      <c r="AN89">
        <v>26386752</v>
      </c>
      <c r="AO89">
        <v>1268740.6000000001</v>
      </c>
      <c r="AP89">
        <v>2421449.7999999998</v>
      </c>
      <c r="AQ89">
        <v>0</v>
      </c>
      <c r="AR89">
        <v>2523530.5</v>
      </c>
      <c r="AS89">
        <v>9996385</v>
      </c>
      <c r="AT89">
        <v>0</v>
      </c>
    </row>
    <row r="90" spans="1:46" x14ac:dyDescent="0.3">
      <c r="A90" t="s">
        <v>6</v>
      </c>
      <c r="B90" t="s">
        <v>7</v>
      </c>
      <c r="C90" t="s">
        <v>164</v>
      </c>
      <c r="D90">
        <v>2030</v>
      </c>
      <c r="E90">
        <v>0.43</v>
      </c>
      <c r="F90">
        <v>0.46</v>
      </c>
      <c r="G90">
        <v>418.2</v>
      </c>
      <c r="H90">
        <v>735.6</v>
      </c>
      <c r="I90">
        <f>Cambium22_MidCase_annual_gea!BU90</f>
        <v>120252850</v>
      </c>
      <c r="J90">
        <f>Cambium22_MidCase_annual_gea!BZ90</f>
        <v>3146304.5</v>
      </c>
      <c r="K90">
        <f>SUM(Cambium22_MidCase_annual_gea!BX90,Cambium22_MidCase_annual_gea!BY90)</f>
        <v>1889525.2</v>
      </c>
      <c r="L90">
        <f t="shared" si="6"/>
        <v>115217020.3</v>
      </c>
      <c r="M90">
        <f>SUM(Cambium22_MidCase_annual_gea!CA90,Cambium22_MidCase_annual_gea!CB90)</f>
        <v>10532470</v>
      </c>
      <c r="N90">
        <f>SUM(Cambium22_MidCase_annual_gea!CE90,Cambium22_MidCase_annual_gea!CF90,Cambium22_MidCase_annual_gea!CG90)</f>
        <v>56848788.600000001</v>
      </c>
      <c r="O90">
        <f>Cambium22_MidCase_annual_gea!CK90</f>
        <v>667409.30000000005</v>
      </c>
      <c r="P90">
        <f>Cambium22_MidCase_annual_gea!CJ90</f>
        <v>26133804</v>
      </c>
      <c r="Y90">
        <v>120252850</v>
      </c>
      <c r="Z90">
        <v>17479160</v>
      </c>
      <c r="AA90">
        <v>717587</v>
      </c>
      <c r="AB90">
        <v>1889525.2</v>
      </c>
      <c r="AC90">
        <v>0</v>
      </c>
      <c r="AD90">
        <v>3146304.5</v>
      </c>
      <c r="AE90">
        <v>10532470</v>
      </c>
      <c r="AF90">
        <v>0</v>
      </c>
      <c r="AG90">
        <v>0</v>
      </c>
      <c r="AH90">
        <v>2054073</v>
      </c>
      <c r="AI90">
        <v>56346636</v>
      </c>
      <c r="AJ90">
        <v>0</v>
      </c>
      <c r="AK90">
        <v>502152.6</v>
      </c>
      <c r="AL90">
        <v>0</v>
      </c>
      <c r="AM90">
        <v>614225.4</v>
      </c>
      <c r="AN90">
        <v>26133804</v>
      </c>
      <c r="AO90">
        <v>667409.30000000005</v>
      </c>
      <c r="AP90">
        <v>2223583.5</v>
      </c>
      <c r="AQ90">
        <v>0</v>
      </c>
      <c r="AR90">
        <v>2908140.8</v>
      </c>
      <c r="AS90">
        <v>12516946</v>
      </c>
      <c r="AT90">
        <v>0</v>
      </c>
    </row>
    <row r="91" spans="1:46" x14ac:dyDescent="0.3">
      <c r="A91" t="s">
        <v>6</v>
      </c>
      <c r="B91" t="s">
        <v>7</v>
      </c>
      <c r="C91" t="s">
        <v>164</v>
      </c>
      <c r="D91">
        <v>2035</v>
      </c>
      <c r="E91">
        <v>0.4</v>
      </c>
      <c r="F91">
        <v>0.4</v>
      </c>
      <c r="G91">
        <v>433.6</v>
      </c>
      <c r="H91">
        <v>673.1</v>
      </c>
      <c r="I91">
        <f>Cambium22_MidCase_annual_gea!BU91</f>
        <v>154591630</v>
      </c>
      <c r="J91">
        <f>Cambium22_MidCase_annual_gea!BZ91</f>
        <v>3549533.5</v>
      </c>
      <c r="K91">
        <f>SUM(Cambium22_MidCase_annual_gea!BX91,Cambium22_MidCase_annual_gea!BY91)</f>
        <v>1489418.5</v>
      </c>
      <c r="L91">
        <f t="shared" si="6"/>
        <v>149552678</v>
      </c>
      <c r="M91">
        <f>SUM(Cambium22_MidCase_annual_gea!CA91,Cambium22_MidCase_annual_gea!CB91)</f>
        <v>6210839.5</v>
      </c>
      <c r="N91">
        <f>SUM(Cambium22_MidCase_annual_gea!CE91,Cambium22_MidCase_annual_gea!CF91,Cambium22_MidCase_annual_gea!CG91)</f>
        <v>86744889.400000006</v>
      </c>
      <c r="O91">
        <f>Cambium22_MidCase_annual_gea!CK91</f>
        <v>391363</v>
      </c>
      <c r="P91">
        <f>Cambium22_MidCase_annual_gea!CJ91</f>
        <v>25852374</v>
      </c>
      <c r="Y91">
        <v>154591630</v>
      </c>
      <c r="Z91">
        <v>25783738</v>
      </c>
      <c r="AA91">
        <v>1498277.8</v>
      </c>
      <c r="AB91">
        <v>1489418.5</v>
      </c>
      <c r="AC91">
        <v>0</v>
      </c>
      <c r="AD91">
        <v>3549533.5</v>
      </c>
      <c r="AE91">
        <v>6210839.5</v>
      </c>
      <c r="AF91">
        <v>0</v>
      </c>
      <c r="AG91">
        <v>0</v>
      </c>
      <c r="AH91">
        <v>4387108.5</v>
      </c>
      <c r="AI91">
        <v>86450456</v>
      </c>
      <c r="AJ91">
        <v>0</v>
      </c>
      <c r="AK91">
        <v>294433.40000000002</v>
      </c>
      <c r="AL91">
        <v>0</v>
      </c>
      <c r="AM91">
        <v>590138</v>
      </c>
      <c r="AN91">
        <v>25852374</v>
      </c>
      <c r="AO91">
        <v>391363</v>
      </c>
      <c r="AP91">
        <v>2481067.2000000002</v>
      </c>
      <c r="AQ91">
        <v>0</v>
      </c>
      <c r="AR91">
        <v>3221686.2</v>
      </c>
      <c r="AS91">
        <v>18174944</v>
      </c>
      <c r="AT91">
        <v>0</v>
      </c>
    </row>
    <row r="92" spans="1:46" x14ac:dyDescent="0.3">
      <c r="A92" t="s">
        <v>6</v>
      </c>
      <c r="B92" t="s">
        <v>7</v>
      </c>
      <c r="C92" t="s">
        <v>164</v>
      </c>
      <c r="D92">
        <v>2040</v>
      </c>
      <c r="E92">
        <v>0.43</v>
      </c>
      <c r="F92">
        <v>0.45</v>
      </c>
      <c r="G92">
        <v>436.4</v>
      </c>
      <c r="H92">
        <v>596.79999999999995</v>
      </c>
      <c r="I92">
        <f>Cambium22_MidCase_annual_gea!BU92</f>
        <v>159688590</v>
      </c>
      <c r="J92">
        <f>Cambium22_MidCase_annual_gea!BZ92</f>
        <v>3187669.2</v>
      </c>
      <c r="K92">
        <f>SUM(Cambium22_MidCase_annual_gea!BX92,Cambium22_MidCase_annual_gea!BY92)</f>
        <v>890805.8</v>
      </c>
      <c r="L92">
        <f t="shared" si="6"/>
        <v>155610115</v>
      </c>
      <c r="M92">
        <f>SUM(Cambium22_MidCase_annual_gea!CA92,Cambium22_MidCase_annual_gea!CB92)</f>
        <v>4898216.5</v>
      </c>
      <c r="N92">
        <f>SUM(Cambium22_MidCase_annual_gea!CE92,Cambium22_MidCase_annual_gea!CF92,Cambium22_MidCase_annual_gea!CG92)</f>
        <v>85916802.900000006</v>
      </c>
      <c r="O92">
        <f>Cambium22_MidCase_annual_gea!CK92</f>
        <v>485925.2</v>
      </c>
      <c r="P92">
        <f>Cambium22_MidCase_annual_gea!CJ92</f>
        <v>25337036</v>
      </c>
      <c r="Y92">
        <v>159688590</v>
      </c>
      <c r="Z92">
        <v>32718886</v>
      </c>
      <c r="AA92">
        <v>2637274.7999999998</v>
      </c>
      <c r="AB92">
        <v>890805.8</v>
      </c>
      <c r="AC92">
        <v>0</v>
      </c>
      <c r="AD92">
        <v>3187669.2</v>
      </c>
      <c r="AE92">
        <v>4898216.5</v>
      </c>
      <c r="AF92">
        <v>0</v>
      </c>
      <c r="AG92">
        <v>0</v>
      </c>
      <c r="AH92">
        <v>4866289.5</v>
      </c>
      <c r="AI92">
        <v>85309980</v>
      </c>
      <c r="AJ92">
        <v>0</v>
      </c>
      <c r="AK92">
        <v>606822.9</v>
      </c>
      <c r="AL92">
        <v>0</v>
      </c>
      <c r="AM92">
        <v>552524.9</v>
      </c>
      <c r="AN92">
        <v>25337036</v>
      </c>
      <c r="AO92">
        <v>485925.2</v>
      </c>
      <c r="AP92">
        <v>3063443.5</v>
      </c>
      <c r="AQ92">
        <v>0</v>
      </c>
      <c r="AR92">
        <v>4724549.5</v>
      </c>
      <c r="AS92">
        <v>23128048</v>
      </c>
      <c r="AT92">
        <v>0</v>
      </c>
    </row>
    <row r="93" spans="1:46" x14ac:dyDescent="0.3">
      <c r="A93" t="s">
        <v>6</v>
      </c>
      <c r="B93" t="s">
        <v>7</v>
      </c>
      <c r="C93" t="s">
        <v>164</v>
      </c>
      <c r="D93">
        <v>2045</v>
      </c>
      <c r="E93">
        <v>0.48</v>
      </c>
      <c r="F93">
        <v>0.48</v>
      </c>
      <c r="G93">
        <v>433.1</v>
      </c>
      <c r="H93">
        <v>606</v>
      </c>
      <c r="I93">
        <f>Cambium22_MidCase_annual_gea!BU93</f>
        <v>180373800</v>
      </c>
      <c r="J93">
        <f>Cambium22_MidCase_annual_gea!BZ93</f>
        <v>3191491.8</v>
      </c>
      <c r="K93">
        <f>SUM(Cambium22_MidCase_annual_gea!BX93,Cambium22_MidCase_annual_gea!BY93)</f>
        <v>889429.2</v>
      </c>
      <c r="L93">
        <f t="shared" si="6"/>
        <v>176292879</v>
      </c>
      <c r="M93">
        <f>SUM(Cambium22_MidCase_annual_gea!CA93,Cambium22_MidCase_annual_gea!CB93)</f>
        <v>5282825</v>
      </c>
      <c r="N93">
        <f>SUM(Cambium22_MidCase_annual_gea!CE93,Cambium22_MidCase_annual_gea!CF93,Cambium22_MidCase_annual_gea!CG93)</f>
        <v>87951221.5</v>
      </c>
      <c r="O93">
        <f>Cambium22_MidCase_annual_gea!CK93</f>
        <v>981656.8</v>
      </c>
      <c r="P93">
        <f>Cambium22_MidCase_annual_gea!CJ93</f>
        <v>25266572</v>
      </c>
      <c r="Y93">
        <v>180373800</v>
      </c>
      <c r="Z93">
        <v>48126200</v>
      </c>
      <c r="AA93">
        <v>4938408.5</v>
      </c>
      <c r="AB93">
        <v>889429.2</v>
      </c>
      <c r="AC93">
        <v>0</v>
      </c>
      <c r="AD93">
        <v>3191491.8</v>
      </c>
      <c r="AE93">
        <v>5282825</v>
      </c>
      <c r="AF93">
        <v>0</v>
      </c>
      <c r="AG93">
        <v>0</v>
      </c>
      <c r="AH93">
        <v>5387100</v>
      </c>
      <c r="AI93">
        <v>84250136</v>
      </c>
      <c r="AJ93">
        <v>0</v>
      </c>
      <c r="AK93">
        <v>3701085.5</v>
      </c>
      <c r="AL93">
        <v>0</v>
      </c>
      <c r="AM93">
        <v>548776.4</v>
      </c>
      <c r="AN93">
        <v>25266572</v>
      </c>
      <c r="AO93">
        <v>981656.8</v>
      </c>
      <c r="AP93">
        <v>3197202.8</v>
      </c>
      <c r="AQ93">
        <v>0</v>
      </c>
      <c r="AR93">
        <v>7691953</v>
      </c>
      <c r="AS93">
        <v>35047148</v>
      </c>
      <c r="AT93">
        <v>0</v>
      </c>
    </row>
    <row r="94" spans="1:46" x14ac:dyDescent="0.3">
      <c r="A94" t="s">
        <v>6</v>
      </c>
      <c r="B94" t="s">
        <v>7</v>
      </c>
      <c r="C94" t="s">
        <v>164</v>
      </c>
      <c r="D94">
        <v>2050</v>
      </c>
      <c r="E94">
        <v>0.49</v>
      </c>
      <c r="F94">
        <v>0.49</v>
      </c>
      <c r="G94">
        <v>418</v>
      </c>
      <c r="H94">
        <v>572.1</v>
      </c>
      <c r="I94">
        <f>Cambium22_MidCase_annual_gea!BU94</f>
        <v>187273780</v>
      </c>
      <c r="J94">
        <f>Cambium22_MidCase_annual_gea!BZ94</f>
        <v>3191438</v>
      </c>
      <c r="K94">
        <f>SUM(Cambium22_MidCase_annual_gea!BX94,Cambium22_MidCase_annual_gea!BY94)</f>
        <v>871743.7</v>
      </c>
      <c r="L94">
        <f t="shared" si="6"/>
        <v>183210598.30000001</v>
      </c>
      <c r="M94">
        <f>SUM(Cambium22_MidCase_annual_gea!CA94,Cambium22_MidCase_annual_gea!CB94)</f>
        <v>10763.3</v>
      </c>
      <c r="N94">
        <f>SUM(Cambium22_MidCase_annual_gea!CE94,Cambium22_MidCase_annual_gea!CF94,Cambium22_MidCase_annual_gea!CG94)</f>
        <v>95447362</v>
      </c>
      <c r="O94">
        <f>Cambium22_MidCase_annual_gea!CK94</f>
        <v>708516</v>
      </c>
      <c r="P94">
        <f>Cambium22_MidCase_annual_gea!CJ94</f>
        <v>25096020</v>
      </c>
      <c r="Y94">
        <v>187273780</v>
      </c>
      <c r="Z94">
        <v>52773350</v>
      </c>
      <c r="AA94">
        <v>4937727</v>
      </c>
      <c r="AB94">
        <v>871743.7</v>
      </c>
      <c r="AC94">
        <v>0</v>
      </c>
      <c r="AD94">
        <v>3191438</v>
      </c>
      <c r="AE94">
        <v>10763.3</v>
      </c>
      <c r="AF94">
        <v>0</v>
      </c>
      <c r="AG94">
        <v>0</v>
      </c>
      <c r="AH94">
        <v>6018477</v>
      </c>
      <c r="AI94">
        <v>83381530</v>
      </c>
      <c r="AJ94">
        <v>0</v>
      </c>
      <c r="AK94">
        <v>12065832</v>
      </c>
      <c r="AL94">
        <v>0</v>
      </c>
      <c r="AM94">
        <v>536280.6</v>
      </c>
      <c r="AN94">
        <v>25096020</v>
      </c>
      <c r="AO94">
        <v>708516</v>
      </c>
      <c r="AP94">
        <v>3700586.8</v>
      </c>
      <c r="AQ94">
        <v>0</v>
      </c>
      <c r="AR94">
        <v>14103422</v>
      </c>
      <c r="AS94">
        <v>32651452</v>
      </c>
      <c r="AT94">
        <v>0</v>
      </c>
    </row>
    <row r="95" spans="1:46" x14ac:dyDescent="0.3">
      <c r="A95" t="s">
        <v>6</v>
      </c>
      <c r="B95" t="s">
        <v>7</v>
      </c>
      <c r="C95" t="s">
        <v>165</v>
      </c>
      <c r="D95">
        <v>2024</v>
      </c>
      <c r="E95">
        <v>0.33</v>
      </c>
      <c r="F95">
        <v>0.39</v>
      </c>
      <c r="G95">
        <v>449.1</v>
      </c>
      <c r="H95">
        <v>916</v>
      </c>
      <c r="I95">
        <f>Cambium22_MidCase_annual_gea!BU95</f>
        <v>424803400</v>
      </c>
      <c r="J95">
        <f>Cambium22_MidCase_annual_gea!BZ95</f>
        <v>0</v>
      </c>
      <c r="K95">
        <f>SUM(Cambium22_MidCase_annual_gea!BX95,Cambium22_MidCase_annual_gea!BY95)</f>
        <v>1419620.6</v>
      </c>
      <c r="L95">
        <f t="shared" si="6"/>
        <v>423383779.39999998</v>
      </c>
      <c r="M95">
        <f>SUM(Cambium22_MidCase_annual_gea!CA95,Cambium22_MidCase_annual_gea!CB95)</f>
        <v>123103090</v>
      </c>
      <c r="N95">
        <f>SUM(Cambium22_MidCase_annual_gea!CE95,Cambium22_MidCase_annual_gea!CF95,Cambium22_MidCase_annual_gea!CG95)</f>
        <v>161651206</v>
      </c>
      <c r="O95">
        <f>Cambium22_MidCase_annual_gea!CK95</f>
        <v>542310.6</v>
      </c>
      <c r="P95">
        <f>Cambium22_MidCase_annual_gea!CJ95</f>
        <v>100921600</v>
      </c>
      <c r="Y95">
        <v>424803400</v>
      </c>
      <c r="Z95">
        <v>33859224</v>
      </c>
      <c r="AA95">
        <v>251462</v>
      </c>
      <c r="AB95">
        <v>1419620.6</v>
      </c>
      <c r="AC95">
        <v>0</v>
      </c>
      <c r="AD95">
        <v>0</v>
      </c>
      <c r="AE95">
        <v>123103090</v>
      </c>
      <c r="AF95">
        <v>0</v>
      </c>
      <c r="AG95">
        <v>0</v>
      </c>
      <c r="AH95">
        <v>2249480.2000000002</v>
      </c>
      <c r="AI95">
        <v>158898640</v>
      </c>
      <c r="AJ95">
        <v>0</v>
      </c>
      <c r="AK95">
        <v>2752566</v>
      </c>
      <c r="AL95">
        <v>0</v>
      </c>
      <c r="AM95">
        <v>3054887.5</v>
      </c>
      <c r="AN95">
        <v>100921600</v>
      </c>
      <c r="AO95">
        <v>542310.6</v>
      </c>
      <c r="AP95">
        <v>0</v>
      </c>
      <c r="AQ95">
        <v>0</v>
      </c>
      <c r="AR95">
        <v>8665660</v>
      </c>
      <c r="AS95">
        <v>22875294</v>
      </c>
      <c r="AT95">
        <v>68789.7</v>
      </c>
    </row>
    <row r="96" spans="1:46" x14ac:dyDescent="0.3">
      <c r="A96" t="s">
        <v>6</v>
      </c>
      <c r="B96" t="s">
        <v>7</v>
      </c>
      <c r="C96" t="s">
        <v>165</v>
      </c>
      <c r="D96">
        <v>2026</v>
      </c>
      <c r="E96">
        <v>0.35</v>
      </c>
      <c r="F96">
        <v>0.43</v>
      </c>
      <c r="G96">
        <v>422</v>
      </c>
      <c r="H96">
        <v>869.4</v>
      </c>
      <c r="I96">
        <f>Cambium22_MidCase_annual_gea!BU96</f>
        <v>405766460</v>
      </c>
      <c r="J96">
        <f>Cambium22_MidCase_annual_gea!BZ96</f>
        <v>0</v>
      </c>
      <c r="K96">
        <f>SUM(Cambium22_MidCase_annual_gea!BX96,Cambium22_MidCase_annual_gea!BY96)</f>
        <v>1418475.2</v>
      </c>
      <c r="L96">
        <f t="shared" si="6"/>
        <v>404347984.80000001</v>
      </c>
      <c r="M96">
        <f>SUM(Cambium22_MidCase_annual_gea!CA96,Cambium22_MidCase_annual_gea!CB96)</f>
        <v>104935060</v>
      </c>
      <c r="N96">
        <f>SUM(Cambium22_MidCase_annual_gea!CE96,Cambium22_MidCase_annual_gea!CF96,Cambium22_MidCase_annual_gea!CG96)</f>
        <v>157485206</v>
      </c>
      <c r="O96">
        <f>Cambium22_MidCase_annual_gea!CK96</f>
        <v>324897.3</v>
      </c>
      <c r="P96">
        <f>Cambium22_MidCase_annual_gea!CJ96</f>
        <v>100841920</v>
      </c>
      <c r="Y96">
        <v>405766460</v>
      </c>
      <c r="Z96">
        <v>36811960</v>
      </c>
      <c r="AA96">
        <v>894780.2</v>
      </c>
      <c r="AB96">
        <v>1418475.2</v>
      </c>
      <c r="AC96">
        <v>0</v>
      </c>
      <c r="AD96">
        <v>0</v>
      </c>
      <c r="AE96">
        <v>104935060</v>
      </c>
      <c r="AF96">
        <v>0</v>
      </c>
      <c r="AG96">
        <v>0</v>
      </c>
      <c r="AH96">
        <v>3699378</v>
      </c>
      <c r="AI96">
        <v>155893730</v>
      </c>
      <c r="AJ96">
        <v>0</v>
      </c>
      <c r="AK96">
        <v>1591476</v>
      </c>
      <c r="AL96">
        <v>0</v>
      </c>
      <c r="AM96">
        <v>3054170</v>
      </c>
      <c r="AN96">
        <v>100841920</v>
      </c>
      <c r="AO96">
        <v>324897.3</v>
      </c>
      <c r="AP96">
        <v>0</v>
      </c>
      <c r="AQ96">
        <v>0</v>
      </c>
      <c r="AR96">
        <v>10295901</v>
      </c>
      <c r="AS96">
        <v>22748262</v>
      </c>
      <c r="AT96">
        <v>68418.8</v>
      </c>
    </row>
    <row r="97" spans="1:46" x14ac:dyDescent="0.3">
      <c r="A97" t="s">
        <v>6</v>
      </c>
      <c r="B97" t="s">
        <v>7</v>
      </c>
      <c r="C97" t="s">
        <v>165</v>
      </c>
      <c r="D97">
        <v>2028</v>
      </c>
      <c r="E97">
        <v>0.43</v>
      </c>
      <c r="F97">
        <v>0.55000000000000004</v>
      </c>
      <c r="G97">
        <v>371.9</v>
      </c>
      <c r="H97">
        <v>755.5</v>
      </c>
      <c r="I97">
        <f>Cambium22_MidCase_annual_gea!BU97</f>
        <v>362992770</v>
      </c>
      <c r="J97">
        <f>Cambium22_MidCase_annual_gea!BZ97</f>
        <v>0</v>
      </c>
      <c r="K97">
        <f>SUM(Cambium22_MidCase_annual_gea!BX97,Cambium22_MidCase_annual_gea!BY97)</f>
        <v>1327731.2</v>
      </c>
      <c r="L97">
        <f t="shared" si="6"/>
        <v>361665038.80000001</v>
      </c>
      <c r="M97">
        <f>SUM(Cambium22_MidCase_annual_gea!CA97,Cambium22_MidCase_annual_gea!CB97)</f>
        <v>53565172</v>
      </c>
      <c r="N97">
        <f>SUM(Cambium22_MidCase_annual_gea!CE97,Cambium22_MidCase_annual_gea!CF97,Cambium22_MidCase_annual_gea!CG97)</f>
        <v>153879233</v>
      </c>
      <c r="O97">
        <f>Cambium22_MidCase_annual_gea!CK97</f>
        <v>142679.20000000001</v>
      </c>
      <c r="P97">
        <f>Cambium22_MidCase_annual_gea!CJ97</f>
        <v>97477816</v>
      </c>
      <c r="Y97">
        <v>362992770</v>
      </c>
      <c r="Z97">
        <v>49448336</v>
      </c>
      <c r="AA97">
        <v>4085871.2</v>
      </c>
      <c r="AB97">
        <v>1327731.2</v>
      </c>
      <c r="AC97">
        <v>0</v>
      </c>
      <c r="AD97">
        <v>0</v>
      </c>
      <c r="AE97">
        <v>53565172</v>
      </c>
      <c r="AF97">
        <v>0</v>
      </c>
      <c r="AG97">
        <v>0</v>
      </c>
      <c r="AH97">
        <v>5854171.5</v>
      </c>
      <c r="AI97">
        <v>152626580</v>
      </c>
      <c r="AJ97">
        <v>0</v>
      </c>
      <c r="AK97">
        <v>1252653</v>
      </c>
      <c r="AL97">
        <v>0</v>
      </c>
      <c r="AM97">
        <v>3065929.5</v>
      </c>
      <c r="AN97">
        <v>97477816</v>
      </c>
      <c r="AO97">
        <v>142679.20000000001</v>
      </c>
      <c r="AP97">
        <v>0</v>
      </c>
      <c r="AQ97">
        <v>0</v>
      </c>
      <c r="AR97">
        <v>20386574</v>
      </c>
      <c r="AS97">
        <v>23139540</v>
      </c>
      <c r="AT97">
        <v>68049.8</v>
      </c>
    </row>
    <row r="98" spans="1:46" x14ac:dyDescent="0.3">
      <c r="A98" t="s">
        <v>6</v>
      </c>
      <c r="B98" t="s">
        <v>7</v>
      </c>
      <c r="C98" t="s">
        <v>165</v>
      </c>
      <c r="D98">
        <v>2030</v>
      </c>
      <c r="E98">
        <v>0.53</v>
      </c>
      <c r="F98">
        <v>0.63</v>
      </c>
      <c r="G98">
        <v>368.1</v>
      </c>
      <c r="H98">
        <v>690.1</v>
      </c>
      <c r="I98">
        <f>Cambium22_MidCase_annual_gea!BU98</f>
        <v>382234620</v>
      </c>
      <c r="J98">
        <f>Cambium22_MidCase_annual_gea!BZ98</f>
        <v>0</v>
      </c>
      <c r="K98">
        <f>SUM(Cambium22_MidCase_annual_gea!BX98,Cambium22_MidCase_annual_gea!BY98)</f>
        <v>1242780.2</v>
      </c>
      <c r="L98">
        <f t="shared" si="6"/>
        <v>380991839.80000001</v>
      </c>
      <c r="M98">
        <f>SUM(Cambium22_MidCase_annual_gea!CA98,Cambium22_MidCase_annual_gea!CB98)</f>
        <v>40018790</v>
      </c>
      <c r="N98">
        <f>SUM(Cambium22_MidCase_annual_gea!CE98,Cambium22_MidCase_annual_gea!CF98,Cambium22_MidCase_annual_gea!CG98)</f>
        <v>138392835.19999999</v>
      </c>
      <c r="O98">
        <f>Cambium22_MidCase_annual_gea!CK98</f>
        <v>48560.2</v>
      </c>
      <c r="P98">
        <f>Cambium22_MidCase_annual_gea!CJ98</f>
        <v>94346100</v>
      </c>
      <c r="Y98">
        <v>382234620</v>
      </c>
      <c r="Z98">
        <v>92104450</v>
      </c>
      <c r="AA98">
        <v>13080060</v>
      </c>
      <c r="AB98">
        <v>1242780.2</v>
      </c>
      <c r="AC98">
        <v>0</v>
      </c>
      <c r="AD98">
        <v>0</v>
      </c>
      <c r="AE98">
        <v>40018790</v>
      </c>
      <c r="AF98">
        <v>0</v>
      </c>
      <c r="AG98">
        <v>0</v>
      </c>
      <c r="AH98">
        <v>9042149</v>
      </c>
      <c r="AI98">
        <v>137664620</v>
      </c>
      <c r="AJ98">
        <v>0</v>
      </c>
      <c r="AK98">
        <v>728215.2</v>
      </c>
      <c r="AL98">
        <v>0</v>
      </c>
      <c r="AM98">
        <v>3001034.5</v>
      </c>
      <c r="AN98">
        <v>94346100</v>
      </c>
      <c r="AO98">
        <v>48560.2</v>
      </c>
      <c r="AP98">
        <v>0</v>
      </c>
      <c r="AQ98">
        <v>0</v>
      </c>
      <c r="AR98">
        <v>45543572</v>
      </c>
      <c r="AS98">
        <v>37451050</v>
      </c>
      <c r="AT98">
        <v>67682.8</v>
      </c>
    </row>
    <row r="99" spans="1:46" x14ac:dyDescent="0.3">
      <c r="A99" t="s">
        <v>6</v>
      </c>
      <c r="B99" t="s">
        <v>7</v>
      </c>
      <c r="C99" t="s">
        <v>165</v>
      </c>
      <c r="D99">
        <v>2035</v>
      </c>
      <c r="E99">
        <v>0.59</v>
      </c>
      <c r="F99">
        <v>0.65</v>
      </c>
      <c r="G99">
        <v>376.4</v>
      </c>
      <c r="H99">
        <v>632.1</v>
      </c>
      <c r="I99">
        <f>Cambium22_MidCase_annual_gea!BU99</f>
        <v>445515700</v>
      </c>
      <c r="J99">
        <f>Cambium22_MidCase_annual_gea!BZ99</f>
        <v>0</v>
      </c>
      <c r="K99">
        <f>SUM(Cambium22_MidCase_annual_gea!BX99,Cambium22_MidCase_annual_gea!BY99)</f>
        <v>1192581.8</v>
      </c>
      <c r="L99">
        <f t="shared" si="6"/>
        <v>444323118.19999999</v>
      </c>
      <c r="M99">
        <f>SUM(Cambium22_MidCase_annual_gea!CA99,Cambium22_MidCase_annual_gea!CB99)</f>
        <v>26011304</v>
      </c>
      <c r="N99">
        <f>SUM(Cambium22_MidCase_annual_gea!CE99,Cambium22_MidCase_annual_gea!CF99,Cambium22_MidCase_annual_gea!CG99)</f>
        <v>157668381.90000001</v>
      </c>
      <c r="O99">
        <f>Cambium22_MidCase_annual_gea!CK99</f>
        <v>8425.6</v>
      </c>
      <c r="P99">
        <f>Cambium22_MidCase_annual_gea!CJ99</f>
        <v>93155496</v>
      </c>
      <c r="Y99">
        <v>445515700</v>
      </c>
      <c r="Z99">
        <v>142627140</v>
      </c>
      <c r="AA99">
        <v>21914142</v>
      </c>
      <c r="AB99">
        <v>1192581.8</v>
      </c>
      <c r="AC99">
        <v>0</v>
      </c>
      <c r="AD99">
        <v>0</v>
      </c>
      <c r="AE99">
        <v>26011304</v>
      </c>
      <c r="AF99">
        <v>0</v>
      </c>
      <c r="AG99">
        <v>0</v>
      </c>
      <c r="AH99">
        <v>14449515</v>
      </c>
      <c r="AI99">
        <v>156273630</v>
      </c>
      <c r="AJ99">
        <v>0</v>
      </c>
      <c r="AK99">
        <v>1394751.9</v>
      </c>
      <c r="AL99">
        <v>0</v>
      </c>
      <c r="AM99">
        <v>2938283.2</v>
      </c>
      <c r="AN99">
        <v>93155496</v>
      </c>
      <c r="AO99">
        <v>8425.6</v>
      </c>
      <c r="AP99">
        <v>0</v>
      </c>
      <c r="AQ99">
        <v>0</v>
      </c>
      <c r="AR99">
        <v>79442610</v>
      </c>
      <c r="AS99">
        <v>48668228</v>
      </c>
      <c r="AT99">
        <v>66774.100000000006</v>
      </c>
    </row>
    <row r="100" spans="1:46" x14ac:dyDescent="0.3">
      <c r="A100" t="s">
        <v>6</v>
      </c>
      <c r="B100" t="s">
        <v>7</v>
      </c>
      <c r="C100" t="s">
        <v>165</v>
      </c>
      <c r="D100">
        <v>2040</v>
      </c>
      <c r="E100">
        <v>0.7</v>
      </c>
      <c r="F100">
        <v>0.72</v>
      </c>
      <c r="G100">
        <v>374.4</v>
      </c>
      <c r="H100">
        <v>563</v>
      </c>
      <c r="I100">
        <f>Cambium22_MidCase_annual_gea!BU100</f>
        <v>575107000</v>
      </c>
      <c r="J100">
        <f>Cambium22_MidCase_annual_gea!BZ100</f>
        <v>0</v>
      </c>
      <c r="K100">
        <f>SUM(Cambium22_MidCase_annual_gea!BX100,Cambium22_MidCase_annual_gea!BY100)</f>
        <v>1055101.1000000001</v>
      </c>
      <c r="L100">
        <f t="shared" si="6"/>
        <v>574051898.89999998</v>
      </c>
      <c r="M100">
        <f>SUM(Cambium22_MidCase_annual_gea!CA100,Cambium22_MidCase_annual_gea!CB100)</f>
        <v>15635395</v>
      </c>
      <c r="N100">
        <f>SUM(Cambium22_MidCase_annual_gea!CE100,Cambium22_MidCase_annual_gea!CF100,Cambium22_MidCase_annual_gea!CG100)</f>
        <v>154135345.19999999</v>
      </c>
      <c r="O100">
        <f>Cambium22_MidCase_annual_gea!CK100</f>
        <v>9611.9</v>
      </c>
      <c r="P100">
        <f>Cambium22_MidCase_annual_gea!CJ100</f>
        <v>91441060</v>
      </c>
      <c r="Y100">
        <v>575107000</v>
      </c>
      <c r="Z100">
        <v>260570200</v>
      </c>
      <c r="AA100">
        <v>49491244</v>
      </c>
      <c r="AB100">
        <v>1055101.1000000001</v>
      </c>
      <c r="AC100">
        <v>0</v>
      </c>
      <c r="AD100">
        <v>0</v>
      </c>
      <c r="AE100">
        <v>15635395</v>
      </c>
      <c r="AF100">
        <v>0</v>
      </c>
      <c r="AG100">
        <v>0</v>
      </c>
      <c r="AH100">
        <v>16928448</v>
      </c>
      <c r="AI100">
        <v>152435600</v>
      </c>
      <c r="AJ100">
        <v>0</v>
      </c>
      <c r="AK100">
        <v>1699745.2</v>
      </c>
      <c r="AL100">
        <v>0</v>
      </c>
      <c r="AM100">
        <v>2769008.2</v>
      </c>
      <c r="AN100">
        <v>91441060</v>
      </c>
      <c r="AO100">
        <v>9611.9</v>
      </c>
      <c r="AP100">
        <v>0</v>
      </c>
      <c r="AQ100">
        <v>0</v>
      </c>
      <c r="AR100">
        <v>188630640</v>
      </c>
      <c r="AS100">
        <v>54945336</v>
      </c>
      <c r="AT100">
        <v>65792.800000000003</v>
      </c>
    </row>
    <row r="101" spans="1:46" x14ac:dyDescent="0.3">
      <c r="A101" t="s">
        <v>6</v>
      </c>
      <c r="B101" t="s">
        <v>7</v>
      </c>
      <c r="C101" t="s">
        <v>165</v>
      </c>
      <c r="D101">
        <v>2045</v>
      </c>
      <c r="E101">
        <v>0.72</v>
      </c>
      <c r="F101">
        <v>0.74</v>
      </c>
      <c r="G101">
        <v>344.8</v>
      </c>
      <c r="H101">
        <v>559.5</v>
      </c>
      <c r="I101">
        <f>Cambium22_MidCase_annual_gea!BU101</f>
        <v>594416830</v>
      </c>
      <c r="J101">
        <f>Cambium22_MidCase_annual_gea!BZ101</f>
        <v>0</v>
      </c>
      <c r="K101">
        <f>SUM(Cambium22_MidCase_annual_gea!BX101,Cambium22_MidCase_annual_gea!BY101)</f>
        <v>1038482.8</v>
      </c>
      <c r="L101">
        <f t="shared" si="6"/>
        <v>593378347.20000005</v>
      </c>
      <c r="M101">
        <f>SUM(Cambium22_MidCase_annual_gea!CA101,Cambium22_MidCase_annual_gea!CB101)</f>
        <v>15849923</v>
      </c>
      <c r="N101">
        <f>SUM(Cambium22_MidCase_annual_gea!CE101,Cambium22_MidCase_annual_gea!CF101,Cambium22_MidCase_annual_gea!CG101)</f>
        <v>152286031</v>
      </c>
      <c r="O101">
        <f>Cambium22_MidCase_annual_gea!CK101</f>
        <v>7125.7</v>
      </c>
      <c r="P101">
        <f>Cambium22_MidCase_annual_gea!CJ101</f>
        <v>91180296</v>
      </c>
      <c r="Y101">
        <v>594416830</v>
      </c>
      <c r="Z101">
        <v>283714600</v>
      </c>
      <c r="AA101">
        <v>47596612</v>
      </c>
      <c r="AB101">
        <v>1038482.8</v>
      </c>
      <c r="AC101">
        <v>0</v>
      </c>
      <c r="AD101">
        <v>0</v>
      </c>
      <c r="AE101">
        <v>15849923</v>
      </c>
      <c r="AF101">
        <v>0</v>
      </c>
      <c r="AG101">
        <v>0</v>
      </c>
      <c r="AH101">
        <v>18500606</v>
      </c>
      <c r="AI101">
        <v>145165550</v>
      </c>
      <c r="AJ101">
        <v>0</v>
      </c>
      <c r="AK101">
        <v>7120481</v>
      </c>
      <c r="AL101">
        <v>0</v>
      </c>
      <c r="AM101">
        <v>2743768.5</v>
      </c>
      <c r="AN101">
        <v>91180296</v>
      </c>
      <c r="AO101">
        <v>7125.7</v>
      </c>
      <c r="AP101">
        <v>0</v>
      </c>
      <c r="AQ101">
        <v>0</v>
      </c>
      <c r="AR101">
        <v>195671760</v>
      </c>
      <c r="AS101">
        <v>69477260</v>
      </c>
      <c r="AT101">
        <v>64975.5</v>
      </c>
    </row>
    <row r="102" spans="1:46" x14ac:dyDescent="0.3">
      <c r="A102" t="s">
        <v>6</v>
      </c>
      <c r="B102" t="s">
        <v>7</v>
      </c>
      <c r="C102" t="s">
        <v>165</v>
      </c>
      <c r="D102">
        <v>2050</v>
      </c>
      <c r="E102">
        <v>0.68</v>
      </c>
      <c r="F102">
        <v>0.72</v>
      </c>
      <c r="G102">
        <v>319.7</v>
      </c>
      <c r="H102">
        <v>553.9</v>
      </c>
      <c r="I102">
        <f>Cambium22_MidCase_annual_gea!BU102</f>
        <v>636549800</v>
      </c>
      <c r="J102">
        <f>Cambium22_MidCase_annual_gea!BZ102</f>
        <v>0</v>
      </c>
      <c r="K102">
        <f>SUM(Cambium22_MidCase_annual_gea!BX102,Cambium22_MidCase_annual_gea!BY102)</f>
        <v>1023978.1</v>
      </c>
      <c r="L102">
        <f t="shared" si="6"/>
        <v>635525821.89999998</v>
      </c>
      <c r="M102">
        <f>SUM(Cambium22_MidCase_annual_gea!CA102,Cambium22_MidCase_annual_gea!CB102)</f>
        <v>12590691</v>
      </c>
      <c r="N102">
        <f>SUM(Cambium22_MidCase_annual_gea!CE102,Cambium22_MidCase_annual_gea!CF102,Cambium22_MidCase_annual_gea!CG102)</f>
        <v>192660820</v>
      </c>
      <c r="O102">
        <f>Cambium22_MidCase_annual_gea!CK102</f>
        <v>4560.6000000000004</v>
      </c>
      <c r="P102">
        <f>Cambium22_MidCase_annual_gea!CJ102</f>
        <v>68299540</v>
      </c>
      <c r="Y102">
        <v>636549800</v>
      </c>
      <c r="Z102">
        <v>309021000</v>
      </c>
      <c r="AA102">
        <v>50232028</v>
      </c>
      <c r="AB102">
        <v>1023978.1</v>
      </c>
      <c r="AC102">
        <v>0</v>
      </c>
      <c r="AD102">
        <v>0</v>
      </c>
      <c r="AE102">
        <v>12590691</v>
      </c>
      <c r="AF102">
        <v>0</v>
      </c>
      <c r="AG102">
        <v>0</v>
      </c>
      <c r="AH102">
        <v>20063226</v>
      </c>
      <c r="AI102">
        <v>171353740</v>
      </c>
      <c r="AJ102">
        <v>0</v>
      </c>
      <c r="AK102">
        <v>21307080</v>
      </c>
      <c r="AL102">
        <v>0</v>
      </c>
      <c r="AM102">
        <v>2717223.5</v>
      </c>
      <c r="AN102">
        <v>68299540</v>
      </c>
      <c r="AO102">
        <v>4560.6000000000004</v>
      </c>
      <c r="AP102">
        <v>0</v>
      </c>
      <c r="AQ102">
        <v>0</v>
      </c>
      <c r="AR102">
        <v>210810930</v>
      </c>
      <c r="AS102">
        <v>78082750</v>
      </c>
      <c r="AT102">
        <v>64085.5</v>
      </c>
    </row>
    <row r="103" spans="1:46" x14ac:dyDescent="0.3">
      <c r="A103" t="s">
        <v>6</v>
      </c>
      <c r="B103" t="s">
        <v>7</v>
      </c>
      <c r="C103" t="s">
        <v>166</v>
      </c>
      <c r="D103">
        <v>2024</v>
      </c>
      <c r="E103">
        <v>0.41</v>
      </c>
      <c r="F103">
        <v>0.47</v>
      </c>
      <c r="G103">
        <v>393.5</v>
      </c>
      <c r="H103">
        <v>876.7</v>
      </c>
      <c r="I103">
        <f>Cambium22_MidCase_annual_gea!BU103</f>
        <v>83213736</v>
      </c>
      <c r="J103">
        <f>Cambium22_MidCase_annual_gea!BZ103</f>
        <v>0</v>
      </c>
      <c r="K103">
        <f>SUM(Cambium22_MidCase_annual_gea!BX103,Cambium22_MidCase_annual_gea!BY103)</f>
        <v>190174</v>
      </c>
      <c r="L103">
        <f t="shared" si="6"/>
        <v>83023562</v>
      </c>
      <c r="M103">
        <f>SUM(Cambium22_MidCase_annual_gea!CA103,Cambium22_MidCase_annual_gea!CB103)</f>
        <v>37376744</v>
      </c>
      <c r="N103">
        <f>SUM(Cambium22_MidCase_annual_gea!CE103,Cambium22_MidCase_annual_gea!CF103,Cambium22_MidCase_annual_gea!CG103)</f>
        <v>11315506</v>
      </c>
      <c r="O103">
        <f>Cambium22_MidCase_annual_gea!CK103</f>
        <v>258.3</v>
      </c>
      <c r="P103">
        <f>Cambium22_MidCase_annual_gea!CJ103</f>
        <v>0</v>
      </c>
      <c r="Y103">
        <v>83213736</v>
      </c>
      <c r="Z103">
        <v>31311760</v>
      </c>
      <c r="AA103">
        <v>2403.9</v>
      </c>
      <c r="AB103">
        <v>190174</v>
      </c>
      <c r="AC103">
        <v>0</v>
      </c>
      <c r="AD103">
        <v>0</v>
      </c>
      <c r="AE103">
        <v>37376744</v>
      </c>
      <c r="AF103">
        <v>0</v>
      </c>
      <c r="AG103">
        <v>0</v>
      </c>
      <c r="AH103">
        <v>1469627</v>
      </c>
      <c r="AI103">
        <v>11313681</v>
      </c>
      <c r="AJ103">
        <v>0</v>
      </c>
      <c r="AK103">
        <v>1825</v>
      </c>
      <c r="AL103">
        <v>0</v>
      </c>
      <c r="AM103">
        <v>2623418</v>
      </c>
      <c r="AN103">
        <v>0</v>
      </c>
      <c r="AO103">
        <v>258.3</v>
      </c>
      <c r="AP103">
        <v>393470.5</v>
      </c>
      <c r="AQ103">
        <v>0</v>
      </c>
      <c r="AR103">
        <v>4391109</v>
      </c>
      <c r="AS103">
        <v>25451024</v>
      </c>
      <c r="AT103">
        <v>0</v>
      </c>
    </row>
    <row r="104" spans="1:46" x14ac:dyDescent="0.3">
      <c r="A104" t="s">
        <v>6</v>
      </c>
      <c r="B104" t="s">
        <v>7</v>
      </c>
      <c r="C104" t="s">
        <v>166</v>
      </c>
      <c r="D104">
        <v>2026</v>
      </c>
      <c r="E104">
        <v>0.54</v>
      </c>
      <c r="F104">
        <v>0.6</v>
      </c>
      <c r="G104">
        <v>309.7</v>
      </c>
      <c r="H104">
        <v>777.4</v>
      </c>
      <c r="I104">
        <f>Cambium22_MidCase_annual_gea!BU104</f>
        <v>89963400</v>
      </c>
      <c r="J104">
        <f>Cambium22_MidCase_annual_gea!BZ104</f>
        <v>0</v>
      </c>
      <c r="K104">
        <f>SUM(Cambium22_MidCase_annual_gea!BX104,Cambium22_MidCase_annual_gea!BY104)</f>
        <v>185117.8</v>
      </c>
      <c r="L104">
        <f t="shared" si="6"/>
        <v>89778282.200000003</v>
      </c>
      <c r="M104">
        <f>SUM(Cambium22_MidCase_annual_gea!CA104,Cambium22_MidCase_annual_gea!CB104)</f>
        <v>31105344</v>
      </c>
      <c r="N104">
        <f>SUM(Cambium22_MidCase_annual_gea!CE104,Cambium22_MidCase_annual_gea!CF104,Cambium22_MidCase_annual_gea!CG104)</f>
        <v>10277901.4</v>
      </c>
      <c r="O104">
        <f>Cambium22_MidCase_annual_gea!CK104</f>
        <v>88.3</v>
      </c>
      <c r="P104">
        <f>Cambium22_MidCase_annual_gea!CJ104</f>
        <v>0</v>
      </c>
      <c r="Y104">
        <v>89963400</v>
      </c>
      <c r="Z104">
        <v>45230260</v>
      </c>
      <c r="AA104">
        <v>5921.1</v>
      </c>
      <c r="AB104">
        <v>185117.8</v>
      </c>
      <c r="AC104">
        <v>0</v>
      </c>
      <c r="AD104">
        <v>0</v>
      </c>
      <c r="AE104">
        <v>31105344</v>
      </c>
      <c r="AF104">
        <v>0</v>
      </c>
      <c r="AG104">
        <v>0</v>
      </c>
      <c r="AH104">
        <v>1841646.4</v>
      </c>
      <c r="AI104">
        <v>10277343</v>
      </c>
      <c r="AJ104">
        <v>0</v>
      </c>
      <c r="AK104">
        <v>558.4</v>
      </c>
      <c r="AL104">
        <v>0</v>
      </c>
      <c r="AM104">
        <v>2590111.7999999998</v>
      </c>
      <c r="AN104">
        <v>0</v>
      </c>
      <c r="AO104">
        <v>88.3</v>
      </c>
      <c r="AP104">
        <v>568656.4</v>
      </c>
      <c r="AQ104">
        <v>0</v>
      </c>
      <c r="AR104">
        <v>4330341</v>
      </c>
      <c r="AS104">
        <v>39058276</v>
      </c>
      <c r="AT104">
        <v>0</v>
      </c>
    </row>
    <row r="105" spans="1:46" x14ac:dyDescent="0.3">
      <c r="A105" t="s">
        <v>6</v>
      </c>
      <c r="B105" t="s">
        <v>7</v>
      </c>
      <c r="C105" t="s">
        <v>166</v>
      </c>
      <c r="D105">
        <v>2028</v>
      </c>
      <c r="E105">
        <v>0.78</v>
      </c>
      <c r="F105">
        <v>0.83</v>
      </c>
      <c r="G105">
        <v>214.5</v>
      </c>
      <c r="H105">
        <v>679.8</v>
      </c>
      <c r="I105">
        <f>Cambium22_MidCase_annual_gea!BU105</f>
        <v>98631010</v>
      </c>
      <c r="J105">
        <f>Cambium22_MidCase_annual_gea!BZ105</f>
        <v>0</v>
      </c>
      <c r="K105">
        <f>SUM(Cambium22_MidCase_annual_gea!BX105,Cambium22_MidCase_annual_gea!BY105)</f>
        <v>172774.6</v>
      </c>
      <c r="L105">
        <f t="shared" si="6"/>
        <v>98458235.400000006</v>
      </c>
      <c r="M105">
        <f>SUM(Cambium22_MidCase_annual_gea!CA105,Cambium22_MidCase_annual_gea!CB105)</f>
        <v>16236067</v>
      </c>
      <c r="N105">
        <f>SUM(Cambium22_MidCase_annual_gea!CE105,Cambium22_MidCase_annual_gea!CF105,Cambium22_MidCase_annual_gea!CG105)</f>
        <v>5148881.5</v>
      </c>
      <c r="O105">
        <f>Cambium22_MidCase_annual_gea!CK105</f>
        <v>2.4</v>
      </c>
      <c r="P105">
        <f>Cambium22_MidCase_annual_gea!CJ105</f>
        <v>0</v>
      </c>
      <c r="Y105">
        <v>98631010</v>
      </c>
      <c r="Z105">
        <v>73691624</v>
      </c>
      <c r="AA105">
        <v>78781.2</v>
      </c>
      <c r="AB105">
        <v>172774.6</v>
      </c>
      <c r="AC105">
        <v>0</v>
      </c>
      <c r="AD105">
        <v>0</v>
      </c>
      <c r="AE105">
        <v>16236067</v>
      </c>
      <c r="AF105">
        <v>0</v>
      </c>
      <c r="AG105">
        <v>0</v>
      </c>
      <c r="AH105">
        <v>2283432.2000000002</v>
      </c>
      <c r="AI105">
        <v>5148881.5</v>
      </c>
      <c r="AJ105">
        <v>0</v>
      </c>
      <c r="AK105">
        <v>0</v>
      </c>
      <c r="AL105">
        <v>0</v>
      </c>
      <c r="AM105">
        <v>2428877</v>
      </c>
      <c r="AN105">
        <v>0</v>
      </c>
      <c r="AO105">
        <v>2.4</v>
      </c>
      <c r="AP105">
        <v>873998.4</v>
      </c>
      <c r="AQ105">
        <v>0</v>
      </c>
      <c r="AR105">
        <v>7356133.5</v>
      </c>
      <c r="AS105">
        <v>64052056</v>
      </c>
      <c r="AT105">
        <v>0</v>
      </c>
    </row>
    <row r="106" spans="1:46" x14ac:dyDescent="0.3">
      <c r="A106" t="s">
        <v>6</v>
      </c>
      <c r="B106" t="s">
        <v>7</v>
      </c>
      <c r="C106" t="s">
        <v>166</v>
      </c>
      <c r="D106">
        <v>2030</v>
      </c>
      <c r="E106">
        <v>0.91</v>
      </c>
      <c r="F106">
        <v>0.92</v>
      </c>
      <c r="G106">
        <v>154</v>
      </c>
      <c r="H106">
        <v>507</v>
      </c>
      <c r="I106">
        <f>Cambium22_MidCase_annual_gea!BU106</f>
        <v>119986320</v>
      </c>
      <c r="J106">
        <f>Cambium22_MidCase_annual_gea!BZ106</f>
        <v>0</v>
      </c>
      <c r="K106">
        <f>SUM(Cambium22_MidCase_annual_gea!BX106,Cambium22_MidCase_annual_gea!BY106)</f>
        <v>111322.8</v>
      </c>
      <c r="L106">
        <f t="shared" si="6"/>
        <v>119874997.2</v>
      </c>
      <c r="M106">
        <f>SUM(Cambium22_MidCase_annual_gea!CA106,Cambium22_MidCase_annual_gea!CB106)</f>
        <v>8265769.5</v>
      </c>
      <c r="N106">
        <f>SUM(Cambium22_MidCase_annual_gea!CE106,Cambium22_MidCase_annual_gea!CF106,Cambium22_MidCase_annual_gea!CG106)</f>
        <v>2229363.6</v>
      </c>
      <c r="O106">
        <f>Cambium22_MidCase_annual_gea!CK106</f>
        <v>0</v>
      </c>
      <c r="P106">
        <f>Cambium22_MidCase_annual_gea!CJ106</f>
        <v>0</v>
      </c>
      <c r="Y106">
        <v>119986320</v>
      </c>
      <c r="Z106">
        <v>105656410</v>
      </c>
      <c r="AA106">
        <v>454503</v>
      </c>
      <c r="AB106">
        <v>111322.8</v>
      </c>
      <c r="AC106">
        <v>0</v>
      </c>
      <c r="AD106">
        <v>0</v>
      </c>
      <c r="AE106">
        <v>8265769.5</v>
      </c>
      <c r="AF106">
        <v>0</v>
      </c>
      <c r="AG106">
        <v>0</v>
      </c>
      <c r="AH106">
        <v>2837223.8</v>
      </c>
      <c r="AI106">
        <v>2229094.2000000002</v>
      </c>
      <c r="AJ106">
        <v>0</v>
      </c>
      <c r="AK106">
        <v>269.39999999999998</v>
      </c>
      <c r="AL106">
        <v>0</v>
      </c>
      <c r="AM106">
        <v>2260124.7999999998</v>
      </c>
      <c r="AN106">
        <v>0</v>
      </c>
      <c r="AO106">
        <v>0</v>
      </c>
      <c r="AP106">
        <v>1008831.9</v>
      </c>
      <c r="AQ106">
        <v>0</v>
      </c>
      <c r="AR106">
        <v>12516185</v>
      </c>
      <c r="AS106">
        <v>90302990</v>
      </c>
      <c r="AT106">
        <v>0</v>
      </c>
    </row>
    <row r="107" spans="1:46" x14ac:dyDescent="0.3">
      <c r="A107" t="s">
        <v>6</v>
      </c>
      <c r="B107" t="s">
        <v>7</v>
      </c>
      <c r="C107" t="s">
        <v>166</v>
      </c>
      <c r="D107">
        <v>2035</v>
      </c>
      <c r="E107">
        <v>0.93</v>
      </c>
      <c r="F107">
        <v>0.94</v>
      </c>
      <c r="G107">
        <v>144.4</v>
      </c>
      <c r="H107">
        <v>405.7</v>
      </c>
      <c r="I107">
        <f>Cambium22_MidCase_annual_gea!BU107</f>
        <v>134076264</v>
      </c>
      <c r="J107">
        <f>Cambium22_MidCase_annual_gea!BZ107</f>
        <v>0</v>
      </c>
      <c r="K107">
        <f>SUM(Cambium22_MidCase_annual_gea!BX107,Cambium22_MidCase_annual_gea!BY107)</f>
        <v>94662.2</v>
      </c>
      <c r="L107">
        <f t="shared" si="6"/>
        <v>133981601.8</v>
      </c>
      <c r="M107">
        <f>SUM(Cambium22_MidCase_annual_gea!CA107,Cambium22_MidCase_annual_gea!CB107)</f>
        <v>7947613.5</v>
      </c>
      <c r="N107">
        <f>SUM(Cambium22_MidCase_annual_gea!CE107,Cambium22_MidCase_annual_gea!CF107,Cambium22_MidCase_annual_gea!CG107)</f>
        <v>1048964.3999999999</v>
      </c>
      <c r="O107">
        <f>Cambium22_MidCase_annual_gea!CK107</f>
        <v>0</v>
      </c>
      <c r="P107">
        <f>Cambium22_MidCase_annual_gea!CJ107</f>
        <v>0</v>
      </c>
      <c r="Y107">
        <v>134076264</v>
      </c>
      <c r="Z107">
        <v>121045736</v>
      </c>
      <c r="AA107">
        <v>896967</v>
      </c>
      <c r="AB107">
        <v>94662.2</v>
      </c>
      <c r="AC107">
        <v>0</v>
      </c>
      <c r="AD107">
        <v>0</v>
      </c>
      <c r="AE107">
        <v>7947613.5</v>
      </c>
      <c r="AF107">
        <v>0</v>
      </c>
      <c r="AG107">
        <v>0</v>
      </c>
      <c r="AH107">
        <v>3734357.5</v>
      </c>
      <c r="AI107">
        <v>1046983.2</v>
      </c>
      <c r="AJ107">
        <v>0</v>
      </c>
      <c r="AK107">
        <v>1981.2</v>
      </c>
      <c r="AL107">
        <v>0</v>
      </c>
      <c r="AM107">
        <v>2122998.7999999998</v>
      </c>
      <c r="AN107">
        <v>0</v>
      </c>
      <c r="AO107">
        <v>0</v>
      </c>
      <c r="AP107">
        <v>919324.1</v>
      </c>
      <c r="AQ107">
        <v>0</v>
      </c>
      <c r="AR107">
        <v>14111186</v>
      </c>
      <c r="AS107">
        <v>103200190</v>
      </c>
      <c r="AT107">
        <v>0</v>
      </c>
    </row>
    <row r="108" spans="1:46" x14ac:dyDescent="0.3">
      <c r="A108" t="s">
        <v>6</v>
      </c>
      <c r="B108" t="s">
        <v>7</v>
      </c>
      <c r="C108" t="s">
        <v>166</v>
      </c>
      <c r="D108">
        <v>2040</v>
      </c>
      <c r="E108">
        <v>0.95</v>
      </c>
      <c r="F108">
        <v>0.96</v>
      </c>
      <c r="G108">
        <v>160</v>
      </c>
      <c r="H108">
        <v>346.7</v>
      </c>
      <c r="I108">
        <f>Cambium22_MidCase_annual_gea!BU108</f>
        <v>140371260</v>
      </c>
      <c r="J108">
        <f>Cambium22_MidCase_annual_gea!BZ108</f>
        <v>0</v>
      </c>
      <c r="K108">
        <f>SUM(Cambium22_MidCase_annual_gea!BX108,Cambium22_MidCase_annual_gea!BY108)</f>
        <v>83933.4</v>
      </c>
      <c r="L108">
        <f t="shared" si="6"/>
        <v>140287326.59999999</v>
      </c>
      <c r="M108">
        <f>SUM(Cambium22_MidCase_annual_gea!CA108,Cambium22_MidCase_annual_gea!CB108)</f>
        <v>5814429.5</v>
      </c>
      <c r="N108">
        <f>SUM(Cambium22_MidCase_annual_gea!CE108,Cambium22_MidCase_annual_gea!CF108,Cambium22_MidCase_annual_gea!CG108)</f>
        <v>820947.70000000007</v>
      </c>
      <c r="O108">
        <f>Cambium22_MidCase_annual_gea!CK108</f>
        <v>0</v>
      </c>
      <c r="P108">
        <f>Cambium22_MidCase_annual_gea!CJ108</f>
        <v>0</v>
      </c>
      <c r="Y108">
        <v>140371260</v>
      </c>
      <c r="Z108">
        <v>129665840</v>
      </c>
      <c r="AA108">
        <v>1246382.1000000001</v>
      </c>
      <c r="AB108">
        <v>83933.4</v>
      </c>
      <c r="AC108">
        <v>0</v>
      </c>
      <c r="AD108">
        <v>0</v>
      </c>
      <c r="AE108">
        <v>5814429.5</v>
      </c>
      <c r="AF108">
        <v>0</v>
      </c>
      <c r="AG108">
        <v>0</v>
      </c>
      <c r="AH108">
        <v>3995823.5</v>
      </c>
      <c r="AI108">
        <v>818411.9</v>
      </c>
      <c r="AJ108">
        <v>0</v>
      </c>
      <c r="AK108">
        <v>2535.8000000000002</v>
      </c>
      <c r="AL108">
        <v>0</v>
      </c>
      <c r="AM108">
        <v>1927136.4</v>
      </c>
      <c r="AN108">
        <v>0</v>
      </c>
      <c r="AO108">
        <v>0</v>
      </c>
      <c r="AP108">
        <v>812592.7</v>
      </c>
      <c r="AQ108">
        <v>0</v>
      </c>
      <c r="AR108">
        <v>13695864</v>
      </c>
      <c r="AS108">
        <v>111974160</v>
      </c>
      <c r="AT108">
        <v>0</v>
      </c>
    </row>
    <row r="109" spans="1:46" x14ac:dyDescent="0.3">
      <c r="A109" t="s">
        <v>6</v>
      </c>
      <c r="B109" t="s">
        <v>7</v>
      </c>
      <c r="C109" t="s">
        <v>166</v>
      </c>
      <c r="D109">
        <v>2045</v>
      </c>
      <c r="E109">
        <v>0.98</v>
      </c>
      <c r="F109">
        <v>0.98</v>
      </c>
      <c r="G109">
        <v>157.19999999999999</v>
      </c>
      <c r="H109">
        <v>223</v>
      </c>
      <c r="I109">
        <f>Cambium22_MidCase_annual_gea!BU109</f>
        <v>173456770</v>
      </c>
      <c r="J109">
        <f>Cambium22_MidCase_annual_gea!BZ109</f>
        <v>0</v>
      </c>
      <c r="K109">
        <f>SUM(Cambium22_MidCase_annual_gea!BX109,Cambium22_MidCase_annual_gea!BY109)</f>
        <v>28235.1</v>
      </c>
      <c r="L109">
        <f t="shared" si="6"/>
        <v>173428534.90000001</v>
      </c>
      <c r="M109">
        <f>SUM(Cambium22_MidCase_annual_gea!CA109,Cambium22_MidCase_annual_gea!CB109)</f>
        <v>2928431</v>
      </c>
      <c r="N109">
        <f>SUM(Cambium22_MidCase_annual_gea!CE109,Cambium22_MidCase_annual_gea!CF109,Cambium22_MidCase_annual_gea!CG109)</f>
        <v>347703.80000000005</v>
      </c>
      <c r="O109">
        <f>Cambium22_MidCase_annual_gea!CK109</f>
        <v>0</v>
      </c>
      <c r="P109">
        <f>Cambium22_MidCase_annual_gea!CJ109</f>
        <v>0</v>
      </c>
      <c r="Y109">
        <v>173456770</v>
      </c>
      <c r="Z109">
        <v>164618380</v>
      </c>
      <c r="AA109">
        <v>3210915.8</v>
      </c>
      <c r="AB109">
        <v>28235.1</v>
      </c>
      <c r="AC109">
        <v>0</v>
      </c>
      <c r="AD109">
        <v>0</v>
      </c>
      <c r="AE109">
        <v>2928431</v>
      </c>
      <c r="AF109">
        <v>0</v>
      </c>
      <c r="AG109">
        <v>0</v>
      </c>
      <c r="AH109">
        <v>4242076</v>
      </c>
      <c r="AI109">
        <v>345427.9</v>
      </c>
      <c r="AJ109">
        <v>0</v>
      </c>
      <c r="AK109">
        <v>2275.9</v>
      </c>
      <c r="AL109">
        <v>0</v>
      </c>
      <c r="AM109">
        <v>1707011.8</v>
      </c>
      <c r="AN109">
        <v>0</v>
      </c>
      <c r="AO109">
        <v>0</v>
      </c>
      <c r="AP109">
        <v>616102</v>
      </c>
      <c r="AQ109">
        <v>0</v>
      </c>
      <c r="AR109">
        <v>16788436</v>
      </c>
      <c r="AS109">
        <v>143587860</v>
      </c>
      <c r="AT109">
        <v>0</v>
      </c>
    </row>
    <row r="110" spans="1:46" x14ac:dyDescent="0.3">
      <c r="A110" t="s">
        <v>6</v>
      </c>
      <c r="B110" t="s">
        <v>7</v>
      </c>
      <c r="C110" t="s">
        <v>166</v>
      </c>
      <c r="D110">
        <v>2050</v>
      </c>
      <c r="E110">
        <v>0.98</v>
      </c>
      <c r="F110">
        <v>0.98</v>
      </c>
      <c r="G110">
        <v>171.6</v>
      </c>
      <c r="H110">
        <v>225.8</v>
      </c>
      <c r="I110">
        <f>Cambium22_MidCase_annual_gea!BU110</f>
        <v>175580860</v>
      </c>
      <c r="J110">
        <f>Cambium22_MidCase_annual_gea!BZ110</f>
        <v>0</v>
      </c>
      <c r="K110">
        <f>SUM(Cambium22_MidCase_annual_gea!BX110,Cambium22_MidCase_annual_gea!BY110)</f>
        <v>30917.3</v>
      </c>
      <c r="L110">
        <f t="shared" si="6"/>
        <v>175549942.69999999</v>
      </c>
      <c r="M110">
        <f>SUM(Cambium22_MidCase_annual_gea!CA110,Cambium22_MidCase_annual_gea!CB110)</f>
        <v>3453226.5</v>
      </c>
      <c r="N110">
        <f>SUM(Cambium22_MidCase_annual_gea!CE110,Cambium22_MidCase_annual_gea!CF110,Cambium22_MidCase_annual_gea!CG110)</f>
        <v>567453.4</v>
      </c>
      <c r="O110">
        <f>Cambium22_MidCase_annual_gea!CK110</f>
        <v>0</v>
      </c>
      <c r="P110">
        <f>Cambium22_MidCase_annual_gea!CJ110</f>
        <v>0</v>
      </c>
      <c r="Y110">
        <v>175580860</v>
      </c>
      <c r="Z110">
        <v>165921390</v>
      </c>
      <c r="AA110">
        <v>3182578.5</v>
      </c>
      <c r="AB110">
        <v>30917.3</v>
      </c>
      <c r="AC110">
        <v>0</v>
      </c>
      <c r="AD110">
        <v>0</v>
      </c>
      <c r="AE110">
        <v>3453226.5</v>
      </c>
      <c r="AF110">
        <v>0</v>
      </c>
      <c r="AG110">
        <v>0</v>
      </c>
      <c r="AH110">
        <v>4577755.5</v>
      </c>
      <c r="AI110">
        <v>562049.30000000005</v>
      </c>
      <c r="AJ110">
        <v>0</v>
      </c>
      <c r="AK110">
        <v>5404.1</v>
      </c>
      <c r="AL110">
        <v>0</v>
      </c>
      <c r="AM110">
        <v>1746087.4</v>
      </c>
      <c r="AN110">
        <v>0</v>
      </c>
      <c r="AO110">
        <v>0</v>
      </c>
      <c r="AP110">
        <v>679217</v>
      </c>
      <c r="AQ110">
        <v>0</v>
      </c>
      <c r="AR110">
        <v>17097906</v>
      </c>
      <c r="AS110">
        <v>144245730</v>
      </c>
      <c r="AT110">
        <v>0</v>
      </c>
    </row>
    <row r="111" spans="1:46" x14ac:dyDescent="0.3">
      <c r="A111" t="s">
        <v>6</v>
      </c>
      <c r="B111" t="s">
        <v>7</v>
      </c>
      <c r="C111" t="s">
        <v>167</v>
      </c>
      <c r="D111">
        <v>2024</v>
      </c>
      <c r="E111">
        <v>0.61</v>
      </c>
      <c r="F111">
        <v>0.68</v>
      </c>
      <c r="G111">
        <v>353.9</v>
      </c>
      <c r="H111">
        <v>821.1</v>
      </c>
      <c r="I111">
        <f>Cambium22_MidCase_annual_gea!BU111</f>
        <v>81459380</v>
      </c>
      <c r="J111">
        <f>Cambium22_MidCase_annual_gea!BZ111</f>
        <v>0</v>
      </c>
      <c r="K111">
        <f>SUM(Cambium22_MidCase_annual_gea!BX111,Cambium22_MidCase_annual_gea!BY111)</f>
        <v>52775</v>
      </c>
      <c r="L111">
        <f t="shared" si="6"/>
        <v>81406605</v>
      </c>
      <c r="M111">
        <f>SUM(Cambium22_MidCase_annual_gea!CA111,Cambium22_MidCase_annual_gea!CB111)</f>
        <v>27300052</v>
      </c>
      <c r="N111">
        <f>SUM(Cambium22_MidCase_annual_gea!CE111,Cambium22_MidCase_annual_gea!CF111,Cambium22_MidCase_annual_gea!CG111)</f>
        <v>4275328.5</v>
      </c>
      <c r="O111">
        <f>Cambium22_MidCase_annual_gea!CK111</f>
        <v>392.8</v>
      </c>
      <c r="P111">
        <f>Cambium22_MidCase_annual_gea!CJ111</f>
        <v>9105591</v>
      </c>
      <c r="Y111">
        <v>81459380</v>
      </c>
      <c r="Z111">
        <v>39945764</v>
      </c>
      <c r="AA111">
        <v>1355.5</v>
      </c>
      <c r="AB111">
        <v>52775</v>
      </c>
      <c r="AC111">
        <v>0</v>
      </c>
      <c r="AD111">
        <v>0</v>
      </c>
      <c r="AE111">
        <v>27300052</v>
      </c>
      <c r="AF111">
        <v>0</v>
      </c>
      <c r="AG111">
        <v>0</v>
      </c>
      <c r="AH111">
        <v>303214.59999999998</v>
      </c>
      <c r="AI111">
        <v>4247383</v>
      </c>
      <c r="AJ111">
        <v>0</v>
      </c>
      <c r="AK111">
        <v>27945.5</v>
      </c>
      <c r="AL111">
        <v>0</v>
      </c>
      <c r="AM111">
        <v>581274</v>
      </c>
      <c r="AN111">
        <v>9105591</v>
      </c>
      <c r="AO111">
        <v>392.8</v>
      </c>
      <c r="AP111">
        <v>196843.3</v>
      </c>
      <c r="AQ111">
        <v>0</v>
      </c>
      <c r="AR111">
        <v>3629506</v>
      </c>
      <c r="AS111">
        <v>36013044</v>
      </c>
      <c r="AT111">
        <v>0</v>
      </c>
    </row>
    <row r="112" spans="1:46" x14ac:dyDescent="0.3">
      <c r="A112" t="s">
        <v>6</v>
      </c>
      <c r="B112" t="s">
        <v>7</v>
      </c>
      <c r="C112" t="s">
        <v>167</v>
      </c>
      <c r="D112">
        <v>2026</v>
      </c>
      <c r="E112">
        <v>0.79</v>
      </c>
      <c r="F112">
        <v>0.79</v>
      </c>
      <c r="G112">
        <v>219.3</v>
      </c>
      <c r="H112">
        <v>681.8</v>
      </c>
      <c r="I112">
        <f>Cambium22_MidCase_annual_gea!BU112</f>
        <v>103265896</v>
      </c>
      <c r="J112">
        <f>Cambium22_MidCase_annual_gea!BZ112</f>
        <v>0</v>
      </c>
      <c r="K112">
        <f>SUM(Cambium22_MidCase_annual_gea!BX112,Cambium22_MidCase_annual_gea!BY112)</f>
        <v>45596.9</v>
      </c>
      <c r="L112">
        <f t="shared" si="6"/>
        <v>103220299.09999999</v>
      </c>
      <c r="M112">
        <f>SUM(Cambium22_MidCase_annual_gea!CA112,Cambium22_MidCase_annual_gea!CB112)</f>
        <v>18366208</v>
      </c>
      <c r="N112">
        <f>SUM(Cambium22_MidCase_annual_gea!CE112,Cambium22_MidCase_annual_gea!CF112,Cambium22_MidCase_annual_gea!CG112)</f>
        <v>3604678</v>
      </c>
      <c r="O112">
        <f>Cambium22_MidCase_annual_gea!CK112</f>
        <v>53.6</v>
      </c>
      <c r="P112">
        <f>Cambium22_MidCase_annual_gea!CJ112</f>
        <v>8710807</v>
      </c>
      <c r="Y112">
        <v>103265896</v>
      </c>
      <c r="Z112">
        <v>71776140</v>
      </c>
      <c r="AA112">
        <v>6417.5</v>
      </c>
      <c r="AB112">
        <v>45596.9</v>
      </c>
      <c r="AC112">
        <v>0</v>
      </c>
      <c r="AD112">
        <v>0</v>
      </c>
      <c r="AE112">
        <v>18366208</v>
      </c>
      <c r="AF112">
        <v>0</v>
      </c>
      <c r="AG112">
        <v>0</v>
      </c>
      <c r="AH112">
        <v>390130.9</v>
      </c>
      <c r="AI112">
        <v>3592825.2</v>
      </c>
      <c r="AJ112">
        <v>0</v>
      </c>
      <c r="AK112">
        <v>11852.8</v>
      </c>
      <c r="AL112">
        <v>0</v>
      </c>
      <c r="AM112">
        <v>526704.4</v>
      </c>
      <c r="AN112">
        <v>8710807</v>
      </c>
      <c r="AO112">
        <v>53.6</v>
      </c>
      <c r="AP112">
        <v>229288</v>
      </c>
      <c r="AQ112">
        <v>0</v>
      </c>
      <c r="AR112">
        <v>10998099</v>
      </c>
      <c r="AS112">
        <v>60387910</v>
      </c>
      <c r="AT112">
        <v>0</v>
      </c>
    </row>
    <row r="113" spans="1:46" x14ac:dyDescent="0.3">
      <c r="A113" t="s">
        <v>6</v>
      </c>
      <c r="B113" t="s">
        <v>7</v>
      </c>
      <c r="C113" t="s">
        <v>167</v>
      </c>
      <c r="D113">
        <v>2028</v>
      </c>
      <c r="E113">
        <v>0.9</v>
      </c>
      <c r="F113">
        <v>0.89</v>
      </c>
      <c r="G113">
        <v>98.4</v>
      </c>
      <c r="H113">
        <v>544.1</v>
      </c>
      <c r="I113">
        <f>Cambium22_MidCase_annual_gea!BU113</f>
        <v>139078460</v>
      </c>
      <c r="J113">
        <f>Cambium22_MidCase_annual_gea!BZ113</f>
        <v>0</v>
      </c>
      <c r="K113">
        <f>SUM(Cambium22_MidCase_annual_gea!BX113,Cambium22_MidCase_annual_gea!BY113)</f>
        <v>39638.1</v>
      </c>
      <c r="L113">
        <f t="shared" si="6"/>
        <v>139038821.90000001</v>
      </c>
      <c r="M113">
        <f>SUM(Cambium22_MidCase_annual_gea!CA113,Cambium22_MidCase_annual_gea!CB113)</f>
        <v>11312891</v>
      </c>
      <c r="N113">
        <f>SUM(Cambium22_MidCase_annual_gea!CE113,Cambium22_MidCase_annual_gea!CF113,Cambium22_MidCase_annual_gea!CG113)</f>
        <v>2569060.7000000002</v>
      </c>
      <c r="O113">
        <f>Cambium22_MidCase_annual_gea!CK113</f>
        <v>0</v>
      </c>
      <c r="P113">
        <f>Cambium22_MidCase_annual_gea!CJ113</f>
        <v>8455493</v>
      </c>
      <c r="Y113">
        <v>139078460</v>
      </c>
      <c r="Z113">
        <v>115518000</v>
      </c>
      <c r="AA113">
        <v>469283.5</v>
      </c>
      <c r="AB113">
        <v>39638.1</v>
      </c>
      <c r="AC113">
        <v>0</v>
      </c>
      <c r="AD113">
        <v>0</v>
      </c>
      <c r="AE113">
        <v>11312891</v>
      </c>
      <c r="AF113">
        <v>0</v>
      </c>
      <c r="AG113">
        <v>0</v>
      </c>
      <c r="AH113">
        <v>556214.1</v>
      </c>
      <c r="AI113">
        <v>2564309.5</v>
      </c>
      <c r="AJ113">
        <v>0</v>
      </c>
      <c r="AK113">
        <v>4751.2</v>
      </c>
      <c r="AL113">
        <v>0</v>
      </c>
      <c r="AM113">
        <v>457499</v>
      </c>
      <c r="AN113">
        <v>8455493</v>
      </c>
      <c r="AO113">
        <v>0</v>
      </c>
      <c r="AP113">
        <v>256601.2</v>
      </c>
      <c r="AQ113">
        <v>0</v>
      </c>
      <c r="AR113">
        <v>23664444</v>
      </c>
      <c r="AS113">
        <v>91297340</v>
      </c>
      <c r="AT113">
        <v>0</v>
      </c>
    </row>
    <row r="114" spans="1:46" x14ac:dyDescent="0.3">
      <c r="A114" t="s">
        <v>6</v>
      </c>
      <c r="B114" t="s">
        <v>7</v>
      </c>
      <c r="C114" t="s">
        <v>167</v>
      </c>
      <c r="D114">
        <v>2030</v>
      </c>
      <c r="E114">
        <v>0.93</v>
      </c>
      <c r="F114">
        <v>0.92</v>
      </c>
      <c r="G114">
        <v>105.6</v>
      </c>
      <c r="H114">
        <v>476.8</v>
      </c>
      <c r="I114">
        <f>Cambium22_MidCase_annual_gea!BU114</f>
        <v>152750240</v>
      </c>
      <c r="J114">
        <f>Cambium22_MidCase_annual_gea!BZ114</f>
        <v>0</v>
      </c>
      <c r="K114">
        <f>SUM(Cambium22_MidCase_annual_gea!BX114,Cambium22_MidCase_annual_gea!BY114)</f>
        <v>35264</v>
      </c>
      <c r="L114">
        <f t="shared" si="6"/>
        <v>152714976</v>
      </c>
      <c r="M114">
        <f>SUM(Cambium22_MidCase_annual_gea!CA114,Cambium22_MidCase_annual_gea!CB114)</f>
        <v>9005006</v>
      </c>
      <c r="N114">
        <f>SUM(Cambium22_MidCase_annual_gea!CE114,Cambium22_MidCase_annual_gea!CF114,Cambium22_MidCase_annual_gea!CG114)</f>
        <v>1546816</v>
      </c>
      <c r="O114">
        <f>Cambium22_MidCase_annual_gea!CK114</f>
        <v>0</v>
      </c>
      <c r="P114">
        <f>Cambium22_MidCase_annual_gea!CJ114</f>
        <v>8281153</v>
      </c>
      <c r="Y114">
        <v>152750240</v>
      </c>
      <c r="Z114">
        <v>130778136</v>
      </c>
      <c r="AA114">
        <v>2437960.2000000002</v>
      </c>
      <c r="AB114">
        <v>35264</v>
      </c>
      <c r="AC114">
        <v>0</v>
      </c>
      <c r="AD114">
        <v>0</v>
      </c>
      <c r="AE114">
        <v>9005006</v>
      </c>
      <c r="AF114">
        <v>0</v>
      </c>
      <c r="AG114">
        <v>0</v>
      </c>
      <c r="AH114">
        <v>824040.4</v>
      </c>
      <c r="AI114">
        <v>1544627</v>
      </c>
      <c r="AJ114">
        <v>0</v>
      </c>
      <c r="AK114">
        <v>2189</v>
      </c>
      <c r="AL114">
        <v>0</v>
      </c>
      <c r="AM114">
        <v>404448</v>
      </c>
      <c r="AN114">
        <v>8281153</v>
      </c>
      <c r="AO114">
        <v>0</v>
      </c>
      <c r="AP114">
        <v>261441</v>
      </c>
      <c r="AQ114">
        <v>0</v>
      </c>
      <c r="AR114">
        <v>27758300</v>
      </c>
      <c r="AS114">
        <v>102195810</v>
      </c>
      <c r="AT114">
        <v>0</v>
      </c>
    </row>
    <row r="115" spans="1:46" x14ac:dyDescent="0.3">
      <c r="A115" t="s">
        <v>6</v>
      </c>
      <c r="B115" t="s">
        <v>7</v>
      </c>
      <c r="C115" t="s">
        <v>167</v>
      </c>
      <c r="D115">
        <v>2035</v>
      </c>
      <c r="E115">
        <v>0.94</v>
      </c>
      <c r="F115">
        <v>0.93</v>
      </c>
      <c r="G115">
        <v>142.69999999999999</v>
      </c>
      <c r="H115">
        <v>442.1</v>
      </c>
      <c r="I115">
        <f>Cambium22_MidCase_annual_gea!BU115</f>
        <v>162047660</v>
      </c>
      <c r="J115">
        <f>Cambium22_MidCase_annual_gea!BZ115</f>
        <v>0</v>
      </c>
      <c r="K115">
        <f>SUM(Cambium22_MidCase_annual_gea!BX115,Cambium22_MidCase_annual_gea!BY115)</f>
        <v>33218.400000000001</v>
      </c>
      <c r="L115">
        <f t="shared" si="6"/>
        <v>162014441.59999999</v>
      </c>
      <c r="M115">
        <f>SUM(Cambium22_MidCase_annual_gea!CA115,Cambium22_MidCase_annual_gea!CB115)</f>
        <v>7947599</v>
      </c>
      <c r="N115">
        <f>SUM(Cambium22_MidCase_annual_gea!CE115,Cambium22_MidCase_annual_gea!CF115,Cambium22_MidCase_annual_gea!CG115)</f>
        <v>1185953.7999999998</v>
      </c>
      <c r="O115">
        <f>Cambium22_MidCase_annual_gea!CK115</f>
        <v>0</v>
      </c>
      <c r="P115">
        <f>Cambium22_MidCase_annual_gea!CJ115</f>
        <v>8185299</v>
      </c>
      <c r="Y115">
        <v>162047660</v>
      </c>
      <c r="Z115">
        <v>139237840</v>
      </c>
      <c r="AA115">
        <v>4834731.5</v>
      </c>
      <c r="AB115">
        <v>33218.400000000001</v>
      </c>
      <c r="AC115">
        <v>0</v>
      </c>
      <c r="AD115">
        <v>0</v>
      </c>
      <c r="AE115">
        <v>7947599</v>
      </c>
      <c r="AF115">
        <v>0</v>
      </c>
      <c r="AG115">
        <v>0</v>
      </c>
      <c r="AH115">
        <v>1495340.1</v>
      </c>
      <c r="AI115">
        <v>1185408.3999999999</v>
      </c>
      <c r="AJ115">
        <v>0</v>
      </c>
      <c r="AK115">
        <v>545.4</v>
      </c>
      <c r="AL115">
        <v>0</v>
      </c>
      <c r="AM115">
        <v>373841.8</v>
      </c>
      <c r="AN115">
        <v>8185299</v>
      </c>
      <c r="AO115">
        <v>0</v>
      </c>
      <c r="AP115">
        <v>249167.2</v>
      </c>
      <c r="AQ115">
        <v>0</v>
      </c>
      <c r="AR115">
        <v>30889370</v>
      </c>
      <c r="AS115">
        <v>106853140</v>
      </c>
      <c r="AT115">
        <v>0</v>
      </c>
    </row>
    <row r="116" spans="1:46" x14ac:dyDescent="0.3">
      <c r="A116" t="s">
        <v>6</v>
      </c>
      <c r="B116" t="s">
        <v>7</v>
      </c>
      <c r="C116" t="s">
        <v>167</v>
      </c>
      <c r="D116">
        <v>2040</v>
      </c>
      <c r="E116">
        <v>0.96</v>
      </c>
      <c r="F116">
        <v>0.95</v>
      </c>
      <c r="G116">
        <v>174.5</v>
      </c>
      <c r="H116">
        <v>383.3</v>
      </c>
      <c r="I116">
        <f>Cambium22_MidCase_annual_gea!BU116</f>
        <v>167943120</v>
      </c>
      <c r="J116">
        <f>Cambium22_MidCase_annual_gea!BZ116</f>
        <v>0</v>
      </c>
      <c r="K116">
        <f>SUM(Cambium22_MidCase_annual_gea!BX116,Cambium22_MidCase_annual_gea!BY116)</f>
        <v>29922.3</v>
      </c>
      <c r="L116">
        <f t="shared" si="6"/>
        <v>167913197.69999999</v>
      </c>
      <c r="M116">
        <f>SUM(Cambium22_MidCase_annual_gea!CA116,Cambium22_MidCase_annual_gea!CB116)</f>
        <v>5790506.5</v>
      </c>
      <c r="N116">
        <f>SUM(Cambium22_MidCase_annual_gea!CE116,Cambium22_MidCase_annual_gea!CF116,Cambium22_MidCase_annual_gea!CG116)</f>
        <v>979719</v>
      </c>
      <c r="O116">
        <f>Cambium22_MidCase_annual_gea!CK116</f>
        <v>0</v>
      </c>
      <c r="P116">
        <f>Cambium22_MidCase_annual_gea!CJ116</f>
        <v>8030335</v>
      </c>
      <c r="Y116">
        <v>167943120</v>
      </c>
      <c r="Z116">
        <v>146913810</v>
      </c>
      <c r="AA116">
        <v>5593400.5</v>
      </c>
      <c r="AB116">
        <v>29922.3</v>
      </c>
      <c r="AC116">
        <v>0</v>
      </c>
      <c r="AD116">
        <v>0</v>
      </c>
      <c r="AE116">
        <v>5790506.5</v>
      </c>
      <c r="AF116">
        <v>0</v>
      </c>
      <c r="AG116">
        <v>0</v>
      </c>
      <c r="AH116">
        <v>2206599.7999999998</v>
      </c>
      <c r="AI116">
        <v>979299.4</v>
      </c>
      <c r="AJ116">
        <v>0</v>
      </c>
      <c r="AK116">
        <v>419.6</v>
      </c>
      <c r="AL116">
        <v>0</v>
      </c>
      <c r="AM116">
        <v>345274.3</v>
      </c>
      <c r="AN116">
        <v>8030335</v>
      </c>
      <c r="AO116">
        <v>0</v>
      </c>
      <c r="AP116">
        <v>260148.4</v>
      </c>
      <c r="AQ116">
        <v>0</v>
      </c>
      <c r="AR116">
        <v>31277926</v>
      </c>
      <c r="AS116">
        <v>113429270</v>
      </c>
      <c r="AT116">
        <v>0</v>
      </c>
    </row>
    <row r="117" spans="1:46" x14ac:dyDescent="0.3">
      <c r="A117" t="s">
        <v>6</v>
      </c>
      <c r="B117" t="s">
        <v>7</v>
      </c>
      <c r="C117" t="s">
        <v>167</v>
      </c>
      <c r="D117">
        <v>2045</v>
      </c>
      <c r="E117">
        <v>0.97</v>
      </c>
      <c r="F117">
        <v>0.97</v>
      </c>
      <c r="G117">
        <v>187.9</v>
      </c>
      <c r="H117">
        <v>326</v>
      </c>
      <c r="I117">
        <f>Cambium22_MidCase_annual_gea!BU117</f>
        <v>184405360</v>
      </c>
      <c r="J117">
        <f>Cambium22_MidCase_annual_gea!BZ117</f>
        <v>0</v>
      </c>
      <c r="K117">
        <f>SUM(Cambium22_MidCase_annual_gea!BX117,Cambium22_MidCase_annual_gea!BY117)</f>
        <v>26514.2</v>
      </c>
      <c r="L117">
        <f t="shared" si="6"/>
        <v>184378845.80000001</v>
      </c>
      <c r="M117">
        <f>SUM(Cambium22_MidCase_annual_gea!CA117,Cambium22_MidCase_annual_gea!CB117)</f>
        <v>3592008.8</v>
      </c>
      <c r="N117">
        <f>SUM(Cambium22_MidCase_annual_gea!CE117,Cambium22_MidCase_annual_gea!CF117,Cambium22_MidCase_annual_gea!CG117)</f>
        <v>1156135.8</v>
      </c>
      <c r="O117">
        <f>Cambium22_MidCase_annual_gea!CK117</f>
        <v>0</v>
      </c>
      <c r="P117">
        <f>Cambium22_MidCase_annual_gea!CJ117</f>
        <v>0</v>
      </c>
      <c r="Y117">
        <v>184405360</v>
      </c>
      <c r="Z117">
        <v>166178880</v>
      </c>
      <c r="AA117">
        <v>12867255</v>
      </c>
      <c r="AB117">
        <v>26514.2</v>
      </c>
      <c r="AC117">
        <v>0</v>
      </c>
      <c r="AD117">
        <v>0</v>
      </c>
      <c r="AE117">
        <v>3592008.8</v>
      </c>
      <c r="AF117">
        <v>0</v>
      </c>
      <c r="AG117">
        <v>0</v>
      </c>
      <c r="AH117">
        <v>2820658.2</v>
      </c>
      <c r="AI117">
        <v>1155707.1000000001</v>
      </c>
      <c r="AJ117">
        <v>0</v>
      </c>
      <c r="AK117">
        <v>428.7</v>
      </c>
      <c r="AL117">
        <v>0</v>
      </c>
      <c r="AM117">
        <v>308702.59999999998</v>
      </c>
      <c r="AN117">
        <v>0</v>
      </c>
      <c r="AO117">
        <v>0</v>
      </c>
      <c r="AP117">
        <v>275866</v>
      </c>
      <c r="AQ117">
        <v>0</v>
      </c>
      <c r="AR117">
        <v>45961796</v>
      </c>
      <c r="AS117">
        <v>117396430</v>
      </c>
      <c r="AT117">
        <v>0</v>
      </c>
    </row>
    <row r="118" spans="1:46" x14ac:dyDescent="0.3">
      <c r="A118" t="s">
        <v>6</v>
      </c>
      <c r="B118" t="s">
        <v>7</v>
      </c>
      <c r="C118" t="s">
        <v>167</v>
      </c>
      <c r="D118">
        <v>2050</v>
      </c>
      <c r="E118">
        <v>0.98</v>
      </c>
      <c r="F118">
        <v>0.97</v>
      </c>
      <c r="G118">
        <v>194.5</v>
      </c>
      <c r="H118">
        <v>306.60000000000002</v>
      </c>
      <c r="I118">
        <f>Cambium22_MidCase_annual_gea!BU118</f>
        <v>197935330</v>
      </c>
      <c r="J118">
        <f>Cambium22_MidCase_annual_gea!BZ118</f>
        <v>0</v>
      </c>
      <c r="K118">
        <f>SUM(Cambium22_MidCase_annual_gea!BX118,Cambium22_MidCase_annual_gea!BY118)</f>
        <v>25421.599999999999</v>
      </c>
      <c r="L118">
        <f t="shared" si="6"/>
        <v>197909908.40000001</v>
      </c>
      <c r="M118">
        <f>SUM(Cambium22_MidCase_annual_gea!CA118,Cambium22_MidCase_annual_gea!CB118)</f>
        <v>3147941.2</v>
      </c>
      <c r="N118">
        <f>SUM(Cambium22_MidCase_annual_gea!CE118,Cambium22_MidCase_annual_gea!CF118,Cambium22_MidCase_annual_gea!CG118)</f>
        <v>1490987.4</v>
      </c>
      <c r="O118">
        <f>Cambium22_MidCase_annual_gea!CK118</f>
        <v>0</v>
      </c>
      <c r="P118">
        <f>Cambium22_MidCase_annual_gea!CJ118</f>
        <v>0</v>
      </c>
      <c r="Y118">
        <v>197935330</v>
      </c>
      <c r="Z118">
        <v>179073970</v>
      </c>
      <c r="AA118">
        <v>13616893</v>
      </c>
      <c r="AB118">
        <v>25421.599999999999</v>
      </c>
      <c r="AC118">
        <v>0</v>
      </c>
      <c r="AD118">
        <v>0</v>
      </c>
      <c r="AE118">
        <v>3147941.2</v>
      </c>
      <c r="AF118">
        <v>0</v>
      </c>
      <c r="AG118">
        <v>0</v>
      </c>
      <c r="AH118">
        <v>3476038.8</v>
      </c>
      <c r="AI118">
        <v>1490927.5</v>
      </c>
      <c r="AJ118">
        <v>0</v>
      </c>
      <c r="AK118">
        <v>59.9</v>
      </c>
      <c r="AL118">
        <v>0</v>
      </c>
      <c r="AM118">
        <v>294069.2</v>
      </c>
      <c r="AN118">
        <v>0</v>
      </c>
      <c r="AO118">
        <v>0</v>
      </c>
      <c r="AP118">
        <v>286050.5</v>
      </c>
      <c r="AQ118">
        <v>0</v>
      </c>
      <c r="AR118">
        <v>50433324</v>
      </c>
      <c r="AS118">
        <v>125164590</v>
      </c>
      <c r="AT118">
        <v>0</v>
      </c>
    </row>
    <row r="119" spans="1:46" x14ac:dyDescent="0.3">
      <c r="A119" t="s">
        <v>6</v>
      </c>
      <c r="B119" t="s">
        <v>7</v>
      </c>
      <c r="C119" t="s">
        <v>168</v>
      </c>
      <c r="D119">
        <v>2024</v>
      </c>
      <c r="E119">
        <v>0.82</v>
      </c>
      <c r="F119">
        <v>0.8</v>
      </c>
      <c r="G119">
        <v>402</v>
      </c>
      <c r="H119">
        <v>680.7</v>
      </c>
      <c r="I119">
        <f>Cambium22_MidCase_annual_gea!BU119</f>
        <v>160916690</v>
      </c>
      <c r="J119">
        <f>Cambium22_MidCase_annual_gea!BZ119</f>
        <v>0</v>
      </c>
      <c r="K119">
        <f>SUM(Cambium22_MidCase_annual_gea!BX119,Cambium22_MidCase_annual_gea!BY119)</f>
        <v>36560.300000000003</v>
      </c>
      <c r="L119">
        <f t="shared" si="6"/>
        <v>160880129.69999999</v>
      </c>
      <c r="M119">
        <f>SUM(Cambium22_MidCase_annual_gea!CA119,Cambium22_MidCase_annual_gea!CB119)</f>
        <v>6191877.5</v>
      </c>
      <c r="N119">
        <f>SUM(Cambium22_MidCase_annual_gea!CE119,Cambium22_MidCase_annual_gea!CF119,Cambium22_MidCase_annual_gea!CG119)</f>
        <v>21821085.300000001</v>
      </c>
      <c r="O119">
        <f>Cambium22_MidCase_annual_gea!CK119</f>
        <v>234790.8</v>
      </c>
      <c r="P119">
        <f>Cambium22_MidCase_annual_gea!CJ119</f>
        <v>0</v>
      </c>
      <c r="Y119">
        <v>160916690</v>
      </c>
      <c r="Z119">
        <v>129758480</v>
      </c>
      <c r="AA119">
        <v>9346.2999999999993</v>
      </c>
      <c r="AB119">
        <v>36560.300000000003</v>
      </c>
      <c r="AC119">
        <v>0</v>
      </c>
      <c r="AD119">
        <v>0</v>
      </c>
      <c r="AE119">
        <v>6191877.5</v>
      </c>
      <c r="AF119">
        <v>0</v>
      </c>
      <c r="AG119">
        <v>0</v>
      </c>
      <c r="AH119">
        <v>534319.9</v>
      </c>
      <c r="AI119">
        <v>21617812</v>
      </c>
      <c r="AJ119">
        <v>0</v>
      </c>
      <c r="AK119">
        <v>203273.3</v>
      </c>
      <c r="AL119">
        <v>0</v>
      </c>
      <c r="AM119">
        <v>2510041</v>
      </c>
      <c r="AN119">
        <v>0</v>
      </c>
      <c r="AO119">
        <v>234790.8</v>
      </c>
      <c r="AP119">
        <v>354511.3</v>
      </c>
      <c r="AQ119">
        <v>0</v>
      </c>
      <c r="AR119">
        <v>27115088</v>
      </c>
      <c r="AS119">
        <v>102109064</v>
      </c>
      <c r="AT119">
        <v>0</v>
      </c>
    </row>
    <row r="120" spans="1:46" x14ac:dyDescent="0.3">
      <c r="A120" t="s">
        <v>6</v>
      </c>
      <c r="B120" t="s">
        <v>7</v>
      </c>
      <c r="C120" t="s">
        <v>168</v>
      </c>
      <c r="D120">
        <v>2026</v>
      </c>
      <c r="E120">
        <v>0.88</v>
      </c>
      <c r="F120">
        <v>0.85</v>
      </c>
      <c r="G120">
        <v>282.10000000000002</v>
      </c>
      <c r="H120">
        <v>588.20000000000005</v>
      </c>
      <c r="I120">
        <f>Cambium22_MidCase_annual_gea!BU120</f>
        <v>178190900</v>
      </c>
      <c r="J120">
        <f>Cambium22_MidCase_annual_gea!BZ120</f>
        <v>0</v>
      </c>
      <c r="K120">
        <f>SUM(Cambium22_MidCase_annual_gea!BX120,Cambium22_MidCase_annual_gea!BY120)</f>
        <v>32133.9</v>
      </c>
      <c r="L120">
        <f t="shared" si="6"/>
        <v>178158766.09999999</v>
      </c>
      <c r="M120">
        <f>SUM(Cambium22_MidCase_annual_gea!CA120,Cambium22_MidCase_annual_gea!CB120)</f>
        <v>4134512</v>
      </c>
      <c r="N120">
        <f>SUM(Cambium22_MidCase_annual_gea!CE120,Cambium22_MidCase_annual_gea!CF120,Cambium22_MidCase_annual_gea!CG120)</f>
        <v>17657500.899999999</v>
      </c>
      <c r="O120">
        <f>Cambium22_MidCase_annual_gea!CK120</f>
        <v>116739.2</v>
      </c>
      <c r="P120">
        <f>Cambium22_MidCase_annual_gea!CJ120</f>
        <v>0</v>
      </c>
      <c r="Y120">
        <v>178190900</v>
      </c>
      <c r="Z120">
        <v>152819400</v>
      </c>
      <c r="AA120">
        <v>679966.9</v>
      </c>
      <c r="AB120">
        <v>32133.9</v>
      </c>
      <c r="AC120">
        <v>0</v>
      </c>
      <c r="AD120">
        <v>0</v>
      </c>
      <c r="AE120">
        <v>4134512</v>
      </c>
      <c r="AF120">
        <v>0</v>
      </c>
      <c r="AG120">
        <v>0</v>
      </c>
      <c r="AH120">
        <v>1084021.1000000001</v>
      </c>
      <c r="AI120">
        <v>17492966</v>
      </c>
      <c r="AJ120">
        <v>0</v>
      </c>
      <c r="AK120">
        <v>164534.9</v>
      </c>
      <c r="AL120">
        <v>0</v>
      </c>
      <c r="AM120">
        <v>2390127.5</v>
      </c>
      <c r="AN120">
        <v>0</v>
      </c>
      <c r="AO120">
        <v>116739.2</v>
      </c>
      <c r="AP120">
        <v>360530.4</v>
      </c>
      <c r="AQ120">
        <v>0</v>
      </c>
      <c r="AR120">
        <v>32022924</v>
      </c>
      <c r="AS120">
        <v>119712450</v>
      </c>
      <c r="AT120">
        <v>0</v>
      </c>
    </row>
    <row r="121" spans="1:46" x14ac:dyDescent="0.3">
      <c r="A121" t="s">
        <v>6</v>
      </c>
      <c r="B121" t="s">
        <v>7</v>
      </c>
      <c r="C121" t="s">
        <v>168</v>
      </c>
      <c r="D121">
        <v>2028</v>
      </c>
      <c r="E121">
        <v>0.93</v>
      </c>
      <c r="F121">
        <v>0.9</v>
      </c>
      <c r="G121">
        <v>177.5</v>
      </c>
      <c r="H121">
        <v>476.4</v>
      </c>
      <c r="I121">
        <f>Cambium22_MidCase_annual_gea!BU121</f>
        <v>216708530</v>
      </c>
      <c r="J121">
        <f>Cambium22_MidCase_annual_gea!BZ121</f>
        <v>0</v>
      </c>
      <c r="K121">
        <f>SUM(Cambium22_MidCase_annual_gea!BX121,Cambium22_MidCase_annual_gea!BY121)</f>
        <v>28569.9</v>
      </c>
      <c r="L121">
        <f t="shared" si="6"/>
        <v>216679960.09999999</v>
      </c>
      <c r="M121">
        <f>SUM(Cambium22_MidCase_annual_gea!CA121,Cambium22_MidCase_annual_gea!CB121)</f>
        <v>1750309.4</v>
      </c>
      <c r="N121">
        <f>SUM(Cambium22_MidCase_annual_gea!CE121,Cambium22_MidCase_annual_gea!CF121,Cambium22_MidCase_annual_gea!CG121)</f>
        <v>13325156.5</v>
      </c>
      <c r="O121">
        <f>Cambium22_MidCase_annual_gea!CK121</f>
        <v>76852</v>
      </c>
      <c r="P121">
        <f>Cambium22_MidCase_annual_gea!CJ121</f>
        <v>0</v>
      </c>
      <c r="Y121">
        <v>216708530</v>
      </c>
      <c r="Z121">
        <v>197896510</v>
      </c>
      <c r="AA121">
        <v>947550.2</v>
      </c>
      <c r="AB121">
        <v>28569.9</v>
      </c>
      <c r="AC121">
        <v>0</v>
      </c>
      <c r="AD121">
        <v>0</v>
      </c>
      <c r="AE121">
        <v>1750309.4</v>
      </c>
      <c r="AF121">
        <v>0</v>
      </c>
      <c r="AG121">
        <v>0</v>
      </c>
      <c r="AH121">
        <v>1824935.6</v>
      </c>
      <c r="AI121">
        <v>13223498</v>
      </c>
      <c r="AJ121">
        <v>0</v>
      </c>
      <c r="AK121">
        <v>101658.5</v>
      </c>
      <c r="AL121">
        <v>0</v>
      </c>
      <c r="AM121">
        <v>2364779.2000000002</v>
      </c>
      <c r="AN121">
        <v>0</v>
      </c>
      <c r="AO121">
        <v>76852</v>
      </c>
      <c r="AP121">
        <v>318812.40000000002</v>
      </c>
      <c r="AQ121">
        <v>0</v>
      </c>
      <c r="AR121">
        <v>43887116</v>
      </c>
      <c r="AS121">
        <v>152184450</v>
      </c>
      <c r="AT121">
        <v>0</v>
      </c>
    </row>
    <row r="122" spans="1:46" x14ac:dyDescent="0.3">
      <c r="A122" t="s">
        <v>6</v>
      </c>
      <c r="B122" t="s">
        <v>7</v>
      </c>
      <c r="C122" t="s">
        <v>168</v>
      </c>
      <c r="D122">
        <v>2030</v>
      </c>
      <c r="E122">
        <v>0.95</v>
      </c>
      <c r="F122">
        <v>0.93</v>
      </c>
      <c r="G122">
        <v>120.8</v>
      </c>
      <c r="H122">
        <v>425.3</v>
      </c>
      <c r="I122">
        <f>Cambium22_MidCase_annual_gea!BU122</f>
        <v>218504420</v>
      </c>
      <c r="J122">
        <f>Cambium22_MidCase_annual_gea!BZ122</f>
        <v>0</v>
      </c>
      <c r="K122">
        <f>SUM(Cambium22_MidCase_annual_gea!BX122,Cambium22_MidCase_annual_gea!BY122)</f>
        <v>26257.5</v>
      </c>
      <c r="L122">
        <f t="shared" si="6"/>
        <v>218478162.5</v>
      </c>
      <c r="M122">
        <f>SUM(Cambium22_MidCase_annual_gea!CA122,Cambium22_MidCase_annual_gea!CB122)</f>
        <v>1507262.2</v>
      </c>
      <c r="N122">
        <f>SUM(Cambium22_MidCase_annual_gea!CE122,Cambium22_MidCase_annual_gea!CF122,Cambium22_MidCase_annual_gea!CG122)</f>
        <v>8783759</v>
      </c>
      <c r="O122">
        <f>Cambium22_MidCase_annual_gea!CK122</f>
        <v>42156.7</v>
      </c>
      <c r="P122">
        <f>Cambium22_MidCase_annual_gea!CJ122</f>
        <v>0</v>
      </c>
      <c r="Y122">
        <v>218504420</v>
      </c>
      <c r="Z122">
        <v>204027700</v>
      </c>
      <c r="AA122">
        <v>1490269.4</v>
      </c>
      <c r="AB122">
        <v>26257.5</v>
      </c>
      <c r="AC122">
        <v>0</v>
      </c>
      <c r="AD122">
        <v>0</v>
      </c>
      <c r="AE122">
        <v>1507262.2</v>
      </c>
      <c r="AF122">
        <v>0</v>
      </c>
      <c r="AG122">
        <v>0</v>
      </c>
      <c r="AH122">
        <v>2905321.2</v>
      </c>
      <c r="AI122">
        <v>8734374</v>
      </c>
      <c r="AJ122">
        <v>0</v>
      </c>
      <c r="AK122">
        <v>49385</v>
      </c>
      <c r="AL122">
        <v>0</v>
      </c>
      <c r="AM122">
        <v>2309894.2000000002</v>
      </c>
      <c r="AN122">
        <v>0</v>
      </c>
      <c r="AO122">
        <v>42156.7</v>
      </c>
      <c r="AP122">
        <v>317124.7</v>
      </c>
      <c r="AQ122">
        <v>0</v>
      </c>
      <c r="AR122">
        <v>42816004</v>
      </c>
      <c r="AS122">
        <v>158306370</v>
      </c>
      <c r="AT122">
        <v>0</v>
      </c>
    </row>
    <row r="123" spans="1:46" x14ac:dyDescent="0.3">
      <c r="A123" t="s">
        <v>6</v>
      </c>
      <c r="B123" t="s">
        <v>7</v>
      </c>
      <c r="C123" t="s">
        <v>168</v>
      </c>
      <c r="D123">
        <v>2035</v>
      </c>
      <c r="E123">
        <v>0.97</v>
      </c>
      <c r="F123">
        <v>0.95</v>
      </c>
      <c r="G123">
        <v>148.19999999999999</v>
      </c>
      <c r="H123">
        <v>383.6</v>
      </c>
      <c r="I123">
        <f>Cambium22_MidCase_annual_gea!BU123</f>
        <v>233729800</v>
      </c>
      <c r="J123">
        <f>Cambium22_MidCase_annual_gea!BZ123</f>
        <v>0</v>
      </c>
      <c r="K123">
        <f>SUM(Cambium22_MidCase_annual_gea!BX123,Cambium22_MidCase_annual_gea!BY123)</f>
        <v>24775.8</v>
      </c>
      <c r="L123">
        <f t="shared" si="6"/>
        <v>233705024.19999999</v>
      </c>
      <c r="M123">
        <f>SUM(Cambium22_MidCase_annual_gea!CA123,Cambium22_MidCase_annual_gea!CB123)</f>
        <v>1210587.3999999999</v>
      </c>
      <c r="N123">
        <f>SUM(Cambium22_MidCase_annual_gea!CE123,Cambium22_MidCase_annual_gea!CF123,Cambium22_MidCase_annual_gea!CG123)</f>
        <v>6206971.5</v>
      </c>
      <c r="O123">
        <f>Cambium22_MidCase_annual_gea!CK123</f>
        <v>13246.1</v>
      </c>
      <c r="P123">
        <f>Cambium22_MidCase_annual_gea!CJ123</f>
        <v>0</v>
      </c>
      <c r="Y123">
        <v>233729800</v>
      </c>
      <c r="Z123">
        <v>219834110</v>
      </c>
      <c r="AA123">
        <v>3865037.5</v>
      </c>
      <c r="AB123">
        <v>24775.8</v>
      </c>
      <c r="AC123">
        <v>0</v>
      </c>
      <c r="AD123">
        <v>0</v>
      </c>
      <c r="AE123">
        <v>1210587.3999999999</v>
      </c>
      <c r="AF123">
        <v>0</v>
      </c>
      <c r="AG123">
        <v>0</v>
      </c>
      <c r="AH123">
        <v>4824715</v>
      </c>
      <c r="AI123">
        <v>6079635.5</v>
      </c>
      <c r="AJ123">
        <v>0</v>
      </c>
      <c r="AK123">
        <v>127336</v>
      </c>
      <c r="AL123">
        <v>0</v>
      </c>
      <c r="AM123">
        <v>2263501.2000000002</v>
      </c>
      <c r="AN123">
        <v>0</v>
      </c>
      <c r="AO123">
        <v>13246.1</v>
      </c>
      <c r="AP123">
        <v>311558.40000000002</v>
      </c>
      <c r="AQ123">
        <v>0</v>
      </c>
      <c r="AR123">
        <v>45756464</v>
      </c>
      <c r="AS123">
        <v>169252930</v>
      </c>
      <c r="AT123">
        <v>0</v>
      </c>
    </row>
    <row r="124" spans="1:46" x14ac:dyDescent="0.3">
      <c r="A124" t="s">
        <v>6</v>
      </c>
      <c r="B124" t="s">
        <v>7</v>
      </c>
      <c r="C124" t="s">
        <v>168</v>
      </c>
      <c r="D124">
        <v>2040</v>
      </c>
      <c r="E124">
        <v>0.98</v>
      </c>
      <c r="F124">
        <v>0.97</v>
      </c>
      <c r="G124">
        <v>183.7</v>
      </c>
      <c r="H124">
        <v>336.7</v>
      </c>
      <c r="I124">
        <f>Cambium22_MidCase_annual_gea!BU124</f>
        <v>263556900</v>
      </c>
      <c r="J124">
        <f>Cambium22_MidCase_annual_gea!BZ124</f>
        <v>0</v>
      </c>
      <c r="K124">
        <f>SUM(Cambium22_MidCase_annual_gea!BX124,Cambium22_MidCase_annual_gea!BY124)</f>
        <v>23167.4</v>
      </c>
      <c r="L124">
        <f t="shared" si="6"/>
        <v>263533732.59999999</v>
      </c>
      <c r="M124">
        <f>SUM(Cambium22_MidCase_annual_gea!CA124,Cambium22_MidCase_annual_gea!CB124)</f>
        <v>719641.9</v>
      </c>
      <c r="N124">
        <f>SUM(Cambium22_MidCase_annual_gea!CE124,Cambium22_MidCase_annual_gea!CF124,Cambium22_MidCase_annual_gea!CG124)</f>
        <v>5072705.0999999996</v>
      </c>
      <c r="O124">
        <f>Cambium22_MidCase_annual_gea!CK124</f>
        <v>16005.1</v>
      </c>
      <c r="P124">
        <f>Cambium22_MidCase_annual_gea!CJ124</f>
        <v>0</v>
      </c>
      <c r="Y124">
        <v>263556900</v>
      </c>
      <c r="Z124">
        <v>249431040</v>
      </c>
      <c r="AA124">
        <v>5782715.5</v>
      </c>
      <c r="AB124">
        <v>23167.4</v>
      </c>
      <c r="AC124">
        <v>0</v>
      </c>
      <c r="AD124">
        <v>0</v>
      </c>
      <c r="AE124">
        <v>719641.9</v>
      </c>
      <c r="AF124">
        <v>0</v>
      </c>
      <c r="AG124">
        <v>0</v>
      </c>
      <c r="AH124">
        <v>5768395.5</v>
      </c>
      <c r="AI124">
        <v>4925827</v>
      </c>
      <c r="AJ124">
        <v>0</v>
      </c>
      <c r="AK124">
        <v>146878.1</v>
      </c>
      <c r="AL124">
        <v>0</v>
      </c>
      <c r="AM124">
        <v>2187990.2000000002</v>
      </c>
      <c r="AN124">
        <v>0</v>
      </c>
      <c r="AO124">
        <v>16005.1</v>
      </c>
      <c r="AP124">
        <v>323617.59999999998</v>
      </c>
      <c r="AQ124">
        <v>0</v>
      </c>
      <c r="AR124">
        <v>57362732</v>
      </c>
      <c r="AS124">
        <v>186299920</v>
      </c>
      <c r="AT124">
        <v>0</v>
      </c>
    </row>
    <row r="125" spans="1:46" x14ac:dyDescent="0.3">
      <c r="A125" t="s">
        <v>6</v>
      </c>
      <c r="B125" t="s">
        <v>7</v>
      </c>
      <c r="C125" t="s">
        <v>168</v>
      </c>
      <c r="D125">
        <v>2045</v>
      </c>
      <c r="E125">
        <v>0.98</v>
      </c>
      <c r="F125">
        <v>0.97</v>
      </c>
      <c r="G125">
        <v>197.7</v>
      </c>
      <c r="H125">
        <v>275</v>
      </c>
      <c r="I125">
        <f>Cambium22_MidCase_annual_gea!BU125</f>
        <v>268785950</v>
      </c>
      <c r="J125">
        <f>Cambium22_MidCase_annual_gea!BZ125</f>
        <v>0</v>
      </c>
      <c r="K125">
        <f>SUM(Cambium22_MidCase_annual_gea!BX125,Cambium22_MidCase_annual_gea!BY125)</f>
        <v>21318.799999999999</v>
      </c>
      <c r="L125">
        <f t="shared" si="6"/>
        <v>268764631.19999999</v>
      </c>
      <c r="M125">
        <f>SUM(Cambium22_MidCase_annual_gea!CA125,Cambium22_MidCase_annual_gea!CB125)</f>
        <v>611646.4</v>
      </c>
      <c r="N125">
        <f>SUM(Cambium22_MidCase_annual_gea!CE125,Cambium22_MidCase_annual_gea!CF125,Cambium22_MidCase_annual_gea!CG125)</f>
        <v>5501900.2999999998</v>
      </c>
      <c r="O125">
        <f>Cambium22_MidCase_annual_gea!CK125</f>
        <v>3680.9</v>
      </c>
      <c r="P125">
        <f>Cambium22_MidCase_annual_gea!CJ125</f>
        <v>0</v>
      </c>
      <c r="Y125">
        <v>268785950</v>
      </c>
      <c r="Z125">
        <v>252286460</v>
      </c>
      <c r="AA125">
        <v>7937841</v>
      </c>
      <c r="AB125">
        <v>21318.799999999999</v>
      </c>
      <c r="AC125">
        <v>0</v>
      </c>
      <c r="AD125">
        <v>0</v>
      </c>
      <c r="AE125">
        <v>611646.4</v>
      </c>
      <c r="AF125">
        <v>0</v>
      </c>
      <c r="AG125">
        <v>0</v>
      </c>
      <c r="AH125">
        <v>6207740</v>
      </c>
      <c r="AI125">
        <v>5316621.5</v>
      </c>
      <c r="AJ125">
        <v>0</v>
      </c>
      <c r="AK125">
        <v>185278.8</v>
      </c>
      <c r="AL125">
        <v>0</v>
      </c>
      <c r="AM125">
        <v>2089831.8</v>
      </c>
      <c r="AN125">
        <v>0</v>
      </c>
      <c r="AO125">
        <v>3680.9</v>
      </c>
      <c r="AP125">
        <v>333266.40000000002</v>
      </c>
      <c r="AQ125">
        <v>0</v>
      </c>
      <c r="AR125">
        <v>59430860</v>
      </c>
      <c r="AS125">
        <v>186647860</v>
      </c>
      <c r="AT125">
        <v>0</v>
      </c>
    </row>
    <row r="126" spans="1:46" x14ac:dyDescent="0.3">
      <c r="A126" t="s">
        <v>6</v>
      </c>
      <c r="B126" t="s">
        <v>7</v>
      </c>
      <c r="C126" t="s">
        <v>168</v>
      </c>
      <c r="D126">
        <v>2050</v>
      </c>
      <c r="E126">
        <v>0.97</v>
      </c>
      <c r="F126">
        <v>0.97</v>
      </c>
      <c r="G126">
        <v>195.2</v>
      </c>
      <c r="H126">
        <v>258.2</v>
      </c>
      <c r="I126">
        <f>Cambium22_MidCase_annual_gea!BU126</f>
        <v>285764350</v>
      </c>
      <c r="J126">
        <f>Cambium22_MidCase_annual_gea!BZ126</f>
        <v>0</v>
      </c>
      <c r="K126">
        <f>SUM(Cambium22_MidCase_annual_gea!BX126,Cambium22_MidCase_annual_gea!BY126)</f>
        <v>19998.8</v>
      </c>
      <c r="L126">
        <f t="shared" si="6"/>
        <v>285744351.19999999</v>
      </c>
      <c r="M126">
        <f>SUM(Cambium22_MidCase_annual_gea!CA126,Cambium22_MidCase_annual_gea!CB126)</f>
        <v>1762359.6</v>
      </c>
      <c r="N126">
        <f>SUM(Cambium22_MidCase_annual_gea!CE126,Cambium22_MidCase_annual_gea!CF126,Cambium22_MidCase_annual_gea!CG126)</f>
        <v>6768119.9000000004</v>
      </c>
      <c r="O126">
        <f>Cambium22_MidCase_annual_gea!CK126</f>
        <v>0</v>
      </c>
      <c r="P126">
        <f>Cambium22_MidCase_annual_gea!CJ126</f>
        <v>0</v>
      </c>
      <c r="Y126">
        <v>285764350</v>
      </c>
      <c r="Z126">
        <v>265485470</v>
      </c>
      <c r="AA126">
        <v>9320718</v>
      </c>
      <c r="AB126">
        <v>19998.8</v>
      </c>
      <c r="AC126">
        <v>0</v>
      </c>
      <c r="AD126">
        <v>0</v>
      </c>
      <c r="AE126">
        <v>1762359.6</v>
      </c>
      <c r="AF126">
        <v>0</v>
      </c>
      <c r="AG126">
        <v>0</v>
      </c>
      <c r="AH126">
        <v>7155432</v>
      </c>
      <c r="AI126">
        <v>6480914</v>
      </c>
      <c r="AJ126">
        <v>0</v>
      </c>
      <c r="AK126">
        <v>287205.90000000002</v>
      </c>
      <c r="AL126">
        <v>0</v>
      </c>
      <c r="AM126">
        <v>2055137.8</v>
      </c>
      <c r="AN126">
        <v>0</v>
      </c>
      <c r="AO126">
        <v>0</v>
      </c>
      <c r="AP126">
        <v>352550.1</v>
      </c>
      <c r="AQ126">
        <v>0</v>
      </c>
      <c r="AR126">
        <v>61810060</v>
      </c>
      <c r="AS126">
        <v>196519970</v>
      </c>
      <c r="AT126">
        <v>0</v>
      </c>
    </row>
    <row r="127" spans="1:46" x14ac:dyDescent="0.3">
      <c r="A127" t="s">
        <v>6</v>
      </c>
      <c r="B127" t="s">
        <v>7</v>
      </c>
      <c r="C127" t="s">
        <v>169</v>
      </c>
      <c r="D127">
        <v>2024</v>
      </c>
      <c r="E127">
        <v>0.28999999999999998</v>
      </c>
      <c r="F127">
        <v>0.34</v>
      </c>
      <c r="G127">
        <v>502.1</v>
      </c>
      <c r="H127">
        <v>900</v>
      </c>
      <c r="I127">
        <f>Cambium22_MidCase_annual_gea!BU127</f>
        <v>179502030</v>
      </c>
      <c r="J127">
        <f>Cambium22_MidCase_annual_gea!BZ127</f>
        <v>0</v>
      </c>
      <c r="K127">
        <f>SUM(Cambium22_MidCase_annual_gea!BX127,Cambium22_MidCase_annual_gea!BY127)</f>
        <v>1257300.8999999999</v>
      </c>
      <c r="L127">
        <f t="shared" si="6"/>
        <v>178244729.09999999</v>
      </c>
      <c r="M127">
        <f>SUM(Cambium22_MidCase_annual_gea!CA127,Cambium22_MidCase_annual_gea!CB127)</f>
        <v>17421412</v>
      </c>
      <c r="N127">
        <f>SUM(Cambium22_MidCase_annual_gea!CE127,Cambium22_MidCase_annual_gea!CF127,Cambium22_MidCase_annual_gea!CG127)</f>
        <v>101287861.40000001</v>
      </c>
      <c r="O127">
        <f>Cambium22_MidCase_annual_gea!CK127</f>
        <v>8278518.5</v>
      </c>
      <c r="P127">
        <f>Cambium22_MidCase_annual_gea!CJ127</f>
        <v>42739950</v>
      </c>
      <c r="Y127">
        <v>179502030</v>
      </c>
      <c r="Z127">
        <v>4932861.5</v>
      </c>
      <c r="AA127">
        <v>0</v>
      </c>
      <c r="AB127">
        <v>1257300.8999999999</v>
      </c>
      <c r="AC127">
        <v>0</v>
      </c>
      <c r="AD127">
        <v>0</v>
      </c>
      <c r="AE127">
        <v>17421412</v>
      </c>
      <c r="AF127">
        <v>0</v>
      </c>
      <c r="AG127">
        <v>0</v>
      </c>
      <c r="AH127">
        <v>1963266.8</v>
      </c>
      <c r="AI127">
        <v>100081780</v>
      </c>
      <c r="AJ127">
        <v>0</v>
      </c>
      <c r="AK127">
        <v>1206081.3999999999</v>
      </c>
      <c r="AL127">
        <v>0</v>
      </c>
      <c r="AM127">
        <v>3562735.2</v>
      </c>
      <c r="AN127">
        <v>42739950</v>
      </c>
      <c r="AO127">
        <v>8278518.5</v>
      </c>
      <c r="AP127">
        <v>21389.1</v>
      </c>
      <c r="AQ127">
        <v>0</v>
      </c>
      <c r="AR127">
        <v>2969594.8</v>
      </c>
      <c r="AS127">
        <v>0</v>
      </c>
      <c r="AT127">
        <v>0</v>
      </c>
    </row>
    <row r="128" spans="1:46" x14ac:dyDescent="0.3">
      <c r="A128" t="s">
        <v>6</v>
      </c>
      <c r="B128" t="s">
        <v>7</v>
      </c>
      <c r="C128" t="s">
        <v>169</v>
      </c>
      <c r="D128">
        <v>2026</v>
      </c>
      <c r="E128">
        <v>0.32</v>
      </c>
      <c r="F128">
        <v>0.41</v>
      </c>
      <c r="G128">
        <v>463.1</v>
      </c>
      <c r="H128">
        <v>850.4</v>
      </c>
      <c r="I128">
        <f>Cambium22_MidCase_annual_gea!BU128</f>
        <v>171694110</v>
      </c>
      <c r="J128">
        <f>Cambium22_MidCase_annual_gea!BZ128</f>
        <v>0</v>
      </c>
      <c r="K128">
        <f>SUM(Cambium22_MidCase_annual_gea!BX128,Cambium22_MidCase_annual_gea!BY128)</f>
        <v>1257221.5</v>
      </c>
      <c r="L128">
        <f t="shared" si="6"/>
        <v>170436888.5</v>
      </c>
      <c r="M128">
        <f>SUM(Cambium22_MidCase_annual_gea!CA128,Cambium22_MidCase_annual_gea!CB128)</f>
        <v>14324112</v>
      </c>
      <c r="N128">
        <f>SUM(Cambium22_MidCase_annual_gea!CE128,Cambium22_MidCase_annual_gea!CF128,Cambium22_MidCase_annual_gea!CG128)</f>
        <v>96713899.900000006</v>
      </c>
      <c r="O128">
        <f>Cambium22_MidCase_annual_gea!CK128</f>
        <v>5279232.5</v>
      </c>
      <c r="P128">
        <f>Cambium22_MidCase_annual_gea!CJ128</f>
        <v>42695656</v>
      </c>
      <c r="Y128">
        <v>171694110</v>
      </c>
      <c r="Z128">
        <v>7679065</v>
      </c>
      <c r="AA128">
        <v>156740.4</v>
      </c>
      <c r="AB128">
        <v>1257221.5</v>
      </c>
      <c r="AC128">
        <v>0</v>
      </c>
      <c r="AD128">
        <v>0</v>
      </c>
      <c r="AE128">
        <v>14324112</v>
      </c>
      <c r="AF128">
        <v>0</v>
      </c>
      <c r="AG128">
        <v>0</v>
      </c>
      <c r="AH128">
        <v>3219074.5</v>
      </c>
      <c r="AI128">
        <v>95605580</v>
      </c>
      <c r="AJ128">
        <v>0</v>
      </c>
      <c r="AK128">
        <v>1108319.8999999999</v>
      </c>
      <c r="AL128">
        <v>0</v>
      </c>
      <c r="AM128">
        <v>3565020</v>
      </c>
      <c r="AN128">
        <v>42695656</v>
      </c>
      <c r="AO128">
        <v>5279232.5</v>
      </c>
      <c r="AP128">
        <v>23154.799999999999</v>
      </c>
      <c r="AQ128">
        <v>0</v>
      </c>
      <c r="AR128">
        <v>4459990.5</v>
      </c>
      <c r="AS128">
        <v>0</v>
      </c>
      <c r="AT128">
        <v>0</v>
      </c>
    </row>
    <row r="129" spans="1:46" x14ac:dyDescent="0.3">
      <c r="A129" t="s">
        <v>6</v>
      </c>
      <c r="B129" t="s">
        <v>7</v>
      </c>
      <c r="C129" t="s">
        <v>169</v>
      </c>
      <c r="D129">
        <v>2028</v>
      </c>
      <c r="E129">
        <v>0.42</v>
      </c>
      <c r="F129">
        <v>0.57999999999999996</v>
      </c>
      <c r="G129">
        <v>403.6</v>
      </c>
      <c r="H129">
        <v>711.8</v>
      </c>
      <c r="I129">
        <f>Cambium22_MidCase_annual_gea!BU129</f>
        <v>153709260</v>
      </c>
      <c r="J129">
        <f>Cambium22_MidCase_annual_gea!BZ129</f>
        <v>0</v>
      </c>
      <c r="K129">
        <f>SUM(Cambium22_MidCase_annual_gea!BX129,Cambium22_MidCase_annual_gea!BY129)</f>
        <v>1236358.5</v>
      </c>
      <c r="L129">
        <f t="shared" si="6"/>
        <v>152472901.5</v>
      </c>
      <c r="M129">
        <f>SUM(Cambium22_MidCase_annual_gea!CA129,Cambium22_MidCase_annual_gea!CB129)</f>
        <v>6317735</v>
      </c>
      <c r="N129">
        <f>SUM(Cambium22_MidCase_annual_gea!CE129,Cambium22_MidCase_annual_gea!CF129,Cambium22_MidCase_annual_gea!CG129)</f>
        <v>79501313.799999997</v>
      </c>
      <c r="O129">
        <f>Cambium22_MidCase_annual_gea!CK129</f>
        <v>3258982.5</v>
      </c>
      <c r="P129">
        <f>Cambium22_MidCase_annual_gea!CJ129</f>
        <v>41724764</v>
      </c>
      <c r="Y129">
        <v>153709260</v>
      </c>
      <c r="Z129">
        <v>17172898</v>
      </c>
      <c r="AA129">
        <v>963033.7</v>
      </c>
      <c r="AB129">
        <v>1236358.5</v>
      </c>
      <c r="AC129">
        <v>0</v>
      </c>
      <c r="AD129">
        <v>0</v>
      </c>
      <c r="AE129">
        <v>6317735</v>
      </c>
      <c r="AF129">
        <v>0</v>
      </c>
      <c r="AG129">
        <v>0</v>
      </c>
      <c r="AH129">
        <v>4743119</v>
      </c>
      <c r="AI129">
        <v>78948870</v>
      </c>
      <c r="AJ129">
        <v>0</v>
      </c>
      <c r="AK129">
        <v>552443.80000000005</v>
      </c>
      <c r="AL129">
        <v>0</v>
      </c>
      <c r="AM129">
        <v>3489615.2</v>
      </c>
      <c r="AN129">
        <v>41724764</v>
      </c>
      <c r="AO129">
        <v>3258982.5</v>
      </c>
      <c r="AP129">
        <v>44553.2</v>
      </c>
      <c r="AQ129">
        <v>0</v>
      </c>
      <c r="AR129">
        <v>12429779</v>
      </c>
      <c r="AS129">
        <v>0</v>
      </c>
      <c r="AT129">
        <v>0</v>
      </c>
    </row>
    <row r="130" spans="1:46" x14ac:dyDescent="0.3">
      <c r="A130" t="s">
        <v>6</v>
      </c>
      <c r="B130" t="s">
        <v>7</v>
      </c>
      <c r="C130" t="s">
        <v>169</v>
      </c>
      <c r="D130">
        <v>2030</v>
      </c>
      <c r="E130">
        <v>0.54</v>
      </c>
      <c r="F130">
        <v>0.69</v>
      </c>
      <c r="G130">
        <v>394.7</v>
      </c>
      <c r="H130">
        <v>642.6</v>
      </c>
      <c r="I130">
        <f>Cambium22_MidCase_annual_gea!BU130</f>
        <v>147110900</v>
      </c>
      <c r="J130">
        <f>Cambium22_MidCase_annual_gea!BZ130</f>
        <v>0</v>
      </c>
      <c r="K130">
        <f>SUM(Cambium22_MidCase_annual_gea!BX130,Cambium22_MidCase_annual_gea!BY130)</f>
        <v>1074333.8</v>
      </c>
      <c r="L130">
        <f t="shared" si="6"/>
        <v>146036566.19999999</v>
      </c>
      <c r="M130">
        <f>SUM(Cambium22_MidCase_annual_gea!CA130,Cambium22_MidCase_annual_gea!CB130)</f>
        <v>5025003</v>
      </c>
      <c r="N130">
        <f>SUM(Cambium22_MidCase_annual_gea!CE130,Cambium22_MidCase_annual_gea!CF130,Cambium22_MidCase_annual_gea!CG130)</f>
        <v>61537468</v>
      </c>
      <c r="O130">
        <f>Cambium22_MidCase_annual_gea!CK130</f>
        <v>1069066.3999999999</v>
      </c>
      <c r="P130">
        <f>Cambium22_MidCase_annual_gea!CJ130</f>
        <v>40748356</v>
      </c>
      <c r="Y130">
        <v>147110900</v>
      </c>
      <c r="Z130">
        <v>32882820</v>
      </c>
      <c r="AA130">
        <v>1386516</v>
      </c>
      <c r="AB130">
        <v>1074333.8</v>
      </c>
      <c r="AC130">
        <v>0</v>
      </c>
      <c r="AD130">
        <v>0</v>
      </c>
      <c r="AE130">
        <v>5025003</v>
      </c>
      <c r="AF130">
        <v>0</v>
      </c>
      <c r="AG130">
        <v>0</v>
      </c>
      <c r="AH130">
        <v>7006830.5</v>
      </c>
      <c r="AI130">
        <v>61290828</v>
      </c>
      <c r="AJ130">
        <v>0</v>
      </c>
      <c r="AK130">
        <v>246640</v>
      </c>
      <c r="AL130">
        <v>0</v>
      </c>
      <c r="AM130">
        <v>3335918</v>
      </c>
      <c r="AN130">
        <v>40748356</v>
      </c>
      <c r="AO130">
        <v>1069066.3999999999</v>
      </c>
      <c r="AP130">
        <v>51417.5</v>
      </c>
      <c r="AQ130">
        <v>0</v>
      </c>
      <c r="AR130">
        <v>25875986</v>
      </c>
      <c r="AS130">
        <v>0</v>
      </c>
      <c r="AT130">
        <v>0</v>
      </c>
    </row>
    <row r="131" spans="1:46" x14ac:dyDescent="0.3">
      <c r="A131" t="s">
        <v>6</v>
      </c>
      <c r="B131" t="s">
        <v>7</v>
      </c>
      <c r="C131" t="s">
        <v>169</v>
      </c>
      <c r="D131">
        <v>2035</v>
      </c>
      <c r="E131">
        <v>0.68</v>
      </c>
      <c r="F131">
        <v>0.78</v>
      </c>
      <c r="G131">
        <v>368.2</v>
      </c>
      <c r="H131">
        <v>582</v>
      </c>
      <c r="I131">
        <f>Cambium22_MidCase_annual_gea!BU131</f>
        <v>158464860</v>
      </c>
      <c r="J131">
        <f>Cambium22_MidCase_annual_gea!BZ131</f>
        <v>0</v>
      </c>
      <c r="K131">
        <f>SUM(Cambium22_MidCase_annual_gea!BX131,Cambium22_MidCase_annual_gea!BY131)</f>
        <v>999862.9</v>
      </c>
      <c r="L131">
        <f t="shared" si="6"/>
        <v>157464997.09999999</v>
      </c>
      <c r="M131">
        <f>SUM(Cambium22_MidCase_annual_gea!CA131,Cambium22_MidCase_annual_gea!CB131)</f>
        <v>4229098.5</v>
      </c>
      <c r="N131">
        <f>SUM(Cambium22_MidCase_annual_gea!CE131,Cambium22_MidCase_annual_gea!CF131,Cambium22_MidCase_annual_gea!CG131)</f>
        <v>45530184.299999997</v>
      </c>
      <c r="O131">
        <f>Cambium22_MidCase_annual_gea!CK131</f>
        <v>316699.8</v>
      </c>
      <c r="P131">
        <f>Cambium22_MidCase_annual_gea!CJ131</f>
        <v>40189132</v>
      </c>
      <c r="Y131">
        <v>158464860</v>
      </c>
      <c r="Z131">
        <v>54127430</v>
      </c>
      <c r="AA131">
        <v>9823999</v>
      </c>
      <c r="AB131">
        <v>999862.9</v>
      </c>
      <c r="AC131">
        <v>0</v>
      </c>
      <c r="AD131">
        <v>0</v>
      </c>
      <c r="AE131">
        <v>4229098.5</v>
      </c>
      <c r="AF131">
        <v>0</v>
      </c>
      <c r="AG131">
        <v>0</v>
      </c>
      <c r="AH131">
        <v>9392998</v>
      </c>
      <c r="AI131">
        <v>45401720</v>
      </c>
      <c r="AJ131">
        <v>0</v>
      </c>
      <c r="AK131">
        <v>128464.3</v>
      </c>
      <c r="AL131">
        <v>0</v>
      </c>
      <c r="AM131">
        <v>3191800.2</v>
      </c>
      <c r="AN131">
        <v>40189132</v>
      </c>
      <c r="AO131">
        <v>316699.8</v>
      </c>
      <c r="AP131">
        <v>56652.9</v>
      </c>
      <c r="AQ131">
        <v>0</v>
      </c>
      <c r="AR131">
        <v>44734430</v>
      </c>
      <c r="AS131">
        <v>0</v>
      </c>
      <c r="AT131">
        <v>0</v>
      </c>
    </row>
    <row r="132" spans="1:46" x14ac:dyDescent="0.3">
      <c r="A132" t="s">
        <v>6</v>
      </c>
      <c r="B132" t="s">
        <v>7</v>
      </c>
      <c r="C132" t="s">
        <v>169</v>
      </c>
      <c r="D132">
        <v>2040</v>
      </c>
      <c r="E132">
        <v>0.79</v>
      </c>
      <c r="F132">
        <v>0.84</v>
      </c>
      <c r="G132">
        <v>335</v>
      </c>
      <c r="H132">
        <v>469.3</v>
      </c>
      <c r="I132">
        <f>Cambium22_MidCase_annual_gea!BU132</f>
        <v>184309920</v>
      </c>
      <c r="J132">
        <f>Cambium22_MidCase_annual_gea!BZ132</f>
        <v>0</v>
      </c>
      <c r="K132">
        <f>SUM(Cambium22_MidCase_annual_gea!BX132,Cambium22_MidCase_annual_gea!BY132)</f>
        <v>888804.2</v>
      </c>
      <c r="L132">
        <f t="shared" si="6"/>
        <v>183421115.80000001</v>
      </c>
      <c r="M132">
        <f>SUM(Cambium22_MidCase_annual_gea!CA132,Cambium22_MidCase_annual_gea!CB132)</f>
        <v>2695899.2</v>
      </c>
      <c r="N132">
        <f>SUM(Cambium22_MidCase_annual_gea!CE132,Cambium22_MidCase_annual_gea!CF132,Cambium22_MidCase_annual_gea!CG132)</f>
        <v>35541052.600000001</v>
      </c>
      <c r="O132">
        <f>Cambium22_MidCase_annual_gea!CK132</f>
        <v>230621.7</v>
      </c>
      <c r="P132">
        <f>Cambium22_MidCase_annual_gea!CJ132</f>
        <v>38590244</v>
      </c>
      <c r="Y132">
        <v>184309920</v>
      </c>
      <c r="Z132">
        <v>91835080</v>
      </c>
      <c r="AA132">
        <v>11532590</v>
      </c>
      <c r="AB132">
        <v>888804.2</v>
      </c>
      <c r="AC132">
        <v>0</v>
      </c>
      <c r="AD132">
        <v>0</v>
      </c>
      <c r="AE132">
        <v>2695899.2</v>
      </c>
      <c r="AF132">
        <v>0</v>
      </c>
      <c r="AG132">
        <v>0</v>
      </c>
      <c r="AH132">
        <v>9905564</v>
      </c>
      <c r="AI132">
        <v>34962332</v>
      </c>
      <c r="AJ132">
        <v>0</v>
      </c>
      <c r="AK132">
        <v>578720.6</v>
      </c>
      <c r="AL132">
        <v>0</v>
      </c>
      <c r="AM132">
        <v>2937283.5</v>
      </c>
      <c r="AN132">
        <v>38590244</v>
      </c>
      <c r="AO132">
        <v>230621.7</v>
      </c>
      <c r="AP132">
        <v>58351.4</v>
      </c>
      <c r="AQ132">
        <v>0</v>
      </c>
      <c r="AR132">
        <v>52603844</v>
      </c>
      <c r="AS132">
        <v>29325670</v>
      </c>
      <c r="AT132">
        <v>0</v>
      </c>
    </row>
    <row r="133" spans="1:46" x14ac:dyDescent="0.3">
      <c r="A133" t="s">
        <v>6</v>
      </c>
      <c r="B133" t="s">
        <v>7</v>
      </c>
      <c r="C133" t="s">
        <v>169</v>
      </c>
      <c r="D133">
        <v>2045</v>
      </c>
      <c r="E133">
        <v>0.78</v>
      </c>
      <c r="F133">
        <v>0.84</v>
      </c>
      <c r="G133">
        <v>269.3</v>
      </c>
      <c r="H133">
        <v>411.4</v>
      </c>
      <c r="I133">
        <f>Cambium22_MidCase_annual_gea!BU133</f>
        <v>197095760</v>
      </c>
      <c r="J133">
        <f>Cambium22_MidCase_annual_gea!BZ133</f>
        <v>0</v>
      </c>
      <c r="K133">
        <f>SUM(Cambium22_MidCase_annual_gea!BX133,Cambium22_MidCase_annual_gea!BY133)</f>
        <v>769774.8</v>
      </c>
      <c r="L133">
        <f t="shared" si="6"/>
        <v>196325985.19999999</v>
      </c>
      <c r="M133">
        <f>SUM(Cambium22_MidCase_annual_gea!CA133,Cambium22_MidCase_annual_gea!CB133)</f>
        <v>1867316.4</v>
      </c>
      <c r="N133">
        <f>SUM(Cambium22_MidCase_annual_gea!CE133,Cambium22_MidCase_annual_gea!CF133,Cambium22_MidCase_annual_gea!CG133)</f>
        <v>40356072.399999999</v>
      </c>
      <c r="O133">
        <f>Cambium22_MidCase_annual_gea!CK133</f>
        <v>172748.79999999999</v>
      </c>
      <c r="P133">
        <f>Cambium22_MidCase_annual_gea!CJ133</f>
        <v>37975856</v>
      </c>
      <c r="Y133">
        <v>197095760</v>
      </c>
      <c r="Z133">
        <v>98486936</v>
      </c>
      <c r="AA133">
        <v>14612122</v>
      </c>
      <c r="AB133">
        <v>769774.8</v>
      </c>
      <c r="AC133">
        <v>0</v>
      </c>
      <c r="AD133">
        <v>0</v>
      </c>
      <c r="AE133">
        <v>1867316.4</v>
      </c>
      <c r="AF133">
        <v>0</v>
      </c>
      <c r="AG133">
        <v>0</v>
      </c>
      <c r="AH133">
        <v>10295074</v>
      </c>
      <c r="AI133">
        <v>39406196</v>
      </c>
      <c r="AJ133">
        <v>0</v>
      </c>
      <c r="AK133">
        <v>949876.4</v>
      </c>
      <c r="AL133">
        <v>0</v>
      </c>
      <c r="AM133">
        <v>2791347.5</v>
      </c>
      <c r="AN133">
        <v>37975856</v>
      </c>
      <c r="AO133">
        <v>172748.79999999999</v>
      </c>
      <c r="AP133">
        <v>63586.9</v>
      </c>
      <c r="AQ133">
        <v>0</v>
      </c>
      <c r="AR133">
        <v>59263508</v>
      </c>
      <c r="AS133">
        <v>28928352</v>
      </c>
      <c r="AT133">
        <v>0</v>
      </c>
    </row>
    <row r="134" spans="1:46" x14ac:dyDescent="0.3">
      <c r="A134" t="s">
        <v>6</v>
      </c>
      <c r="B134" t="s">
        <v>7</v>
      </c>
      <c r="C134" t="s">
        <v>169</v>
      </c>
      <c r="D134">
        <v>2050</v>
      </c>
      <c r="E134">
        <v>0.73</v>
      </c>
      <c r="F134">
        <v>0.81</v>
      </c>
      <c r="G134">
        <v>243</v>
      </c>
      <c r="H134">
        <v>412.1</v>
      </c>
      <c r="I134">
        <f>Cambium22_MidCase_annual_gea!BU134</f>
        <v>191515040</v>
      </c>
      <c r="J134">
        <f>Cambium22_MidCase_annual_gea!BZ134</f>
        <v>0</v>
      </c>
      <c r="K134">
        <f>SUM(Cambium22_MidCase_annual_gea!BX134,Cambium22_MidCase_annual_gea!BY134)</f>
        <v>712965.9</v>
      </c>
      <c r="L134">
        <f t="shared" si="6"/>
        <v>190802074.09999999</v>
      </c>
      <c r="M134">
        <f>SUM(Cambium22_MidCase_annual_gea!CA134,Cambium22_MidCase_annual_gea!CB134)</f>
        <v>4476564</v>
      </c>
      <c r="N134">
        <f>SUM(Cambium22_MidCase_annual_gea!CE134,Cambium22_MidCase_annual_gea!CF134,Cambium22_MidCase_annual_gea!CG134)</f>
        <v>47586865.200000003</v>
      </c>
      <c r="O134">
        <f>Cambium22_MidCase_annual_gea!CK134</f>
        <v>15765</v>
      </c>
      <c r="P134">
        <f>Cambium22_MidCase_annual_gea!CJ134</f>
        <v>5481923.5</v>
      </c>
      <c r="Y134">
        <v>191515040</v>
      </c>
      <c r="Z134">
        <v>118718540</v>
      </c>
      <c r="AA134">
        <v>11762512</v>
      </c>
      <c r="AB134">
        <v>712965.9</v>
      </c>
      <c r="AC134">
        <v>0</v>
      </c>
      <c r="AD134">
        <v>0</v>
      </c>
      <c r="AE134">
        <v>4476564</v>
      </c>
      <c r="AF134">
        <v>0</v>
      </c>
      <c r="AG134">
        <v>0</v>
      </c>
      <c r="AH134">
        <v>11058710</v>
      </c>
      <c r="AI134">
        <v>44569390</v>
      </c>
      <c r="AJ134">
        <v>0</v>
      </c>
      <c r="AK134">
        <v>3017475.2</v>
      </c>
      <c r="AL134">
        <v>0</v>
      </c>
      <c r="AM134">
        <v>2695592.2</v>
      </c>
      <c r="AN134">
        <v>5481923.5</v>
      </c>
      <c r="AO134">
        <v>15765</v>
      </c>
      <c r="AP134">
        <v>64295.9</v>
      </c>
      <c r="AQ134">
        <v>0</v>
      </c>
      <c r="AR134">
        <v>69368620</v>
      </c>
      <c r="AS134">
        <v>38291212</v>
      </c>
      <c r="AT134">
        <v>0</v>
      </c>
    </row>
    <row r="135" spans="1:46" x14ac:dyDescent="0.3">
      <c r="A135" t="s">
        <v>6</v>
      </c>
      <c r="B135" t="s">
        <v>7</v>
      </c>
      <c r="C135" t="s">
        <v>170</v>
      </c>
      <c r="D135">
        <v>2024</v>
      </c>
      <c r="E135">
        <v>0.45</v>
      </c>
      <c r="F135">
        <v>0.46</v>
      </c>
      <c r="G135">
        <v>429.7</v>
      </c>
      <c r="H135">
        <v>946.5</v>
      </c>
      <c r="I135">
        <f>Cambium22_MidCase_annual_gea!BU135</f>
        <v>138350560</v>
      </c>
      <c r="J135">
        <f>Cambium22_MidCase_annual_gea!BZ135</f>
        <v>0</v>
      </c>
      <c r="K135">
        <f>SUM(Cambium22_MidCase_annual_gea!BX135,Cambium22_MidCase_annual_gea!BY135)</f>
        <v>86434</v>
      </c>
      <c r="L135">
        <f t="shared" si="6"/>
        <v>138264126</v>
      </c>
      <c r="M135">
        <f>SUM(Cambium22_MidCase_annual_gea!CA135,Cambium22_MidCase_annual_gea!CB135)</f>
        <v>69213544</v>
      </c>
      <c r="N135">
        <f>SUM(Cambium22_MidCase_annual_gea!CE135,Cambium22_MidCase_annual_gea!CF135,Cambium22_MidCase_annual_gea!CG135)</f>
        <v>6751225.4000000004</v>
      </c>
      <c r="O135">
        <f>Cambium22_MidCase_annual_gea!CK135</f>
        <v>15038</v>
      </c>
      <c r="P135">
        <f>Cambium22_MidCase_annual_gea!CJ135</f>
        <v>32962404</v>
      </c>
      <c r="Y135">
        <v>138350560</v>
      </c>
      <c r="Z135">
        <v>28137254</v>
      </c>
      <c r="AA135">
        <v>0</v>
      </c>
      <c r="AB135">
        <v>86434</v>
      </c>
      <c r="AC135">
        <v>0</v>
      </c>
      <c r="AD135">
        <v>0</v>
      </c>
      <c r="AE135">
        <v>69213544</v>
      </c>
      <c r="AF135">
        <v>0</v>
      </c>
      <c r="AG135">
        <v>0</v>
      </c>
      <c r="AH135">
        <v>253480</v>
      </c>
      <c r="AI135">
        <v>6280804</v>
      </c>
      <c r="AJ135">
        <v>0</v>
      </c>
      <c r="AK135">
        <v>470421.4</v>
      </c>
      <c r="AL135">
        <v>0</v>
      </c>
      <c r="AM135">
        <v>835184.3</v>
      </c>
      <c r="AN135">
        <v>32962404</v>
      </c>
      <c r="AO135">
        <v>15038</v>
      </c>
      <c r="AP135">
        <v>349477.4</v>
      </c>
      <c r="AQ135">
        <v>0</v>
      </c>
      <c r="AR135">
        <v>8109447</v>
      </c>
      <c r="AS135">
        <v>19774328</v>
      </c>
      <c r="AT135">
        <v>0</v>
      </c>
    </row>
    <row r="136" spans="1:46" x14ac:dyDescent="0.3">
      <c r="A136" t="s">
        <v>6</v>
      </c>
      <c r="B136" t="s">
        <v>7</v>
      </c>
      <c r="C136" t="s">
        <v>170</v>
      </c>
      <c r="D136">
        <v>2026</v>
      </c>
      <c r="E136">
        <v>0.5</v>
      </c>
      <c r="F136">
        <v>0.53</v>
      </c>
      <c r="G136">
        <v>332</v>
      </c>
      <c r="H136">
        <v>905.1</v>
      </c>
      <c r="I136">
        <f>Cambium22_MidCase_annual_gea!BU136</f>
        <v>127709230</v>
      </c>
      <c r="J136">
        <f>Cambium22_MidCase_annual_gea!BZ136</f>
        <v>0</v>
      </c>
      <c r="K136">
        <f>SUM(Cambium22_MidCase_annual_gea!BX136,Cambium22_MidCase_annual_gea!BY136)</f>
        <v>85341.4</v>
      </c>
      <c r="L136">
        <f t="shared" ref="L136:L166" si="7">$I136-$J136-$K136</f>
        <v>127623888.59999999</v>
      </c>
      <c r="M136">
        <f>SUM(Cambium22_MidCase_annual_gea!CA136,Cambium22_MidCase_annual_gea!CB136)</f>
        <v>57821972</v>
      </c>
      <c r="N136">
        <f>SUM(Cambium22_MidCase_annual_gea!CE136,Cambium22_MidCase_annual_gea!CF136,Cambium22_MidCase_annual_gea!CG136)</f>
        <v>5771223.2000000002</v>
      </c>
      <c r="O136">
        <f>Cambium22_MidCase_annual_gea!CK136</f>
        <v>10313.9</v>
      </c>
      <c r="P136">
        <f>Cambium22_MidCase_annual_gea!CJ136</f>
        <v>32926858</v>
      </c>
      <c r="Y136">
        <v>127709230</v>
      </c>
      <c r="Z136">
        <v>29792908</v>
      </c>
      <c r="AA136">
        <v>151590.20000000001</v>
      </c>
      <c r="AB136">
        <v>85341.4</v>
      </c>
      <c r="AC136">
        <v>0</v>
      </c>
      <c r="AD136">
        <v>0</v>
      </c>
      <c r="AE136">
        <v>57821972</v>
      </c>
      <c r="AF136">
        <v>0</v>
      </c>
      <c r="AG136">
        <v>0</v>
      </c>
      <c r="AH136">
        <v>400653.3</v>
      </c>
      <c r="AI136">
        <v>5497168.5</v>
      </c>
      <c r="AJ136">
        <v>0</v>
      </c>
      <c r="AK136">
        <v>274054.7</v>
      </c>
      <c r="AL136">
        <v>0</v>
      </c>
      <c r="AM136">
        <v>835807.8</v>
      </c>
      <c r="AN136">
        <v>32926858</v>
      </c>
      <c r="AO136">
        <v>10313.9</v>
      </c>
      <c r="AP136">
        <v>313225.2</v>
      </c>
      <c r="AQ136">
        <v>0</v>
      </c>
      <c r="AR136">
        <v>9010284</v>
      </c>
      <c r="AS136">
        <v>20381970</v>
      </c>
      <c r="AT136">
        <v>0</v>
      </c>
    </row>
    <row r="137" spans="1:46" x14ac:dyDescent="0.3">
      <c r="A137" t="s">
        <v>6</v>
      </c>
      <c r="B137" t="s">
        <v>7</v>
      </c>
      <c r="C137" t="s">
        <v>170</v>
      </c>
      <c r="D137">
        <v>2028</v>
      </c>
      <c r="E137">
        <v>0.79</v>
      </c>
      <c r="F137">
        <v>0.73</v>
      </c>
      <c r="G137">
        <v>246.8</v>
      </c>
      <c r="H137">
        <v>688.9</v>
      </c>
      <c r="I137">
        <f>Cambium22_MidCase_annual_gea!BU137</f>
        <v>168247170</v>
      </c>
      <c r="J137">
        <f>Cambium22_MidCase_annual_gea!BZ137</f>
        <v>0</v>
      </c>
      <c r="K137">
        <f>SUM(Cambium22_MidCase_annual_gea!BX137,Cambium22_MidCase_annual_gea!BY137)</f>
        <v>71293.5</v>
      </c>
      <c r="L137">
        <f t="shared" si="7"/>
        <v>168175876.5</v>
      </c>
      <c r="M137">
        <f>SUM(Cambium22_MidCase_annual_gea!CA137,Cambium22_MidCase_annual_gea!CB137)</f>
        <v>31497962</v>
      </c>
      <c r="N137">
        <f>SUM(Cambium22_MidCase_annual_gea!CE137,Cambium22_MidCase_annual_gea!CF137,Cambium22_MidCase_annual_gea!CG137)</f>
        <v>3337919.9</v>
      </c>
      <c r="O137">
        <f>Cambium22_MidCase_annual_gea!CK137</f>
        <v>3561.9</v>
      </c>
      <c r="P137">
        <f>Cambium22_MidCase_annual_gea!CJ137</f>
        <v>31045956</v>
      </c>
      <c r="Y137">
        <v>168247170</v>
      </c>
      <c r="Z137">
        <v>99136110</v>
      </c>
      <c r="AA137">
        <v>1624942.2</v>
      </c>
      <c r="AB137">
        <v>71293.5</v>
      </c>
      <c r="AC137">
        <v>0</v>
      </c>
      <c r="AD137">
        <v>0</v>
      </c>
      <c r="AE137">
        <v>31497962</v>
      </c>
      <c r="AF137">
        <v>0</v>
      </c>
      <c r="AG137">
        <v>0</v>
      </c>
      <c r="AH137">
        <v>689844.4</v>
      </c>
      <c r="AI137">
        <v>3174471.5</v>
      </c>
      <c r="AJ137">
        <v>0</v>
      </c>
      <c r="AK137">
        <v>163448.4</v>
      </c>
      <c r="AL137">
        <v>0</v>
      </c>
      <c r="AM137">
        <v>873433.59999999998</v>
      </c>
      <c r="AN137">
        <v>31045956</v>
      </c>
      <c r="AO137">
        <v>3561.9</v>
      </c>
      <c r="AP137">
        <v>655982.30000000005</v>
      </c>
      <c r="AQ137">
        <v>0</v>
      </c>
      <c r="AR137">
        <v>23616792</v>
      </c>
      <c r="AS137">
        <v>74829470</v>
      </c>
      <c r="AT137">
        <v>0</v>
      </c>
    </row>
    <row r="138" spans="1:46" x14ac:dyDescent="0.3">
      <c r="A138" t="s">
        <v>6</v>
      </c>
      <c r="B138" t="s">
        <v>7</v>
      </c>
      <c r="C138" t="s">
        <v>170</v>
      </c>
      <c r="D138">
        <v>2030</v>
      </c>
      <c r="E138">
        <v>0.87</v>
      </c>
      <c r="F138">
        <v>0.81</v>
      </c>
      <c r="G138">
        <v>202.7</v>
      </c>
      <c r="H138">
        <v>581.29999999999995</v>
      </c>
      <c r="I138">
        <f>Cambium22_MidCase_annual_gea!BU138</f>
        <v>197507740</v>
      </c>
      <c r="J138">
        <f>Cambium22_MidCase_annual_gea!BZ138</f>
        <v>0</v>
      </c>
      <c r="K138">
        <f>SUM(Cambium22_MidCase_annual_gea!BX138,Cambium22_MidCase_annual_gea!BY138)</f>
        <v>60011.7</v>
      </c>
      <c r="L138">
        <f t="shared" si="7"/>
        <v>197447728.30000001</v>
      </c>
      <c r="M138">
        <f>SUM(Cambium22_MidCase_annual_gea!CA138,Cambium22_MidCase_annual_gea!CB138)</f>
        <v>24308108</v>
      </c>
      <c r="N138">
        <f>SUM(Cambium22_MidCase_annual_gea!CE138,Cambium22_MidCase_annual_gea!CF138,Cambium22_MidCase_annual_gea!CG138)</f>
        <v>1457595.2</v>
      </c>
      <c r="O138">
        <f>Cambium22_MidCase_annual_gea!CK138</f>
        <v>1131.8</v>
      </c>
      <c r="P138">
        <f>Cambium22_MidCase_annual_gea!CJ138</f>
        <v>29685956</v>
      </c>
      <c r="Y138">
        <v>197507740</v>
      </c>
      <c r="Z138">
        <v>137330720</v>
      </c>
      <c r="AA138">
        <v>3157490</v>
      </c>
      <c r="AB138">
        <v>60011.7</v>
      </c>
      <c r="AC138">
        <v>0</v>
      </c>
      <c r="AD138">
        <v>0</v>
      </c>
      <c r="AE138">
        <v>24308108</v>
      </c>
      <c r="AF138">
        <v>0</v>
      </c>
      <c r="AG138">
        <v>0</v>
      </c>
      <c r="AH138">
        <v>1191037.5</v>
      </c>
      <c r="AI138">
        <v>1376548</v>
      </c>
      <c r="AJ138">
        <v>0</v>
      </c>
      <c r="AK138">
        <v>81047.199999999997</v>
      </c>
      <c r="AL138">
        <v>0</v>
      </c>
      <c r="AM138">
        <v>846437.6</v>
      </c>
      <c r="AN138">
        <v>29685956</v>
      </c>
      <c r="AO138">
        <v>1131.8</v>
      </c>
      <c r="AP138">
        <v>660292.80000000005</v>
      </c>
      <c r="AQ138">
        <v>0</v>
      </c>
      <c r="AR138">
        <v>31205236</v>
      </c>
      <c r="AS138">
        <v>104934450</v>
      </c>
      <c r="AT138">
        <v>0</v>
      </c>
    </row>
    <row r="139" spans="1:46" x14ac:dyDescent="0.3">
      <c r="A139" t="s">
        <v>6</v>
      </c>
      <c r="B139" t="s">
        <v>7</v>
      </c>
      <c r="C139" t="s">
        <v>170</v>
      </c>
      <c r="D139">
        <v>2035</v>
      </c>
      <c r="E139">
        <v>0.9</v>
      </c>
      <c r="F139">
        <v>0.84</v>
      </c>
      <c r="G139">
        <v>241.3</v>
      </c>
      <c r="H139">
        <v>537.4</v>
      </c>
      <c r="I139">
        <f>Cambium22_MidCase_annual_gea!BU139</f>
        <v>216131550</v>
      </c>
      <c r="J139">
        <f>Cambium22_MidCase_annual_gea!BZ139</f>
        <v>0</v>
      </c>
      <c r="K139">
        <f>SUM(Cambium22_MidCase_annual_gea!BX139,Cambium22_MidCase_annual_gea!BY139)</f>
        <v>56814.1</v>
      </c>
      <c r="L139">
        <f t="shared" si="7"/>
        <v>216074735.90000001</v>
      </c>
      <c r="M139">
        <f>SUM(Cambium22_MidCase_annual_gea!CA139,Cambium22_MidCase_annual_gea!CB139)</f>
        <v>21405384</v>
      </c>
      <c r="N139">
        <f>SUM(Cambium22_MidCase_annual_gea!CE139,Cambium22_MidCase_annual_gea!CF139,Cambium22_MidCase_annual_gea!CG139)</f>
        <v>1145602.7</v>
      </c>
      <c r="O139">
        <f>Cambium22_MidCase_annual_gea!CK139</f>
        <v>431</v>
      </c>
      <c r="P139">
        <f>Cambium22_MidCase_annual_gea!CJ139</f>
        <v>29320780</v>
      </c>
      <c r="Y139">
        <v>216131550</v>
      </c>
      <c r="Z139">
        <v>159054940</v>
      </c>
      <c r="AA139">
        <v>3668142.5</v>
      </c>
      <c r="AB139">
        <v>56814.1</v>
      </c>
      <c r="AC139">
        <v>0</v>
      </c>
      <c r="AD139">
        <v>0</v>
      </c>
      <c r="AE139">
        <v>21405384</v>
      </c>
      <c r="AF139">
        <v>0</v>
      </c>
      <c r="AG139">
        <v>0</v>
      </c>
      <c r="AH139">
        <v>1843955.8</v>
      </c>
      <c r="AI139">
        <v>983142.3</v>
      </c>
      <c r="AJ139">
        <v>0</v>
      </c>
      <c r="AK139">
        <v>162460.4</v>
      </c>
      <c r="AL139">
        <v>0</v>
      </c>
      <c r="AM139">
        <v>836330.2</v>
      </c>
      <c r="AN139">
        <v>29320780</v>
      </c>
      <c r="AO139">
        <v>431</v>
      </c>
      <c r="AP139">
        <v>643137.19999999995</v>
      </c>
      <c r="AQ139">
        <v>0</v>
      </c>
      <c r="AR139">
        <v>38956028</v>
      </c>
      <c r="AS139">
        <v>118254960</v>
      </c>
      <c r="AT139">
        <v>0</v>
      </c>
    </row>
    <row r="140" spans="1:46" x14ac:dyDescent="0.3">
      <c r="A140" t="s">
        <v>6</v>
      </c>
      <c r="B140" t="s">
        <v>7</v>
      </c>
      <c r="C140" t="s">
        <v>170</v>
      </c>
      <c r="D140">
        <v>2040</v>
      </c>
      <c r="E140">
        <v>0.93</v>
      </c>
      <c r="F140">
        <v>0.89</v>
      </c>
      <c r="G140">
        <v>221.5</v>
      </c>
      <c r="H140">
        <v>473.4</v>
      </c>
      <c r="I140">
        <f>Cambium22_MidCase_annual_gea!BU140</f>
        <v>211242530</v>
      </c>
      <c r="J140">
        <f>Cambium22_MidCase_annual_gea!BZ140</f>
        <v>0</v>
      </c>
      <c r="K140">
        <f>SUM(Cambium22_MidCase_annual_gea!BX140,Cambium22_MidCase_annual_gea!BY140)</f>
        <v>52189.3</v>
      </c>
      <c r="L140">
        <f t="shared" si="7"/>
        <v>211190340.69999999</v>
      </c>
      <c r="M140">
        <f>SUM(Cambium22_MidCase_annual_gea!CA140,Cambium22_MidCase_annual_gea!CB140)</f>
        <v>13655462</v>
      </c>
      <c r="N140">
        <f>SUM(Cambium22_MidCase_annual_gea!CE140,Cambium22_MidCase_annual_gea!CF140,Cambium22_MidCase_annual_gea!CG140)</f>
        <v>1286188.3</v>
      </c>
      <c r="O140">
        <f>Cambium22_MidCase_annual_gea!CK140</f>
        <v>342.1</v>
      </c>
      <c r="P140">
        <f>Cambium22_MidCase_annual_gea!CJ140</f>
        <v>28827956</v>
      </c>
      <c r="Y140">
        <v>211242530</v>
      </c>
      <c r="Z140">
        <v>161515950</v>
      </c>
      <c r="AA140">
        <v>4402308.5</v>
      </c>
      <c r="AB140">
        <v>52189.3</v>
      </c>
      <c r="AC140">
        <v>0</v>
      </c>
      <c r="AD140">
        <v>0</v>
      </c>
      <c r="AE140">
        <v>13655462</v>
      </c>
      <c r="AF140">
        <v>0</v>
      </c>
      <c r="AG140">
        <v>0</v>
      </c>
      <c r="AH140">
        <v>2238587.7999999998</v>
      </c>
      <c r="AI140">
        <v>1085276.2</v>
      </c>
      <c r="AJ140">
        <v>0</v>
      </c>
      <c r="AK140">
        <v>200912.1</v>
      </c>
      <c r="AL140">
        <v>0</v>
      </c>
      <c r="AM140">
        <v>819711.6</v>
      </c>
      <c r="AN140">
        <v>28827956</v>
      </c>
      <c r="AO140">
        <v>342.1</v>
      </c>
      <c r="AP140">
        <v>682417.8</v>
      </c>
      <c r="AQ140">
        <v>0</v>
      </c>
      <c r="AR140">
        <v>36553420</v>
      </c>
      <c r="AS140">
        <v>122723944</v>
      </c>
      <c r="AT140">
        <v>0</v>
      </c>
    </row>
    <row r="141" spans="1:46" x14ac:dyDescent="0.3">
      <c r="A141" t="s">
        <v>6</v>
      </c>
      <c r="B141" t="s">
        <v>7</v>
      </c>
      <c r="C141" t="s">
        <v>170</v>
      </c>
      <c r="D141">
        <v>2045</v>
      </c>
      <c r="E141">
        <v>0.94</v>
      </c>
      <c r="F141">
        <v>0.92</v>
      </c>
      <c r="G141">
        <v>193.2</v>
      </c>
      <c r="H141">
        <v>452.4</v>
      </c>
      <c r="I141">
        <f>Cambium22_MidCase_annual_gea!BU141</f>
        <v>214522030</v>
      </c>
      <c r="J141">
        <f>Cambium22_MidCase_annual_gea!BZ141</f>
        <v>0</v>
      </c>
      <c r="K141">
        <f>SUM(Cambium22_MidCase_annual_gea!BX141,Cambium22_MidCase_annual_gea!BY141)</f>
        <v>50808.2</v>
      </c>
      <c r="L141">
        <f t="shared" si="7"/>
        <v>214471221.80000001</v>
      </c>
      <c r="M141">
        <f>SUM(Cambium22_MidCase_annual_gea!CA141,Cambium22_MidCase_annual_gea!CB141)</f>
        <v>9647365</v>
      </c>
      <c r="N141">
        <f>SUM(Cambium22_MidCase_annual_gea!CE141,Cambium22_MidCase_annual_gea!CF141,Cambium22_MidCase_annual_gea!CG141)</f>
        <v>2462595.4</v>
      </c>
      <c r="O141">
        <f>Cambium22_MidCase_annual_gea!CK141</f>
        <v>0</v>
      </c>
      <c r="P141">
        <f>Cambium22_MidCase_annual_gea!CJ141</f>
        <v>12615636</v>
      </c>
      <c r="Y141">
        <v>214522030</v>
      </c>
      <c r="Z141">
        <v>179418240</v>
      </c>
      <c r="AA141">
        <v>8830119</v>
      </c>
      <c r="AB141">
        <v>50808.2</v>
      </c>
      <c r="AC141">
        <v>0</v>
      </c>
      <c r="AD141">
        <v>0</v>
      </c>
      <c r="AE141">
        <v>9647365</v>
      </c>
      <c r="AF141">
        <v>0</v>
      </c>
      <c r="AG141">
        <v>0</v>
      </c>
      <c r="AH141">
        <v>2726558.8</v>
      </c>
      <c r="AI141">
        <v>1950861.6</v>
      </c>
      <c r="AJ141">
        <v>0</v>
      </c>
      <c r="AK141">
        <v>511733.8</v>
      </c>
      <c r="AL141">
        <v>0</v>
      </c>
      <c r="AM141">
        <v>809068.4</v>
      </c>
      <c r="AN141">
        <v>12615636</v>
      </c>
      <c r="AO141">
        <v>0</v>
      </c>
      <c r="AP141">
        <v>688198.2</v>
      </c>
      <c r="AQ141">
        <v>0</v>
      </c>
      <c r="AR141">
        <v>41173864</v>
      </c>
      <c r="AS141">
        <v>135517820</v>
      </c>
      <c r="AT141">
        <v>0</v>
      </c>
    </row>
    <row r="142" spans="1:46" x14ac:dyDescent="0.3">
      <c r="A142" t="s">
        <v>6</v>
      </c>
      <c r="B142" t="s">
        <v>7</v>
      </c>
      <c r="C142" t="s">
        <v>170</v>
      </c>
      <c r="D142">
        <v>2050</v>
      </c>
      <c r="E142">
        <v>0.97</v>
      </c>
      <c r="F142">
        <v>0.97</v>
      </c>
      <c r="G142">
        <v>135</v>
      </c>
      <c r="H142">
        <v>440.5</v>
      </c>
      <c r="I142">
        <f>Cambium22_MidCase_annual_gea!BU142</f>
        <v>234316640</v>
      </c>
      <c r="J142">
        <f>Cambium22_MidCase_annual_gea!BZ142</f>
        <v>0</v>
      </c>
      <c r="K142">
        <f>SUM(Cambium22_MidCase_annual_gea!BX142,Cambium22_MidCase_annual_gea!BY142)</f>
        <v>48333.5</v>
      </c>
      <c r="L142">
        <f t="shared" si="7"/>
        <v>234268306.5</v>
      </c>
      <c r="M142">
        <f>SUM(Cambium22_MidCase_annual_gea!CA142,Cambium22_MidCase_annual_gea!CB142)</f>
        <v>3070574.5</v>
      </c>
      <c r="N142">
        <f>SUM(Cambium22_MidCase_annual_gea!CE142,Cambium22_MidCase_annual_gea!CF142,Cambium22_MidCase_annual_gea!CG142)</f>
        <v>3852829.6999999997</v>
      </c>
      <c r="O142">
        <f>Cambium22_MidCase_annual_gea!CK142</f>
        <v>0</v>
      </c>
      <c r="P142">
        <f>Cambium22_MidCase_annual_gea!CJ142</f>
        <v>0</v>
      </c>
      <c r="Y142">
        <v>234316640</v>
      </c>
      <c r="Z142">
        <v>215755940</v>
      </c>
      <c r="AA142">
        <v>10070625</v>
      </c>
      <c r="AB142">
        <v>48333.5</v>
      </c>
      <c r="AC142">
        <v>0</v>
      </c>
      <c r="AD142">
        <v>0</v>
      </c>
      <c r="AE142">
        <v>3070574.5</v>
      </c>
      <c r="AF142">
        <v>0</v>
      </c>
      <c r="AG142">
        <v>0</v>
      </c>
      <c r="AH142">
        <v>3354167</v>
      </c>
      <c r="AI142">
        <v>2444102.7999999998</v>
      </c>
      <c r="AJ142">
        <v>0</v>
      </c>
      <c r="AK142">
        <v>1408726.9</v>
      </c>
      <c r="AL142">
        <v>0</v>
      </c>
      <c r="AM142">
        <v>804121.59999999998</v>
      </c>
      <c r="AN142">
        <v>0</v>
      </c>
      <c r="AO142">
        <v>0</v>
      </c>
      <c r="AP142">
        <v>714249.6</v>
      </c>
      <c r="AQ142">
        <v>0</v>
      </c>
      <c r="AR142">
        <v>39821970</v>
      </c>
      <c r="AS142">
        <v>172579790</v>
      </c>
      <c r="AT142">
        <v>0</v>
      </c>
    </row>
    <row r="143" spans="1:46" x14ac:dyDescent="0.3">
      <c r="A143" t="s">
        <v>6</v>
      </c>
      <c r="B143" t="s">
        <v>7</v>
      </c>
      <c r="C143" t="s">
        <v>171</v>
      </c>
      <c r="D143">
        <v>2024</v>
      </c>
      <c r="E143">
        <v>0.45</v>
      </c>
      <c r="F143">
        <v>0.45</v>
      </c>
      <c r="G143">
        <v>373.3</v>
      </c>
      <c r="H143">
        <v>874.3</v>
      </c>
      <c r="I143">
        <f>Cambium22_MidCase_annual_gea!BU143</f>
        <v>273504400</v>
      </c>
      <c r="J143">
        <f>Cambium22_MidCase_annual_gea!BZ143</f>
        <v>0</v>
      </c>
      <c r="K143">
        <f>SUM(Cambium22_MidCase_annual_gea!BX143,Cambium22_MidCase_annual_gea!BY143)</f>
        <v>2102417.7999999998</v>
      </c>
      <c r="L143">
        <f t="shared" si="7"/>
        <v>271401982.19999999</v>
      </c>
      <c r="M143">
        <f>SUM(Cambium22_MidCase_annual_gea!CA143,Cambium22_MidCase_annual_gea!CB143)</f>
        <v>45666560</v>
      </c>
      <c r="N143">
        <f>SUM(Cambium22_MidCase_annual_gea!CE143,Cambium22_MidCase_annual_gea!CF143,Cambium22_MidCase_annual_gea!CG143)</f>
        <v>105446757</v>
      </c>
      <c r="O143">
        <f>Cambium22_MidCase_annual_gea!CK143</f>
        <v>142257.60000000001</v>
      </c>
      <c r="P143">
        <f>Cambium22_MidCase_annual_gea!CJ143</f>
        <v>94504664</v>
      </c>
      <c r="Y143">
        <v>273504400</v>
      </c>
      <c r="Z143">
        <v>10353212</v>
      </c>
      <c r="AA143">
        <v>263296.59999999998</v>
      </c>
      <c r="AB143">
        <v>2102417.7999999998</v>
      </c>
      <c r="AC143">
        <v>0</v>
      </c>
      <c r="AD143">
        <v>0</v>
      </c>
      <c r="AE143">
        <v>45666560</v>
      </c>
      <c r="AF143">
        <v>0</v>
      </c>
      <c r="AG143">
        <v>0</v>
      </c>
      <c r="AH143">
        <v>509204.1</v>
      </c>
      <c r="AI143">
        <v>104772100</v>
      </c>
      <c r="AJ143">
        <v>0</v>
      </c>
      <c r="AK143">
        <v>674657</v>
      </c>
      <c r="AL143">
        <v>0</v>
      </c>
      <c r="AM143">
        <v>13192878</v>
      </c>
      <c r="AN143">
        <v>94504664</v>
      </c>
      <c r="AO143">
        <v>142257.60000000001</v>
      </c>
      <c r="AP143">
        <v>1832352.4</v>
      </c>
      <c r="AQ143">
        <v>0</v>
      </c>
      <c r="AR143">
        <v>9844008</v>
      </c>
      <c r="AS143">
        <v>0</v>
      </c>
      <c r="AT143">
        <v>0</v>
      </c>
    </row>
    <row r="144" spans="1:46" x14ac:dyDescent="0.3">
      <c r="A144" t="s">
        <v>6</v>
      </c>
      <c r="B144" t="s">
        <v>7</v>
      </c>
      <c r="C144" t="s">
        <v>171</v>
      </c>
      <c r="D144">
        <v>2026</v>
      </c>
      <c r="E144">
        <v>0.51</v>
      </c>
      <c r="F144">
        <v>0.52</v>
      </c>
      <c r="G144">
        <v>295.3</v>
      </c>
      <c r="H144">
        <v>831.3</v>
      </c>
      <c r="I144">
        <f>Cambium22_MidCase_annual_gea!BU144</f>
        <v>280793730</v>
      </c>
      <c r="J144">
        <f>Cambium22_MidCase_annual_gea!BZ144</f>
        <v>0</v>
      </c>
      <c r="K144">
        <f>SUM(Cambium22_MidCase_annual_gea!BX144,Cambium22_MidCase_annual_gea!BY144)</f>
        <v>2101087.2000000002</v>
      </c>
      <c r="L144">
        <f t="shared" si="7"/>
        <v>278692642.80000001</v>
      </c>
      <c r="M144">
        <f>SUM(Cambium22_MidCase_annual_gea!CA144,Cambium22_MidCase_annual_gea!CB144)</f>
        <v>42174276</v>
      </c>
      <c r="N144">
        <f>SUM(Cambium22_MidCase_annual_gea!CE144,Cambium22_MidCase_annual_gea!CF144,Cambium22_MidCase_annual_gea!CG144)</f>
        <v>96265372</v>
      </c>
      <c r="O144">
        <f>Cambium22_MidCase_annual_gea!CK144</f>
        <v>79689.5</v>
      </c>
      <c r="P144">
        <f>Cambium22_MidCase_annual_gea!CJ144</f>
        <v>94361010</v>
      </c>
      <c r="Y144">
        <v>280793730</v>
      </c>
      <c r="Z144">
        <v>29839018</v>
      </c>
      <c r="AA144">
        <v>333095.90000000002</v>
      </c>
      <c r="AB144">
        <v>2101087.2000000002</v>
      </c>
      <c r="AC144">
        <v>0</v>
      </c>
      <c r="AD144">
        <v>0</v>
      </c>
      <c r="AE144">
        <v>42174276</v>
      </c>
      <c r="AF144">
        <v>0</v>
      </c>
      <c r="AG144">
        <v>0</v>
      </c>
      <c r="AH144">
        <v>873239.7</v>
      </c>
      <c r="AI144">
        <v>95698070</v>
      </c>
      <c r="AJ144">
        <v>0</v>
      </c>
      <c r="AK144">
        <v>567302</v>
      </c>
      <c r="AL144">
        <v>0</v>
      </c>
      <c r="AM144">
        <v>13509933</v>
      </c>
      <c r="AN144">
        <v>94361010</v>
      </c>
      <c r="AO144">
        <v>79689.5</v>
      </c>
      <c r="AP144">
        <v>2130256</v>
      </c>
      <c r="AQ144">
        <v>0</v>
      </c>
      <c r="AR144">
        <v>28965780</v>
      </c>
      <c r="AS144">
        <v>0</v>
      </c>
      <c r="AT144">
        <v>0</v>
      </c>
    </row>
    <row r="145" spans="1:46" x14ac:dyDescent="0.3">
      <c r="A145" t="s">
        <v>6</v>
      </c>
      <c r="B145" t="s">
        <v>7</v>
      </c>
      <c r="C145" t="s">
        <v>171</v>
      </c>
      <c r="D145">
        <v>2028</v>
      </c>
      <c r="E145">
        <v>0.6</v>
      </c>
      <c r="F145">
        <v>0.61</v>
      </c>
      <c r="G145">
        <v>245.8</v>
      </c>
      <c r="H145">
        <v>704.5</v>
      </c>
      <c r="I145">
        <f>Cambium22_MidCase_annual_gea!BU145</f>
        <v>287756640</v>
      </c>
      <c r="J145">
        <f>Cambium22_MidCase_annual_gea!BZ145</f>
        <v>0</v>
      </c>
      <c r="K145">
        <f>SUM(Cambium22_MidCase_annual_gea!BX145,Cambium22_MidCase_annual_gea!BY145)</f>
        <v>2047668.4</v>
      </c>
      <c r="L145">
        <f t="shared" si="7"/>
        <v>285708971.60000002</v>
      </c>
      <c r="M145">
        <f>SUM(Cambium22_MidCase_annual_gea!CA145,Cambium22_MidCase_annual_gea!CB145)</f>
        <v>29601904</v>
      </c>
      <c r="N145">
        <f>SUM(Cambium22_MidCase_annual_gea!CE145,Cambium22_MidCase_annual_gea!CF145,Cambium22_MidCase_annual_gea!CG145)</f>
        <v>85433548.799999997</v>
      </c>
      <c r="O145">
        <f>Cambium22_MidCase_annual_gea!CK145</f>
        <v>60836.5</v>
      </c>
      <c r="P145">
        <f>Cambium22_MidCase_annual_gea!CJ145</f>
        <v>92633010</v>
      </c>
      <c r="Y145">
        <v>287756640</v>
      </c>
      <c r="Z145">
        <v>59725670</v>
      </c>
      <c r="AA145">
        <v>1672728.8</v>
      </c>
      <c r="AB145">
        <v>2047668.4</v>
      </c>
      <c r="AC145">
        <v>0</v>
      </c>
      <c r="AD145">
        <v>0</v>
      </c>
      <c r="AE145">
        <v>29601904</v>
      </c>
      <c r="AF145">
        <v>0</v>
      </c>
      <c r="AG145">
        <v>0</v>
      </c>
      <c r="AH145">
        <v>1434106.4</v>
      </c>
      <c r="AI145">
        <v>84925000</v>
      </c>
      <c r="AJ145">
        <v>0</v>
      </c>
      <c r="AK145">
        <v>508548.8</v>
      </c>
      <c r="AL145">
        <v>0</v>
      </c>
      <c r="AM145">
        <v>13525080</v>
      </c>
      <c r="AN145">
        <v>92633010</v>
      </c>
      <c r="AO145">
        <v>60836.5</v>
      </c>
      <c r="AP145">
        <v>3056207</v>
      </c>
      <c r="AQ145">
        <v>0</v>
      </c>
      <c r="AR145">
        <v>58291572</v>
      </c>
      <c r="AS145">
        <v>0</v>
      </c>
      <c r="AT145">
        <v>0</v>
      </c>
    </row>
    <row r="146" spans="1:46" x14ac:dyDescent="0.3">
      <c r="A146" t="s">
        <v>6</v>
      </c>
      <c r="B146" t="s">
        <v>7</v>
      </c>
      <c r="C146" t="s">
        <v>171</v>
      </c>
      <c r="D146">
        <v>2030</v>
      </c>
      <c r="E146">
        <v>0.62</v>
      </c>
      <c r="F146">
        <v>0.65</v>
      </c>
      <c r="G146">
        <v>321</v>
      </c>
      <c r="H146">
        <v>650.4</v>
      </c>
      <c r="I146">
        <f>Cambium22_MidCase_annual_gea!BU146</f>
        <v>275650370</v>
      </c>
      <c r="J146">
        <f>Cambium22_MidCase_annual_gea!BZ146</f>
        <v>0</v>
      </c>
      <c r="K146">
        <f>SUM(Cambium22_MidCase_annual_gea!BX146,Cambium22_MidCase_annual_gea!BY146)</f>
        <v>1969675.4</v>
      </c>
      <c r="L146">
        <f t="shared" si="7"/>
        <v>273680694.60000002</v>
      </c>
      <c r="M146">
        <f>SUM(Cambium22_MidCase_annual_gea!CA146,Cambium22_MidCase_annual_gea!CB146)</f>
        <v>27025892</v>
      </c>
      <c r="N146">
        <f>SUM(Cambium22_MidCase_annual_gea!CE146,Cambium22_MidCase_annual_gea!CF146,Cambium22_MidCase_annual_gea!CG146)</f>
        <v>76373192</v>
      </c>
      <c r="O146">
        <f>Cambium22_MidCase_annual_gea!CK146</f>
        <v>50909.5</v>
      </c>
      <c r="P146">
        <f>Cambium22_MidCase_annual_gea!CJ146</f>
        <v>91262280</v>
      </c>
      <c r="Y146">
        <v>275650370</v>
      </c>
      <c r="Z146">
        <v>60503230</v>
      </c>
      <c r="AA146">
        <v>1781696.2</v>
      </c>
      <c r="AB146">
        <v>1969675.4</v>
      </c>
      <c r="AC146">
        <v>0</v>
      </c>
      <c r="AD146">
        <v>0</v>
      </c>
      <c r="AE146">
        <v>27025892</v>
      </c>
      <c r="AF146">
        <v>0</v>
      </c>
      <c r="AG146">
        <v>0</v>
      </c>
      <c r="AH146">
        <v>2417146.7999999998</v>
      </c>
      <c r="AI146">
        <v>75891470</v>
      </c>
      <c r="AJ146">
        <v>0</v>
      </c>
      <c r="AK146">
        <v>481722</v>
      </c>
      <c r="AL146">
        <v>0</v>
      </c>
      <c r="AM146">
        <v>13321396</v>
      </c>
      <c r="AN146">
        <v>91262280</v>
      </c>
      <c r="AO146">
        <v>50909.5</v>
      </c>
      <c r="AP146">
        <v>3362107.5</v>
      </c>
      <c r="AQ146">
        <v>0</v>
      </c>
      <c r="AR146">
        <v>58086090</v>
      </c>
      <c r="AS146">
        <v>0</v>
      </c>
      <c r="AT146">
        <v>0</v>
      </c>
    </row>
    <row r="147" spans="1:46" x14ac:dyDescent="0.3">
      <c r="A147" t="s">
        <v>6</v>
      </c>
      <c r="B147" t="s">
        <v>7</v>
      </c>
      <c r="C147" t="s">
        <v>171</v>
      </c>
      <c r="D147">
        <v>2035</v>
      </c>
      <c r="E147">
        <v>0.71</v>
      </c>
      <c r="F147">
        <v>0.74</v>
      </c>
      <c r="G147">
        <v>411.7</v>
      </c>
      <c r="H147">
        <v>583.29999999999995</v>
      </c>
      <c r="I147">
        <f>Cambium22_MidCase_annual_gea!BU147</f>
        <v>281906140</v>
      </c>
      <c r="J147">
        <f>Cambium22_MidCase_annual_gea!BZ147</f>
        <v>0</v>
      </c>
      <c r="K147">
        <f>SUM(Cambium22_MidCase_annual_gea!BX147,Cambium22_MidCase_annual_gea!BY147)</f>
        <v>1828408.4</v>
      </c>
      <c r="L147">
        <f t="shared" si="7"/>
        <v>280077731.60000002</v>
      </c>
      <c r="M147">
        <f>SUM(Cambium22_MidCase_annual_gea!CA147,Cambium22_MidCase_annual_gea!CB147)</f>
        <v>22659352</v>
      </c>
      <c r="N147">
        <f>SUM(Cambium22_MidCase_annual_gea!CE147,Cambium22_MidCase_annual_gea!CF147,Cambium22_MidCase_annual_gea!CG147)</f>
        <v>58378939</v>
      </c>
      <c r="O147">
        <f>Cambium22_MidCase_annual_gea!CK147</f>
        <v>3382.8</v>
      </c>
      <c r="P147">
        <f>Cambium22_MidCase_annual_gea!CJ147</f>
        <v>89758600</v>
      </c>
      <c r="Y147">
        <v>281906140</v>
      </c>
      <c r="Z147">
        <v>82203000</v>
      </c>
      <c r="AA147">
        <v>10736149</v>
      </c>
      <c r="AB147">
        <v>1828408.4</v>
      </c>
      <c r="AC147">
        <v>0</v>
      </c>
      <c r="AD147">
        <v>0</v>
      </c>
      <c r="AE147">
        <v>22659352</v>
      </c>
      <c r="AF147">
        <v>0</v>
      </c>
      <c r="AG147">
        <v>0</v>
      </c>
      <c r="AH147">
        <v>3888000</v>
      </c>
      <c r="AI147">
        <v>57887210</v>
      </c>
      <c r="AJ147">
        <v>0</v>
      </c>
      <c r="AK147">
        <v>491729</v>
      </c>
      <c r="AL147">
        <v>0</v>
      </c>
      <c r="AM147">
        <v>13013491</v>
      </c>
      <c r="AN147">
        <v>89758600</v>
      </c>
      <c r="AO147">
        <v>3382.8</v>
      </c>
      <c r="AP147">
        <v>3324832</v>
      </c>
      <c r="AQ147">
        <v>0</v>
      </c>
      <c r="AR147">
        <v>78315000</v>
      </c>
      <c r="AS147">
        <v>0</v>
      </c>
      <c r="AT147">
        <v>0</v>
      </c>
    </row>
    <row r="148" spans="1:46" x14ac:dyDescent="0.3">
      <c r="A148" t="s">
        <v>6</v>
      </c>
      <c r="B148" t="s">
        <v>7</v>
      </c>
      <c r="C148" t="s">
        <v>171</v>
      </c>
      <c r="D148">
        <v>2040</v>
      </c>
      <c r="E148">
        <v>0.78</v>
      </c>
      <c r="F148">
        <v>0.79</v>
      </c>
      <c r="G148">
        <v>453.6</v>
      </c>
      <c r="H148">
        <v>529</v>
      </c>
      <c r="I148">
        <f>Cambium22_MidCase_annual_gea!BU148</f>
        <v>315258560</v>
      </c>
      <c r="J148">
        <f>Cambium22_MidCase_annual_gea!BZ148</f>
        <v>0</v>
      </c>
      <c r="K148">
        <f>SUM(Cambium22_MidCase_annual_gea!BX148,Cambium22_MidCase_annual_gea!BY148)</f>
        <v>1754890.2</v>
      </c>
      <c r="L148">
        <f t="shared" si="7"/>
        <v>313503669.80000001</v>
      </c>
      <c r="M148">
        <f>SUM(Cambium22_MidCase_annual_gea!CA148,Cambium22_MidCase_annual_gea!CB148)</f>
        <v>16157632</v>
      </c>
      <c r="N148">
        <f>SUM(Cambium22_MidCase_annual_gea!CE148,Cambium22_MidCase_annual_gea!CF148,Cambium22_MidCase_annual_gea!CG148)</f>
        <v>54336723.600000001</v>
      </c>
      <c r="O148">
        <f>Cambium22_MidCase_annual_gea!CK148</f>
        <v>3141.5</v>
      </c>
      <c r="P148">
        <f>Cambium22_MidCase_annual_gea!CJ148</f>
        <v>88774600</v>
      </c>
      <c r="Y148">
        <v>315258560</v>
      </c>
      <c r="Z148">
        <v>116016020</v>
      </c>
      <c r="AA148">
        <v>22191266</v>
      </c>
      <c r="AB148">
        <v>1754890.2</v>
      </c>
      <c r="AC148">
        <v>0</v>
      </c>
      <c r="AD148">
        <v>0</v>
      </c>
      <c r="AE148">
        <v>16157632</v>
      </c>
      <c r="AF148">
        <v>0</v>
      </c>
      <c r="AG148">
        <v>0</v>
      </c>
      <c r="AH148">
        <v>4815660</v>
      </c>
      <c r="AI148">
        <v>53882540</v>
      </c>
      <c r="AJ148">
        <v>0</v>
      </c>
      <c r="AK148">
        <v>454183.6</v>
      </c>
      <c r="AL148">
        <v>0</v>
      </c>
      <c r="AM148">
        <v>12746974</v>
      </c>
      <c r="AN148">
        <v>88774600</v>
      </c>
      <c r="AO148">
        <v>3141.5</v>
      </c>
      <c r="AP148">
        <v>3277313.8</v>
      </c>
      <c r="AQ148">
        <v>0</v>
      </c>
      <c r="AR148">
        <v>111200360</v>
      </c>
      <c r="AS148">
        <v>0</v>
      </c>
      <c r="AT148">
        <v>0</v>
      </c>
    </row>
    <row r="149" spans="1:46" x14ac:dyDescent="0.3">
      <c r="A149" t="s">
        <v>6</v>
      </c>
      <c r="B149" t="s">
        <v>7</v>
      </c>
      <c r="C149" t="s">
        <v>171</v>
      </c>
      <c r="D149">
        <v>2045</v>
      </c>
      <c r="E149">
        <v>0.81</v>
      </c>
      <c r="F149">
        <v>0.81</v>
      </c>
      <c r="G149">
        <v>404.8</v>
      </c>
      <c r="H149">
        <v>457.2</v>
      </c>
      <c r="I149">
        <f>Cambium22_MidCase_annual_gea!BU149</f>
        <v>366265800</v>
      </c>
      <c r="J149">
        <f>Cambium22_MidCase_annual_gea!BZ149</f>
        <v>0</v>
      </c>
      <c r="K149">
        <f>SUM(Cambium22_MidCase_annual_gea!BX149,Cambium22_MidCase_annual_gea!BY149)</f>
        <v>1598515</v>
      </c>
      <c r="L149">
        <f t="shared" si="7"/>
        <v>364667285</v>
      </c>
      <c r="M149">
        <f>SUM(Cambium22_MidCase_annual_gea!CA149,Cambium22_MidCase_annual_gea!CB149)</f>
        <v>13582934</v>
      </c>
      <c r="N149">
        <f>SUM(Cambium22_MidCase_annual_gea!CE149,Cambium22_MidCase_annual_gea!CF149,Cambium22_MidCase_annual_gea!CG149)</f>
        <v>55832263.200000003</v>
      </c>
      <c r="O149">
        <f>Cambium22_MidCase_annual_gea!CK149</f>
        <v>984.8</v>
      </c>
      <c r="P149">
        <f>Cambium22_MidCase_annual_gea!CJ149</f>
        <v>86870936</v>
      </c>
      <c r="Y149">
        <v>366265800</v>
      </c>
      <c r="Z149">
        <v>155259860</v>
      </c>
      <c r="AA149">
        <v>37220080</v>
      </c>
      <c r="AB149">
        <v>1598515</v>
      </c>
      <c r="AC149">
        <v>0</v>
      </c>
      <c r="AD149">
        <v>0</v>
      </c>
      <c r="AE149">
        <v>13582934</v>
      </c>
      <c r="AF149">
        <v>0</v>
      </c>
      <c r="AG149">
        <v>0</v>
      </c>
      <c r="AH149">
        <v>5677037</v>
      </c>
      <c r="AI149">
        <v>55604730</v>
      </c>
      <c r="AJ149">
        <v>0</v>
      </c>
      <c r="AK149">
        <v>227533.2</v>
      </c>
      <c r="AL149">
        <v>0</v>
      </c>
      <c r="AM149">
        <v>12305099</v>
      </c>
      <c r="AN149">
        <v>86870936</v>
      </c>
      <c r="AO149">
        <v>984.8</v>
      </c>
      <c r="AP149">
        <v>3595134</v>
      </c>
      <c r="AQ149">
        <v>0</v>
      </c>
      <c r="AR149">
        <v>149582820</v>
      </c>
      <c r="AS149">
        <v>0</v>
      </c>
      <c r="AT149">
        <v>0</v>
      </c>
    </row>
    <row r="150" spans="1:46" x14ac:dyDescent="0.3">
      <c r="A150" t="s">
        <v>6</v>
      </c>
      <c r="B150" t="s">
        <v>7</v>
      </c>
      <c r="C150" t="s">
        <v>171</v>
      </c>
      <c r="D150">
        <v>2050</v>
      </c>
      <c r="E150">
        <v>0.82</v>
      </c>
      <c r="F150">
        <v>0.81</v>
      </c>
      <c r="G150">
        <v>369.9</v>
      </c>
      <c r="H150">
        <v>451.2</v>
      </c>
      <c r="I150">
        <f>Cambium22_MidCase_annual_gea!BU150</f>
        <v>418509150</v>
      </c>
      <c r="J150">
        <f>Cambium22_MidCase_annual_gea!BZ150</f>
        <v>0</v>
      </c>
      <c r="K150">
        <f>SUM(Cambium22_MidCase_annual_gea!BX150,Cambium22_MidCase_annual_gea!BY150)</f>
        <v>1542055.8</v>
      </c>
      <c r="L150">
        <f t="shared" si="7"/>
        <v>416967094.19999999</v>
      </c>
      <c r="M150">
        <f>SUM(Cambium22_MidCase_annual_gea!CA150,Cambium22_MidCase_annual_gea!CB150)</f>
        <v>9483757</v>
      </c>
      <c r="N150">
        <f>SUM(Cambium22_MidCase_annual_gea!CE150,Cambium22_MidCase_annual_gea!CF150,Cambium22_MidCase_annual_gea!CG150)</f>
        <v>64223186.399999999</v>
      </c>
      <c r="O150">
        <f>Cambium22_MidCase_annual_gea!CK150</f>
        <v>12.8</v>
      </c>
      <c r="P150">
        <f>Cambium22_MidCase_annual_gea!CJ150</f>
        <v>86130910</v>
      </c>
      <c r="Y150">
        <v>418509150</v>
      </c>
      <c r="Z150">
        <v>191846200</v>
      </c>
      <c r="AA150">
        <v>49136910</v>
      </c>
      <c r="AB150">
        <v>1542055.8</v>
      </c>
      <c r="AC150">
        <v>0</v>
      </c>
      <c r="AD150">
        <v>0</v>
      </c>
      <c r="AE150">
        <v>9483757</v>
      </c>
      <c r="AF150">
        <v>0</v>
      </c>
      <c r="AG150">
        <v>0</v>
      </c>
      <c r="AH150">
        <v>6978249.5</v>
      </c>
      <c r="AI150">
        <v>63871384</v>
      </c>
      <c r="AJ150">
        <v>0</v>
      </c>
      <c r="AK150">
        <v>351802.4</v>
      </c>
      <c r="AL150">
        <v>0</v>
      </c>
      <c r="AM150">
        <v>12182719</v>
      </c>
      <c r="AN150">
        <v>86130910</v>
      </c>
      <c r="AO150">
        <v>12.8</v>
      </c>
      <c r="AP150">
        <v>3963375.2</v>
      </c>
      <c r="AQ150">
        <v>0</v>
      </c>
      <c r="AR150">
        <v>184867950</v>
      </c>
      <c r="AS150">
        <v>0</v>
      </c>
      <c r="AT150">
        <v>0</v>
      </c>
    </row>
    <row r="151" spans="1:46" x14ac:dyDescent="0.3">
      <c r="A151" t="s">
        <v>6</v>
      </c>
      <c r="B151" t="s">
        <v>7</v>
      </c>
      <c r="C151" t="s">
        <v>172</v>
      </c>
      <c r="D151">
        <v>2024</v>
      </c>
      <c r="E151">
        <v>0.33</v>
      </c>
      <c r="F151">
        <v>0.34</v>
      </c>
      <c r="G151">
        <v>366.8</v>
      </c>
      <c r="H151">
        <v>916.8</v>
      </c>
      <c r="I151">
        <f>Cambium22_MidCase_annual_gea!BU151</f>
        <v>170345360</v>
      </c>
      <c r="J151">
        <f>Cambium22_MidCase_annual_gea!BZ151</f>
        <v>0</v>
      </c>
      <c r="K151">
        <f>SUM(Cambium22_MidCase_annual_gea!BX151,Cambium22_MidCase_annual_gea!BY151)</f>
        <v>178869.9</v>
      </c>
      <c r="L151">
        <f t="shared" si="7"/>
        <v>170166490.09999999</v>
      </c>
      <c r="M151">
        <f>SUM(Cambium22_MidCase_annual_gea!CA151,Cambium22_MidCase_annual_gea!CB151)</f>
        <v>68965580</v>
      </c>
      <c r="N151">
        <f>SUM(Cambium22_MidCase_annual_gea!CE151,Cambium22_MidCase_annual_gea!CF151,Cambium22_MidCase_annual_gea!CG151)</f>
        <v>44859678</v>
      </c>
      <c r="O151">
        <f>Cambium22_MidCase_annual_gea!CK151</f>
        <v>2014.2</v>
      </c>
      <c r="P151">
        <f>Cambium22_MidCase_annual_gea!CJ151</f>
        <v>36119400</v>
      </c>
      <c r="Y151">
        <v>170345360</v>
      </c>
      <c r="Z151">
        <v>5698968</v>
      </c>
      <c r="AA151">
        <v>15331.7</v>
      </c>
      <c r="AB151">
        <v>178869.9</v>
      </c>
      <c r="AC151">
        <v>0</v>
      </c>
      <c r="AD151">
        <v>0</v>
      </c>
      <c r="AE151">
        <v>68965580</v>
      </c>
      <c r="AF151">
        <v>0</v>
      </c>
      <c r="AG151">
        <v>0</v>
      </c>
      <c r="AH151">
        <v>298037.3</v>
      </c>
      <c r="AI151">
        <v>44209530</v>
      </c>
      <c r="AJ151">
        <v>0</v>
      </c>
      <c r="AK151">
        <v>650148</v>
      </c>
      <c r="AL151">
        <v>0</v>
      </c>
      <c r="AM151">
        <v>13426448</v>
      </c>
      <c r="AN151">
        <v>36119400</v>
      </c>
      <c r="AO151">
        <v>2014.2</v>
      </c>
      <c r="AP151">
        <v>1079070.2</v>
      </c>
      <c r="AQ151">
        <v>0</v>
      </c>
      <c r="AR151">
        <v>5346892</v>
      </c>
      <c r="AS151">
        <v>54038.8</v>
      </c>
      <c r="AT151">
        <v>0</v>
      </c>
    </row>
    <row r="152" spans="1:46" x14ac:dyDescent="0.3">
      <c r="A152" t="s">
        <v>6</v>
      </c>
      <c r="B152" t="s">
        <v>7</v>
      </c>
      <c r="C152" t="s">
        <v>172</v>
      </c>
      <c r="D152">
        <v>2026</v>
      </c>
      <c r="E152">
        <v>0.4</v>
      </c>
      <c r="F152">
        <v>0.42</v>
      </c>
      <c r="G152">
        <v>358.8</v>
      </c>
      <c r="H152">
        <v>867.4</v>
      </c>
      <c r="I152">
        <f>Cambium22_MidCase_annual_gea!BU152</f>
        <v>163935260</v>
      </c>
      <c r="J152">
        <f>Cambium22_MidCase_annual_gea!BZ152</f>
        <v>0</v>
      </c>
      <c r="K152">
        <f>SUM(Cambium22_MidCase_annual_gea!BX152,Cambium22_MidCase_annual_gea!BY152)</f>
        <v>177865.8</v>
      </c>
      <c r="L152">
        <f t="shared" si="7"/>
        <v>163757394.19999999</v>
      </c>
      <c r="M152">
        <f>SUM(Cambium22_MidCase_annual_gea!CA152,Cambium22_MidCase_annual_gea!CB152)</f>
        <v>55396628</v>
      </c>
      <c r="N152">
        <f>SUM(Cambium22_MidCase_annual_gea!CE152,Cambium22_MidCase_annual_gea!CF152,Cambium22_MidCase_annual_gea!CG152)</f>
        <v>42217756.5</v>
      </c>
      <c r="O152">
        <f>Cambium22_MidCase_annual_gea!CK152</f>
        <v>1019</v>
      </c>
      <c r="P152">
        <f>Cambium22_MidCase_annual_gea!CJ152</f>
        <v>36076744</v>
      </c>
      <c r="Y152">
        <v>163935260</v>
      </c>
      <c r="Z152">
        <v>13120068</v>
      </c>
      <c r="AA152">
        <v>1464878.8</v>
      </c>
      <c r="AB152">
        <v>177865.8</v>
      </c>
      <c r="AC152">
        <v>0</v>
      </c>
      <c r="AD152">
        <v>0</v>
      </c>
      <c r="AE152">
        <v>55396628</v>
      </c>
      <c r="AF152">
        <v>0</v>
      </c>
      <c r="AG152">
        <v>0</v>
      </c>
      <c r="AH152">
        <v>460677.2</v>
      </c>
      <c r="AI152">
        <v>41805600</v>
      </c>
      <c r="AJ152">
        <v>0</v>
      </c>
      <c r="AK152">
        <v>412156.5</v>
      </c>
      <c r="AL152">
        <v>0</v>
      </c>
      <c r="AM152">
        <v>13899658</v>
      </c>
      <c r="AN152">
        <v>36076744</v>
      </c>
      <c r="AO152">
        <v>1019</v>
      </c>
      <c r="AP152">
        <v>1580642.6</v>
      </c>
      <c r="AQ152">
        <v>0</v>
      </c>
      <c r="AR152">
        <v>12605643</v>
      </c>
      <c r="AS152">
        <v>53747.4</v>
      </c>
      <c r="AT152">
        <v>0</v>
      </c>
    </row>
    <row r="153" spans="1:46" x14ac:dyDescent="0.3">
      <c r="A153" t="s">
        <v>6</v>
      </c>
      <c r="B153" t="s">
        <v>7</v>
      </c>
      <c r="C153" t="s">
        <v>172</v>
      </c>
      <c r="D153">
        <v>2028</v>
      </c>
      <c r="E153">
        <v>0.52</v>
      </c>
      <c r="F153">
        <v>0.57999999999999996</v>
      </c>
      <c r="G153">
        <v>366.9</v>
      </c>
      <c r="H153">
        <v>756.3</v>
      </c>
      <c r="I153">
        <f>Cambium22_MidCase_annual_gea!BU153</f>
        <v>157810290</v>
      </c>
      <c r="J153">
        <f>Cambium22_MidCase_annual_gea!BZ153</f>
        <v>0</v>
      </c>
      <c r="K153">
        <f>SUM(Cambium22_MidCase_annual_gea!BX153,Cambium22_MidCase_annual_gea!BY153)</f>
        <v>170618.4</v>
      </c>
      <c r="L153">
        <f t="shared" si="7"/>
        <v>157639671.59999999</v>
      </c>
      <c r="M153">
        <f>SUM(Cambium22_MidCase_annual_gea!CA153,Cambium22_MidCase_annual_gea!CB153)</f>
        <v>35665920</v>
      </c>
      <c r="N153">
        <f>SUM(Cambium22_MidCase_annual_gea!CE153,Cambium22_MidCase_annual_gea!CF153,Cambium22_MidCase_annual_gea!CG153)</f>
        <v>40341896.799999997</v>
      </c>
      <c r="O153">
        <f>Cambium22_MidCase_annual_gea!CK153</f>
        <v>568.4</v>
      </c>
      <c r="P153">
        <f>Cambium22_MidCase_annual_gea!CJ153</f>
        <v>35541536</v>
      </c>
      <c r="Y153">
        <v>157810290</v>
      </c>
      <c r="Z153">
        <v>24648742</v>
      </c>
      <c r="AA153">
        <v>5145121.5</v>
      </c>
      <c r="AB153">
        <v>170618.4</v>
      </c>
      <c r="AC153">
        <v>0</v>
      </c>
      <c r="AD153">
        <v>0</v>
      </c>
      <c r="AE153">
        <v>35665920</v>
      </c>
      <c r="AF153">
        <v>0</v>
      </c>
      <c r="AG153">
        <v>0</v>
      </c>
      <c r="AH153">
        <v>740190.8</v>
      </c>
      <c r="AI153">
        <v>40058504</v>
      </c>
      <c r="AJ153">
        <v>0</v>
      </c>
      <c r="AK153">
        <v>283392.8</v>
      </c>
      <c r="AL153">
        <v>0</v>
      </c>
      <c r="AM153">
        <v>13945075</v>
      </c>
      <c r="AN153">
        <v>35541536</v>
      </c>
      <c r="AO153">
        <v>568.4</v>
      </c>
      <c r="AP153">
        <v>2350807</v>
      </c>
      <c r="AQ153">
        <v>0</v>
      </c>
      <c r="AR153">
        <v>23855094</v>
      </c>
      <c r="AS153">
        <v>53457.599999999999</v>
      </c>
      <c r="AT153">
        <v>0</v>
      </c>
    </row>
    <row r="154" spans="1:46" x14ac:dyDescent="0.3">
      <c r="A154" t="s">
        <v>6</v>
      </c>
      <c r="B154" t="s">
        <v>7</v>
      </c>
      <c r="C154" t="s">
        <v>172</v>
      </c>
      <c r="D154">
        <v>2030</v>
      </c>
      <c r="E154">
        <v>0.57999999999999996</v>
      </c>
      <c r="F154">
        <v>0.66</v>
      </c>
      <c r="G154">
        <v>434.2</v>
      </c>
      <c r="H154">
        <v>705.2</v>
      </c>
      <c r="I154">
        <f>Cambium22_MidCase_annual_gea!BU154</f>
        <v>160927310</v>
      </c>
      <c r="J154">
        <f>Cambium22_MidCase_annual_gea!BZ154</f>
        <v>0</v>
      </c>
      <c r="K154">
        <f>SUM(Cambium22_MidCase_annual_gea!BX154,Cambium22_MidCase_annual_gea!BY154)</f>
        <v>164723.1</v>
      </c>
      <c r="L154">
        <f t="shared" si="7"/>
        <v>160762586.90000001</v>
      </c>
      <c r="M154">
        <f>SUM(Cambium22_MidCase_annual_gea!CA154,Cambium22_MidCase_annual_gea!CB154)</f>
        <v>30658844</v>
      </c>
      <c r="N154">
        <f>SUM(Cambium22_MidCase_annual_gea!CE154,Cambium22_MidCase_annual_gea!CF154,Cambium22_MidCase_annual_gea!CG154)</f>
        <v>37543721.600000001</v>
      </c>
      <c r="O154">
        <f>Cambium22_MidCase_annual_gea!CK154</f>
        <v>271.39999999999998</v>
      </c>
      <c r="P154">
        <f>Cambium22_MidCase_annual_gea!CJ154</f>
        <v>35015864</v>
      </c>
      <c r="Y154">
        <v>160927310</v>
      </c>
      <c r="Z154">
        <v>32291948</v>
      </c>
      <c r="AA154">
        <v>8940035</v>
      </c>
      <c r="AB154">
        <v>164723.1</v>
      </c>
      <c r="AC154">
        <v>0</v>
      </c>
      <c r="AD154">
        <v>0</v>
      </c>
      <c r="AE154">
        <v>30658844</v>
      </c>
      <c r="AF154">
        <v>0</v>
      </c>
      <c r="AG154">
        <v>0</v>
      </c>
      <c r="AH154">
        <v>1216065.1000000001</v>
      </c>
      <c r="AI154">
        <v>37351896</v>
      </c>
      <c r="AJ154">
        <v>0</v>
      </c>
      <c r="AK154">
        <v>191825.6</v>
      </c>
      <c r="AL154">
        <v>0</v>
      </c>
      <c r="AM154">
        <v>13806915</v>
      </c>
      <c r="AN154">
        <v>35015864</v>
      </c>
      <c r="AO154">
        <v>271.39999999999998</v>
      </c>
      <c r="AP154">
        <v>2504984</v>
      </c>
      <c r="AQ154">
        <v>0</v>
      </c>
      <c r="AR154">
        <v>31022716</v>
      </c>
      <c r="AS154">
        <v>53169.2</v>
      </c>
      <c r="AT154">
        <v>0</v>
      </c>
    </row>
    <row r="155" spans="1:46" x14ac:dyDescent="0.3">
      <c r="A155" t="s">
        <v>6</v>
      </c>
      <c r="B155" t="s">
        <v>7</v>
      </c>
      <c r="C155" t="s">
        <v>172</v>
      </c>
      <c r="D155">
        <v>2035</v>
      </c>
      <c r="E155">
        <v>0.67</v>
      </c>
      <c r="F155">
        <v>0.74</v>
      </c>
      <c r="G155">
        <v>485.5</v>
      </c>
      <c r="H155">
        <v>646.79999999999995</v>
      </c>
      <c r="I155">
        <f>Cambium22_MidCase_annual_gea!BU155</f>
        <v>175433460</v>
      </c>
      <c r="J155">
        <f>Cambium22_MidCase_annual_gea!BZ155</f>
        <v>0</v>
      </c>
      <c r="K155">
        <f>SUM(Cambium22_MidCase_annual_gea!BX155,Cambium22_MidCase_annual_gea!BY155)</f>
        <v>157502.1</v>
      </c>
      <c r="L155">
        <f t="shared" si="7"/>
        <v>175275957.90000001</v>
      </c>
      <c r="M155">
        <f>SUM(Cambium22_MidCase_annual_gea!CA155,Cambium22_MidCase_annual_gea!CB155)</f>
        <v>22711428</v>
      </c>
      <c r="N155">
        <f>SUM(Cambium22_MidCase_annual_gea!CE155,Cambium22_MidCase_annual_gea!CF155,Cambium22_MidCase_annual_gea!CG155)</f>
        <v>34668855.600000001</v>
      </c>
      <c r="O155">
        <f>Cambium22_MidCase_annual_gea!CK155</f>
        <v>0</v>
      </c>
      <c r="P155">
        <f>Cambium22_MidCase_annual_gea!CJ155</f>
        <v>34437710</v>
      </c>
      <c r="Y155">
        <v>175433460</v>
      </c>
      <c r="Z155">
        <v>52280144</v>
      </c>
      <c r="AA155">
        <v>15404723</v>
      </c>
      <c r="AB155">
        <v>157502.1</v>
      </c>
      <c r="AC155">
        <v>0</v>
      </c>
      <c r="AD155">
        <v>0</v>
      </c>
      <c r="AE155">
        <v>22711428</v>
      </c>
      <c r="AF155">
        <v>0</v>
      </c>
      <c r="AG155">
        <v>0</v>
      </c>
      <c r="AH155">
        <v>2623381.7999999998</v>
      </c>
      <c r="AI155">
        <v>33821456</v>
      </c>
      <c r="AJ155">
        <v>0</v>
      </c>
      <c r="AK155">
        <v>847399.6</v>
      </c>
      <c r="AL155">
        <v>0</v>
      </c>
      <c r="AM155">
        <v>13511224</v>
      </c>
      <c r="AN155">
        <v>34437710</v>
      </c>
      <c r="AO155">
        <v>0</v>
      </c>
      <c r="AP155">
        <v>2261873.7999999998</v>
      </c>
      <c r="AQ155">
        <v>0</v>
      </c>
      <c r="AR155">
        <v>49656760</v>
      </c>
      <c r="AS155">
        <v>0</v>
      </c>
      <c r="AT155">
        <v>0</v>
      </c>
    </row>
    <row r="156" spans="1:46" x14ac:dyDescent="0.3">
      <c r="A156" t="s">
        <v>6</v>
      </c>
      <c r="B156" t="s">
        <v>7</v>
      </c>
      <c r="C156" t="s">
        <v>172</v>
      </c>
      <c r="D156">
        <v>2040</v>
      </c>
      <c r="E156">
        <v>0.77</v>
      </c>
      <c r="F156">
        <v>0.8</v>
      </c>
      <c r="G156">
        <v>479.7</v>
      </c>
      <c r="H156">
        <v>584.70000000000005</v>
      </c>
      <c r="I156">
        <f>Cambium22_MidCase_annual_gea!BU156</f>
        <v>211256210</v>
      </c>
      <c r="J156">
        <f>Cambium22_MidCase_annual_gea!BZ156</f>
        <v>0</v>
      </c>
      <c r="K156">
        <f>SUM(Cambium22_MidCase_annual_gea!BX156,Cambium22_MidCase_annual_gea!BY156)</f>
        <v>145901.20000000001</v>
      </c>
      <c r="L156">
        <f t="shared" si="7"/>
        <v>211110308.80000001</v>
      </c>
      <c r="M156">
        <f>SUM(Cambium22_MidCase_annual_gea!CA156,Cambium22_MidCase_annual_gea!CB156)</f>
        <v>17182324</v>
      </c>
      <c r="N156">
        <f>SUM(Cambium22_MidCase_annual_gea!CE156,Cambium22_MidCase_annual_gea!CF156,Cambium22_MidCase_annual_gea!CG156)</f>
        <v>32220917.399999999</v>
      </c>
      <c r="O156">
        <f>Cambium22_MidCase_annual_gea!CK156</f>
        <v>9.8000000000000007</v>
      </c>
      <c r="P156">
        <f>Cambium22_MidCase_annual_gea!CJ156</f>
        <v>33959160</v>
      </c>
      <c r="Y156">
        <v>211256210</v>
      </c>
      <c r="Z156">
        <v>86679640</v>
      </c>
      <c r="AA156">
        <v>25069736</v>
      </c>
      <c r="AB156">
        <v>145901.20000000001</v>
      </c>
      <c r="AC156">
        <v>0</v>
      </c>
      <c r="AD156">
        <v>0</v>
      </c>
      <c r="AE156">
        <v>17182324</v>
      </c>
      <c r="AF156">
        <v>0</v>
      </c>
      <c r="AG156">
        <v>0</v>
      </c>
      <c r="AH156">
        <v>3998646.8</v>
      </c>
      <c r="AI156">
        <v>31223888</v>
      </c>
      <c r="AJ156">
        <v>0</v>
      </c>
      <c r="AK156">
        <v>997029.4</v>
      </c>
      <c r="AL156">
        <v>0</v>
      </c>
      <c r="AM156">
        <v>13257968</v>
      </c>
      <c r="AN156">
        <v>33959160</v>
      </c>
      <c r="AO156">
        <v>9.8000000000000007</v>
      </c>
      <c r="AP156">
        <v>2740553.2</v>
      </c>
      <c r="AQ156">
        <v>0</v>
      </c>
      <c r="AR156">
        <v>82680990</v>
      </c>
      <c r="AS156">
        <v>0</v>
      </c>
      <c r="AT156">
        <v>0</v>
      </c>
    </row>
    <row r="157" spans="1:46" x14ac:dyDescent="0.3">
      <c r="A157" t="s">
        <v>6</v>
      </c>
      <c r="B157" t="s">
        <v>7</v>
      </c>
      <c r="C157" t="s">
        <v>172</v>
      </c>
      <c r="D157">
        <v>2045</v>
      </c>
      <c r="E157">
        <v>0.82</v>
      </c>
      <c r="F157">
        <v>0.81</v>
      </c>
      <c r="G157">
        <v>447.4</v>
      </c>
      <c r="H157">
        <v>533.9</v>
      </c>
      <c r="I157">
        <f>Cambium22_MidCase_annual_gea!BU157</f>
        <v>278131000</v>
      </c>
      <c r="J157">
        <f>Cambium22_MidCase_annual_gea!BZ157</f>
        <v>0</v>
      </c>
      <c r="K157">
        <f>SUM(Cambium22_MidCase_annual_gea!BX157,Cambium22_MidCase_annual_gea!BY157)</f>
        <v>138331</v>
      </c>
      <c r="L157">
        <f t="shared" si="7"/>
        <v>277992669</v>
      </c>
      <c r="M157">
        <f>SUM(Cambium22_MidCase_annual_gea!CA157,Cambium22_MidCase_annual_gea!CB157)</f>
        <v>17853986</v>
      </c>
      <c r="N157">
        <f>SUM(Cambium22_MidCase_annual_gea!CE157,Cambium22_MidCase_annual_gea!CF157,Cambium22_MidCase_annual_gea!CG157)</f>
        <v>33591703.799999997</v>
      </c>
      <c r="O157">
        <f>Cambium22_MidCase_annual_gea!CK157</f>
        <v>0</v>
      </c>
      <c r="P157">
        <f>Cambium22_MidCase_annual_gea!CJ157</f>
        <v>33089244</v>
      </c>
      <c r="Y157">
        <v>278131000</v>
      </c>
      <c r="Z157">
        <v>147087340</v>
      </c>
      <c r="AA157">
        <v>30214996</v>
      </c>
      <c r="AB157">
        <v>138331</v>
      </c>
      <c r="AC157">
        <v>0</v>
      </c>
      <c r="AD157">
        <v>0</v>
      </c>
      <c r="AE157">
        <v>17853986</v>
      </c>
      <c r="AF157">
        <v>0</v>
      </c>
      <c r="AG157">
        <v>0</v>
      </c>
      <c r="AH157">
        <v>5303546</v>
      </c>
      <c r="AI157">
        <v>32546432</v>
      </c>
      <c r="AJ157">
        <v>0</v>
      </c>
      <c r="AK157">
        <v>1045271.8</v>
      </c>
      <c r="AL157">
        <v>0</v>
      </c>
      <c r="AM157">
        <v>12900038</v>
      </c>
      <c r="AN157">
        <v>33089244</v>
      </c>
      <c r="AO157">
        <v>0</v>
      </c>
      <c r="AP157">
        <v>3255374</v>
      </c>
      <c r="AQ157">
        <v>0</v>
      </c>
      <c r="AR157">
        <v>141772480</v>
      </c>
      <c r="AS157">
        <v>11326.4</v>
      </c>
      <c r="AT157">
        <v>0</v>
      </c>
    </row>
    <row r="158" spans="1:46" x14ac:dyDescent="0.3">
      <c r="A158" t="s">
        <v>6</v>
      </c>
      <c r="B158" t="s">
        <v>7</v>
      </c>
      <c r="C158" t="s">
        <v>172</v>
      </c>
      <c r="D158">
        <v>2050</v>
      </c>
      <c r="E158">
        <v>0.81</v>
      </c>
      <c r="F158">
        <v>0.82</v>
      </c>
      <c r="G158">
        <v>411.6</v>
      </c>
      <c r="H158">
        <v>529</v>
      </c>
      <c r="I158">
        <f>Cambium22_MidCase_annual_gea!BU158</f>
        <v>271077500</v>
      </c>
      <c r="J158">
        <f>Cambium22_MidCase_annual_gea!BZ158</f>
        <v>0</v>
      </c>
      <c r="K158">
        <f>SUM(Cambium22_MidCase_annual_gea!BX158,Cambium22_MidCase_annual_gea!BY158)</f>
        <v>122718.3</v>
      </c>
      <c r="L158">
        <f t="shared" si="7"/>
        <v>270954781.69999999</v>
      </c>
      <c r="M158">
        <f>SUM(Cambium22_MidCase_annual_gea!CA158,Cambium22_MidCase_annual_gea!CB158)</f>
        <v>15187086</v>
      </c>
      <c r="N158">
        <f>SUM(Cambium22_MidCase_annual_gea!CE158,Cambium22_MidCase_annual_gea!CF158,Cambium22_MidCase_annual_gea!CG158)</f>
        <v>36186103</v>
      </c>
      <c r="O158">
        <f>Cambium22_MidCase_annual_gea!CK158</f>
        <v>0</v>
      </c>
      <c r="P158">
        <f>Cambium22_MidCase_annual_gea!CJ158</f>
        <v>32878186</v>
      </c>
      <c r="Y158">
        <v>271077500</v>
      </c>
      <c r="Z158">
        <v>144978750</v>
      </c>
      <c r="AA158">
        <v>25470366</v>
      </c>
      <c r="AB158">
        <v>122718.3</v>
      </c>
      <c r="AC158">
        <v>0</v>
      </c>
      <c r="AD158">
        <v>0</v>
      </c>
      <c r="AE158">
        <v>15187086</v>
      </c>
      <c r="AF158">
        <v>0</v>
      </c>
      <c r="AG158">
        <v>0</v>
      </c>
      <c r="AH158">
        <v>7139521</v>
      </c>
      <c r="AI158">
        <v>34939530</v>
      </c>
      <c r="AJ158">
        <v>0</v>
      </c>
      <c r="AK158">
        <v>1246573</v>
      </c>
      <c r="AL158">
        <v>0</v>
      </c>
      <c r="AM158">
        <v>12804527</v>
      </c>
      <c r="AN158">
        <v>32878186</v>
      </c>
      <c r="AO158">
        <v>0</v>
      </c>
      <c r="AP158">
        <v>3449757.5</v>
      </c>
      <c r="AQ158">
        <v>0</v>
      </c>
      <c r="AR158">
        <v>137738660</v>
      </c>
      <c r="AS158">
        <v>100575.5</v>
      </c>
      <c r="AT158">
        <v>0</v>
      </c>
    </row>
    <row r="159" spans="1:46" x14ac:dyDescent="0.3">
      <c r="A159" t="s">
        <v>6</v>
      </c>
      <c r="B159" t="s">
        <v>7</v>
      </c>
      <c r="C159" t="s">
        <v>173</v>
      </c>
      <c r="D159">
        <v>2024</v>
      </c>
      <c r="E159">
        <v>0.56000000000000005</v>
      </c>
      <c r="F159">
        <v>0.54</v>
      </c>
      <c r="G159">
        <v>378.3</v>
      </c>
      <c r="H159">
        <v>869.6</v>
      </c>
      <c r="I159">
        <f>Cambium22_MidCase_annual_gea!BU159</f>
        <v>323192220</v>
      </c>
      <c r="J159">
        <f>Cambium22_MidCase_annual_gea!BZ159</f>
        <v>0</v>
      </c>
      <c r="K159">
        <f>SUM(Cambium22_MidCase_annual_gea!BX159,Cambium22_MidCase_annual_gea!BY159)</f>
        <v>4244172.5</v>
      </c>
      <c r="L159">
        <f t="shared" si="7"/>
        <v>318948047.5</v>
      </c>
      <c r="M159">
        <f>SUM(Cambium22_MidCase_annual_gea!CA159,Cambium22_MidCase_annual_gea!CB159)</f>
        <v>41698376</v>
      </c>
      <c r="N159">
        <f>SUM(Cambium22_MidCase_annual_gea!CE159,Cambium22_MidCase_annual_gea!CF159,Cambium22_MidCase_annual_gea!CG159)</f>
        <v>101314805.2</v>
      </c>
      <c r="O159">
        <f>Cambium22_MidCase_annual_gea!CK159</f>
        <v>11550.6</v>
      </c>
      <c r="P159">
        <f>Cambium22_MidCase_annual_gea!CJ159</f>
        <v>122476860</v>
      </c>
      <c r="Y159">
        <v>323192220</v>
      </c>
      <c r="Z159">
        <v>38951004</v>
      </c>
      <c r="AA159">
        <v>157995.4</v>
      </c>
      <c r="AB159">
        <v>4244172.5</v>
      </c>
      <c r="AC159">
        <v>0</v>
      </c>
      <c r="AD159">
        <v>0</v>
      </c>
      <c r="AE159">
        <v>41698376</v>
      </c>
      <c r="AF159">
        <v>0</v>
      </c>
      <c r="AG159">
        <v>0</v>
      </c>
      <c r="AH159">
        <v>3201306.5</v>
      </c>
      <c r="AI159">
        <v>100676650</v>
      </c>
      <c r="AJ159">
        <v>0</v>
      </c>
      <c r="AK159">
        <v>638155.19999999995</v>
      </c>
      <c r="AL159">
        <v>0</v>
      </c>
      <c r="AM159">
        <v>9000352</v>
      </c>
      <c r="AN159">
        <v>122476860</v>
      </c>
      <c r="AO159">
        <v>11550.6</v>
      </c>
      <c r="AP159">
        <v>5337103</v>
      </c>
      <c r="AQ159">
        <v>0</v>
      </c>
      <c r="AR159">
        <v>33224682</v>
      </c>
      <c r="AS159">
        <v>703199.8</v>
      </c>
      <c r="AT159">
        <v>1821817.6</v>
      </c>
    </row>
    <row r="160" spans="1:46" x14ac:dyDescent="0.3">
      <c r="A160" t="s">
        <v>6</v>
      </c>
      <c r="B160" t="s">
        <v>7</v>
      </c>
      <c r="C160" t="s">
        <v>173</v>
      </c>
      <c r="D160">
        <v>2026</v>
      </c>
      <c r="E160">
        <v>0.61</v>
      </c>
      <c r="F160">
        <v>0.59</v>
      </c>
      <c r="G160">
        <v>279.5</v>
      </c>
      <c r="H160">
        <v>826.8</v>
      </c>
      <c r="I160">
        <f>Cambium22_MidCase_annual_gea!BU160</f>
        <v>338894340</v>
      </c>
      <c r="J160">
        <f>Cambium22_MidCase_annual_gea!BZ160</f>
        <v>0</v>
      </c>
      <c r="K160">
        <f>SUM(Cambium22_MidCase_annual_gea!BX160,Cambium22_MidCase_annual_gea!BY160)</f>
        <v>4178129.5</v>
      </c>
      <c r="L160">
        <f t="shared" si="7"/>
        <v>334716210.5</v>
      </c>
      <c r="M160">
        <f>SUM(Cambium22_MidCase_annual_gea!CA160,Cambium22_MidCase_annual_gea!CB160)</f>
        <v>37369080</v>
      </c>
      <c r="N160">
        <f>SUM(Cambium22_MidCase_annual_gea!CE160,Cambium22_MidCase_annual_gea!CF160,Cambium22_MidCase_annual_gea!CG160)</f>
        <v>96160439</v>
      </c>
      <c r="O160">
        <f>Cambium22_MidCase_annual_gea!CK160</f>
        <v>10558.2</v>
      </c>
      <c r="P160">
        <f>Cambium22_MidCase_annual_gea!CJ160</f>
        <v>122298500</v>
      </c>
      <c r="Y160">
        <v>338894340</v>
      </c>
      <c r="Z160">
        <v>63018104</v>
      </c>
      <c r="AA160">
        <v>335578.3</v>
      </c>
      <c r="AB160">
        <v>4178129.5</v>
      </c>
      <c r="AC160">
        <v>0</v>
      </c>
      <c r="AD160">
        <v>0</v>
      </c>
      <c r="AE160">
        <v>37369080</v>
      </c>
      <c r="AF160">
        <v>0</v>
      </c>
      <c r="AG160">
        <v>0</v>
      </c>
      <c r="AH160">
        <v>4677357.5</v>
      </c>
      <c r="AI160">
        <v>95585410</v>
      </c>
      <c r="AJ160">
        <v>0</v>
      </c>
      <c r="AK160">
        <v>575029</v>
      </c>
      <c r="AL160">
        <v>0</v>
      </c>
      <c r="AM160">
        <v>9009810</v>
      </c>
      <c r="AN160">
        <v>122298500</v>
      </c>
      <c r="AO160">
        <v>10558.2</v>
      </c>
      <c r="AP160">
        <v>6514148.5</v>
      </c>
      <c r="AQ160">
        <v>0</v>
      </c>
      <c r="AR160">
        <v>52943508</v>
      </c>
      <c r="AS160">
        <v>699407.8</v>
      </c>
      <c r="AT160">
        <v>4697835.5</v>
      </c>
    </row>
    <row r="161" spans="1:46" x14ac:dyDescent="0.3">
      <c r="A161" t="s">
        <v>6</v>
      </c>
      <c r="B161" t="s">
        <v>7</v>
      </c>
      <c r="C161" t="s">
        <v>173</v>
      </c>
      <c r="D161">
        <v>2028</v>
      </c>
      <c r="E161">
        <v>0.7</v>
      </c>
      <c r="F161">
        <v>0.66</v>
      </c>
      <c r="G161">
        <v>211.8</v>
      </c>
      <c r="H161">
        <v>723.5</v>
      </c>
      <c r="I161">
        <f>Cambium22_MidCase_annual_gea!BU161</f>
        <v>364360860</v>
      </c>
      <c r="J161">
        <f>Cambium22_MidCase_annual_gea!BZ161</f>
        <v>0</v>
      </c>
      <c r="K161">
        <f>SUM(Cambium22_MidCase_annual_gea!BX161,Cambium22_MidCase_annual_gea!BY161)</f>
        <v>2672000.2000000002</v>
      </c>
      <c r="L161">
        <f t="shared" si="7"/>
        <v>361688859.80000001</v>
      </c>
      <c r="M161">
        <f>SUM(Cambium22_MidCase_annual_gea!CA161,Cambium22_MidCase_annual_gea!CB161)</f>
        <v>21804506</v>
      </c>
      <c r="N161">
        <f>SUM(Cambium22_MidCase_annual_gea!CE161,Cambium22_MidCase_annual_gea!CF161,Cambium22_MidCase_annual_gea!CG161)</f>
        <v>87957262</v>
      </c>
      <c r="O161">
        <f>Cambium22_MidCase_annual_gea!CK161</f>
        <v>12093.2</v>
      </c>
      <c r="P161">
        <f>Cambium22_MidCase_annual_gea!CJ161</f>
        <v>120693040</v>
      </c>
      <c r="Y161">
        <v>364360860</v>
      </c>
      <c r="Z161">
        <v>106639090</v>
      </c>
      <c r="AA161">
        <v>6826785.5</v>
      </c>
      <c r="AB161">
        <v>2672000.2000000002</v>
      </c>
      <c r="AC161">
        <v>0</v>
      </c>
      <c r="AD161">
        <v>0</v>
      </c>
      <c r="AE161">
        <v>21804506</v>
      </c>
      <c r="AF161">
        <v>0</v>
      </c>
      <c r="AG161">
        <v>0</v>
      </c>
      <c r="AH161">
        <v>6895605</v>
      </c>
      <c r="AI161">
        <v>87442530</v>
      </c>
      <c r="AJ161">
        <v>0</v>
      </c>
      <c r="AK161">
        <v>514732</v>
      </c>
      <c r="AL161">
        <v>0</v>
      </c>
      <c r="AM161">
        <v>9044128</v>
      </c>
      <c r="AN161">
        <v>120693040</v>
      </c>
      <c r="AO161">
        <v>12093.2</v>
      </c>
      <c r="AP161">
        <v>8711955</v>
      </c>
      <c r="AQ161">
        <v>0</v>
      </c>
      <c r="AR161">
        <v>91434510</v>
      </c>
      <c r="AS161">
        <v>695635.9</v>
      </c>
      <c r="AT161">
        <v>7613329.5</v>
      </c>
    </row>
    <row r="162" spans="1:46" x14ac:dyDescent="0.3">
      <c r="A162" t="s">
        <v>6</v>
      </c>
      <c r="B162" t="s">
        <v>7</v>
      </c>
      <c r="C162" t="s">
        <v>173</v>
      </c>
      <c r="D162">
        <v>2030</v>
      </c>
      <c r="E162">
        <v>0.75</v>
      </c>
      <c r="F162">
        <v>0.71</v>
      </c>
      <c r="G162">
        <v>211.7</v>
      </c>
      <c r="H162">
        <v>662.9</v>
      </c>
      <c r="I162">
        <f>Cambium22_MidCase_annual_gea!BU162</f>
        <v>391723170</v>
      </c>
      <c r="J162">
        <f>Cambium22_MidCase_annual_gea!BZ162</f>
        <v>0</v>
      </c>
      <c r="K162">
        <f>SUM(Cambium22_MidCase_annual_gea!BX162,Cambium22_MidCase_annual_gea!BY162)</f>
        <v>2593168</v>
      </c>
      <c r="L162">
        <f t="shared" si="7"/>
        <v>389130002</v>
      </c>
      <c r="M162">
        <f>SUM(Cambium22_MidCase_annual_gea!CA162,Cambium22_MidCase_annual_gea!CB162)</f>
        <v>17312904</v>
      </c>
      <c r="N162">
        <f>SUM(Cambium22_MidCase_annual_gea!CE162,Cambium22_MidCase_annual_gea!CF162,Cambium22_MidCase_annual_gea!CG162)</f>
        <v>79749385</v>
      </c>
      <c r="O162">
        <f>Cambium22_MidCase_annual_gea!CK162</f>
        <v>2648.2</v>
      </c>
      <c r="P162">
        <f>Cambium22_MidCase_annual_gea!CJ162</f>
        <v>119012670</v>
      </c>
      <c r="Y162">
        <v>391723170</v>
      </c>
      <c r="Z162">
        <v>139815250</v>
      </c>
      <c r="AA162">
        <v>14789050</v>
      </c>
      <c r="AB162">
        <v>2593168</v>
      </c>
      <c r="AC162">
        <v>0</v>
      </c>
      <c r="AD162">
        <v>0</v>
      </c>
      <c r="AE162">
        <v>17312904</v>
      </c>
      <c r="AF162">
        <v>0</v>
      </c>
      <c r="AG162">
        <v>0</v>
      </c>
      <c r="AH162">
        <v>10034530</v>
      </c>
      <c r="AI162">
        <v>79373680</v>
      </c>
      <c r="AJ162">
        <v>0</v>
      </c>
      <c r="AK162">
        <v>375705</v>
      </c>
      <c r="AL162">
        <v>0</v>
      </c>
      <c r="AM162">
        <v>8920850</v>
      </c>
      <c r="AN162">
        <v>119012670</v>
      </c>
      <c r="AO162">
        <v>2648.2</v>
      </c>
      <c r="AP162">
        <v>9527245</v>
      </c>
      <c r="AQ162">
        <v>0</v>
      </c>
      <c r="AR162">
        <v>113597520</v>
      </c>
      <c r="AS162">
        <v>900676.5</v>
      </c>
      <c r="AT162">
        <v>15282526</v>
      </c>
    </row>
    <row r="163" spans="1:46" x14ac:dyDescent="0.3">
      <c r="A163" t="s">
        <v>6</v>
      </c>
      <c r="B163" t="s">
        <v>7</v>
      </c>
      <c r="C163" t="s">
        <v>173</v>
      </c>
      <c r="D163">
        <v>2035</v>
      </c>
      <c r="E163">
        <v>0.83</v>
      </c>
      <c r="F163">
        <v>0.78</v>
      </c>
      <c r="G163">
        <v>211.6</v>
      </c>
      <c r="H163">
        <v>583.4</v>
      </c>
      <c r="I163">
        <f>Cambium22_MidCase_annual_gea!BU163</f>
        <v>459622500</v>
      </c>
      <c r="J163">
        <f>Cambium22_MidCase_annual_gea!BZ163</f>
        <v>0</v>
      </c>
      <c r="K163">
        <f>SUM(Cambium22_MidCase_annual_gea!BX163,Cambium22_MidCase_annual_gea!BY163)</f>
        <v>2130583.7999999998</v>
      </c>
      <c r="L163">
        <f t="shared" si="7"/>
        <v>457491916.19999999</v>
      </c>
      <c r="M163">
        <f>SUM(Cambium22_MidCase_annual_gea!CA163,Cambium22_MidCase_annual_gea!CB163)</f>
        <v>8787109</v>
      </c>
      <c r="N163">
        <f>SUM(Cambium22_MidCase_annual_gea!CE163,Cambium22_MidCase_annual_gea!CF163,Cambium22_MidCase_annual_gea!CG163)</f>
        <v>67359566.599999994</v>
      </c>
      <c r="O163">
        <f>Cambium22_MidCase_annual_gea!CK163</f>
        <v>2424.3000000000002</v>
      </c>
      <c r="P163">
        <f>Cambium22_MidCase_annual_gea!CJ163</f>
        <v>116559336</v>
      </c>
      <c r="Y163">
        <v>459622500</v>
      </c>
      <c r="Z163">
        <v>209080400</v>
      </c>
      <c r="AA163">
        <v>37135130</v>
      </c>
      <c r="AB163">
        <v>2130583.7999999998</v>
      </c>
      <c r="AC163">
        <v>0</v>
      </c>
      <c r="AD163">
        <v>0</v>
      </c>
      <c r="AE163">
        <v>8787109</v>
      </c>
      <c r="AF163">
        <v>0</v>
      </c>
      <c r="AG163">
        <v>0</v>
      </c>
      <c r="AH163">
        <v>15251475</v>
      </c>
      <c r="AI163">
        <v>67129710</v>
      </c>
      <c r="AJ163">
        <v>0</v>
      </c>
      <c r="AK163">
        <v>229856.6</v>
      </c>
      <c r="AL163">
        <v>0</v>
      </c>
      <c r="AM163">
        <v>8714750</v>
      </c>
      <c r="AN163">
        <v>116559336</v>
      </c>
      <c r="AO163">
        <v>2424.3000000000002</v>
      </c>
      <c r="AP163">
        <v>9853243</v>
      </c>
      <c r="AQ163">
        <v>0</v>
      </c>
      <c r="AR163">
        <v>174283280</v>
      </c>
      <c r="AS163">
        <v>4478006</v>
      </c>
      <c r="AT163">
        <v>15067634</v>
      </c>
    </row>
    <row r="164" spans="1:46" x14ac:dyDescent="0.3">
      <c r="A164" t="s">
        <v>6</v>
      </c>
      <c r="B164" t="s">
        <v>7</v>
      </c>
      <c r="C164" t="s">
        <v>173</v>
      </c>
      <c r="D164">
        <v>2040</v>
      </c>
      <c r="E164">
        <v>0.86</v>
      </c>
      <c r="F164">
        <v>0.83</v>
      </c>
      <c r="G164">
        <v>188.3</v>
      </c>
      <c r="H164">
        <v>540.5</v>
      </c>
      <c r="I164">
        <f>Cambium22_MidCase_annual_gea!BU164</f>
        <v>481364480</v>
      </c>
      <c r="J164">
        <f>Cambium22_MidCase_annual_gea!BZ164</f>
        <v>0</v>
      </c>
      <c r="K164">
        <f>SUM(Cambium22_MidCase_annual_gea!BX164,Cambium22_MidCase_annual_gea!BY164)</f>
        <v>2086323.4</v>
      </c>
      <c r="L164">
        <f t="shared" si="7"/>
        <v>479278156.60000002</v>
      </c>
      <c r="M164">
        <f>SUM(Cambium22_MidCase_annual_gea!CA164,Cambium22_MidCase_annual_gea!CB164)</f>
        <v>6132569.5</v>
      </c>
      <c r="N164">
        <f>SUM(Cambium22_MidCase_annual_gea!CE164,Cambium22_MidCase_annual_gea!CF164,Cambium22_MidCase_annual_gea!CG164)</f>
        <v>60580299.5</v>
      </c>
      <c r="O164">
        <f>Cambium22_MidCase_annual_gea!CK164</f>
        <v>2979.2</v>
      </c>
      <c r="P164">
        <f>Cambium22_MidCase_annual_gea!CJ164</f>
        <v>115754584</v>
      </c>
      <c r="Y164">
        <v>481364480</v>
      </c>
      <c r="Z164">
        <v>229834830</v>
      </c>
      <c r="AA164">
        <v>47774348</v>
      </c>
      <c r="AB164">
        <v>2086323.4</v>
      </c>
      <c r="AC164">
        <v>0</v>
      </c>
      <c r="AD164">
        <v>0</v>
      </c>
      <c r="AE164">
        <v>6132569.5</v>
      </c>
      <c r="AF164">
        <v>0</v>
      </c>
      <c r="AG164">
        <v>0</v>
      </c>
      <c r="AH164">
        <v>16823952</v>
      </c>
      <c r="AI164">
        <v>60330188</v>
      </c>
      <c r="AJ164">
        <v>0</v>
      </c>
      <c r="AK164">
        <v>250111.5</v>
      </c>
      <c r="AL164">
        <v>0</v>
      </c>
      <c r="AM164">
        <v>8672711</v>
      </c>
      <c r="AN164">
        <v>115754584</v>
      </c>
      <c r="AO164">
        <v>2979.2</v>
      </c>
      <c r="AP164">
        <v>10525823</v>
      </c>
      <c r="AQ164">
        <v>0</v>
      </c>
      <c r="AR164">
        <v>189950140</v>
      </c>
      <c r="AS164">
        <v>8229161.5</v>
      </c>
      <c r="AT164">
        <v>14831573</v>
      </c>
    </row>
    <row r="165" spans="1:46" x14ac:dyDescent="0.3">
      <c r="A165" t="s">
        <v>6</v>
      </c>
      <c r="B165" t="s">
        <v>7</v>
      </c>
      <c r="C165" t="s">
        <v>173</v>
      </c>
      <c r="D165">
        <v>2045</v>
      </c>
      <c r="E165">
        <v>0.93</v>
      </c>
      <c r="F165">
        <v>0.93</v>
      </c>
      <c r="G165">
        <v>142.19999999999999</v>
      </c>
      <c r="H165">
        <v>497.4</v>
      </c>
      <c r="I165">
        <f>Cambium22_MidCase_annual_gea!BU165</f>
        <v>501150400</v>
      </c>
      <c r="J165">
        <f>Cambium22_MidCase_annual_gea!BZ165</f>
        <v>0</v>
      </c>
      <c r="K165">
        <f>SUM(Cambium22_MidCase_annual_gea!BX165,Cambium22_MidCase_annual_gea!BY165)</f>
        <v>1412751.2</v>
      </c>
      <c r="L165">
        <f t="shared" si="7"/>
        <v>499737648.80000001</v>
      </c>
      <c r="M165">
        <f>SUM(Cambium22_MidCase_annual_gea!CA165,Cambium22_MidCase_annual_gea!CB165)</f>
        <v>4301606.5</v>
      </c>
      <c r="N165">
        <f>SUM(Cambium22_MidCase_annual_gea!CE165,Cambium22_MidCase_annual_gea!CF165,Cambium22_MidCase_annual_gea!CG165)</f>
        <v>28826117.399999999</v>
      </c>
      <c r="O165">
        <f>Cambium22_MidCase_annual_gea!CK165</f>
        <v>748.2</v>
      </c>
      <c r="P165">
        <f>Cambium22_MidCase_annual_gea!CJ165</f>
        <v>114458344</v>
      </c>
      <c r="Y165">
        <v>501150400</v>
      </c>
      <c r="Z165">
        <v>265812640</v>
      </c>
      <c r="AA165">
        <v>67687660</v>
      </c>
      <c r="AB165">
        <v>1412751.2</v>
      </c>
      <c r="AC165">
        <v>0</v>
      </c>
      <c r="AD165">
        <v>0</v>
      </c>
      <c r="AE165">
        <v>4301606.5</v>
      </c>
      <c r="AF165">
        <v>0</v>
      </c>
      <c r="AG165">
        <v>0</v>
      </c>
      <c r="AH165">
        <v>17843152</v>
      </c>
      <c r="AI165">
        <v>28378324</v>
      </c>
      <c r="AJ165">
        <v>0</v>
      </c>
      <c r="AK165">
        <v>447793.4</v>
      </c>
      <c r="AL165">
        <v>0</v>
      </c>
      <c r="AM165">
        <v>8533713</v>
      </c>
      <c r="AN165">
        <v>114458344</v>
      </c>
      <c r="AO165">
        <v>748.2</v>
      </c>
      <c r="AP165">
        <v>10116813</v>
      </c>
      <c r="AQ165">
        <v>0</v>
      </c>
      <c r="AR165">
        <v>224936020</v>
      </c>
      <c r="AS165">
        <v>8413216</v>
      </c>
      <c r="AT165">
        <v>14620243</v>
      </c>
    </row>
    <row r="166" spans="1:46" x14ac:dyDescent="0.3">
      <c r="A166" t="s">
        <v>6</v>
      </c>
      <c r="B166" t="s">
        <v>7</v>
      </c>
      <c r="C166" t="s">
        <v>173</v>
      </c>
      <c r="D166">
        <v>2050</v>
      </c>
      <c r="E166">
        <v>0.93</v>
      </c>
      <c r="F166">
        <v>0.97</v>
      </c>
      <c r="G166">
        <v>113.2</v>
      </c>
      <c r="H166">
        <v>511.2</v>
      </c>
      <c r="I166">
        <f>Cambium22_MidCase_annual_gea!BU166</f>
        <v>501907700</v>
      </c>
      <c r="J166">
        <f>Cambium22_MidCase_annual_gea!BZ166</f>
        <v>0</v>
      </c>
      <c r="K166">
        <f>SUM(Cambium22_MidCase_annual_gea!BX166,Cambium22_MidCase_annual_gea!BY166)</f>
        <v>1423344.2</v>
      </c>
      <c r="L166">
        <f t="shared" si="7"/>
        <v>500484355.80000001</v>
      </c>
      <c r="M166">
        <f>SUM(Cambium22_MidCase_annual_gea!CA166,Cambium22_MidCase_annual_gea!CB166)</f>
        <v>1924772.2</v>
      </c>
      <c r="N166">
        <f>SUM(Cambium22_MidCase_annual_gea!CE166,Cambium22_MidCase_annual_gea!CF166,Cambium22_MidCase_annual_gea!CG166)</f>
        <v>34071135</v>
      </c>
      <c r="O166">
        <f>Cambium22_MidCase_annual_gea!CK166</f>
        <v>17.899999999999999</v>
      </c>
      <c r="P166">
        <f>Cambium22_MidCase_annual_gea!CJ166</f>
        <v>111073256</v>
      </c>
      <c r="Y166">
        <v>501907700</v>
      </c>
      <c r="Z166">
        <v>271552540</v>
      </c>
      <c r="AA166">
        <v>62644696</v>
      </c>
      <c r="AB166">
        <v>1423344.2</v>
      </c>
      <c r="AC166">
        <v>0</v>
      </c>
      <c r="AD166">
        <v>0</v>
      </c>
      <c r="AE166">
        <v>1924772.2</v>
      </c>
      <c r="AF166">
        <v>0</v>
      </c>
      <c r="AG166">
        <v>0</v>
      </c>
      <c r="AH166">
        <v>19369630</v>
      </c>
      <c r="AI166">
        <v>33254108</v>
      </c>
      <c r="AJ166">
        <v>0</v>
      </c>
      <c r="AK166">
        <v>817027</v>
      </c>
      <c r="AL166">
        <v>0</v>
      </c>
      <c r="AM166">
        <v>8483493</v>
      </c>
      <c r="AN166">
        <v>111073256</v>
      </c>
      <c r="AO166">
        <v>17.899999999999999</v>
      </c>
      <c r="AP166">
        <v>10734457</v>
      </c>
      <c r="AQ166">
        <v>0</v>
      </c>
      <c r="AR166">
        <v>223386620</v>
      </c>
      <c r="AS166">
        <v>14410226</v>
      </c>
      <c r="AT166">
        <v>14386053</v>
      </c>
    </row>
    <row r="168" spans="1:46" x14ac:dyDescent="0.3">
      <c r="A168" t="s">
        <v>6</v>
      </c>
      <c r="B168" t="s">
        <v>178</v>
      </c>
      <c r="C168" t="s">
        <v>154</v>
      </c>
      <c r="D168">
        <v>2024</v>
      </c>
      <c r="E168">
        <v>0.63</v>
      </c>
      <c r="F168">
        <v>0.63</v>
      </c>
      <c r="G168">
        <v>338.3</v>
      </c>
      <c r="H168">
        <v>745.2</v>
      </c>
      <c r="Y168">
        <v>188146900</v>
      </c>
      <c r="Z168">
        <v>77673600</v>
      </c>
      <c r="AA168">
        <v>649193.4</v>
      </c>
      <c r="AB168">
        <v>266879.09999999998</v>
      </c>
      <c r="AC168">
        <v>0</v>
      </c>
      <c r="AD168">
        <v>0</v>
      </c>
      <c r="AE168">
        <v>22773602</v>
      </c>
      <c r="AF168">
        <v>0</v>
      </c>
      <c r="AG168">
        <v>605195.6</v>
      </c>
      <c r="AH168">
        <v>4272841</v>
      </c>
      <c r="AI168">
        <v>45562904</v>
      </c>
      <c r="AJ168">
        <v>0</v>
      </c>
      <c r="AK168">
        <v>547089.1</v>
      </c>
      <c r="AL168">
        <v>64042.6</v>
      </c>
      <c r="AM168">
        <v>9499519</v>
      </c>
      <c r="AN168">
        <v>30720758</v>
      </c>
      <c r="AO168">
        <v>39158.199999999997</v>
      </c>
      <c r="AP168">
        <v>350143.8</v>
      </c>
      <c r="AQ168">
        <v>0</v>
      </c>
      <c r="AR168">
        <v>63126856</v>
      </c>
      <c r="AS168">
        <v>9668711</v>
      </c>
      <c r="AT168">
        <v>0</v>
      </c>
    </row>
    <row r="169" spans="1:46" x14ac:dyDescent="0.3">
      <c r="A169" t="s">
        <v>6</v>
      </c>
      <c r="B169" t="s">
        <v>178</v>
      </c>
      <c r="C169" t="s">
        <v>154</v>
      </c>
      <c r="D169">
        <v>2026</v>
      </c>
      <c r="E169">
        <v>0.69</v>
      </c>
      <c r="F169">
        <v>0.69</v>
      </c>
      <c r="G169">
        <v>222.4</v>
      </c>
      <c r="H169">
        <v>698.9</v>
      </c>
      <c r="Y169">
        <v>195086500</v>
      </c>
      <c r="Z169">
        <v>89076960</v>
      </c>
      <c r="AA169">
        <v>3839547.5</v>
      </c>
      <c r="AB169">
        <v>264312</v>
      </c>
      <c r="AC169">
        <v>0</v>
      </c>
      <c r="AD169">
        <v>0</v>
      </c>
      <c r="AE169">
        <v>21744526</v>
      </c>
      <c r="AF169">
        <v>0</v>
      </c>
      <c r="AG169">
        <v>605706.4</v>
      </c>
      <c r="AH169">
        <v>5320511</v>
      </c>
      <c r="AI169">
        <v>38269360</v>
      </c>
      <c r="AJ169">
        <v>0</v>
      </c>
      <c r="AK169">
        <v>331937.7</v>
      </c>
      <c r="AL169">
        <v>63993.8</v>
      </c>
      <c r="AM169">
        <v>10742147</v>
      </c>
      <c r="AN169">
        <v>30355932</v>
      </c>
      <c r="AO169">
        <v>21817.5</v>
      </c>
      <c r="AP169">
        <v>375966.1</v>
      </c>
      <c r="AQ169">
        <v>0</v>
      </c>
      <c r="AR169">
        <v>72053930</v>
      </c>
      <c r="AS169">
        <v>11096814</v>
      </c>
      <c r="AT169">
        <v>0</v>
      </c>
    </row>
    <row r="170" spans="1:46" x14ac:dyDescent="0.3">
      <c r="A170" t="s">
        <v>6</v>
      </c>
      <c r="B170" t="s">
        <v>178</v>
      </c>
      <c r="C170" t="s">
        <v>154</v>
      </c>
      <c r="D170">
        <v>2028</v>
      </c>
      <c r="E170">
        <v>0.78</v>
      </c>
      <c r="F170">
        <v>0.78</v>
      </c>
      <c r="G170">
        <v>162.9</v>
      </c>
      <c r="H170">
        <v>608.70000000000005</v>
      </c>
      <c r="Y170">
        <v>197990560</v>
      </c>
      <c r="Z170">
        <v>106901096</v>
      </c>
      <c r="AA170">
        <v>6972082.5</v>
      </c>
      <c r="AB170">
        <v>257630.4</v>
      </c>
      <c r="AC170">
        <v>0</v>
      </c>
      <c r="AD170">
        <v>0</v>
      </c>
      <c r="AE170">
        <v>16780902</v>
      </c>
      <c r="AF170">
        <v>0</v>
      </c>
      <c r="AG170">
        <v>562184</v>
      </c>
      <c r="AH170">
        <v>6561916.5</v>
      </c>
      <c r="AI170">
        <v>26125086</v>
      </c>
      <c r="AJ170">
        <v>0</v>
      </c>
      <c r="AK170">
        <v>168710.8</v>
      </c>
      <c r="AL170">
        <v>237320.9</v>
      </c>
      <c r="AM170">
        <v>10617267</v>
      </c>
      <c r="AN170">
        <v>29477556</v>
      </c>
      <c r="AO170">
        <v>17482</v>
      </c>
      <c r="AP170">
        <v>435425</v>
      </c>
      <c r="AQ170">
        <v>0</v>
      </c>
      <c r="AR170">
        <v>84752080</v>
      </c>
      <c r="AS170">
        <v>15024920</v>
      </c>
      <c r="AT170">
        <v>0</v>
      </c>
    </row>
    <row r="171" spans="1:46" x14ac:dyDescent="0.3">
      <c r="A171" t="s">
        <v>6</v>
      </c>
      <c r="B171" t="s">
        <v>178</v>
      </c>
      <c r="C171" t="s">
        <v>154</v>
      </c>
      <c r="D171">
        <v>2030</v>
      </c>
      <c r="E171">
        <v>0.85</v>
      </c>
      <c r="F171">
        <v>0.85</v>
      </c>
      <c r="G171">
        <v>158.1</v>
      </c>
      <c r="H171">
        <v>491.9</v>
      </c>
      <c r="Y171">
        <v>212615980</v>
      </c>
      <c r="Z171">
        <v>125863016</v>
      </c>
      <c r="AA171">
        <v>13955925</v>
      </c>
      <c r="AB171">
        <v>249730.6</v>
      </c>
      <c r="AC171">
        <v>0</v>
      </c>
      <c r="AD171">
        <v>0</v>
      </c>
      <c r="AE171">
        <v>14607806</v>
      </c>
      <c r="AF171">
        <v>0</v>
      </c>
      <c r="AG171">
        <v>494218.2</v>
      </c>
      <c r="AH171">
        <v>7718514.5</v>
      </c>
      <c r="AI171">
        <v>18009774</v>
      </c>
      <c r="AJ171">
        <v>0</v>
      </c>
      <c r="AK171">
        <v>141232.6</v>
      </c>
      <c r="AL171">
        <v>233912.5</v>
      </c>
      <c r="AM171">
        <v>10494751</v>
      </c>
      <c r="AN171">
        <v>28614692</v>
      </c>
      <c r="AO171">
        <v>3695.4</v>
      </c>
      <c r="AP171">
        <v>441448.6</v>
      </c>
      <c r="AQ171">
        <v>0</v>
      </c>
      <c r="AR171">
        <v>95749620</v>
      </c>
      <c r="AS171">
        <v>21900658</v>
      </c>
      <c r="AT171">
        <v>0</v>
      </c>
    </row>
    <row r="172" spans="1:46" x14ac:dyDescent="0.3">
      <c r="A172" t="s">
        <v>6</v>
      </c>
      <c r="B172" t="s">
        <v>178</v>
      </c>
      <c r="C172" t="s">
        <v>154</v>
      </c>
      <c r="D172">
        <v>2035</v>
      </c>
      <c r="E172">
        <v>0.9</v>
      </c>
      <c r="F172">
        <v>0.9</v>
      </c>
      <c r="G172">
        <v>189.7</v>
      </c>
      <c r="H172">
        <v>412</v>
      </c>
      <c r="Y172">
        <v>241537970</v>
      </c>
      <c r="Z172">
        <v>148120460</v>
      </c>
      <c r="AA172">
        <v>28770580</v>
      </c>
      <c r="AB172">
        <v>228037.7</v>
      </c>
      <c r="AC172">
        <v>0</v>
      </c>
      <c r="AD172">
        <v>0</v>
      </c>
      <c r="AE172">
        <v>8419978</v>
      </c>
      <c r="AF172">
        <v>0</v>
      </c>
      <c r="AG172">
        <v>394114.3</v>
      </c>
      <c r="AH172">
        <v>9013552</v>
      </c>
      <c r="AI172">
        <v>15197078</v>
      </c>
      <c r="AJ172">
        <v>0</v>
      </c>
      <c r="AK172">
        <v>183179.5</v>
      </c>
      <c r="AL172">
        <v>232814.2</v>
      </c>
      <c r="AM172">
        <v>10440233</v>
      </c>
      <c r="AN172">
        <v>27820966</v>
      </c>
      <c r="AO172">
        <v>5328.9</v>
      </c>
      <c r="AP172">
        <v>2119314.5</v>
      </c>
      <c r="AQ172">
        <v>0</v>
      </c>
      <c r="AR172">
        <v>114456550</v>
      </c>
      <c r="AS172">
        <v>24256252</v>
      </c>
      <c r="AT172">
        <v>0</v>
      </c>
    </row>
    <row r="173" spans="1:46" x14ac:dyDescent="0.3">
      <c r="A173" t="s">
        <v>6</v>
      </c>
      <c r="B173" t="s">
        <v>178</v>
      </c>
      <c r="C173" t="s">
        <v>154</v>
      </c>
      <c r="D173">
        <v>2040</v>
      </c>
      <c r="E173">
        <v>0.93</v>
      </c>
      <c r="F173">
        <v>0.92</v>
      </c>
      <c r="G173">
        <v>205.9</v>
      </c>
      <c r="H173">
        <v>321.89999999999998</v>
      </c>
      <c r="Y173">
        <v>275091940</v>
      </c>
      <c r="Z173">
        <v>171884670</v>
      </c>
      <c r="AA173">
        <v>42974650</v>
      </c>
      <c r="AB173">
        <v>220501.4</v>
      </c>
      <c r="AC173">
        <v>0</v>
      </c>
      <c r="AD173">
        <v>0</v>
      </c>
      <c r="AE173">
        <v>6799749.5</v>
      </c>
      <c r="AF173">
        <v>0</v>
      </c>
      <c r="AG173">
        <v>263911.2</v>
      </c>
      <c r="AH173">
        <v>8563288</v>
      </c>
      <c r="AI173">
        <v>13453581</v>
      </c>
      <c r="AJ173">
        <v>0</v>
      </c>
      <c r="AK173">
        <v>104269.5</v>
      </c>
      <c r="AL173">
        <v>233051.9</v>
      </c>
      <c r="AM173">
        <v>10315720</v>
      </c>
      <c r="AN173">
        <v>26940252</v>
      </c>
      <c r="AO173">
        <v>214.2</v>
      </c>
      <c r="AP173">
        <v>2165281.7999999998</v>
      </c>
      <c r="AQ173">
        <v>0</v>
      </c>
      <c r="AR173">
        <v>138524820</v>
      </c>
      <c r="AS173">
        <v>24532660</v>
      </c>
      <c r="AT173">
        <v>0</v>
      </c>
    </row>
    <row r="174" spans="1:46" x14ac:dyDescent="0.3">
      <c r="A174" t="s">
        <v>6</v>
      </c>
      <c r="B174" t="s">
        <v>178</v>
      </c>
      <c r="C174" t="s">
        <v>154</v>
      </c>
      <c r="D174">
        <v>2045</v>
      </c>
      <c r="E174">
        <v>0.94</v>
      </c>
      <c r="F174">
        <v>0.94</v>
      </c>
      <c r="G174">
        <v>189.8</v>
      </c>
      <c r="H174">
        <v>269.10000000000002</v>
      </c>
      <c r="Y174">
        <v>297857760</v>
      </c>
      <c r="Z174">
        <v>189940560</v>
      </c>
      <c r="AA174">
        <v>51425576</v>
      </c>
      <c r="AB174">
        <v>214579.4</v>
      </c>
      <c r="AC174">
        <v>0</v>
      </c>
      <c r="AD174">
        <v>0</v>
      </c>
      <c r="AE174">
        <v>6131553.5</v>
      </c>
      <c r="AF174">
        <v>0</v>
      </c>
      <c r="AG174">
        <v>0</v>
      </c>
      <c r="AH174">
        <v>8048455</v>
      </c>
      <c r="AI174">
        <v>11885557</v>
      </c>
      <c r="AJ174">
        <v>0</v>
      </c>
      <c r="AK174">
        <v>55639.8</v>
      </c>
      <c r="AL174">
        <v>220840.1</v>
      </c>
      <c r="AM174">
        <v>9523651</v>
      </c>
      <c r="AN174">
        <v>26346014</v>
      </c>
      <c r="AO174">
        <v>35.700000000000003</v>
      </c>
      <c r="AP174">
        <v>2113764</v>
      </c>
      <c r="AQ174">
        <v>0</v>
      </c>
      <c r="AR174">
        <v>156104260</v>
      </c>
      <c r="AS174">
        <v>25787846</v>
      </c>
      <c r="AT174">
        <v>0</v>
      </c>
    </row>
    <row r="175" spans="1:46" x14ac:dyDescent="0.3">
      <c r="A175" t="s">
        <v>6</v>
      </c>
      <c r="B175" t="s">
        <v>178</v>
      </c>
      <c r="C175" t="s">
        <v>154</v>
      </c>
      <c r="D175">
        <v>2050</v>
      </c>
      <c r="E175">
        <v>0.95</v>
      </c>
      <c r="F175">
        <v>0.95</v>
      </c>
      <c r="G175">
        <v>187.5</v>
      </c>
      <c r="H175">
        <v>229.4</v>
      </c>
      <c r="Y175">
        <v>330927200</v>
      </c>
      <c r="Z175">
        <v>214335340</v>
      </c>
      <c r="AA175">
        <v>61150132</v>
      </c>
      <c r="AB175">
        <v>193177</v>
      </c>
      <c r="AC175">
        <v>0</v>
      </c>
      <c r="AD175">
        <v>0</v>
      </c>
      <c r="AE175">
        <v>5832343.5</v>
      </c>
      <c r="AF175">
        <v>0</v>
      </c>
      <c r="AG175">
        <v>0</v>
      </c>
      <c r="AH175">
        <v>8067721</v>
      </c>
      <c r="AI175">
        <v>11950450</v>
      </c>
      <c r="AJ175">
        <v>0</v>
      </c>
      <c r="AK175">
        <v>14199.6</v>
      </c>
      <c r="AL175">
        <v>167714.9</v>
      </c>
      <c r="AM175">
        <v>9155510</v>
      </c>
      <c r="AN175">
        <v>25992604</v>
      </c>
      <c r="AO175">
        <v>35.700000000000003</v>
      </c>
      <c r="AP175">
        <v>2135682.2000000002</v>
      </c>
      <c r="AQ175">
        <v>0</v>
      </c>
      <c r="AR175">
        <v>180499220</v>
      </c>
      <c r="AS175">
        <v>25768406</v>
      </c>
      <c r="AT175">
        <v>0</v>
      </c>
    </row>
    <row r="176" spans="1:46" x14ac:dyDescent="0.3">
      <c r="A176" t="s">
        <v>6</v>
      </c>
      <c r="B176" t="s">
        <v>178</v>
      </c>
      <c r="C176" t="s">
        <v>155</v>
      </c>
      <c r="D176">
        <v>2024</v>
      </c>
      <c r="E176">
        <v>0.71</v>
      </c>
      <c r="F176">
        <v>0.69</v>
      </c>
      <c r="G176">
        <v>200.3</v>
      </c>
      <c r="H176">
        <v>725.8</v>
      </c>
      <c r="Y176">
        <v>247127120</v>
      </c>
      <c r="Z176">
        <v>92188440</v>
      </c>
      <c r="AA176">
        <v>4130361.5</v>
      </c>
      <c r="AB176">
        <v>5340433</v>
      </c>
      <c r="AC176">
        <v>0</v>
      </c>
      <c r="AD176">
        <v>0</v>
      </c>
      <c r="AE176">
        <v>0</v>
      </c>
      <c r="AF176">
        <v>0</v>
      </c>
      <c r="AG176">
        <v>1908843.6</v>
      </c>
      <c r="AH176">
        <v>21138596</v>
      </c>
      <c r="AI176">
        <v>71015330</v>
      </c>
      <c r="AJ176">
        <v>0</v>
      </c>
      <c r="AK176">
        <v>474332.5</v>
      </c>
      <c r="AL176">
        <v>23143360</v>
      </c>
      <c r="AM176">
        <v>27758156</v>
      </c>
      <c r="AN176">
        <v>17542990</v>
      </c>
      <c r="AO176">
        <v>11006.3</v>
      </c>
      <c r="AP176">
        <v>5522712</v>
      </c>
      <c r="AQ176">
        <v>0</v>
      </c>
      <c r="AR176">
        <v>54388852</v>
      </c>
      <c r="AS176">
        <v>14752144</v>
      </c>
      <c r="AT176">
        <v>0</v>
      </c>
    </row>
    <row r="177" spans="1:46" x14ac:dyDescent="0.3">
      <c r="A177" t="s">
        <v>6</v>
      </c>
      <c r="B177" t="s">
        <v>178</v>
      </c>
      <c r="C177" t="s">
        <v>155</v>
      </c>
      <c r="D177">
        <v>2026</v>
      </c>
      <c r="E177">
        <v>0.75</v>
      </c>
      <c r="F177">
        <v>0.73</v>
      </c>
      <c r="G177">
        <v>123.8</v>
      </c>
      <c r="H177">
        <v>681.9</v>
      </c>
      <c r="Y177">
        <v>244958420</v>
      </c>
      <c r="Z177">
        <v>97800600</v>
      </c>
      <c r="AA177">
        <v>5430127.5</v>
      </c>
      <c r="AB177">
        <v>5285959</v>
      </c>
      <c r="AC177">
        <v>0</v>
      </c>
      <c r="AD177">
        <v>0</v>
      </c>
      <c r="AE177">
        <v>0</v>
      </c>
      <c r="AF177">
        <v>0</v>
      </c>
      <c r="AG177">
        <v>1911202.2</v>
      </c>
      <c r="AH177">
        <v>24547802</v>
      </c>
      <c r="AI177">
        <v>61172950</v>
      </c>
      <c r="AJ177">
        <v>0</v>
      </c>
      <c r="AK177">
        <v>422167.8</v>
      </c>
      <c r="AL177">
        <v>23143360</v>
      </c>
      <c r="AM177">
        <v>28278886</v>
      </c>
      <c r="AN177">
        <v>17379404</v>
      </c>
      <c r="AO177">
        <v>7166.8</v>
      </c>
      <c r="AP177">
        <v>6037786</v>
      </c>
      <c r="AQ177">
        <v>0</v>
      </c>
      <c r="AR177">
        <v>56695830</v>
      </c>
      <c r="AS177">
        <v>14645763</v>
      </c>
      <c r="AT177">
        <v>0</v>
      </c>
    </row>
    <row r="178" spans="1:46" x14ac:dyDescent="0.3">
      <c r="A178" t="s">
        <v>6</v>
      </c>
      <c r="B178" t="s">
        <v>178</v>
      </c>
      <c r="C178" t="s">
        <v>155</v>
      </c>
      <c r="D178">
        <v>2028</v>
      </c>
      <c r="E178">
        <v>0.82</v>
      </c>
      <c r="F178">
        <v>0.8</v>
      </c>
      <c r="G178">
        <v>70.7</v>
      </c>
      <c r="H178">
        <v>607.9</v>
      </c>
      <c r="Y178">
        <v>263171380</v>
      </c>
      <c r="Z178">
        <v>113988430</v>
      </c>
      <c r="AA178">
        <v>9943989</v>
      </c>
      <c r="AB178">
        <v>5166420.5</v>
      </c>
      <c r="AC178">
        <v>0</v>
      </c>
      <c r="AD178">
        <v>0</v>
      </c>
      <c r="AE178">
        <v>0</v>
      </c>
      <c r="AF178">
        <v>0</v>
      </c>
      <c r="AG178">
        <v>1913210.8</v>
      </c>
      <c r="AH178">
        <v>28361828</v>
      </c>
      <c r="AI178">
        <v>45700970</v>
      </c>
      <c r="AJ178">
        <v>0</v>
      </c>
      <c r="AK178">
        <v>459141.4</v>
      </c>
      <c r="AL178">
        <v>35759140</v>
      </c>
      <c r="AM178">
        <v>28190918</v>
      </c>
      <c r="AN178">
        <v>17072884</v>
      </c>
      <c r="AO178">
        <v>7107.5</v>
      </c>
      <c r="AP178">
        <v>6882393.5</v>
      </c>
      <c r="AQ178">
        <v>0</v>
      </c>
      <c r="AR178">
        <v>67360640</v>
      </c>
      <c r="AS178">
        <v>14562776</v>
      </c>
      <c r="AT178">
        <v>1789975.4</v>
      </c>
    </row>
    <row r="179" spans="1:46" x14ac:dyDescent="0.3">
      <c r="A179" t="s">
        <v>6</v>
      </c>
      <c r="B179" t="s">
        <v>178</v>
      </c>
      <c r="C179" t="s">
        <v>155</v>
      </c>
      <c r="D179">
        <v>2030</v>
      </c>
      <c r="E179">
        <v>0.89</v>
      </c>
      <c r="F179">
        <v>0.86</v>
      </c>
      <c r="G179">
        <v>54.7</v>
      </c>
      <c r="H179">
        <v>497</v>
      </c>
      <c r="Y179">
        <v>296719360</v>
      </c>
      <c r="Z179">
        <v>164583280</v>
      </c>
      <c r="AA179">
        <v>15069920</v>
      </c>
      <c r="AB179">
        <v>4841847</v>
      </c>
      <c r="AC179">
        <v>0</v>
      </c>
      <c r="AD179">
        <v>0</v>
      </c>
      <c r="AE179">
        <v>0</v>
      </c>
      <c r="AF179">
        <v>0</v>
      </c>
      <c r="AG179">
        <v>1903963.2</v>
      </c>
      <c r="AH179">
        <v>32261280</v>
      </c>
      <c r="AI179">
        <v>32017540</v>
      </c>
      <c r="AJ179">
        <v>0</v>
      </c>
      <c r="AK179">
        <v>413163.6</v>
      </c>
      <c r="AL179">
        <v>35751576</v>
      </c>
      <c r="AM179">
        <v>26950644</v>
      </c>
      <c r="AN179">
        <v>0</v>
      </c>
      <c r="AO179">
        <v>9388.1</v>
      </c>
      <c r="AP179">
        <v>17081986</v>
      </c>
      <c r="AQ179">
        <v>0</v>
      </c>
      <c r="AR179">
        <v>108355580</v>
      </c>
      <c r="AS179">
        <v>14822717</v>
      </c>
      <c r="AT179">
        <v>7239737.5</v>
      </c>
    </row>
    <row r="180" spans="1:46" x14ac:dyDescent="0.3">
      <c r="A180" t="s">
        <v>6</v>
      </c>
      <c r="B180" t="s">
        <v>178</v>
      </c>
      <c r="C180" t="s">
        <v>155</v>
      </c>
      <c r="D180">
        <v>2035</v>
      </c>
      <c r="E180">
        <v>0.93</v>
      </c>
      <c r="F180">
        <v>0.92</v>
      </c>
      <c r="G180">
        <v>46.1</v>
      </c>
      <c r="H180">
        <v>425.1</v>
      </c>
      <c r="Y180">
        <v>370129020</v>
      </c>
      <c r="Z180">
        <v>231377870</v>
      </c>
      <c r="AA180">
        <v>28811024</v>
      </c>
      <c r="AB180">
        <v>1931110.3999999999</v>
      </c>
      <c r="AC180">
        <v>0</v>
      </c>
      <c r="AD180">
        <v>0</v>
      </c>
      <c r="AE180">
        <v>0</v>
      </c>
      <c r="AF180">
        <v>0</v>
      </c>
      <c r="AG180">
        <v>1750100</v>
      </c>
      <c r="AH180">
        <v>37543536</v>
      </c>
      <c r="AI180">
        <v>25345314</v>
      </c>
      <c r="AJ180">
        <v>0</v>
      </c>
      <c r="AK180">
        <v>482555.4</v>
      </c>
      <c r="AL180">
        <v>36468148</v>
      </c>
      <c r="AM180">
        <v>26808232</v>
      </c>
      <c r="AN180">
        <v>0</v>
      </c>
      <c r="AO180">
        <v>13866.9</v>
      </c>
      <c r="AP180">
        <v>18890906</v>
      </c>
      <c r="AQ180">
        <v>0</v>
      </c>
      <c r="AR180">
        <v>151851540</v>
      </c>
      <c r="AS180">
        <v>14505197</v>
      </c>
      <c r="AT180">
        <v>25727518</v>
      </c>
    </row>
    <row r="181" spans="1:46" x14ac:dyDescent="0.3">
      <c r="A181" t="s">
        <v>6</v>
      </c>
      <c r="B181" t="s">
        <v>178</v>
      </c>
      <c r="C181" t="s">
        <v>155</v>
      </c>
      <c r="D181">
        <v>2040</v>
      </c>
      <c r="E181">
        <v>0.96</v>
      </c>
      <c r="F181">
        <v>0.95</v>
      </c>
      <c r="G181">
        <v>22.4</v>
      </c>
      <c r="H181">
        <v>341.7</v>
      </c>
      <c r="Y181">
        <v>489384400</v>
      </c>
      <c r="Z181">
        <v>336078140</v>
      </c>
      <c r="AA181">
        <v>49468236</v>
      </c>
      <c r="AB181">
        <v>1240769.8999999999</v>
      </c>
      <c r="AC181">
        <v>0</v>
      </c>
      <c r="AD181">
        <v>0</v>
      </c>
      <c r="AE181">
        <v>0</v>
      </c>
      <c r="AF181">
        <v>0</v>
      </c>
      <c r="AG181">
        <v>1074626.3999999999</v>
      </c>
      <c r="AH181">
        <v>36249224</v>
      </c>
      <c r="AI181">
        <v>20830844</v>
      </c>
      <c r="AJ181">
        <v>0</v>
      </c>
      <c r="AK181">
        <v>350042.2</v>
      </c>
      <c r="AL181">
        <v>35992490</v>
      </c>
      <c r="AM181">
        <v>24414458</v>
      </c>
      <c r="AN181">
        <v>0</v>
      </c>
      <c r="AO181">
        <v>3236.8</v>
      </c>
      <c r="AP181">
        <v>21006162</v>
      </c>
      <c r="AQ181">
        <v>0</v>
      </c>
      <c r="AR181">
        <v>210204640</v>
      </c>
      <c r="AS181">
        <v>16657011</v>
      </c>
      <c r="AT181">
        <v>71892660</v>
      </c>
    </row>
    <row r="182" spans="1:46" x14ac:dyDescent="0.3">
      <c r="A182" t="s">
        <v>6</v>
      </c>
      <c r="B182" t="s">
        <v>178</v>
      </c>
      <c r="C182" t="s">
        <v>155</v>
      </c>
      <c r="D182">
        <v>2045</v>
      </c>
      <c r="E182">
        <v>0.97</v>
      </c>
      <c r="F182">
        <v>1</v>
      </c>
      <c r="G182">
        <v>8.3000000000000007</v>
      </c>
      <c r="H182">
        <v>304</v>
      </c>
      <c r="Y182">
        <v>619787600</v>
      </c>
      <c r="Z182">
        <v>442325570</v>
      </c>
      <c r="AA182">
        <v>79212104</v>
      </c>
      <c r="AB182">
        <v>1124065.6000000001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34517716</v>
      </c>
      <c r="AI182">
        <v>20075564</v>
      </c>
      <c r="AJ182">
        <v>0</v>
      </c>
      <c r="AK182">
        <v>182739.7</v>
      </c>
      <c r="AL182">
        <v>35040870</v>
      </c>
      <c r="AM182">
        <v>22452472</v>
      </c>
      <c r="AN182">
        <v>0</v>
      </c>
      <c r="AO182">
        <v>1405.1</v>
      </c>
      <c r="AP182">
        <v>19372814</v>
      </c>
      <c r="AQ182">
        <v>0</v>
      </c>
      <c r="AR182">
        <v>269135580</v>
      </c>
      <c r="AS182">
        <v>25998620</v>
      </c>
      <c r="AT182">
        <v>112673620</v>
      </c>
    </row>
    <row r="183" spans="1:46" x14ac:dyDescent="0.3">
      <c r="A183" t="s">
        <v>6</v>
      </c>
      <c r="B183" t="s">
        <v>178</v>
      </c>
      <c r="C183" t="s">
        <v>155</v>
      </c>
      <c r="D183">
        <v>2050</v>
      </c>
      <c r="E183">
        <v>0.97</v>
      </c>
      <c r="F183">
        <v>1</v>
      </c>
      <c r="G183">
        <v>0</v>
      </c>
      <c r="H183">
        <v>270.8</v>
      </c>
      <c r="Y183">
        <v>722061760</v>
      </c>
      <c r="Z183">
        <v>514421950</v>
      </c>
      <c r="AA183">
        <v>115115176</v>
      </c>
      <c r="AB183">
        <v>1064890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34046390</v>
      </c>
      <c r="AI183">
        <v>22550890</v>
      </c>
      <c r="AJ183">
        <v>0</v>
      </c>
      <c r="AK183">
        <v>128683.1</v>
      </c>
      <c r="AL183">
        <v>27733868</v>
      </c>
      <c r="AM183">
        <v>22044494</v>
      </c>
      <c r="AN183">
        <v>0</v>
      </c>
      <c r="AO183">
        <v>382.8</v>
      </c>
      <c r="AP183">
        <v>19001376</v>
      </c>
      <c r="AQ183">
        <v>0</v>
      </c>
      <c r="AR183">
        <v>338227330</v>
      </c>
      <c r="AS183">
        <v>30492428</v>
      </c>
      <c r="AT183">
        <v>111655790</v>
      </c>
    </row>
    <row r="184" spans="1:46" x14ac:dyDescent="0.3">
      <c r="A184" t="s">
        <v>6</v>
      </c>
      <c r="B184" t="s">
        <v>178</v>
      </c>
      <c r="C184" t="s">
        <v>156</v>
      </c>
      <c r="D184">
        <v>2024</v>
      </c>
      <c r="E184">
        <v>0.6</v>
      </c>
      <c r="F184">
        <v>0.59</v>
      </c>
      <c r="G184">
        <v>324.10000000000002</v>
      </c>
      <c r="H184">
        <v>652.1</v>
      </c>
      <c r="Y184">
        <v>402675940</v>
      </c>
      <c r="Z184">
        <v>200515360</v>
      </c>
      <c r="AA184">
        <v>1625847.8</v>
      </c>
      <c r="AB184">
        <v>585787.9</v>
      </c>
      <c r="AC184">
        <v>0</v>
      </c>
      <c r="AD184">
        <v>0</v>
      </c>
      <c r="AE184">
        <v>39882584</v>
      </c>
      <c r="AF184">
        <v>0</v>
      </c>
      <c r="AG184">
        <v>0</v>
      </c>
      <c r="AH184">
        <v>2619595</v>
      </c>
      <c r="AI184">
        <v>116101140</v>
      </c>
      <c r="AJ184">
        <v>0</v>
      </c>
      <c r="AK184">
        <v>3318354.8</v>
      </c>
      <c r="AL184">
        <v>0</v>
      </c>
      <c r="AM184">
        <v>579141</v>
      </c>
      <c r="AN184">
        <v>37673010</v>
      </c>
      <c r="AO184">
        <v>2386351</v>
      </c>
      <c r="AP184">
        <v>8358</v>
      </c>
      <c r="AQ184">
        <v>0</v>
      </c>
      <c r="AR184">
        <v>77382270</v>
      </c>
      <c r="AS184">
        <v>120513490</v>
      </c>
      <c r="AT184">
        <v>0</v>
      </c>
    </row>
    <row r="185" spans="1:46" x14ac:dyDescent="0.3">
      <c r="A185" t="s">
        <v>6</v>
      </c>
      <c r="B185" t="s">
        <v>178</v>
      </c>
      <c r="C185" t="s">
        <v>156</v>
      </c>
      <c r="D185">
        <v>2026</v>
      </c>
      <c r="E185">
        <v>0.71</v>
      </c>
      <c r="F185">
        <v>0.7</v>
      </c>
      <c r="G185">
        <v>226.1</v>
      </c>
      <c r="H185">
        <v>578.20000000000005</v>
      </c>
      <c r="Y185">
        <v>420237700</v>
      </c>
      <c r="Z185">
        <v>253462830</v>
      </c>
      <c r="AA185">
        <v>5522119.5</v>
      </c>
      <c r="AB185">
        <v>497421.2</v>
      </c>
      <c r="AC185">
        <v>0</v>
      </c>
      <c r="AD185">
        <v>0</v>
      </c>
      <c r="AE185">
        <v>27204228</v>
      </c>
      <c r="AF185">
        <v>0</v>
      </c>
      <c r="AG185">
        <v>0</v>
      </c>
      <c r="AH185">
        <v>4696729.5</v>
      </c>
      <c r="AI185">
        <v>93655920</v>
      </c>
      <c r="AJ185">
        <v>0</v>
      </c>
      <c r="AK185">
        <v>1947177.8</v>
      </c>
      <c r="AL185">
        <v>0</v>
      </c>
      <c r="AM185">
        <v>539345</v>
      </c>
      <c r="AN185">
        <v>36389200</v>
      </c>
      <c r="AO185">
        <v>1010745.6</v>
      </c>
      <c r="AP185">
        <v>8725.9</v>
      </c>
      <c r="AQ185">
        <v>0</v>
      </c>
      <c r="AR185">
        <v>82435780</v>
      </c>
      <c r="AS185">
        <v>166330320</v>
      </c>
      <c r="AT185">
        <v>0</v>
      </c>
    </row>
    <row r="186" spans="1:46" x14ac:dyDescent="0.3">
      <c r="A186" t="s">
        <v>6</v>
      </c>
      <c r="B186" t="s">
        <v>178</v>
      </c>
      <c r="C186" t="s">
        <v>156</v>
      </c>
      <c r="D186">
        <v>2028</v>
      </c>
      <c r="E186">
        <v>0.82</v>
      </c>
      <c r="F186">
        <v>0.81</v>
      </c>
      <c r="G186">
        <v>105.4</v>
      </c>
      <c r="H186">
        <v>449.9</v>
      </c>
      <c r="Y186">
        <v>445673060</v>
      </c>
      <c r="Z186">
        <v>318722340</v>
      </c>
      <c r="AA186">
        <v>10047321</v>
      </c>
      <c r="AB186">
        <v>397474.6</v>
      </c>
      <c r="AC186">
        <v>0</v>
      </c>
      <c r="AD186">
        <v>0</v>
      </c>
      <c r="AE186">
        <v>12732796</v>
      </c>
      <c r="AF186">
        <v>0</v>
      </c>
      <c r="AG186">
        <v>0</v>
      </c>
      <c r="AH186">
        <v>7842837</v>
      </c>
      <c r="AI186">
        <v>66826840</v>
      </c>
      <c r="AJ186">
        <v>0</v>
      </c>
      <c r="AK186">
        <v>1188593</v>
      </c>
      <c r="AL186">
        <v>0</v>
      </c>
      <c r="AM186">
        <v>478647</v>
      </c>
      <c r="AN186">
        <v>34507324</v>
      </c>
      <c r="AO186">
        <v>764092</v>
      </c>
      <c r="AP186">
        <v>7639</v>
      </c>
      <c r="AQ186">
        <v>0</v>
      </c>
      <c r="AR186">
        <v>92541210</v>
      </c>
      <c r="AS186">
        <v>218338300</v>
      </c>
      <c r="AT186">
        <v>0</v>
      </c>
    </row>
    <row r="187" spans="1:46" x14ac:dyDescent="0.3">
      <c r="A187" t="s">
        <v>6</v>
      </c>
      <c r="B187" t="s">
        <v>178</v>
      </c>
      <c r="C187" t="s">
        <v>156</v>
      </c>
      <c r="D187">
        <v>2030</v>
      </c>
      <c r="E187">
        <v>0.88</v>
      </c>
      <c r="F187">
        <v>0.87</v>
      </c>
      <c r="G187">
        <v>74.099999999999994</v>
      </c>
      <c r="H187">
        <v>382.7</v>
      </c>
      <c r="Y187">
        <v>483637060</v>
      </c>
      <c r="Z187">
        <v>375207300</v>
      </c>
      <c r="AA187">
        <v>17007790</v>
      </c>
      <c r="AB187">
        <v>338949.9</v>
      </c>
      <c r="AC187">
        <v>0</v>
      </c>
      <c r="AD187">
        <v>0</v>
      </c>
      <c r="AE187">
        <v>9814658</v>
      </c>
      <c r="AF187">
        <v>0</v>
      </c>
      <c r="AG187">
        <v>0</v>
      </c>
      <c r="AH187">
        <v>12031378</v>
      </c>
      <c r="AI187">
        <v>46102710</v>
      </c>
      <c r="AJ187">
        <v>0</v>
      </c>
      <c r="AK187">
        <v>772405.3</v>
      </c>
      <c r="AL187">
        <v>0</v>
      </c>
      <c r="AM187">
        <v>439898.2</v>
      </c>
      <c r="AN187">
        <v>33358518</v>
      </c>
      <c r="AO187">
        <v>588272</v>
      </c>
      <c r="AP187">
        <v>6562.5</v>
      </c>
      <c r="AQ187">
        <v>0</v>
      </c>
      <c r="AR187">
        <v>109031220</v>
      </c>
      <c r="AS187">
        <v>254144720</v>
      </c>
      <c r="AT187">
        <v>0</v>
      </c>
    </row>
    <row r="188" spans="1:46" x14ac:dyDescent="0.3">
      <c r="A188" t="s">
        <v>6</v>
      </c>
      <c r="B188" t="s">
        <v>178</v>
      </c>
      <c r="C188" t="s">
        <v>156</v>
      </c>
      <c r="D188">
        <v>2035</v>
      </c>
      <c r="E188">
        <v>0.91</v>
      </c>
      <c r="F188">
        <v>0.9</v>
      </c>
      <c r="G188">
        <v>93.1</v>
      </c>
      <c r="H188">
        <v>347.9</v>
      </c>
      <c r="Y188">
        <v>553459260</v>
      </c>
      <c r="Z188">
        <v>442955680</v>
      </c>
      <c r="AA188">
        <v>28161904</v>
      </c>
      <c r="AB188">
        <v>324590.5</v>
      </c>
      <c r="AC188">
        <v>0</v>
      </c>
      <c r="AD188">
        <v>0</v>
      </c>
      <c r="AE188">
        <v>9775302</v>
      </c>
      <c r="AF188">
        <v>0</v>
      </c>
      <c r="AG188">
        <v>0</v>
      </c>
      <c r="AH188">
        <v>16949516</v>
      </c>
      <c r="AI188">
        <v>37331904</v>
      </c>
      <c r="AJ188">
        <v>0</v>
      </c>
      <c r="AK188">
        <v>1031786.9</v>
      </c>
      <c r="AL188">
        <v>0</v>
      </c>
      <c r="AM188">
        <v>423433.2</v>
      </c>
      <c r="AN188">
        <v>33064326</v>
      </c>
      <c r="AO188">
        <v>384701.6</v>
      </c>
      <c r="AP188">
        <v>5648.3</v>
      </c>
      <c r="AQ188">
        <v>0</v>
      </c>
      <c r="AR188">
        <v>140841620</v>
      </c>
      <c r="AS188">
        <v>285164500</v>
      </c>
      <c r="AT188">
        <v>0</v>
      </c>
    </row>
    <row r="189" spans="1:46" x14ac:dyDescent="0.3">
      <c r="A189" t="s">
        <v>6</v>
      </c>
      <c r="B189" t="s">
        <v>178</v>
      </c>
      <c r="C189" t="s">
        <v>156</v>
      </c>
      <c r="D189">
        <v>2040</v>
      </c>
      <c r="E189">
        <v>0.92</v>
      </c>
      <c r="F189">
        <v>0.91</v>
      </c>
      <c r="G189">
        <v>109.2</v>
      </c>
      <c r="H189">
        <v>307</v>
      </c>
      <c r="Y189">
        <v>627449500</v>
      </c>
      <c r="Z189">
        <v>510448030</v>
      </c>
      <c r="AA189">
        <v>36482308</v>
      </c>
      <c r="AB189">
        <v>289199.3</v>
      </c>
      <c r="AC189">
        <v>0</v>
      </c>
      <c r="AD189">
        <v>0</v>
      </c>
      <c r="AE189">
        <v>8229263</v>
      </c>
      <c r="AF189">
        <v>0</v>
      </c>
      <c r="AG189">
        <v>0</v>
      </c>
      <c r="AH189">
        <v>17139902</v>
      </c>
      <c r="AI189">
        <v>37177820</v>
      </c>
      <c r="AJ189">
        <v>0</v>
      </c>
      <c r="AK189">
        <v>1748089</v>
      </c>
      <c r="AL189">
        <v>0</v>
      </c>
      <c r="AM189">
        <v>397405.7</v>
      </c>
      <c r="AN189">
        <v>32462650</v>
      </c>
      <c r="AO189">
        <v>208867</v>
      </c>
      <c r="AP189">
        <v>5861.9</v>
      </c>
      <c r="AQ189">
        <v>0</v>
      </c>
      <c r="AR189">
        <v>141377470</v>
      </c>
      <c r="AS189">
        <v>351930620</v>
      </c>
      <c r="AT189">
        <v>0</v>
      </c>
    </row>
    <row r="190" spans="1:46" x14ac:dyDescent="0.3">
      <c r="A190" t="s">
        <v>6</v>
      </c>
      <c r="B190" t="s">
        <v>178</v>
      </c>
      <c r="C190" t="s">
        <v>156</v>
      </c>
      <c r="D190">
        <v>2045</v>
      </c>
      <c r="E190">
        <v>0.93</v>
      </c>
      <c r="F190">
        <v>0.92</v>
      </c>
      <c r="G190">
        <v>87.8</v>
      </c>
      <c r="H190">
        <v>277.89999999999998</v>
      </c>
      <c r="Y190">
        <v>692905700</v>
      </c>
      <c r="Z190">
        <v>580062400</v>
      </c>
      <c r="AA190">
        <v>47433644</v>
      </c>
      <c r="AB190">
        <v>272345.59999999998</v>
      </c>
      <c r="AC190">
        <v>0</v>
      </c>
      <c r="AD190">
        <v>0</v>
      </c>
      <c r="AE190">
        <v>7055651</v>
      </c>
      <c r="AF190">
        <v>0</v>
      </c>
      <c r="AG190">
        <v>0</v>
      </c>
      <c r="AH190">
        <v>17916724</v>
      </c>
      <c r="AI190">
        <v>39512216</v>
      </c>
      <c r="AJ190">
        <v>0</v>
      </c>
      <c r="AK190">
        <v>2512890.5</v>
      </c>
      <c r="AL190">
        <v>0</v>
      </c>
      <c r="AM190">
        <v>379722.1</v>
      </c>
      <c r="AN190">
        <v>15578874</v>
      </c>
      <c r="AO190">
        <v>92789</v>
      </c>
      <c r="AP190">
        <v>5149.5</v>
      </c>
      <c r="AQ190">
        <v>0</v>
      </c>
      <c r="AR190">
        <v>175580350</v>
      </c>
      <c r="AS190">
        <v>386565340</v>
      </c>
      <c r="AT190">
        <v>0</v>
      </c>
    </row>
    <row r="191" spans="1:46" x14ac:dyDescent="0.3">
      <c r="A191" t="s">
        <v>6</v>
      </c>
      <c r="B191" t="s">
        <v>178</v>
      </c>
      <c r="C191" t="s">
        <v>156</v>
      </c>
      <c r="D191">
        <v>2050</v>
      </c>
      <c r="E191">
        <v>0.93</v>
      </c>
      <c r="F191">
        <v>0.92</v>
      </c>
      <c r="G191">
        <v>75</v>
      </c>
      <c r="H191">
        <v>278</v>
      </c>
      <c r="Y191">
        <v>763246140</v>
      </c>
      <c r="Z191">
        <v>653428100</v>
      </c>
      <c r="AA191">
        <v>56187640</v>
      </c>
      <c r="AB191">
        <v>254215.1</v>
      </c>
      <c r="AC191">
        <v>0</v>
      </c>
      <c r="AD191">
        <v>0</v>
      </c>
      <c r="AE191">
        <v>8557573</v>
      </c>
      <c r="AF191">
        <v>0</v>
      </c>
      <c r="AG191">
        <v>0</v>
      </c>
      <c r="AH191">
        <v>19490476</v>
      </c>
      <c r="AI191">
        <v>40173040</v>
      </c>
      <c r="AJ191">
        <v>0</v>
      </c>
      <c r="AK191">
        <v>4259449</v>
      </c>
      <c r="AL191">
        <v>0</v>
      </c>
      <c r="AM191">
        <v>360725</v>
      </c>
      <c r="AN191">
        <v>0</v>
      </c>
      <c r="AO191">
        <v>20561.3</v>
      </c>
      <c r="AP191">
        <v>4867.8999999999996</v>
      </c>
      <c r="AQ191">
        <v>0</v>
      </c>
      <c r="AR191">
        <v>192162560</v>
      </c>
      <c r="AS191">
        <v>441775040</v>
      </c>
      <c r="AT191">
        <v>0</v>
      </c>
    </row>
    <row r="192" spans="1:46" x14ac:dyDescent="0.3">
      <c r="A192" t="s">
        <v>6</v>
      </c>
      <c r="B192" t="s">
        <v>178</v>
      </c>
      <c r="C192" t="s">
        <v>157</v>
      </c>
      <c r="D192">
        <v>2024</v>
      </c>
      <c r="E192">
        <v>0.37</v>
      </c>
      <c r="F192">
        <v>0.37</v>
      </c>
      <c r="G192">
        <v>311.10000000000002</v>
      </c>
      <c r="H192">
        <v>763.4</v>
      </c>
      <c r="Y192">
        <v>236384160</v>
      </c>
      <c r="Z192">
        <v>53722200</v>
      </c>
      <c r="AA192">
        <v>349444</v>
      </c>
      <c r="AB192">
        <v>3974161.5</v>
      </c>
      <c r="AC192">
        <v>0</v>
      </c>
      <c r="AD192">
        <v>0</v>
      </c>
      <c r="AE192">
        <v>14485542</v>
      </c>
      <c r="AF192">
        <v>0</v>
      </c>
      <c r="AG192">
        <v>0</v>
      </c>
      <c r="AH192">
        <v>2695659</v>
      </c>
      <c r="AI192">
        <v>133823700</v>
      </c>
      <c r="AJ192">
        <v>0</v>
      </c>
      <c r="AK192">
        <v>625164.4</v>
      </c>
      <c r="AL192">
        <v>0</v>
      </c>
      <c r="AM192">
        <v>216447.9</v>
      </c>
      <c r="AN192">
        <v>29187508</v>
      </c>
      <c r="AO192">
        <v>0</v>
      </c>
      <c r="AP192">
        <v>0</v>
      </c>
      <c r="AQ192">
        <v>0</v>
      </c>
      <c r="AR192">
        <v>51026544</v>
      </c>
      <c r="AS192">
        <v>0</v>
      </c>
      <c r="AT192">
        <v>0</v>
      </c>
    </row>
    <row r="193" spans="1:46" x14ac:dyDescent="0.3">
      <c r="A193" t="s">
        <v>6</v>
      </c>
      <c r="B193" t="s">
        <v>178</v>
      </c>
      <c r="C193" t="s">
        <v>157</v>
      </c>
      <c r="D193">
        <v>2026</v>
      </c>
      <c r="E193">
        <v>0.5</v>
      </c>
      <c r="F193">
        <v>0.47</v>
      </c>
      <c r="G193">
        <v>279.39999999999998</v>
      </c>
      <c r="H193">
        <v>622.70000000000005</v>
      </c>
      <c r="Y193">
        <v>253198370</v>
      </c>
      <c r="Z193">
        <v>90998424</v>
      </c>
      <c r="AA193">
        <v>4472125.5</v>
      </c>
      <c r="AB193">
        <v>3733892</v>
      </c>
      <c r="AC193">
        <v>0</v>
      </c>
      <c r="AD193">
        <v>0</v>
      </c>
      <c r="AE193">
        <v>13269661</v>
      </c>
      <c r="AF193">
        <v>0</v>
      </c>
      <c r="AG193">
        <v>0</v>
      </c>
      <c r="AH193">
        <v>4106154</v>
      </c>
      <c r="AI193">
        <v>111893170</v>
      </c>
      <c r="AJ193">
        <v>0</v>
      </c>
      <c r="AK193">
        <v>616564.9</v>
      </c>
      <c r="AL193">
        <v>0</v>
      </c>
      <c r="AM193">
        <v>213136.3</v>
      </c>
      <c r="AN193">
        <v>28001388</v>
      </c>
      <c r="AO193">
        <v>0</v>
      </c>
      <c r="AP193">
        <v>0</v>
      </c>
      <c r="AQ193">
        <v>0</v>
      </c>
      <c r="AR193">
        <v>86892270</v>
      </c>
      <c r="AS193">
        <v>0</v>
      </c>
      <c r="AT193">
        <v>0</v>
      </c>
    </row>
    <row r="194" spans="1:46" x14ac:dyDescent="0.3">
      <c r="A194" t="s">
        <v>6</v>
      </c>
      <c r="B194" t="s">
        <v>178</v>
      </c>
      <c r="C194" t="s">
        <v>157</v>
      </c>
      <c r="D194">
        <v>2028</v>
      </c>
      <c r="E194">
        <v>0.57999999999999996</v>
      </c>
      <c r="F194">
        <v>0.55000000000000004</v>
      </c>
      <c r="G194">
        <v>202.6</v>
      </c>
      <c r="H194">
        <v>536.1</v>
      </c>
      <c r="Y194">
        <v>266213170</v>
      </c>
      <c r="Z194">
        <v>113824024</v>
      </c>
      <c r="AA194">
        <v>10434512</v>
      </c>
      <c r="AB194">
        <v>3436622.5</v>
      </c>
      <c r="AC194">
        <v>0</v>
      </c>
      <c r="AD194">
        <v>0</v>
      </c>
      <c r="AE194">
        <v>7678953</v>
      </c>
      <c r="AF194">
        <v>0</v>
      </c>
      <c r="AG194">
        <v>0</v>
      </c>
      <c r="AH194">
        <v>6833029</v>
      </c>
      <c r="AI194">
        <v>102694400</v>
      </c>
      <c r="AJ194">
        <v>0</v>
      </c>
      <c r="AK194">
        <v>585359.4</v>
      </c>
      <c r="AL194">
        <v>0</v>
      </c>
      <c r="AM194">
        <v>224042.4</v>
      </c>
      <c r="AN194">
        <v>27335254</v>
      </c>
      <c r="AO194">
        <v>0</v>
      </c>
      <c r="AP194">
        <v>0</v>
      </c>
      <c r="AQ194">
        <v>0</v>
      </c>
      <c r="AR194">
        <v>106990990</v>
      </c>
      <c r="AS194">
        <v>0</v>
      </c>
      <c r="AT194">
        <v>0</v>
      </c>
    </row>
    <row r="195" spans="1:46" x14ac:dyDescent="0.3">
      <c r="A195" t="s">
        <v>6</v>
      </c>
      <c r="B195" t="s">
        <v>178</v>
      </c>
      <c r="C195" t="s">
        <v>157</v>
      </c>
      <c r="D195">
        <v>2030</v>
      </c>
      <c r="E195">
        <v>0.62</v>
      </c>
      <c r="F195">
        <v>0.59</v>
      </c>
      <c r="G195">
        <v>260.89999999999998</v>
      </c>
      <c r="H195">
        <v>514.29999999999995</v>
      </c>
      <c r="Y195">
        <v>276403000</v>
      </c>
      <c r="Z195">
        <v>126205620</v>
      </c>
      <c r="AA195">
        <v>14956712</v>
      </c>
      <c r="AB195">
        <v>3384554.5</v>
      </c>
      <c r="AC195">
        <v>0</v>
      </c>
      <c r="AD195">
        <v>0</v>
      </c>
      <c r="AE195">
        <v>7366093</v>
      </c>
      <c r="AF195">
        <v>0</v>
      </c>
      <c r="AG195">
        <v>0</v>
      </c>
      <c r="AH195">
        <v>10974812</v>
      </c>
      <c r="AI195">
        <v>96476140</v>
      </c>
      <c r="AJ195">
        <v>0</v>
      </c>
      <c r="AK195">
        <v>618212.80000000005</v>
      </c>
      <c r="AL195">
        <v>0</v>
      </c>
      <c r="AM195">
        <v>224115.4</v>
      </c>
      <c r="AN195">
        <v>27171556</v>
      </c>
      <c r="AO195">
        <v>0</v>
      </c>
      <c r="AP195">
        <v>0</v>
      </c>
      <c r="AQ195">
        <v>0</v>
      </c>
      <c r="AR195">
        <v>115230810</v>
      </c>
      <c r="AS195">
        <v>0</v>
      </c>
      <c r="AT195">
        <v>0</v>
      </c>
    </row>
    <row r="196" spans="1:46" x14ac:dyDescent="0.3">
      <c r="A196" t="s">
        <v>6</v>
      </c>
      <c r="B196" t="s">
        <v>178</v>
      </c>
      <c r="C196" t="s">
        <v>157</v>
      </c>
      <c r="D196">
        <v>2035</v>
      </c>
      <c r="E196">
        <v>0.76</v>
      </c>
      <c r="F196">
        <v>0.7</v>
      </c>
      <c r="G196">
        <v>285.2</v>
      </c>
      <c r="H196">
        <v>438</v>
      </c>
      <c r="Y196">
        <v>344165760</v>
      </c>
      <c r="Z196">
        <v>187285820</v>
      </c>
      <c r="AA196">
        <v>42803064</v>
      </c>
      <c r="AB196">
        <v>3115739.2</v>
      </c>
      <c r="AC196">
        <v>0</v>
      </c>
      <c r="AD196">
        <v>0</v>
      </c>
      <c r="AE196">
        <v>3254142.5</v>
      </c>
      <c r="AF196">
        <v>0</v>
      </c>
      <c r="AG196">
        <v>0</v>
      </c>
      <c r="AH196">
        <v>11713085</v>
      </c>
      <c r="AI196">
        <v>80221780</v>
      </c>
      <c r="AJ196">
        <v>0</v>
      </c>
      <c r="AK196">
        <v>596771.4</v>
      </c>
      <c r="AL196">
        <v>0</v>
      </c>
      <c r="AM196">
        <v>221902.8</v>
      </c>
      <c r="AN196">
        <v>26666538</v>
      </c>
      <c r="AO196">
        <v>0</v>
      </c>
      <c r="AP196">
        <v>0</v>
      </c>
      <c r="AQ196">
        <v>0</v>
      </c>
      <c r="AR196">
        <v>175572750</v>
      </c>
      <c r="AS196">
        <v>0</v>
      </c>
      <c r="AT196">
        <v>0</v>
      </c>
    </row>
    <row r="197" spans="1:46" x14ac:dyDescent="0.3">
      <c r="A197" t="s">
        <v>6</v>
      </c>
      <c r="B197" t="s">
        <v>178</v>
      </c>
      <c r="C197" t="s">
        <v>157</v>
      </c>
      <c r="D197">
        <v>2040</v>
      </c>
      <c r="E197">
        <v>0.76</v>
      </c>
      <c r="F197">
        <v>0.71</v>
      </c>
      <c r="G197">
        <v>356.7</v>
      </c>
      <c r="H197">
        <v>433.9</v>
      </c>
      <c r="Y197">
        <v>391089200</v>
      </c>
      <c r="Z197">
        <v>210628020</v>
      </c>
      <c r="AA197">
        <v>58188908</v>
      </c>
      <c r="AB197">
        <v>3182544.5</v>
      </c>
      <c r="AC197">
        <v>0</v>
      </c>
      <c r="AD197">
        <v>0</v>
      </c>
      <c r="AE197">
        <v>2512538.7999999998</v>
      </c>
      <c r="AF197">
        <v>0</v>
      </c>
      <c r="AG197">
        <v>0</v>
      </c>
      <c r="AH197">
        <v>12878642</v>
      </c>
      <c r="AI197">
        <v>88989810</v>
      </c>
      <c r="AJ197">
        <v>0</v>
      </c>
      <c r="AK197">
        <v>500946.2</v>
      </c>
      <c r="AL197">
        <v>0</v>
      </c>
      <c r="AM197">
        <v>222240</v>
      </c>
      <c r="AN197">
        <v>26864196</v>
      </c>
      <c r="AO197">
        <v>0</v>
      </c>
      <c r="AP197">
        <v>0</v>
      </c>
      <c r="AQ197">
        <v>0</v>
      </c>
      <c r="AR197">
        <v>197749380</v>
      </c>
      <c r="AS197">
        <v>0</v>
      </c>
      <c r="AT197">
        <v>0</v>
      </c>
    </row>
    <row r="198" spans="1:46" x14ac:dyDescent="0.3">
      <c r="A198" t="s">
        <v>6</v>
      </c>
      <c r="B198" t="s">
        <v>178</v>
      </c>
      <c r="C198" t="s">
        <v>157</v>
      </c>
      <c r="D198">
        <v>2045</v>
      </c>
      <c r="E198">
        <v>0.77</v>
      </c>
      <c r="F198">
        <v>0.72</v>
      </c>
      <c r="G198">
        <v>348.2</v>
      </c>
      <c r="H198">
        <v>417.4</v>
      </c>
      <c r="Y198">
        <v>441055650</v>
      </c>
      <c r="Z198">
        <v>239608930</v>
      </c>
      <c r="AA198">
        <v>71968584</v>
      </c>
      <c r="AB198">
        <v>2555359</v>
      </c>
      <c r="AC198">
        <v>0</v>
      </c>
      <c r="AD198">
        <v>0</v>
      </c>
      <c r="AE198">
        <v>2057210.4</v>
      </c>
      <c r="AF198">
        <v>0</v>
      </c>
      <c r="AG198">
        <v>0</v>
      </c>
      <c r="AH198">
        <v>12067521</v>
      </c>
      <c r="AI198">
        <v>97104270</v>
      </c>
      <c r="AJ198">
        <v>0</v>
      </c>
      <c r="AK198">
        <v>839837.9</v>
      </c>
      <c r="AL198">
        <v>0</v>
      </c>
      <c r="AM198">
        <v>221928.5</v>
      </c>
      <c r="AN198">
        <v>26699508</v>
      </c>
      <c r="AO198">
        <v>0</v>
      </c>
      <c r="AP198">
        <v>0</v>
      </c>
      <c r="AQ198">
        <v>0</v>
      </c>
      <c r="AR198">
        <v>227541400</v>
      </c>
      <c r="AS198">
        <v>0</v>
      </c>
      <c r="AT198">
        <v>0</v>
      </c>
    </row>
    <row r="199" spans="1:46" x14ac:dyDescent="0.3">
      <c r="A199" t="s">
        <v>6</v>
      </c>
      <c r="B199" t="s">
        <v>178</v>
      </c>
      <c r="C199" t="s">
        <v>157</v>
      </c>
      <c r="D199">
        <v>2050</v>
      </c>
      <c r="E199">
        <v>0.78</v>
      </c>
      <c r="F199">
        <v>0.73</v>
      </c>
      <c r="G199">
        <v>355.2</v>
      </c>
      <c r="H199">
        <v>405.8</v>
      </c>
      <c r="Y199">
        <v>486994370</v>
      </c>
      <c r="Z199">
        <v>266342750</v>
      </c>
      <c r="AA199">
        <v>82414590</v>
      </c>
      <c r="AB199">
        <v>2521530</v>
      </c>
      <c r="AC199">
        <v>0</v>
      </c>
      <c r="AD199">
        <v>0</v>
      </c>
      <c r="AE199">
        <v>2045056.8</v>
      </c>
      <c r="AF199">
        <v>0</v>
      </c>
      <c r="AG199">
        <v>0</v>
      </c>
      <c r="AH199">
        <v>13106021</v>
      </c>
      <c r="AI199">
        <v>105599600</v>
      </c>
      <c r="AJ199">
        <v>0</v>
      </c>
      <c r="AK199">
        <v>1200887.8999999999</v>
      </c>
      <c r="AL199">
        <v>0</v>
      </c>
      <c r="AM199">
        <v>221859</v>
      </c>
      <c r="AN199">
        <v>26648120</v>
      </c>
      <c r="AO199">
        <v>0</v>
      </c>
      <c r="AP199">
        <v>0</v>
      </c>
      <c r="AQ199">
        <v>0</v>
      </c>
      <c r="AR199">
        <v>253236700</v>
      </c>
      <c r="AS199">
        <v>0</v>
      </c>
      <c r="AT199">
        <v>0</v>
      </c>
    </row>
    <row r="200" spans="1:46" x14ac:dyDescent="0.3">
      <c r="A200" t="s">
        <v>6</v>
      </c>
      <c r="B200" t="s">
        <v>178</v>
      </c>
      <c r="C200" t="s">
        <v>158</v>
      </c>
      <c r="D200">
        <v>2024</v>
      </c>
      <c r="E200">
        <v>0.54</v>
      </c>
      <c r="F200">
        <v>0.66</v>
      </c>
      <c r="G200">
        <v>375.1</v>
      </c>
      <c r="H200">
        <v>943.4</v>
      </c>
      <c r="Y200">
        <v>36303904</v>
      </c>
      <c r="Z200">
        <v>7712463</v>
      </c>
      <c r="AA200">
        <v>0</v>
      </c>
      <c r="AB200">
        <v>963881.4</v>
      </c>
      <c r="AC200">
        <v>0</v>
      </c>
      <c r="AD200">
        <v>0</v>
      </c>
      <c r="AE200">
        <v>3053459.5</v>
      </c>
      <c r="AF200">
        <v>0</v>
      </c>
      <c r="AG200">
        <v>0</v>
      </c>
      <c r="AH200">
        <v>81561.2</v>
      </c>
      <c r="AI200">
        <v>12960861</v>
      </c>
      <c r="AJ200">
        <v>0</v>
      </c>
      <c r="AK200">
        <v>494861.5</v>
      </c>
      <c r="AL200">
        <v>0</v>
      </c>
      <c r="AM200">
        <v>1474158.4</v>
      </c>
      <c r="AN200">
        <v>9559487</v>
      </c>
      <c r="AO200">
        <v>84732.800000000003</v>
      </c>
      <c r="AP200">
        <v>0</v>
      </c>
      <c r="AQ200">
        <v>0</v>
      </c>
      <c r="AR200">
        <v>5368799.5</v>
      </c>
      <c r="AS200">
        <v>2262102.7999999998</v>
      </c>
      <c r="AT200">
        <v>0</v>
      </c>
    </row>
    <row r="201" spans="1:46" x14ac:dyDescent="0.3">
      <c r="A201" t="s">
        <v>6</v>
      </c>
      <c r="B201" t="s">
        <v>178</v>
      </c>
      <c r="C201" t="s">
        <v>158</v>
      </c>
      <c r="D201">
        <v>2026</v>
      </c>
      <c r="E201">
        <v>0.59</v>
      </c>
      <c r="F201">
        <v>0.72</v>
      </c>
      <c r="G201">
        <v>299</v>
      </c>
      <c r="H201">
        <v>897.6</v>
      </c>
      <c r="Y201">
        <v>35683010</v>
      </c>
      <c r="Z201">
        <v>8985151</v>
      </c>
      <c r="AA201">
        <v>70399.8</v>
      </c>
      <c r="AB201">
        <v>963664.8</v>
      </c>
      <c r="AC201">
        <v>0</v>
      </c>
      <c r="AD201">
        <v>0</v>
      </c>
      <c r="AE201">
        <v>2763426.8</v>
      </c>
      <c r="AF201">
        <v>0</v>
      </c>
      <c r="AG201">
        <v>0</v>
      </c>
      <c r="AH201">
        <v>136023.79999999999</v>
      </c>
      <c r="AI201">
        <v>11560556</v>
      </c>
      <c r="AJ201">
        <v>0</v>
      </c>
      <c r="AK201">
        <v>269176</v>
      </c>
      <c r="AL201">
        <v>0</v>
      </c>
      <c r="AM201">
        <v>1474449.4</v>
      </c>
      <c r="AN201">
        <v>9549052</v>
      </c>
      <c r="AO201">
        <v>47132.2</v>
      </c>
      <c r="AP201">
        <v>0</v>
      </c>
      <c r="AQ201">
        <v>0</v>
      </c>
      <c r="AR201">
        <v>6598472.5</v>
      </c>
      <c r="AS201">
        <v>2250654.5</v>
      </c>
      <c r="AT201">
        <v>0</v>
      </c>
    </row>
    <row r="202" spans="1:46" x14ac:dyDescent="0.3">
      <c r="A202" t="s">
        <v>6</v>
      </c>
      <c r="B202" t="s">
        <v>178</v>
      </c>
      <c r="C202" t="s">
        <v>158</v>
      </c>
      <c r="D202">
        <v>2028</v>
      </c>
      <c r="E202">
        <v>0.69</v>
      </c>
      <c r="F202">
        <v>0.82</v>
      </c>
      <c r="G202">
        <v>248</v>
      </c>
      <c r="H202">
        <v>671.6</v>
      </c>
      <c r="Y202">
        <v>31019396</v>
      </c>
      <c r="Z202">
        <v>9555487</v>
      </c>
      <c r="AA202">
        <v>267602</v>
      </c>
      <c r="AB202">
        <v>908792.6</v>
      </c>
      <c r="AC202">
        <v>0</v>
      </c>
      <c r="AD202">
        <v>0</v>
      </c>
      <c r="AE202">
        <v>1331350.8999999999</v>
      </c>
      <c r="AF202">
        <v>0</v>
      </c>
      <c r="AG202">
        <v>0</v>
      </c>
      <c r="AH202">
        <v>239940.4</v>
      </c>
      <c r="AI202">
        <v>8074875</v>
      </c>
      <c r="AJ202">
        <v>0</v>
      </c>
      <c r="AK202">
        <v>145021.6</v>
      </c>
      <c r="AL202">
        <v>0</v>
      </c>
      <c r="AM202">
        <v>1448069.6</v>
      </c>
      <c r="AN202">
        <v>9253710</v>
      </c>
      <c r="AO202">
        <v>34487.1</v>
      </c>
      <c r="AP202">
        <v>0</v>
      </c>
      <c r="AQ202">
        <v>0</v>
      </c>
      <c r="AR202">
        <v>6957611</v>
      </c>
      <c r="AS202">
        <v>2357935.7999999998</v>
      </c>
      <c r="AT202">
        <v>0</v>
      </c>
    </row>
    <row r="203" spans="1:46" x14ac:dyDescent="0.3">
      <c r="A203" t="s">
        <v>6</v>
      </c>
      <c r="B203" t="s">
        <v>178</v>
      </c>
      <c r="C203" t="s">
        <v>158</v>
      </c>
      <c r="D203">
        <v>2030</v>
      </c>
      <c r="E203">
        <v>0.78</v>
      </c>
      <c r="F203">
        <v>0.87</v>
      </c>
      <c r="G203">
        <v>226.3</v>
      </c>
      <c r="H203">
        <v>593.70000000000005</v>
      </c>
      <c r="Y203">
        <v>33009434</v>
      </c>
      <c r="Z203">
        <v>14509491</v>
      </c>
      <c r="AA203">
        <v>484946.2</v>
      </c>
      <c r="AB203">
        <v>408569.2</v>
      </c>
      <c r="AC203">
        <v>0</v>
      </c>
      <c r="AD203">
        <v>0</v>
      </c>
      <c r="AE203">
        <v>1036786.2</v>
      </c>
      <c r="AF203">
        <v>0</v>
      </c>
      <c r="AG203">
        <v>0</v>
      </c>
      <c r="AH203">
        <v>437118.4</v>
      </c>
      <c r="AI203">
        <v>6221774</v>
      </c>
      <c r="AJ203">
        <v>0</v>
      </c>
      <c r="AK203">
        <v>75194.8</v>
      </c>
      <c r="AL203">
        <v>0</v>
      </c>
      <c r="AM203">
        <v>1348373.6</v>
      </c>
      <c r="AN203">
        <v>8924083</v>
      </c>
      <c r="AO203">
        <v>213.4</v>
      </c>
      <c r="AP203">
        <v>0</v>
      </c>
      <c r="AQ203">
        <v>0</v>
      </c>
      <c r="AR203">
        <v>10393827</v>
      </c>
      <c r="AS203">
        <v>3678547.2</v>
      </c>
      <c r="AT203">
        <v>0</v>
      </c>
    </row>
    <row r="204" spans="1:46" x14ac:dyDescent="0.3">
      <c r="A204" t="s">
        <v>6</v>
      </c>
      <c r="B204" t="s">
        <v>178</v>
      </c>
      <c r="C204" t="s">
        <v>158</v>
      </c>
      <c r="D204">
        <v>2035</v>
      </c>
      <c r="E204">
        <v>0.81</v>
      </c>
      <c r="F204">
        <v>0.88</v>
      </c>
      <c r="G204">
        <v>212.3</v>
      </c>
      <c r="H204">
        <v>538.79999999999995</v>
      </c>
      <c r="Y204">
        <v>38091220</v>
      </c>
      <c r="Z204">
        <v>18997334</v>
      </c>
      <c r="AA204">
        <v>1348742.5</v>
      </c>
      <c r="AB204">
        <v>385677</v>
      </c>
      <c r="AC204">
        <v>0</v>
      </c>
      <c r="AD204">
        <v>0</v>
      </c>
      <c r="AE204">
        <v>908392.9</v>
      </c>
      <c r="AF204">
        <v>0</v>
      </c>
      <c r="AG204">
        <v>0</v>
      </c>
      <c r="AH204">
        <v>964563.8</v>
      </c>
      <c r="AI204">
        <v>6062143</v>
      </c>
      <c r="AJ204">
        <v>0</v>
      </c>
      <c r="AK204">
        <v>345030.7</v>
      </c>
      <c r="AL204">
        <v>0</v>
      </c>
      <c r="AM204">
        <v>1289685.8</v>
      </c>
      <c r="AN204">
        <v>8754154</v>
      </c>
      <c r="AO204">
        <v>62</v>
      </c>
      <c r="AP204">
        <v>0</v>
      </c>
      <c r="AQ204">
        <v>0</v>
      </c>
      <c r="AR204">
        <v>11901415</v>
      </c>
      <c r="AS204">
        <v>6131355</v>
      </c>
      <c r="AT204">
        <v>0</v>
      </c>
    </row>
    <row r="205" spans="1:46" x14ac:dyDescent="0.3">
      <c r="A205" t="s">
        <v>6</v>
      </c>
      <c r="B205" t="s">
        <v>178</v>
      </c>
      <c r="C205" t="s">
        <v>158</v>
      </c>
      <c r="D205">
        <v>2040</v>
      </c>
      <c r="E205">
        <v>0.84</v>
      </c>
      <c r="F205">
        <v>0.9</v>
      </c>
      <c r="G205">
        <v>225.1</v>
      </c>
      <c r="H205">
        <v>468.7</v>
      </c>
      <c r="Y205">
        <v>47772228</v>
      </c>
      <c r="Z205">
        <v>28328038</v>
      </c>
      <c r="AA205">
        <v>1951313.6</v>
      </c>
      <c r="AB205">
        <v>344768.7</v>
      </c>
      <c r="AC205">
        <v>0</v>
      </c>
      <c r="AD205">
        <v>0</v>
      </c>
      <c r="AE205">
        <v>749150.7</v>
      </c>
      <c r="AF205">
        <v>0</v>
      </c>
      <c r="AG205">
        <v>0</v>
      </c>
      <c r="AH205">
        <v>1000901.1</v>
      </c>
      <c r="AI205">
        <v>6118043</v>
      </c>
      <c r="AJ205">
        <v>0</v>
      </c>
      <c r="AK205">
        <v>560561.19999999995</v>
      </c>
      <c r="AL205">
        <v>0</v>
      </c>
      <c r="AM205">
        <v>1192918.8</v>
      </c>
      <c r="AN205">
        <v>8527336</v>
      </c>
      <c r="AO205">
        <v>96.7</v>
      </c>
      <c r="AP205">
        <v>0</v>
      </c>
      <c r="AQ205">
        <v>0</v>
      </c>
      <c r="AR205">
        <v>16494086</v>
      </c>
      <c r="AS205">
        <v>10833053</v>
      </c>
      <c r="AT205">
        <v>0</v>
      </c>
    </row>
    <row r="206" spans="1:46" x14ac:dyDescent="0.3">
      <c r="A206" t="s">
        <v>6</v>
      </c>
      <c r="B206" t="s">
        <v>178</v>
      </c>
      <c r="C206" t="s">
        <v>158</v>
      </c>
      <c r="D206">
        <v>2045</v>
      </c>
      <c r="E206">
        <v>0.82</v>
      </c>
      <c r="F206">
        <v>0.89</v>
      </c>
      <c r="G206">
        <v>216.4</v>
      </c>
      <c r="H206">
        <v>461.5</v>
      </c>
      <c r="Y206">
        <v>52988370</v>
      </c>
      <c r="Z206">
        <v>31535156</v>
      </c>
      <c r="AA206">
        <v>1894494.8</v>
      </c>
      <c r="AB206">
        <v>330534.40000000002</v>
      </c>
      <c r="AC206">
        <v>0</v>
      </c>
      <c r="AD206">
        <v>0</v>
      </c>
      <c r="AE206">
        <v>861741.7</v>
      </c>
      <c r="AF206">
        <v>0</v>
      </c>
      <c r="AG206">
        <v>0</v>
      </c>
      <c r="AH206">
        <v>1019221.2</v>
      </c>
      <c r="AI206">
        <v>6897846.5</v>
      </c>
      <c r="AJ206">
        <v>0</v>
      </c>
      <c r="AK206">
        <v>1910630.8</v>
      </c>
      <c r="AL206">
        <v>0</v>
      </c>
      <c r="AM206">
        <v>1146042.1000000001</v>
      </c>
      <c r="AN206">
        <v>8411868</v>
      </c>
      <c r="AO206">
        <v>57</v>
      </c>
      <c r="AP206">
        <v>0</v>
      </c>
      <c r="AQ206">
        <v>0</v>
      </c>
      <c r="AR206">
        <v>17867434</v>
      </c>
      <c r="AS206">
        <v>12648500</v>
      </c>
      <c r="AT206">
        <v>0</v>
      </c>
    </row>
    <row r="207" spans="1:46" x14ac:dyDescent="0.3">
      <c r="A207" t="s">
        <v>6</v>
      </c>
      <c r="B207" t="s">
        <v>178</v>
      </c>
      <c r="C207" t="s">
        <v>158</v>
      </c>
      <c r="D207">
        <v>2050</v>
      </c>
      <c r="E207">
        <v>0.79</v>
      </c>
      <c r="F207">
        <v>0.87</v>
      </c>
      <c r="G207">
        <v>236.2</v>
      </c>
      <c r="H207">
        <v>430.1</v>
      </c>
      <c r="Y207">
        <v>58404460</v>
      </c>
      <c r="Z207">
        <v>38075590</v>
      </c>
      <c r="AA207">
        <v>2280620.7999999998</v>
      </c>
      <c r="AB207">
        <v>317102.59999999998</v>
      </c>
      <c r="AC207">
        <v>0</v>
      </c>
      <c r="AD207">
        <v>0</v>
      </c>
      <c r="AE207">
        <v>1147136.6000000001</v>
      </c>
      <c r="AF207">
        <v>0</v>
      </c>
      <c r="AG207">
        <v>0</v>
      </c>
      <c r="AH207">
        <v>1097330.8999999999</v>
      </c>
      <c r="AI207">
        <v>7180293.5</v>
      </c>
      <c r="AJ207">
        <v>0</v>
      </c>
      <c r="AK207">
        <v>4099556.5</v>
      </c>
      <c r="AL207">
        <v>0</v>
      </c>
      <c r="AM207">
        <v>1109893.5</v>
      </c>
      <c r="AN207">
        <v>4194213.5</v>
      </c>
      <c r="AO207">
        <v>52.1</v>
      </c>
      <c r="AP207">
        <v>0</v>
      </c>
      <c r="AQ207">
        <v>0</v>
      </c>
      <c r="AR207">
        <v>18683102</v>
      </c>
      <c r="AS207">
        <v>18295160</v>
      </c>
      <c r="AT207">
        <v>0</v>
      </c>
    </row>
    <row r="208" spans="1:46" x14ac:dyDescent="0.3">
      <c r="A208" t="s">
        <v>6</v>
      </c>
      <c r="B208" t="s">
        <v>178</v>
      </c>
      <c r="C208" t="s">
        <v>159</v>
      </c>
      <c r="D208">
        <v>2024</v>
      </c>
      <c r="E208">
        <v>0.73</v>
      </c>
      <c r="F208">
        <v>0.72</v>
      </c>
      <c r="G208">
        <v>324.39999999999998</v>
      </c>
      <c r="H208">
        <v>867.4</v>
      </c>
      <c r="Y208">
        <v>270936740</v>
      </c>
      <c r="Z208">
        <v>150864300</v>
      </c>
      <c r="AA208">
        <v>14649.1</v>
      </c>
      <c r="AB208">
        <v>1088046.3999999999</v>
      </c>
      <c r="AC208">
        <v>0</v>
      </c>
      <c r="AD208">
        <v>14642598</v>
      </c>
      <c r="AE208">
        <v>57922024</v>
      </c>
      <c r="AF208">
        <v>0</v>
      </c>
      <c r="AG208">
        <v>0</v>
      </c>
      <c r="AH208">
        <v>1686073.4</v>
      </c>
      <c r="AI208">
        <v>15318952</v>
      </c>
      <c r="AJ208">
        <v>0</v>
      </c>
      <c r="AK208">
        <v>895732.6</v>
      </c>
      <c r="AL208">
        <v>0</v>
      </c>
      <c r="AM208">
        <v>11216545</v>
      </c>
      <c r="AN208">
        <v>18606334</v>
      </c>
      <c r="AO208">
        <v>367538.8</v>
      </c>
      <c r="AP208">
        <v>0</v>
      </c>
      <c r="AQ208">
        <v>0</v>
      </c>
      <c r="AR208">
        <v>17677336</v>
      </c>
      <c r="AS208">
        <v>131500904</v>
      </c>
      <c r="AT208">
        <v>0</v>
      </c>
    </row>
    <row r="209" spans="1:46" x14ac:dyDescent="0.3">
      <c r="A209" t="s">
        <v>6</v>
      </c>
      <c r="B209" t="s">
        <v>178</v>
      </c>
      <c r="C209" t="s">
        <v>159</v>
      </c>
      <c r="D209">
        <v>2026</v>
      </c>
      <c r="E209">
        <v>0.81</v>
      </c>
      <c r="F209">
        <v>0.81</v>
      </c>
      <c r="G209">
        <v>211.9</v>
      </c>
      <c r="H209">
        <v>736.1</v>
      </c>
      <c r="Y209">
        <v>289305200</v>
      </c>
      <c r="Z209">
        <v>190691040</v>
      </c>
      <c r="AA209">
        <v>896398.1</v>
      </c>
      <c r="AB209">
        <v>1017560</v>
      </c>
      <c r="AC209">
        <v>0</v>
      </c>
      <c r="AD209">
        <v>13585550</v>
      </c>
      <c r="AE209">
        <v>41105876</v>
      </c>
      <c r="AF209">
        <v>0</v>
      </c>
      <c r="AG209">
        <v>0</v>
      </c>
      <c r="AH209">
        <v>2134741.7999999998</v>
      </c>
      <c r="AI209">
        <v>11838403</v>
      </c>
      <c r="AJ209">
        <v>0</v>
      </c>
      <c r="AK209">
        <v>465768.4</v>
      </c>
      <c r="AL209">
        <v>0</v>
      </c>
      <c r="AM209">
        <v>11626777</v>
      </c>
      <c r="AN209">
        <v>17822624</v>
      </c>
      <c r="AO209">
        <v>255217.8</v>
      </c>
      <c r="AP209">
        <v>0</v>
      </c>
      <c r="AQ209">
        <v>0</v>
      </c>
      <c r="AR209">
        <v>34641350</v>
      </c>
      <c r="AS209">
        <v>153914940</v>
      </c>
      <c r="AT209">
        <v>0</v>
      </c>
    </row>
    <row r="210" spans="1:46" x14ac:dyDescent="0.3">
      <c r="A210" t="s">
        <v>6</v>
      </c>
      <c r="B210" t="s">
        <v>178</v>
      </c>
      <c r="C210" t="s">
        <v>159</v>
      </c>
      <c r="D210">
        <v>2028</v>
      </c>
      <c r="E210">
        <v>0.91</v>
      </c>
      <c r="F210">
        <v>0.89</v>
      </c>
      <c r="G210">
        <v>120.6</v>
      </c>
      <c r="H210">
        <v>563.70000000000005</v>
      </c>
      <c r="Y210">
        <v>343457120</v>
      </c>
      <c r="Z210">
        <v>262722850</v>
      </c>
      <c r="AA210">
        <v>3019372</v>
      </c>
      <c r="AB210">
        <v>834631.5</v>
      </c>
      <c r="AC210">
        <v>0</v>
      </c>
      <c r="AD210">
        <v>16581179</v>
      </c>
      <c r="AE210">
        <v>24278094</v>
      </c>
      <c r="AF210">
        <v>0</v>
      </c>
      <c r="AG210">
        <v>0</v>
      </c>
      <c r="AH210">
        <v>2873261.2</v>
      </c>
      <c r="AI210">
        <v>7492726.5</v>
      </c>
      <c r="AJ210">
        <v>0</v>
      </c>
      <c r="AK210">
        <v>143403.79999999999</v>
      </c>
      <c r="AL210">
        <v>0</v>
      </c>
      <c r="AM210">
        <v>11206562</v>
      </c>
      <c r="AN210">
        <v>17044588</v>
      </c>
      <c r="AO210">
        <v>133725.6</v>
      </c>
      <c r="AP210">
        <v>0</v>
      </c>
      <c r="AQ210">
        <v>0</v>
      </c>
      <c r="AR210">
        <v>45062076</v>
      </c>
      <c r="AS210">
        <v>214787490</v>
      </c>
      <c r="AT210">
        <v>0</v>
      </c>
    </row>
    <row r="211" spans="1:46" x14ac:dyDescent="0.3">
      <c r="A211" t="s">
        <v>6</v>
      </c>
      <c r="B211" t="s">
        <v>178</v>
      </c>
      <c r="C211" t="s">
        <v>159</v>
      </c>
      <c r="D211">
        <v>2030</v>
      </c>
      <c r="E211">
        <v>0.93</v>
      </c>
      <c r="F211">
        <v>0.93</v>
      </c>
      <c r="G211">
        <v>130.30000000000001</v>
      </c>
      <c r="H211">
        <v>486.2</v>
      </c>
      <c r="Y211">
        <v>359466180</v>
      </c>
      <c r="Z211">
        <v>283112930</v>
      </c>
      <c r="AA211">
        <v>5895573.5</v>
      </c>
      <c r="AB211">
        <v>669375.9</v>
      </c>
      <c r="AC211">
        <v>0</v>
      </c>
      <c r="AD211">
        <v>19150044</v>
      </c>
      <c r="AE211">
        <v>18693010</v>
      </c>
      <c r="AF211">
        <v>0</v>
      </c>
      <c r="AG211">
        <v>0</v>
      </c>
      <c r="AH211">
        <v>4040584</v>
      </c>
      <c r="AI211">
        <v>4667449.5</v>
      </c>
      <c r="AJ211">
        <v>0</v>
      </c>
      <c r="AK211">
        <v>69637.399999999994</v>
      </c>
      <c r="AL211">
        <v>0</v>
      </c>
      <c r="AM211">
        <v>10543163</v>
      </c>
      <c r="AN211">
        <v>16595163</v>
      </c>
      <c r="AO211">
        <v>69825.100000000006</v>
      </c>
      <c r="AP211">
        <v>0</v>
      </c>
      <c r="AQ211">
        <v>0</v>
      </c>
      <c r="AR211">
        <v>50803336</v>
      </c>
      <c r="AS211">
        <v>228269020</v>
      </c>
      <c r="AT211">
        <v>0</v>
      </c>
    </row>
    <row r="212" spans="1:46" x14ac:dyDescent="0.3">
      <c r="A212" t="s">
        <v>6</v>
      </c>
      <c r="B212" t="s">
        <v>178</v>
      </c>
      <c r="C212" t="s">
        <v>159</v>
      </c>
      <c r="D212">
        <v>2035</v>
      </c>
      <c r="E212">
        <v>0.96</v>
      </c>
      <c r="F212">
        <v>0.95</v>
      </c>
      <c r="G212">
        <v>132.9</v>
      </c>
      <c r="H212">
        <v>421.3</v>
      </c>
      <c r="Y212">
        <v>388452320</v>
      </c>
      <c r="Z212">
        <v>322548740</v>
      </c>
      <c r="AA212">
        <v>9026638</v>
      </c>
      <c r="AB212">
        <v>636268.19999999995</v>
      </c>
      <c r="AC212">
        <v>0</v>
      </c>
      <c r="AD212">
        <v>18978490</v>
      </c>
      <c r="AE212">
        <v>12759816</v>
      </c>
      <c r="AF212">
        <v>0</v>
      </c>
      <c r="AG212">
        <v>0</v>
      </c>
      <c r="AH212">
        <v>6135648.5</v>
      </c>
      <c r="AI212">
        <v>3193880.8</v>
      </c>
      <c r="AJ212">
        <v>0</v>
      </c>
      <c r="AK212">
        <v>63435.199999999997</v>
      </c>
      <c r="AL212">
        <v>0</v>
      </c>
      <c r="AM212">
        <v>10158597</v>
      </c>
      <c r="AN212">
        <v>11049651</v>
      </c>
      <c r="AO212">
        <v>36789.199999999997</v>
      </c>
      <c r="AP212">
        <v>0</v>
      </c>
      <c r="AQ212">
        <v>0</v>
      </c>
      <c r="AR212">
        <v>60154900</v>
      </c>
      <c r="AS212">
        <v>256258200</v>
      </c>
      <c r="AT212">
        <v>0</v>
      </c>
    </row>
    <row r="213" spans="1:46" x14ac:dyDescent="0.3">
      <c r="A213" t="s">
        <v>6</v>
      </c>
      <c r="B213" t="s">
        <v>178</v>
      </c>
      <c r="C213" t="s">
        <v>159</v>
      </c>
      <c r="D213">
        <v>2040</v>
      </c>
      <c r="E213">
        <v>0.97</v>
      </c>
      <c r="F213">
        <v>0.97</v>
      </c>
      <c r="G213">
        <v>153.1</v>
      </c>
      <c r="H213">
        <v>344.1</v>
      </c>
      <c r="Y213">
        <v>428390300</v>
      </c>
      <c r="Z213">
        <v>366384770</v>
      </c>
      <c r="AA213">
        <v>11763522</v>
      </c>
      <c r="AB213">
        <v>599138.80000000005</v>
      </c>
      <c r="AC213">
        <v>0</v>
      </c>
      <c r="AD213">
        <v>19200620</v>
      </c>
      <c r="AE213">
        <v>9111308</v>
      </c>
      <c r="AF213">
        <v>0</v>
      </c>
      <c r="AG213">
        <v>0</v>
      </c>
      <c r="AH213">
        <v>6591245.5</v>
      </c>
      <c r="AI213">
        <v>2746204.8</v>
      </c>
      <c r="AJ213">
        <v>0</v>
      </c>
      <c r="AK213">
        <v>80242.2</v>
      </c>
      <c r="AL213">
        <v>0</v>
      </c>
      <c r="AM213">
        <v>9505415</v>
      </c>
      <c r="AN213">
        <v>8970752</v>
      </c>
      <c r="AO213">
        <v>28321.8</v>
      </c>
      <c r="AP213">
        <v>0</v>
      </c>
      <c r="AQ213">
        <v>0</v>
      </c>
      <c r="AR213">
        <v>85020130</v>
      </c>
      <c r="AS213">
        <v>274773400</v>
      </c>
      <c r="AT213">
        <v>0</v>
      </c>
    </row>
    <row r="214" spans="1:46" x14ac:dyDescent="0.3">
      <c r="A214" t="s">
        <v>6</v>
      </c>
      <c r="B214" t="s">
        <v>178</v>
      </c>
      <c r="C214" t="s">
        <v>159</v>
      </c>
      <c r="D214">
        <v>2045</v>
      </c>
      <c r="E214">
        <v>0.97</v>
      </c>
      <c r="F214">
        <v>0.97</v>
      </c>
      <c r="G214">
        <v>132.6</v>
      </c>
      <c r="H214">
        <v>330.8</v>
      </c>
      <c r="Y214">
        <v>454885200</v>
      </c>
      <c r="Z214">
        <v>395844220</v>
      </c>
      <c r="AA214">
        <v>17185348</v>
      </c>
      <c r="AB214">
        <v>595537.80000000005</v>
      </c>
      <c r="AC214">
        <v>0</v>
      </c>
      <c r="AD214">
        <v>19773928</v>
      </c>
      <c r="AE214">
        <v>8349560</v>
      </c>
      <c r="AF214">
        <v>0</v>
      </c>
      <c r="AG214">
        <v>0</v>
      </c>
      <c r="AH214">
        <v>7071611</v>
      </c>
      <c r="AI214">
        <v>3695706.5</v>
      </c>
      <c r="AJ214">
        <v>0</v>
      </c>
      <c r="AK214">
        <v>107138.1</v>
      </c>
      <c r="AL214">
        <v>0</v>
      </c>
      <c r="AM214">
        <v>9315047</v>
      </c>
      <c r="AN214">
        <v>0</v>
      </c>
      <c r="AO214">
        <v>18722.900000000001</v>
      </c>
      <c r="AP214">
        <v>0</v>
      </c>
      <c r="AQ214">
        <v>0</v>
      </c>
      <c r="AR214">
        <v>93419430</v>
      </c>
      <c r="AS214">
        <v>295353180</v>
      </c>
      <c r="AT214">
        <v>0</v>
      </c>
    </row>
    <row r="215" spans="1:46" x14ac:dyDescent="0.3">
      <c r="A215" t="s">
        <v>6</v>
      </c>
      <c r="B215" t="s">
        <v>178</v>
      </c>
      <c r="C215" t="s">
        <v>159</v>
      </c>
      <c r="D215">
        <v>2050</v>
      </c>
      <c r="E215">
        <v>0.98</v>
      </c>
      <c r="F215">
        <v>0.97</v>
      </c>
      <c r="G215">
        <v>145.30000000000001</v>
      </c>
      <c r="H215">
        <v>292.5</v>
      </c>
      <c r="Y215">
        <v>490028860</v>
      </c>
      <c r="Z215">
        <v>431568800</v>
      </c>
      <c r="AA215">
        <v>19013684</v>
      </c>
      <c r="AB215">
        <v>335998.4</v>
      </c>
      <c r="AC215">
        <v>0</v>
      </c>
      <c r="AD215">
        <v>19047430</v>
      </c>
      <c r="AE215">
        <v>6532542.5</v>
      </c>
      <c r="AF215">
        <v>0</v>
      </c>
      <c r="AG215">
        <v>0</v>
      </c>
      <c r="AH215">
        <v>7582112</v>
      </c>
      <c r="AI215">
        <v>4175698.8</v>
      </c>
      <c r="AJ215">
        <v>0</v>
      </c>
      <c r="AK215">
        <v>177769.9</v>
      </c>
      <c r="AL215">
        <v>0</v>
      </c>
      <c r="AM215">
        <v>9155238</v>
      </c>
      <c r="AN215">
        <v>0</v>
      </c>
      <c r="AO215">
        <v>21748.1</v>
      </c>
      <c r="AP215">
        <v>0</v>
      </c>
      <c r="AQ215">
        <v>0</v>
      </c>
      <c r="AR215">
        <v>103338550</v>
      </c>
      <c r="AS215">
        <v>320648100</v>
      </c>
      <c r="AT215">
        <v>0</v>
      </c>
    </row>
    <row r="216" spans="1:46" x14ac:dyDescent="0.3">
      <c r="A216" t="s">
        <v>6</v>
      </c>
      <c r="B216" t="s">
        <v>178</v>
      </c>
      <c r="C216" t="s">
        <v>160</v>
      </c>
      <c r="D216">
        <v>2024</v>
      </c>
      <c r="E216">
        <v>0.69</v>
      </c>
      <c r="F216">
        <v>0.69</v>
      </c>
      <c r="G216">
        <v>361.6</v>
      </c>
      <c r="H216">
        <v>761.7</v>
      </c>
      <c r="Y216">
        <v>130528430</v>
      </c>
      <c r="Z216">
        <v>23358050</v>
      </c>
      <c r="AA216">
        <v>101880.5</v>
      </c>
      <c r="AB216">
        <v>6460556.5</v>
      </c>
      <c r="AC216">
        <v>0</v>
      </c>
      <c r="AD216">
        <v>25294152</v>
      </c>
      <c r="AE216">
        <v>312292.59999999998</v>
      </c>
      <c r="AF216">
        <v>0</v>
      </c>
      <c r="AG216">
        <v>0</v>
      </c>
      <c r="AH216">
        <v>5799717.5</v>
      </c>
      <c r="AI216">
        <v>39445710</v>
      </c>
      <c r="AJ216">
        <v>0</v>
      </c>
      <c r="AK216">
        <v>91940</v>
      </c>
      <c r="AL216">
        <v>0</v>
      </c>
      <c r="AM216">
        <v>7545270.5</v>
      </c>
      <c r="AN216">
        <v>26513108</v>
      </c>
      <c r="AO216">
        <v>27108.3</v>
      </c>
      <c r="AP216">
        <v>1378363.5</v>
      </c>
      <c r="AQ216">
        <v>0</v>
      </c>
      <c r="AR216">
        <v>5494761</v>
      </c>
      <c r="AS216">
        <v>6136636</v>
      </c>
      <c r="AT216">
        <v>5926936</v>
      </c>
    </row>
    <row r="217" spans="1:46" x14ac:dyDescent="0.3">
      <c r="A217" t="s">
        <v>6</v>
      </c>
      <c r="B217" t="s">
        <v>178</v>
      </c>
      <c r="C217" t="s">
        <v>160</v>
      </c>
      <c r="D217">
        <v>2026</v>
      </c>
      <c r="E217">
        <v>0.71</v>
      </c>
      <c r="F217">
        <v>0.71</v>
      </c>
      <c r="G217">
        <v>316.60000000000002</v>
      </c>
      <c r="H217">
        <v>723.9</v>
      </c>
      <c r="Y217">
        <v>138566580</v>
      </c>
      <c r="Z217">
        <v>31365126</v>
      </c>
      <c r="AA217">
        <v>141188.9</v>
      </c>
      <c r="AB217">
        <v>6460198.5</v>
      </c>
      <c r="AC217">
        <v>0</v>
      </c>
      <c r="AD217">
        <v>24594830</v>
      </c>
      <c r="AE217">
        <v>187443</v>
      </c>
      <c r="AF217">
        <v>0</v>
      </c>
      <c r="AG217">
        <v>0</v>
      </c>
      <c r="AH217">
        <v>6513590</v>
      </c>
      <c r="AI217">
        <v>39898270</v>
      </c>
      <c r="AJ217">
        <v>0</v>
      </c>
      <c r="AK217">
        <v>105904.2</v>
      </c>
      <c r="AL217">
        <v>0</v>
      </c>
      <c r="AM217">
        <v>7538735</v>
      </c>
      <c r="AN217">
        <v>26467188</v>
      </c>
      <c r="AO217">
        <v>31834.7</v>
      </c>
      <c r="AP217">
        <v>1775847.8</v>
      </c>
      <c r="AQ217">
        <v>0</v>
      </c>
      <c r="AR217">
        <v>5726964</v>
      </c>
      <c r="AS217">
        <v>7017337</v>
      </c>
      <c r="AT217">
        <v>12107235</v>
      </c>
    </row>
    <row r="218" spans="1:46" x14ac:dyDescent="0.3">
      <c r="A218" t="s">
        <v>6</v>
      </c>
      <c r="B218" t="s">
        <v>178</v>
      </c>
      <c r="C218" t="s">
        <v>160</v>
      </c>
      <c r="D218">
        <v>2028</v>
      </c>
      <c r="E218">
        <v>0.72</v>
      </c>
      <c r="F218">
        <v>0.7</v>
      </c>
      <c r="G218">
        <v>275.2</v>
      </c>
      <c r="H218">
        <v>666</v>
      </c>
      <c r="Y218">
        <v>149136000</v>
      </c>
      <c r="Z218">
        <v>39092636</v>
      </c>
      <c r="AA218">
        <v>1162835</v>
      </c>
      <c r="AB218">
        <v>6446727.5</v>
      </c>
      <c r="AC218">
        <v>0</v>
      </c>
      <c r="AD218">
        <v>24319910</v>
      </c>
      <c r="AE218">
        <v>33099.4</v>
      </c>
      <c r="AF218">
        <v>0</v>
      </c>
      <c r="AG218">
        <v>0</v>
      </c>
      <c r="AH218">
        <v>7254941.5</v>
      </c>
      <c r="AI218">
        <v>42112100</v>
      </c>
      <c r="AJ218">
        <v>0</v>
      </c>
      <c r="AK218">
        <v>111200.5</v>
      </c>
      <c r="AL218">
        <v>0</v>
      </c>
      <c r="AM218">
        <v>7595889</v>
      </c>
      <c r="AN218">
        <v>26421396</v>
      </c>
      <c r="AO218">
        <v>46246.3</v>
      </c>
      <c r="AP218">
        <v>1793964.4</v>
      </c>
      <c r="AQ218">
        <v>0</v>
      </c>
      <c r="AR218">
        <v>6114495.5</v>
      </c>
      <c r="AS218">
        <v>7112241</v>
      </c>
      <c r="AT218">
        <v>18610960</v>
      </c>
    </row>
    <row r="219" spans="1:46" x14ac:dyDescent="0.3">
      <c r="A219" t="s">
        <v>6</v>
      </c>
      <c r="B219" t="s">
        <v>178</v>
      </c>
      <c r="C219" t="s">
        <v>160</v>
      </c>
      <c r="D219">
        <v>2030</v>
      </c>
      <c r="E219">
        <v>0.75</v>
      </c>
      <c r="F219">
        <v>0.73</v>
      </c>
      <c r="G219">
        <v>243.9</v>
      </c>
      <c r="H219">
        <v>615.20000000000005</v>
      </c>
      <c r="Y219">
        <v>154066100</v>
      </c>
      <c r="Z219">
        <v>47571610</v>
      </c>
      <c r="AA219">
        <v>3107523.2</v>
      </c>
      <c r="AB219">
        <v>5677017</v>
      </c>
      <c r="AC219">
        <v>0</v>
      </c>
      <c r="AD219">
        <v>23874786</v>
      </c>
      <c r="AE219">
        <v>0</v>
      </c>
      <c r="AF219">
        <v>0</v>
      </c>
      <c r="AG219">
        <v>0</v>
      </c>
      <c r="AH219">
        <v>8249582.5</v>
      </c>
      <c r="AI219">
        <v>38075650</v>
      </c>
      <c r="AJ219">
        <v>0</v>
      </c>
      <c r="AK219">
        <v>103894</v>
      </c>
      <c r="AL219">
        <v>0</v>
      </c>
      <c r="AM219">
        <v>7546689.5</v>
      </c>
      <c r="AN219">
        <v>26124536</v>
      </c>
      <c r="AO219">
        <v>32893.199999999997</v>
      </c>
      <c r="AP219">
        <v>1951507.2</v>
      </c>
      <c r="AQ219">
        <v>0</v>
      </c>
      <c r="AR219">
        <v>6459583</v>
      </c>
      <c r="AS219">
        <v>10316681</v>
      </c>
      <c r="AT219">
        <v>22545760</v>
      </c>
    </row>
    <row r="220" spans="1:46" x14ac:dyDescent="0.3">
      <c r="A220" t="s">
        <v>6</v>
      </c>
      <c r="B220" t="s">
        <v>178</v>
      </c>
      <c r="C220" t="s">
        <v>160</v>
      </c>
      <c r="D220">
        <v>2035</v>
      </c>
      <c r="E220">
        <v>0.77</v>
      </c>
      <c r="F220">
        <v>0.78</v>
      </c>
      <c r="G220">
        <v>216.6</v>
      </c>
      <c r="H220">
        <v>571.20000000000005</v>
      </c>
      <c r="Y220">
        <v>161031870</v>
      </c>
      <c r="Z220">
        <v>58357428</v>
      </c>
      <c r="AA220">
        <v>5052053.5</v>
      </c>
      <c r="AB220">
        <v>3748921.5</v>
      </c>
      <c r="AC220">
        <v>0</v>
      </c>
      <c r="AD220">
        <v>21656050</v>
      </c>
      <c r="AE220">
        <v>3935.6</v>
      </c>
      <c r="AF220">
        <v>0</v>
      </c>
      <c r="AG220">
        <v>0</v>
      </c>
      <c r="AH220">
        <v>9284482</v>
      </c>
      <c r="AI220">
        <v>35719740</v>
      </c>
      <c r="AJ220">
        <v>0</v>
      </c>
      <c r="AK220">
        <v>952990.2</v>
      </c>
      <c r="AL220">
        <v>0</v>
      </c>
      <c r="AM220">
        <v>7467097</v>
      </c>
      <c r="AN220">
        <v>25956366</v>
      </c>
      <c r="AO220">
        <v>37481.599999999999</v>
      </c>
      <c r="AP220">
        <v>2079819.8</v>
      </c>
      <c r="AQ220">
        <v>0</v>
      </c>
      <c r="AR220">
        <v>6688897.5</v>
      </c>
      <c r="AS220">
        <v>10176670</v>
      </c>
      <c r="AT220">
        <v>32207372</v>
      </c>
    </row>
    <row r="221" spans="1:46" x14ac:dyDescent="0.3">
      <c r="A221" t="s">
        <v>6</v>
      </c>
      <c r="B221" t="s">
        <v>178</v>
      </c>
      <c r="C221" t="s">
        <v>160</v>
      </c>
      <c r="D221">
        <v>2040</v>
      </c>
      <c r="E221">
        <v>0.76</v>
      </c>
      <c r="F221">
        <v>0.77</v>
      </c>
      <c r="G221">
        <v>194.7</v>
      </c>
      <c r="H221">
        <v>573.4</v>
      </c>
      <c r="Y221">
        <v>173778080</v>
      </c>
      <c r="Z221">
        <v>65273428</v>
      </c>
      <c r="AA221">
        <v>8303347</v>
      </c>
      <c r="AB221">
        <v>3206753.8</v>
      </c>
      <c r="AC221">
        <v>0</v>
      </c>
      <c r="AD221">
        <v>20462288</v>
      </c>
      <c r="AE221">
        <v>0</v>
      </c>
      <c r="AF221">
        <v>0</v>
      </c>
      <c r="AG221">
        <v>0</v>
      </c>
      <c r="AH221">
        <v>9295364</v>
      </c>
      <c r="AI221">
        <v>39686450</v>
      </c>
      <c r="AJ221">
        <v>0</v>
      </c>
      <c r="AK221">
        <v>1437040.1</v>
      </c>
      <c r="AL221">
        <v>0</v>
      </c>
      <c r="AM221">
        <v>7441553</v>
      </c>
      <c r="AN221">
        <v>25950008</v>
      </c>
      <c r="AO221">
        <v>67048.7</v>
      </c>
      <c r="AP221">
        <v>1950170.2</v>
      </c>
      <c r="AQ221">
        <v>0</v>
      </c>
      <c r="AR221">
        <v>12148059</v>
      </c>
      <c r="AS221">
        <v>12054563</v>
      </c>
      <c r="AT221">
        <v>31775440</v>
      </c>
    </row>
    <row r="222" spans="1:46" x14ac:dyDescent="0.3">
      <c r="A222" t="s">
        <v>6</v>
      </c>
      <c r="B222" t="s">
        <v>178</v>
      </c>
      <c r="C222" t="s">
        <v>160</v>
      </c>
      <c r="D222">
        <v>2045</v>
      </c>
      <c r="E222">
        <v>0.76</v>
      </c>
      <c r="F222">
        <v>0.76</v>
      </c>
      <c r="G222">
        <v>177.2</v>
      </c>
      <c r="H222">
        <v>582.79999999999995</v>
      </c>
      <c r="Y222">
        <v>194777440</v>
      </c>
      <c r="Z222">
        <v>77455890</v>
      </c>
      <c r="AA222">
        <v>11400371</v>
      </c>
      <c r="AB222">
        <v>3165990.8</v>
      </c>
      <c r="AC222">
        <v>0</v>
      </c>
      <c r="AD222">
        <v>20502366</v>
      </c>
      <c r="AE222">
        <v>0</v>
      </c>
      <c r="AF222">
        <v>0</v>
      </c>
      <c r="AG222">
        <v>0</v>
      </c>
      <c r="AH222">
        <v>9429689</v>
      </c>
      <c r="AI222">
        <v>43934510</v>
      </c>
      <c r="AJ222">
        <v>0</v>
      </c>
      <c r="AK222">
        <v>3062537.2</v>
      </c>
      <c r="AL222">
        <v>0</v>
      </c>
      <c r="AM222">
        <v>7425026.5</v>
      </c>
      <c r="AN222">
        <v>25844160</v>
      </c>
      <c r="AO222">
        <v>89558</v>
      </c>
      <c r="AP222">
        <v>1897031.8</v>
      </c>
      <c r="AQ222">
        <v>0</v>
      </c>
      <c r="AR222">
        <v>21172960</v>
      </c>
      <c r="AS222">
        <v>15504638</v>
      </c>
      <c r="AT222">
        <v>31348602</v>
      </c>
    </row>
    <row r="223" spans="1:46" x14ac:dyDescent="0.3">
      <c r="A223" t="s">
        <v>6</v>
      </c>
      <c r="B223" t="s">
        <v>178</v>
      </c>
      <c r="C223" t="s">
        <v>160</v>
      </c>
      <c r="D223">
        <v>2050</v>
      </c>
      <c r="E223">
        <v>0.77</v>
      </c>
      <c r="F223">
        <v>0.77</v>
      </c>
      <c r="G223">
        <v>171.4</v>
      </c>
      <c r="H223">
        <v>564</v>
      </c>
      <c r="Y223">
        <v>218044720</v>
      </c>
      <c r="Z223">
        <v>95426560</v>
      </c>
      <c r="AA223">
        <v>14672830</v>
      </c>
      <c r="AB223">
        <v>3061273.2</v>
      </c>
      <c r="AC223">
        <v>0</v>
      </c>
      <c r="AD223">
        <v>20510316</v>
      </c>
      <c r="AE223">
        <v>0</v>
      </c>
      <c r="AF223">
        <v>0</v>
      </c>
      <c r="AG223">
        <v>0</v>
      </c>
      <c r="AH223">
        <v>9654941</v>
      </c>
      <c r="AI223">
        <v>44016240</v>
      </c>
      <c r="AJ223">
        <v>0</v>
      </c>
      <c r="AK223">
        <v>5226202</v>
      </c>
      <c r="AL223">
        <v>0</v>
      </c>
      <c r="AM223">
        <v>7153912</v>
      </c>
      <c r="AN223">
        <v>25600176</v>
      </c>
      <c r="AO223">
        <v>103355.8</v>
      </c>
      <c r="AP223">
        <v>2273866</v>
      </c>
      <c r="AQ223">
        <v>0</v>
      </c>
      <c r="AR223">
        <v>32558064</v>
      </c>
      <c r="AS223">
        <v>22257288</v>
      </c>
      <c r="AT223">
        <v>30956262</v>
      </c>
    </row>
    <row r="224" spans="1:46" x14ac:dyDescent="0.3">
      <c r="A224" t="s">
        <v>6</v>
      </c>
      <c r="B224" t="s">
        <v>178</v>
      </c>
      <c r="C224" t="s">
        <v>161</v>
      </c>
      <c r="D224">
        <v>2024</v>
      </c>
      <c r="E224">
        <v>0.76</v>
      </c>
      <c r="F224">
        <v>0.76</v>
      </c>
      <c r="G224">
        <v>324.8</v>
      </c>
      <c r="H224">
        <v>760.3</v>
      </c>
      <c r="Y224">
        <v>290765950</v>
      </c>
      <c r="Z224">
        <v>46118520</v>
      </c>
      <c r="AA224">
        <v>505985.8</v>
      </c>
      <c r="AB224">
        <v>1885351.4</v>
      </c>
      <c r="AC224">
        <v>0</v>
      </c>
      <c r="AD224">
        <v>8772366</v>
      </c>
      <c r="AE224">
        <v>39724610</v>
      </c>
      <c r="AF224">
        <v>0</v>
      </c>
      <c r="AG224">
        <v>221969.5</v>
      </c>
      <c r="AH224">
        <v>2596831.7999999998</v>
      </c>
      <c r="AI224">
        <v>29595284</v>
      </c>
      <c r="AJ224">
        <v>0</v>
      </c>
      <c r="AK224">
        <v>45988</v>
      </c>
      <c r="AL224">
        <v>5848751.5</v>
      </c>
      <c r="AM224">
        <v>149053870</v>
      </c>
      <c r="AN224">
        <v>9025404</v>
      </c>
      <c r="AO224">
        <v>5179.7</v>
      </c>
      <c r="AP224">
        <v>184640.7</v>
      </c>
      <c r="AQ224">
        <v>0</v>
      </c>
      <c r="AR224">
        <v>13444891</v>
      </c>
      <c r="AS224">
        <v>29854826</v>
      </c>
      <c r="AT224">
        <v>0</v>
      </c>
    </row>
    <row r="225" spans="1:46" x14ac:dyDescent="0.3">
      <c r="A225" t="s">
        <v>6</v>
      </c>
      <c r="B225" t="s">
        <v>178</v>
      </c>
      <c r="C225" t="s">
        <v>161</v>
      </c>
      <c r="D225">
        <v>2026</v>
      </c>
      <c r="E225">
        <v>0.8</v>
      </c>
      <c r="F225">
        <v>0.8</v>
      </c>
      <c r="G225">
        <v>249.6</v>
      </c>
      <c r="H225">
        <v>709.4</v>
      </c>
      <c r="Y225">
        <v>290912580</v>
      </c>
      <c r="Z225">
        <v>50644536</v>
      </c>
      <c r="AA225">
        <v>1432079.1</v>
      </c>
      <c r="AB225">
        <v>1861951</v>
      </c>
      <c r="AC225">
        <v>0</v>
      </c>
      <c r="AD225">
        <v>10671111</v>
      </c>
      <c r="AE225">
        <v>31509100</v>
      </c>
      <c r="AF225">
        <v>0</v>
      </c>
      <c r="AG225">
        <v>220199.5</v>
      </c>
      <c r="AH225">
        <v>3607382.5</v>
      </c>
      <c r="AI225">
        <v>27074428</v>
      </c>
      <c r="AJ225">
        <v>0</v>
      </c>
      <c r="AK225">
        <v>40851.4</v>
      </c>
      <c r="AL225">
        <v>5848751.5</v>
      </c>
      <c r="AM225">
        <v>152575000</v>
      </c>
      <c r="AN225">
        <v>8955408</v>
      </c>
      <c r="AO225">
        <v>3113.5</v>
      </c>
      <c r="AP225">
        <v>296226.5</v>
      </c>
      <c r="AQ225">
        <v>0</v>
      </c>
      <c r="AR225">
        <v>17117536</v>
      </c>
      <c r="AS225">
        <v>29699418</v>
      </c>
      <c r="AT225">
        <v>0</v>
      </c>
    </row>
    <row r="226" spans="1:46" x14ac:dyDescent="0.3">
      <c r="A226" t="s">
        <v>6</v>
      </c>
      <c r="B226" t="s">
        <v>178</v>
      </c>
      <c r="C226" t="s">
        <v>161</v>
      </c>
      <c r="D226">
        <v>2028</v>
      </c>
      <c r="E226">
        <v>0.84</v>
      </c>
      <c r="F226">
        <v>0.85</v>
      </c>
      <c r="G226">
        <v>172.7</v>
      </c>
      <c r="H226">
        <v>648.9</v>
      </c>
      <c r="Y226">
        <v>287849730</v>
      </c>
      <c r="Z226">
        <v>58182790</v>
      </c>
      <c r="AA226">
        <v>2904904.2</v>
      </c>
      <c r="AB226">
        <v>1359456.5</v>
      </c>
      <c r="AC226">
        <v>0</v>
      </c>
      <c r="AD226">
        <v>10471012</v>
      </c>
      <c r="AE226">
        <v>24784346</v>
      </c>
      <c r="AF226">
        <v>0</v>
      </c>
      <c r="AG226">
        <v>222112.6</v>
      </c>
      <c r="AH226">
        <v>4756776</v>
      </c>
      <c r="AI226">
        <v>21131520</v>
      </c>
      <c r="AJ226">
        <v>0</v>
      </c>
      <c r="AK226">
        <v>22689.4</v>
      </c>
      <c r="AL226">
        <v>7832711</v>
      </c>
      <c r="AM226">
        <v>151943580</v>
      </c>
      <c r="AN226">
        <v>8792619</v>
      </c>
      <c r="AO226">
        <v>447.1</v>
      </c>
      <c r="AP226">
        <v>423655.4</v>
      </c>
      <c r="AQ226">
        <v>0</v>
      </c>
      <c r="AR226">
        <v>20616536</v>
      </c>
      <c r="AS226">
        <v>32587364</v>
      </c>
      <c r="AT226">
        <v>0</v>
      </c>
    </row>
    <row r="227" spans="1:46" x14ac:dyDescent="0.3">
      <c r="A227" t="s">
        <v>6</v>
      </c>
      <c r="B227" t="s">
        <v>178</v>
      </c>
      <c r="C227" t="s">
        <v>161</v>
      </c>
      <c r="D227">
        <v>2030</v>
      </c>
      <c r="E227">
        <v>0.87</v>
      </c>
      <c r="F227">
        <v>0.91</v>
      </c>
      <c r="G227">
        <v>125</v>
      </c>
      <c r="H227">
        <v>531.5</v>
      </c>
      <c r="Y227">
        <v>283605860</v>
      </c>
      <c r="Z227">
        <v>67502530</v>
      </c>
      <c r="AA227">
        <v>4316831.5</v>
      </c>
      <c r="AB227">
        <v>1108500.5</v>
      </c>
      <c r="AC227">
        <v>0</v>
      </c>
      <c r="AD227">
        <v>10241216</v>
      </c>
      <c r="AE227">
        <v>20924070</v>
      </c>
      <c r="AF227">
        <v>0</v>
      </c>
      <c r="AG227">
        <v>222570.3</v>
      </c>
      <c r="AH227">
        <v>6530920.5</v>
      </c>
      <c r="AI227">
        <v>16295949</v>
      </c>
      <c r="AJ227">
        <v>0</v>
      </c>
      <c r="AK227">
        <v>27897</v>
      </c>
      <c r="AL227">
        <v>7832711</v>
      </c>
      <c r="AM227">
        <v>146438980</v>
      </c>
      <c r="AN227">
        <v>8442606</v>
      </c>
      <c r="AO227">
        <v>220.9</v>
      </c>
      <c r="AP227">
        <v>474342</v>
      </c>
      <c r="AQ227">
        <v>0</v>
      </c>
      <c r="AR227">
        <v>24735178</v>
      </c>
      <c r="AS227">
        <v>36013860</v>
      </c>
      <c r="AT227">
        <v>0</v>
      </c>
    </row>
    <row r="228" spans="1:46" x14ac:dyDescent="0.3">
      <c r="A228" t="s">
        <v>6</v>
      </c>
      <c r="B228" t="s">
        <v>178</v>
      </c>
      <c r="C228" t="s">
        <v>161</v>
      </c>
      <c r="D228">
        <v>2035</v>
      </c>
      <c r="E228">
        <v>0.88</v>
      </c>
      <c r="F228">
        <v>0.92</v>
      </c>
      <c r="G228">
        <v>96.9</v>
      </c>
      <c r="H228">
        <v>467.2</v>
      </c>
      <c r="Y228">
        <v>351272060</v>
      </c>
      <c r="Z228">
        <v>125020056</v>
      </c>
      <c r="AA228">
        <v>9788695</v>
      </c>
      <c r="AB228">
        <v>727706.6</v>
      </c>
      <c r="AC228">
        <v>0</v>
      </c>
      <c r="AD228">
        <v>9762453</v>
      </c>
      <c r="AE228">
        <v>18163240</v>
      </c>
      <c r="AF228">
        <v>0</v>
      </c>
      <c r="AG228">
        <v>221879.9</v>
      </c>
      <c r="AH228">
        <v>8588158</v>
      </c>
      <c r="AI228">
        <v>24790768</v>
      </c>
      <c r="AJ228">
        <v>0</v>
      </c>
      <c r="AK228">
        <v>144288.4</v>
      </c>
      <c r="AL228">
        <v>7830384</v>
      </c>
      <c r="AM228">
        <v>142723310</v>
      </c>
      <c r="AN228">
        <v>8250481</v>
      </c>
      <c r="AO228">
        <v>317</v>
      </c>
      <c r="AP228">
        <v>4070351.2</v>
      </c>
      <c r="AQ228">
        <v>0</v>
      </c>
      <c r="AR228">
        <v>50656044</v>
      </c>
      <c r="AS228">
        <v>65553976</v>
      </c>
      <c r="AT228">
        <v>0</v>
      </c>
    </row>
    <row r="229" spans="1:46" x14ac:dyDescent="0.3">
      <c r="A229" t="s">
        <v>6</v>
      </c>
      <c r="B229" t="s">
        <v>178</v>
      </c>
      <c r="C229" t="s">
        <v>161</v>
      </c>
      <c r="D229">
        <v>2040</v>
      </c>
      <c r="E229">
        <v>0.9</v>
      </c>
      <c r="F229">
        <v>0.95</v>
      </c>
      <c r="G229">
        <v>83.4</v>
      </c>
      <c r="H229">
        <v>409.2</v>
      </c>
      <c r="Y229">
        <v>401317150</v>
      </c>
      <c r="Z229">
        <v>173748800</v>
      </c>
      <c r="AA229">
        <v>20251576</v>
      </c>
      <c r="AB229">
        <v>668014.9</v>
      </c>
      <c r="AC229">
        <v>0</v>
      </c>
      <c r="AD229">
        <v>9581913</v>
      </c>
      <c r="AE229">
        <v>15631410</v>
      </c>
      <c r="AF229">
        <v>0</v>
      </c>
      <c r="AG229">
        <v>215181.4</v>
      </c>
      <c r="AH229">
        <v>8654746</v>
      </c>
      <c r="AI229">
        <v>24811726</v>
      </c>
      <c r="AJ229">
        <v>0</v>
      </c>
      <c r="AK229">
        <v>523099.5</v>
      </c>
      <c r="AL229">
        <v>7031905</v>
      </c>
      <c r="AM229">
        <v>136686560</v>
      </c>
      <c r="AN229">
        <v>8130449.5</v>
      </c>
      <c r="AO229">
        <v>305</v>
      </c>
      <c r="AP229">
        <v>4251399.5</v>
      </c>
      <c r="AQ229">
        <v>0</v>
      </c>
      <c r="AR229">
        <v>81959990</v>
      </c>
      <c r="AS229">
        <v>82918870</v>
      </c>
      <c r="AT229">
        <v>0</v>
      </c>
    </row>
    <row r="230" spans="1:46" x14ac:dyDescent="0.3">
      <c r="A230" t="s">
        <v>6</v>
      </c>
      <c r="B230" t="s">
        <v>178</v>
      </c>
      <c r="C230" t="s">
        <v>161</v>
      </c>
      <c r="D230">
        <v>2045</v>
      </c>
      <c r="E230">
        <v>0.91</v>
      </c>
      <c r="F230">
        <v>0.96</v>
      </c>
      <c r="G230">
        <v>79.400000000000006</v>
      </c>
      <c r="H230">
        <v>383.2</v>
      </c>
      <c r="Y230">
        <v>441697800</v>
      </c>
      <c r="Z230">
        <v>213953800</v>
      </c>
      <c r="AA230">
        <v>28234586</v>
      </c>
      <c r="AB230">
        <v>622559</v>
      </c>
      <c r="AC230">
        <v>0</v>
      </c>
      <c r="AD230">
        <v>9902913</v>
      </c>
      <c r="AE230">
        <v>13398121</v>
      </c>
      <c r="AF230">
        <v>0</v>
      </c>
      <c r="AG230">
        <v>194756.4</v>
      </c>
      <c r="AH230">
        <v>8774335</v>
      </c>
      <c r="AI230">
        <v>25450434</v>
      </c>
      <c r="AJ230">
        <v>0</v>
      </c>
      <c r="AK230">
        <v>1210007.1000000001</v>
      </c>
      <c r="AL230">
        <v>6369765</v>
      </c>
      <c r="AM230">
        <v>129970510</v>
      </c>
      <c r="AN230">
        <v>8006360</v>
      </c>
      <c r="AO230">
        <v>86.4</v>
      </c>
      <c r="AP230">
        <v>4578663.5</v>
      </c>
      <c r="AQ230">
        <v>0</v>
      </c>
      <c r="AR230">
        <v>107130820</v>
      </c>
      <c r="AS230">
        <v>97853880</v>
      </c>
      <c r="AT230">
        <v>0</v>
      </c>
    </row>
    <row r="231" spans="1:46" x14ac:dyDescent="0.3">
      <c r="A231" t="s">
        <v>6</v>
      </c>
      <c r="B231" t="s">
        <v>178</v>
      </c>
      <c r="C231" t="s">
        <v>161</v>
      </c>
      <c r="D231">
        <v>2050</v>
      </c>
      <c r="E231">
        <v>0.93</v>
      </c>
      <c r="F231">
        <v>0.97</v>
      </c>
      <c r="G231">
        <v>84.2</v>
      </c>
      <c r="H231">
        <v>362.4</v>
      </c>
      <c r="Y231">
        <v>516730720</v>
      </c>
      <c r="Z231">
        <v>286782600</v>
      </c>
      <c r="AA231">
        <v>37371570</v>
      </c>
      <c r="AB231">
        <v>600820.5</v>
      </c>
      <c r="AC231">
        <v>0</v>
      </c>
      <c r="AD231">
        <v>9889438</v>
      </c>
      <c r="AE231">
        <v>9410402</v>
      </c>
      <c r="AF231">
        <v>0</v>
      </c>
      <c r="AG231">
        <v>0</v>
      </c>
      <c r="AH231">
        <v>8951480</v>
      </c>
      <c r="AI231">
        <v>25966848</v>
      </c>
      <c r="AJ231">
        <v>0</v>
      </c>
      <c r="AK231">
        <v>3282976</v>
      </c>
      <c r="AL231">
        <v>5348263</v>
      </c>
      <c r="AM231">
        <v>125607384</v>
      </c>
      <c r="AN231">
        <v>7952295</v>
      </c>
      <c r="AO231">
        <v>0</v>
      </c>
      <c r="AP231">
        <v>4518133</v>
      </c>
      <c r="AQ231">
        <v>0</v>
      </c>
      <c r="AR231">
        <v>135575940</v>
      </c>
      <c r="AS231">
        <v>142255180</v>
      </c>
      <c r="AT231">
        <v>0</v>
      </c>
    </row>
    <row r="232" spans="1:46" x14ac:dyDescent="0.3">
      <c r="A232" t="s">
        <v>6</v>
      </c>
      <c r="B232" t="s">
        <v>178</v>
      </c>
      <c r="C232" t="s">
        <v>162</v>
      </c>
      <c r="D232">
        <v>2024</v>
      </c>
      <c r="E232">
        <v>0.68</v>
      </c>
      <c r="F232">
        <v>0.65</v>
      </c>
      <c r="G232">
        <v>311</v>
      </c>
      <c r="H232">
        <v>826.3</v>
      </c>
      <c r="Y232">
        <v>145090400</v>
      </c>
      <c r="Z232">
        <v>27614320</v>
      </c>
      <c r="AA232">
        <v>1422539.9</v>
      </c>
      <c r="AB232">
        <v>2012466.8</v>
      </c>
      <c r="AC232">
        <v>0</v>
      </c>
      <c r="AD232">
        <v>13724098</v>
      </c>
      <c r="AE232">
        <v>1671968.4</v>
      </c>
      <c r="AF232">
        <v>0</v>
      </c>
      <c r="AG232">
        <v>0</v>
      </c>
      <c r="AH232">
        <v>2489187</v>
      </c>
      <c r="AI232">
        <v>36563612</v>
      </c>
      <c r="AJ232">
        <v>0</v>
      </c>
      <c r="AK232">
        <v>1401580.1</v>
      </c>
      <c r="AL232">
        <v>0</v>
      </c>
      <c r="AM232">
        <v>26825972</v>
      </c>
      <c r="AN232">
        <v>25580692</v>
      </c>
      <c r="AO232">
        <v>6781995</v>
      </c>
      <c r="AP232">
        <v>1491155.6</v>
      </c>
      <c r="AQ232">
        <v>0</v>
      </c>
      <c r="AR232">
        <v>7687428</v>
      </c>
      <c r="AS232">
        <v>16954940</v>
      </c>
      <c r="AT232">
        <v>482764.3</v>
      </c>
    </row>
    <row r="233" spans="1:46" x14ac:dyDescent="0.3">
      <c r="A233" t="s">
        <v>6</v>
      </c>
      <c r="B233" t="s">
        <v>178</v>
      </c>
      <c r="C233" t="s">
        <v>162</v>
      </c>
      <c r="D233">
        <v>2026</v>
      </c>
      <c r="E233">
        <v>0.75</v>
      </c>
      <c r="F233">
        <v>0.72</v>
      </c>
      <c r="G233">
        <v>263.7</v>
      </c>
      <c r="H233">
        <v>777.6</v>
      </c>
      <c r="Y233">
        <v>157991920</v>
      </c>
      <c r="Z233">
        <v>38366936</v>
      </c>
      <c r="AA233">
        <v>1802821.6</v>
      </c>
      <c r="AB233">
        <v>2005208.2</v>
      </c>
      <c r="AC233">
        <v>0</v>
      </c>
      <c r="AD233">
        <v>22659312</v>
      </c>
      <c r="AE233">
        <v>1159360.6000000001</v>
      </c>
      <c r="AF233">
        <v>0</v>
      </c>
      <c r="AG233">
        <v>0</v>
      </c>
      <c r="AH233">
        <v>2848871.8</v>
      </c>
      <c r="AI233">
        <v>33140372</v>
      </c>
      <c r="AJ233">
        <v>0</v>
      </c>
      <c r="AK233">
        <v>907384.2</v>
      </c>
      <c r="AL233">
        <v>0</v>
      </c>
      <c r="AM233">
        <v>27633596</v>
      </c>
      <c r="AN233">
        <v>25558522</v>
      </c>
      <c r="AO233">
        <v>3710215.5</v>
      </c>
      <c r="AP233">
        <v>1048188</v>
      </c>
      <c r="AQ233">
        <v>0</v>
      </c>
      <c r="AR233">
        <v>7570019</v>
      </c>
      <c r="AS233">
        <v>16863508</v>
      </c>
      <c r="AT233">
        <v>11084536</v>
      </c>
    </row>
    <row r="234" spans="1:46" x14ac:dyDescent="0.3">
      <c r="A234" t="s">
        <v>6</v>
      </c>
      <c r="B234" t="s">
        <v>178</v>
      </c>
      <c r="C234" t="s">
        <v>162</v>
      </c>
      <c r="D234">
        <v>2028</v>
      </c>
      <c r="E234">
        <v>0.78</v>
      </c>
      <c r="F234">
        <v>0.76</v>
      </c>
      <c r="G234">
        <v>169.9</v>
      </c>
      <c r="H234">
        <v>704.2</v>
      </c>
      <c r="Y234">
        <v>164207630</v>
      </c>
      <c r="Z234">
        <v>43065080</v>
      </c>
      <c r="AA234">
        <v>2519897.5</v>
      </c>
      <c r="AB234">
        <v>1994894.8</v>
      </c>
      <c r="AC234">
        <v>0</v>
      </c>
      <c r="AD234">
        <v>25173490</v>
      </c>
      <c r="AE234">
        <v>606499.5</v>
      </c>
      <c r="AF234">
        <v>0</v>
      </c>
      <c r="AG234">
        <v>0</v>
      </c>
      <c r="AH234">
        <v>3403371.5</v>
      </c>
      <c r="AI234">
        <v>31699098</v>
      </c>
      <c r="AJ234">
        <v>0</v>
      </c>
      <c r="AK234">
        <v>824523.8</v>
      </c>
      <c r="AL234">
        <v>0</v>
      </c>
      <c r="AM234">
        <v>27928172</v>
      </c>
      <c r="AN234">
        <v>25488708</v>
      </c>
      <c r="AO234">
        <v>3405164.8</v>
      </c>
      <c r="AP234">
        <v>1502101.2</v>
      </c>
      <c r="AQ234">
        <v>0</v>
      </c>
      <c r="AR234">
        <v>7462459</v>
      </c>
      <c r="AS234">
        <v>16772566</v>
      </c>
      <c r="AT234">
        <v>15426682</v>
      </c>
    </row>
    <row r="235" spans="1:46" x14ac:dyDescent="0.3">
      <c r="A235" t="s">
        <v>6</v>
      </c>
      <c r="B235" t="s">
        <v>178</v>
      </c>
      <c r="C235" t="s">
        <v>162</v>
      </c>
      <c r="D235">
        <v>2030</v>
      </c>
      <c r="E235">
        <v>0.82</v>
      </c>
      <c r="F235">
        <v>0.9</v>
      </c>
      <c r="G235">
        <v>100.1</v>
      </c>
      <c r="H235">
        <v>664</v>
      </c>
      <c r="Y235">
        <v>180624690</v>
      </c>
      <c r="Z235">
        <v>61705270</v>
      </c>
      <c r="AA235">
        <v>4723330.5</v>
      </c>
      <c r="AB235">
        <v>1961062.8</v>
      </c>
      <c r="AC235">
        <v>0</v>
      </c>
      <c r="AD235">
        <v>24763826</v>
      </c>
      <c r="AE235">
        <v>414425.1</v>
      </c>
      <c r="AF235">
        <v>0</v>
      </c>
      <c r="AG235">
        <v>0</v>
      </c>
      <c r="AH235">
        <v>4275024</v>
      </c>
      <c r="AI235">
        <v>28210400</v>
      </c>
      <c r="AJ235">
        <v>0</v>
      </c>
      <c r="AK235">
        <v>833810</v>
      </c>
      <c r="AL235">
        <v>0</v>
      </c>
      <c r="AM235">
        <v>27743686</v>
      </c>
      <c r="AN235">
        <v>25199000</v>
      </c>
      <c r="AO235">
        <v>3488283.2</v>
      </c>
      <c r="AP235">
        <v>1581585.2</v>
      </c>
      <c r="AQ235">
        <v>0</v>
      </c>
      <c r="AR235">
        <v>25401616</v>
      </c>
      <c r="AS235">
        <v>16682117</v>
      </c>
      <c r="AT235">
        <v>15346520</v>
      </c>
    </row>
    <row r="236" spans="1:46" x14ac:dyDescent="0.3">
      <c r="A236" t="s">
        <v>6</v>
      </c>
      <c r="B236" t="s">
        <v>178</v>
      </c>
      <c r="C236" t="s">
        <v>162</v>
      </c>
      <c r="D236">
        <v>2035</v>
      </c>
      <c r="E236">
        <v>0.84</v>
      </c>
      <c r="F236">
        <v>0.95</v>
      </c>
      <c r="G236">
        <v>30.4</v>
      </c>
      <c r="H236">
        <v>595.29999999999995</v>
      </c>
      <c r="Y236">
        <v>208712320</v>
      </c>
      <c r="Z236">
        <v>87304050</v>
      </c>
      <c r="AA236">
        <v>8587086</v>
      </c>
      <c r="AB236">
        <v>1506783.8</v>
      </c>
      <c r="AC236">
        <v>0</v>
      </c>
      <c r="AD236">
        <v>24044820</v>
      </c>
      <c r="AE236">
        <v>0</v>
      </c>
      <c r="AF236">
        <v>0</v>
      </c>
      <c r="AG236">
        <v>0</v>
      </c>
      <c r="AH236">
        <v>5264557.5</v>
      </c>
      <c r="AI236">
        <v>31161808</v>
      </c>
      <c r="AJ236">
        <v>0</v>
      </c>
      <c r="AK236">
        <v>642655.9</v>
      </c>
      <c r="AL236">
        <v>0</v>
      </c>
      <c r="AM236">
        <v>27323588</v>
      </c>
      <c r="AN236">
        <v>24941010</v>
      </c>
      <c r="AO236">
        <v>1592315.2</v>
      </c>
      <c r="AP236">
        <v>1608202.9</v>
      </c>
      <c r="AQ236">
        <v>0</v>
      </c>
      <c r="AR236">
        <v>33781890</v>
      </c>
      <c r="AS236">
        <v>16661789</v>
      </c>
      <c r="AT236">
        <v>31595812</v>
      </c>
    </row>
    <row r="237" spans="1:46" x14ac:dyDescent="0.3">
      <c r="A237" t="s">
        <v>6</v>
      </c>
      <c r="B237" t="s">
        <v>178</v>
      </c>
      <c r="C237" t="s">
        <v>162</v>
      </c>
      <c r="D237">
        <v>2040</v>
      </c>
      <c r="E237">
        <v>0.82</v>
      </c>
      <c r="F237">
        <v>1</v>
      </c>
      <c r="G237">
        <v>9.5</v>
      </c>
      <c r="H237">
        <v>574.6</v>
      </c>
      <c r="Y237">
        <v>257232690</v>
      </c>
      <c r="Z237">
        <v>120666030</v>
      </c>
      <c r="AA237">
        <v>12295237</v>
      </c>
      <c r="AB237">
        <v>1471275.6</v>
      </c>
      <c r="AC237">
        <v>0</v>
      </c>
      <c r="AD237">
        <v>23035360</v>
      </c>
      <c r="AE237">
        <v>0</v>
      </c>
      <c r="AF237">
        <v>0</v>
      </c>
      <c r="AG237">
        <v>0</v>
      </c>
      <c r="AH237">
        <v>5379280</v>
      </c>
      <c r="AI237">
        <v>40766670</v>
      </c>
      <c r="AJ237">
        <v>0</v>
      </c>
      <c r="AK237">
        <v>3699440.8</v>
      </c>
      <c r="AL237">
        <v>0</v>
      </c>
      <c r="AM237">
        <v>26999984</v>
      </c>
      <c r="AN237">
        <v>24676794</v>
      </c>
      <c r="AO237">
        <v>1902090.8</v>
      </c>
      <c r="AP237">
        <v>1719797.8</v>
      </c>
      <c r="AQ237">
        <v>0</v>
      </c>
      <c r="AR237">
        <v>57764940</v>
      </c>
      <c r="AS237">
        <v>26383208</v>
      </c>
      <c r="AT237">
        <v>31138612</v>
      </c>
    </row>
    <row r="238" spans="1:46" x14ac:dyDescent="0.3">
      <c r="A238" t="s">
        <v>6</v>
      </c>
      <c r="B238" t="s">
        <v>178</v>
      </c>
      <c r="C238" t="s">
        <v>162</v>
      </c>
      <c r="D238">
        <v>2045</v>
      </c>
      <c r="E238">
        <v>0.79</v>
      </c>
      <c r="F238">
        <v>1</v>
      </c>
      <c r="G238">
        <v>0</v>
      </c>
      <c r="H238">
        <v>592.6</v>
      </c>
      <c r="Y238">
        <v>292803260</v>
      </c>
      <c r="Z238">
        <v>136542110</v>
      </c>
      <c r="AA238">
        <v>16507154</v>
      </c>
      <c r="AB238">
        <v>1469692.1</v>
      </c>
      <c r="AC238">
        <v>0</v>
      </c>
      <c r="AD238">
        <v>23074822</v>
      </c>
      <c r="AE238">
        <v>0</v>
      </c>
      <c r="AF238">
        <v>0</v>
      </c>
      <c r="AG238">
        <v>0</v>
      </c>
      <c r="AH238">
        <v>6139105.5</v>
      </c>
      <c r="AI238">
        <v>50869090</v>
      </c>
      <c r="AJ238">
        <v>0</v>
      </c>
      <c r="AK238">
        <v>8172601</v>
      </c>
      <c r="AL238">
        <v>0</v>
      </c>
      <c r="AM238">
        <v>27125674</v>
      </c>
      <c r="AN238">
        <v>24639800</v>
      </c>
      <c r="AO238">
        <v>2595776.7999999998</v>
      </c>
      <c r="AP238">
        <v>1806547.8</v>
      </c>
      <c r="AQ238">
        <v>0</v>
      </c>
      <c r="AR238">
        <v>68178290</v>
      </c>
      <c r="AS238">
        <v>31559820</v>
      </c>
      <c r="AT238">
        <v>30664890</v>
      </c>
    </row>
    <row r="239" spans="1:46" x14ac:dyDescent="0.3">
      <c r="A239" t="s">
        <v>6</v>
      </c>
      <c r="B239" t="s">
        <v>178</v>
      </c>
      <c r="C239" t="s">
        <v>162</v>
      </c>
      <c r="D239">
        <v>2050</v>
      </c>
      <c r="E239">
        <v>0.78</v>
      </c>
      <c r="F239">
        <v>1</v>
      </c>
      <c r="G239">
        <v>0</v>
      </c>
      <c r="H239">
        <v>564.79999999999995</v>
      </c>
      <c r="Y239">
        <v>322956860</v>
      </c>
      <c r="Z239">
        <v>161498240</v>
      </c>
      <c r="AA239">
        <v>23034096</v>
      </c>
      <c r="AB239">
        <v>1415974.5</v>
      </c>
      <c r="AC239">
        <v>0</v>
      </c>
      <c r="AD239">
        <v>23067128</v>
      </c>
      <c r="AE239">
        <v>0</v>
      </c>
      <c r="AF239">
        <v>0</v>
      </c>
      <c r="AG239">
        <v>0</v>
      </c>
      <c r="AH239">
        <v>6511819</v>
      </c>
      <c r="AI239">
        <v>50224296</v>
      </c>
      <c r="AJ239">
        <v>0</v>
      </c>
      <c r="AK239">
        <v>19741274</v>
      </c>
      <c r="AL239">
        <v>0</v>
      </c>
      <c r="AM239">
        <v>26185952</v>
      </c>
      <c r="AN239">
        <v>15078731</v>
      </c>
      <c r="AO239">
        <v>685520.8</v>
      </c>
      <c r="AP239">
        <v>2025671.6</v>
      </c>
      <c r="AQ239">
        <v>0</v>
      </c>
      <c r="AR239">
        <v>90047340</v>
      </c>
      <c r="AS239">
        <v>34886870</v>
      </c>
      <c r="AT239">
        <v>30052202</v>
      </c>
    </row>
    <row r="240" spans="1:46" x14ac:dyDescent="0.3">
      <c r="A240" t="s">
        <v>6</v>
      </c>
      <c r="B240" t="s">
        <v>178</v>
      </c>
      <c r="C240" t="s">
        <v>163</v>
      </c>
      <c r="D240">
        <v>2024</v>
      </c>
      <c r="E240">
        <v>0.47</v>
      </c>
      <c r="F240">
        <v>0.46</v>
      </c>
      <c r="G240">
        <v>428.9</v>
      </c>
      <c r="H240">
        <v>855.8</v>
      </c>
      <c r="Y240">
        <v>336315900</v>
      </c>
      <c r="Z240">
        <v>49035456</v>
      </c>
      <c r="AA240">
        <v>889047.1</v>
      </c>
      <c r="AB240">
        <v>2687975.2</v>
      </c>
      <c r="AC240">
        <v>0</v>
      </c>
      <c r="AD240">
        <v>0</v>
      </c>
      <c r="AE240">
        <v>14482765</v>
      </c>
      <c r="AF240">
        <v>0</v>
      </c>
      <c r="AG240">
        <v>0</v>
      </c>
      <c r="AH240">
        <v>7439097</v>
      </c>
      <c r="AI240">
        <v>162719340</v>
      </c>
      <c r="AJ240">
        <v>0</v>
      </c>
      <c r="AK240">
        <v>768310.3</v>
      </c>
      <c r="AL240">
        <v>0</v>
      </c>
      <c r="AM240">
        <v>4541532.5</v>
      </c>
      <c r="AN240">
        <v>99557010</v>
      </c>
      <c r="AO240">
        <v>556985.59999999998</v>
      </c>
      <c r="AP240">
        <v>1077489.3999999999</v>
      </c>
      <c r="AQ240">
        <v>0</v>
      </c>
      <c r="AR240">
        <v>22116730</v>
      </c>
      <c r="AS240">
        <v>10218395</v>
      </c>
      <c r="AT240">
        <v>9261237</v>
      </c>
    </row>
    <row r="241" spans="1:46" x14ac:dyDescent="0.3">
      <c r="A241" t="s">
        <v>6</v>
      </c>
      <c r="B241" t="s">
        <v>178</v>
      </c>
      <c r="C241" t="s">
        <v>163</v>
      </c>
      <c r="D241">
        <v>2026</v>
      </c>
      <c r="E241">
        <v>0.5</v>
      </c>
      <c r="F241">
        <v>0.5</v>
      </c>
      <c r="G241">
        <v>375.8</v>
      </c>
      <c r="H241">
        <v>811</v>
      </c>
      <c r="Y241">
        <v>335321060</v>
      </c>
      <c r="Z241">
        <v>57174680</v>
      </c>
      <c r="AA241">
        <v>1677783.2</v>
      </c>
      <c r="AB241">
        <v>2685536.5</v>
      </c>
      <c r="AC241">
        <v>0</v>
      </c>
      <c r="AD241">
        <v>0</v>
      </c>
      <c r="AE241">
        <v>11574337</v>
      </c>
      <c r="AF241">
        <v>0</v>
      </c>
      <c r="AG241">
        <v>0</v>
      </c>
      <c r="AH241">
        <v>9486132</v>
      </c>
      <c r="AI241">
        <v>155428720</v>
      </c>
      <c r="AJ241">
        <v>0</v>
      </c>
      <c r="AK241">
        <v>559884</v>
      </c>
      <c r="AL241">
        <v>0</v>
      </c>
      <c r="AM241">
        <v>4730131.5</v>
      </c>
      <c r="AN241">
        <v>99479780</v>
      </c>
      <c r="AO241">
        <v>429423.2</v>
      </c>
      <c r="AP241">
        <v>1580769</v>
      </c>
      <c r="AQ241">
        <v>0</v>
      </c>
      <c r="AR241">
        <v>21807864</v>
      </c>
      <c r="AS241">
        <v>10163292</v>
      </c>
      <c r="AT241">
        <v>15717395</v>
      </c>
    </row>
    <row r="242" spans="1:46" x14ac:dyDescent="0.3">
      <c r="A242" t="s">
        <v>6</v>
      </c>
      <c r="B242" t="s">
        <v>178</v>
      </c>
      <c r="C242" t="s">
        <v>163</v>
      </c>
      <c r="D242">
        <v>2028</v>
      </c>
      <c r="E242">
        <v>0.53</v>
      </c>
      <c r="F242">
        <v>0.53</v>
      </c>
      <c r="G242">
        <v>309.2</v>
      </c>
      <c r="H242">
        <v>736.8</v>
      </c>
      <c r="Y242">
        <v>343520220</v>
      </c>
      <c r="Z242">
        <v>69096610</v>
      </c>
      <c r="AA242">
        <v>3276753.8</v>
      </c>
      <c r="AB242">
        <v>2666077.5</v>
      </c>
      <c r="AC242">
        <v>0</v>
      </c>
      <c r="AD242">
        <v>0</v>
      </c>
      <c r="AE242">
        <v>7943589.5</v>
      </c>
      <c r="AF242">
        <v>0</v>
      </c>
      <c r="AG242">
        <v>0</v>
      </c>
      <c r="AH242">
        <v>11954482</v>
      </c>
      <c r="AI242">
        <v>153762220</v>
      </c>
      <c r="AJ242">
        <v>0</v>
      </c>
      <c r="AK242">
        <v>524798.4</v>
      </c>
      <c r="AL242">
        <v>0</v>
      </c>
      <c r="AM242">
        <v>4706429</v>
      </c>
      <c r="AN242">
        <v>99174480</v>
      </c>
      <c r="AO242">
        <v>382553.2</v>
      </c>
      <c r="AP242">
        <v>1986708.6</v>
      </c>
      <c r="AQ242">
        <v>0</v>
      </c>
      <c r="AR242">
        <v>21505280</v>
      </c>
      <c r="AS242">
        <v>10108480</v>
      </c>
      <c r="AT242">
        <v>25528368</v>
      </c>
    </row>
    <row r="243" spans="1:46" x14ac:dyDescent="0.3">
      <c r="A243" t="s">
        <v>6</v>
      </c>
      <c r="B243" t="s">
        <v>178</v>
      </c>
      <c r="C243" t="s">
        <v>163</v>
      </c>
      <c r="D243">
        <v>2030</v>
      </c>
      <c r="E243">
        <v>0.55000000000000004</v>
      </c>
      <c r="F243">
        <v>0.56000000000000005</v>
      </c>
      <c r="G243">
        <v>313</v>
      </c>
      <c r="H243">
        <v>694.7</v>
      </c>
      <c r="Y243">
        <v>332903800</v>
      </c>
      <c r="Z243">
        <v>72030170</v>
      </c>
      <c r="AA243">
        <v>3295891.5</v>
      </c>
      <c r="AB243">
        <v>2609695.7999999998</v>
      </c>
      <c r="AC243">
        <v>0</v>
      </c>
      <c r="AD243">
        <v>0</v>
      </c>
      <c r="AE243">
        <v>7227874.5</v>
      </c>
      <c r="AF243">
        <v>0</v>
      </c>
      <c r="AG243">
        <v>0</v>
      </c>
      <c r="AH243">
        <v>15240096</v>
      </c>
      <c r="AI243">
        <v>142134500</v>
      </c>
      <c r="AJ243">
        <v>0</v>
      </c>
      <c r="AK243">
        <v>494073.8</v>
      </c>
      <c r="AL243">
        <v>0</v>
      </c>
      <c r="AM243">
        <v>4628421</v>
      </c>
      <c r="AN243">
        <v>98209420</v>
      </c>
      <c r="AO243">
        <v>313047.8</v>
      </c>
      <c r="AP243">
        <v>1960710.2</v>
      </c>
      <c r="AQ243">
        <v>0</v>
      </c>
      <c r="AR243">
        <v>21262140</v>
      </c>
      <c r="AS243">
        <v>10053970</v>
      </c>
      <c r="AT243">
        <v>25473960</v>
      </c>
    </row>
    <row r="244" spans="1:46" x14ac:dyDescent="0.3">
      <c r="A244" t="s">
        <v>6</v>
      </c>
      <c r="B244" t="s">
        <v>178</v>
      </c>
      <c r="C244" t="s">
        <v>163</v>
      </c>
      <c r="D244">
        <v>2035</v>
      </c>
      <c r="E244">
        <v>0.6</v>
      </c>
      <c r="F244">
        <v>0.62</v>
      </c>
      <c r="G244">
        <v>316.10000000000002</v>
      </c>
      <c r="H244">
        <v>647.5</v>
      </c>
      <c r="Y244">
        <v>345084380</v>
      </c>
      <c r="Z244">
        <v>94842520</v>
      </c>
      <c r="AA244">
        <v>6161279</v>
      </c>
      <c r="AB244">
        <v>2519939.5</v>
      </c>
      <c r="AC244">
        <v>0</v>
      </c>
      <c r="AD244">
        <v>0</v>
      </c>
      <c r="AE244">
        <v>7608415</v>
      </c>
      <c r="AF244">
        <v>0</v>
      </c>
      <c r="AG244">
        <v>0</v>
      </c>
      <c r="AH244">
        <v>16540984</v>
      </c>
      <c r="AI244">
        <v>128778900</v>
      </c>
      <c r="AJ244">
        <v>0</v>
      </c>
      <c r="AK244">
        <v>1097549.5</v>
      </c>
      <c r="AL244">
        <v>0</v>
      </c>
      <c r="AM244">
        <v>4419364.5</v>
      </c>
      <c r="AN244">
        <v>97021590</v>
      </c>
      <c r="AO244">
        <v>254894.9</v>
      </c>
      <c r="AP244">
        <v>2379931.2000000002</v>
      </c>
      <c r="AQ244">
        <v>0</v>
      </c>
      <c r="AR244">
        <v>21651380</v>
      </c>
      <c r="AS244">
        <v>10072818</v>
      </c>
      <c r="AT244">
        <v>46577340</v>
      </c>
    </row>
    <row r="245" spans="1:46" x14ac:dyDescent="0.3">
      <c r="A245" t="s">
        <v>6</v>
      </c>
      <c r="B245" t="s">
        <v>178</v>
      </c>
      <c r="C245" t="s">
        <v>163</v>
      </c>
      <c r="D245">
        <v>2040</v>
      </c>
      <c r="E245">
        <v>0.6</v>
      </c>
      <c r="F245">
        <v>0.63</v>
      </c>
      <c r="G245">
        <v>322.89999999999998</v>
      </c>
      <c r="H245">
        <v>633.6</v>
      </c>
      <c r="Y245">
        <v>360164860</v>
      </c>
      <c r="Z245">
        <v>99731816</v>
      </c>
      <c r="AA245">
        <v>11394952</v>
      </c>
      <c r="AB245">
        <v>2475035.7999999998</v>
      </c>
      <c r="AC245">
        <v>0</v>
      </c>
      <c r="AD245">
        <v>0</v>
      </c>
      <c r="AE245">
        <v>5795080.5</v>
      </c>
      <c r="AF245">
        <v>0</v>
      </c>
      <c r="AG245">
        <v>0</v>
      </c>
      <c r="AH245">
        <v>16120275</v>
      </c>
      <c r="AI245">
        <v>133601300</v>
      </c>
      <c r="AJ245">
        <v>0</v>
      </c>
      <c r="AK245">
        <v>3230341.2</v>
      </c>
      <c r="AL245">
        <v>0</v>
      </c>
      <c r="AM245">
        <v>4367286</v>
      </c>
      <c r="AN245">
        <v>96730610</v>
      </c>
      <c r="AO245">
        <v>342270.9</v>
      </c>
      <c r="AP245">
        <v>2496187.5</v>
      </c>
      <c r="AQ245">
        <v>0</v>
      </c>
      <c r="AR245">
        <v>21730688</v>
      </c>
      <c r="AS245">
        <v>15505362</v>
      </c>
      <c r="AT245">
        <v>46375490</v>
      </c>
    </row>
    <row r="246" spans="1:46" x14ac:dyDescent="0.3">
      <c r="A246" t="s">
        <v>6</v>
      </c>
      <c r="B246" t="s">
        <v>178</v>
      </c>
      <c r="C246" t="s">
        <v>163</v>
      </c>
      <c r="D246">
        <v>2045</v>
      </c>
      <c r="E246">
        <v>0.59</v>
      </c>
      <c r="F246">
        <v>0.61</v>
      </c>
      <c r="G246">
        <v>315.39999999999998</v>
      </c>
      <c r="H246">
        <v>669.6</v>
      </c>
      <c r="Y246">
        <v>394784450</v>
      </c>
      <c r="Z246">
        <v>109542060</v>
      </c>
      <c r="AA246">
        <v>15357560</v>
      </c>
      <c r="AB246">
        <v>2488817.5</v>
      </c>
      <c r="AC246">
        <v>0</v>
      </c>
      <c r="AD246">
        <v>0</v>
      </c>
      <c r="AE246">
        <v>6346911</v>
      </c>
      <c r="AF246">
        <v>0</v>
      </c>
      <c r="AG246">
        <v>0</v>
      </c>
      <c r="AH246">
        <v>15883685</v>
      </c>
      <c r="AI246">
        <v>143062000</v>
      </c>
      <c r="AJ246">
        <v>0</v>
      </c>
      <c r="AK246">
        <v>13687522</v>
      </c>
      <c r="AL246">
        <v>0</v>
      </c>
      <c r="AM246">
        <v>4374036.5</v>
      </c>
      <c r="AN246">
        <v>97037030</v>
      </c>
      <c r="AO246">
        <v>405821.2</v>
      </c>
      <c r="AP246">
        <v>2482673.2000000002</v>
      </c>
      <c r="AQ246">
        <v>0</v>
      </c>
      <c r="AR246">
        <v>28800396</v>
      </c>
      <c r="AS246">
        <v>18900204</v>
      </c>
      <c r="AT246">
        <v>45957780</v>
      </c>
    </row>
    <row r="247" spans="1:46" x14ac:dyDescent="0.3">
      <c r="A247" t="s">
        <v>6</v>
      </c>
      <c r="B247" t="s">
        <v>178</v>
      </c>
      <c r="C247" t="s">
        <v>163</v>
      </c>
      <c r="D247">
        <v>2050</v>
      </c>
      <c r="E247">
        <v>0.6</v>
      </c>
      <c r="F247">
        <v>0.62</v>
      </c>
      <c r="G247">
        <v>309.5</v>
      </c>
      <c r="H247">
        <v>625.70000000000005</v>
      </c>
      <c r="Y247">
        <v>439182140</v>
      </c>
      <c r="Z247">
        <v>134973820</v>
      </c>
      <c r="AA247">
        <v>23954674</v>
      </c>
      <c r="AB247">
        <v>2453744.5</v>
      </c>
      <c r="AC247">
        <v>0</v>
      </c>
      <c r="AD247">
        <v>0</v>
      </c>
      <c r="AE247">
        <v>1357748.8</v>
      </c>
      <c r="AF247">
        <v>0</v>
      </c>
      <c r="AG247">
        <v>0</v>
      </c>
      <c r="AH247">
        <v>15912666</v>
      </c>
      <c r="AI247">
        <v>141439490</v>
      </c>
      <c r="AJ247">
        <v>0</v>
      </c>
      <c r="AK247">
        <v>31166004</v>
      </c>
      <c r="AL247">
        <v>0</v>
      </c>
      <c r="AM247">
        <v>4325659.5</v>
      </c>
      <c r="AN247">
        <v>96620220</v>
      </c>
      <c r="AO247">
        <v>272303.40000000002</v>
      </c>
      <c r="AP247">
        <v>2618480</v>
      </c>
      <c r="AQ247">
        <v>0</v>
      </c>
      <c r="AR247">
        <v>46435136</v>
      </c>
      <c r="AS247">
        <v>27062858</v>
      </c>
      <c r="AT247">
        <v>45563164</v>
      </c>
    </row>
    <row r="248" spans="1:46" x14ac:dyDescent="0.3">
      <c r="A248" t="s">
        <v>6</v>
      </c>
      <c r="B248" t="s">
        <v>178</v>
      </c>
      <c r="C248" t="s">
        <v>164</v>
      </c>
      <c r="D248">
        <v>2024</v>
      </c>
      <c r="E248">
        <v>0.41</v>
      </c>
      <c r="F248">
        <v>0.4</v>
      </c>
      <c r="G248">
        <v>434.8</v>
      </c>
      <c r="H248">
        <v>925.9</v>
      </c>
      <c r="Y248">
        <v>116896140</v>
      </c>
      <c r="Z248">
        <v>15524269</v>
      </c>
      <c r="AA248">
        <v>691.2</v>
      </c>
      <c r="AB248">
        <v>1918557.4</v>
      </c>
      <c r="AC248">
        <v>0</v>
      </c>
      <c r="AD248">
        <v>1680397.2</v>
      </c>
      <c r="AE248">
        <v>33181204</v>
      </c>
      <c r="AF248">
        <v>0</v>
      </c>
      <c r="AG248">
        <v>0</v>
      </c>
      <c r="AH248">
        <v>294164</v>
      </c>
      <c r="AI248">
        <v>32600746</v>
      </c>
      <c r="AJ248">
        <v>0</v>
      </c>
      <c r="AK248">
        <v>1766472.8</v>
      </c>
      <c r="AL248">
        <v>0</v>
      </c>
      <c r="AM248">
        <v>629256.19999999995</v>
      </c>
      <c r="AN248">
        <v>26502164</v>
      </c>
      <c r="AO248">
        <v>1701690.2</v>
      </c>
      <c r="AP248">
        <v>1390693.9</v>
      </c>
      <c r="AQ248">
        <v>0</v>
      </c>
      <c r="AR248">
        <v>5125030.5</v>
      </c>
      <c r="AS248">
        <v>10105075</v>
      </c>
      <c r="AT248">
        <v>0</v>
      </c>
    </row>
    <row r="249" spans="1:46" x14ac:dyDescent="0.3">
      <c r="A249" t="s">
        <v>6</v>
      </c>
      <c r="B249" t="s">
        <v>178</v>
      </c>
      <c r="C249" t="s">
        <v>164</v>
      </c>
      <c r="D249">
        <v>2026</v>
      </c>
      <c r="E249">
        <v>0.38</v>
      </c>
      <c r="F249">
        <v>0.37</v>
      </c>
      <c r="G249">
        <v>424.5</v>
      </c>
      <c r="H249">
        <v>877.8</v>
      </c>
      <c r="Y249">
        <v>122462160</v>
      </c>
      <c r="Z249">
        <v>15671632</v>
      </c>
      <c r="AA249">
        <v>68058.399999999994</v>
      </c>
      <c r="AB249">
        <v>1918446.4</v>
      </c>
      <c r="AC249">
        <v>0</v>
      </c>
      <c r="AD249">
        <v>586549.80000000005</v>
      </c>
      <c r="AE249">
        <v>22325994</v>
      </c>
      <c r="AF249">
        <v>0</v>
      </c>
      <c r="AG249">
        <v>0</v>
      </c>
      <c r="AH249">
        <v>567520.4</v>
      </c>
      <c r="AI249">
        <v>51405330</v>
      </c>
      <c r="AJ249">
        <v>0</v>
      </c>
      <c r="AK249">
        <v>928317.9</v>
      </c>
      <c r="AL249">
        <v>0</v>
      </c>
      <c r="AM249">
        <v>629187</v>
      </c>
      <c r="AN249">
        <v>26495240</v>
      </c>
      <c r="AO249">
        <v>1086676.8</v>
      </c>
      <c r="AP249">
        <v>1346723.9</v>
      </c>
      <c r="AQ249">
        <v>0</v>
      </c>
      <c r="AR249">
        <v>5053532</v>
      </c>
      <c r="AS249">
        <v>10050580</v>
      </c>
      <c r="AT249">
        <v>0</v>
      </c>
    </row>
    <row r="250" spans="1:46" x14ac:dyDescent="0.3">
      <c r="A250" t="s">
        <v>6</v>
      </c>
      <c r="B250" t="s">
        <v>178</v>
      </c>
      <c r="C250" t="s">
        <v>164</v>
      </c>
      <c r="D250">
        <v>2028</v>
      </c>
      <c r="E250">
        <v>0.35</v>
      </c>
      <c r="F250">
        <v>0.34</v>
      </c>
      <c r="G250">
        <v>407.5</v>
      </c>
      <c r="H250">
        <v>795.3</v>
      </c>
      <c r="Y250">
        <v>143851460</v>
      </c>
      <c r="Z250">
        <v>16251514</v>
      </c>
      <c r="AA250">
        <v>134526.5</v>
      </c>
      <c r="AB250">
        <v>1912086.2</v>
      </c>
      <c r="AC250">
        <v>0</v>
      </c>
      <c r="AD250">
        <v>3221760</v>
      </c>
      <c r="AE250">
        <v>15846454</v>
      </c>
      <c r="AF250">
        <v>0</v>
      </c>
      <c r="AG250">
        <v>0</v>
      </c>
      <c r="AH250">
        <v>1122784.1000000001</v>
      </c>
      <c r="AI250">
        <v>76279280</v>
      </c>
      <c r="AJ250">
        <v>0</v>
      </c>
      <c r="AK250">
        <v>537275.19999999995</v>
      </c>
      <c r="AL250">
        <v>0</v>
      </c>
      <c r="AM250">
        <v>625813.6</v>
      </c>
      <c r="AN250">
        <v>26412090</v>
      </c>
      <c r="AO250">
        <v>811294.9</v>
      </c>
      <c r="AP250">
        <v>1819360</v>
      </c>
      <c r="AQ250">
        <v>0</v>
      </c>
      <c r="AR250">
        <v>5132344</v>
      </c>
      <c r="AS250">
        <v>9996385</v>
      </c>
      <c r="AT250">
        <v>0</v>
      </c>
    </row>
    <row r="251" spans="1:46" x14ac:dyDescent="0.3">
      <c r="A251" t="s">
        <v>6</v>
      </c>
      <c r="B251" t="s">
        <v>178</v>
      </c>
      <c r="C251" t="s">
        <v>164</v>
      </c>
      <c r="D251">
        <v>2030</v>
      </c>
      <c r="E251">
        <v>0.39</v>
      </c>
      <c r="F251">
        <v>0.4</v>
      </c>
      <c r="G251">
        <v>431.5</v>
      </c>
      <c r="H251">
        <v>745.2</v>
      </c>
      <c r="Y251">
        <v>138527660</v>
      </c>
      <c r="Z251">
        <v>19259822</v>
      </c>
      <c r="AA251">
        <v>576507</v>
      </c>
      <c r="AB251">
        <v>1892522.4</v>
      </c>
      <c r="AC251">
        <v>0</v>
      </c>
      <c r="AD251">
        <v>3145514</v>
      </c>
      <c r="AE251">
        <v>10690206</v>
      </c>
      <c r="AF251">
        <v>0</v>
      </c>
      <c r="AG251">
        <v>0</v>
      </c>
      <c r="AH251">
        <v>2054073</v>
      </c>
      <c r="AI251">
        <v>73028750</v>
      </c>
      <c r="AJ251">
        <v>0</v>
      </c>
      <c r="AK251">
        <v>409998</v>
      </c>
      <c r="AL251">
        <v>0</v>
      </c>
      <c r="AM251">
        <v>615837.30000000005</v>
      </c>
      <c r="AN251">
        <v>26164676</v>
      </c>
      <c r="AO251">
        <v>434221.6</v>
      </c>
      <c r="AP251">
        <v>2309611.7999999998</v>
      </c>
      <c r="AQ251">
        <v>0</v>
      </c>
      <c r="AR251">
        <v>5696482.5</v>
      </c>
      <c r="AS251">
        <v>11509266</v>
      </c>
      <c r="AT251">
        <v>0</v>
      </c>
    </row>
    <row r="252" spans="1:46" x14ac:dyDescent="0.3">
      <c r="A252" t="s">
        <v>6</v>
      </c>
      <c r="B252" t="s">
        <v>178</v>
      </c>
      <c r="C252" t="s">
        <v>164</v>
      </c>
      <c r="D252">
        <v>2035</v>
      </c>
      <c r="E252">
        <v>0.41</v>
      </c>
      <c r="F252">
        <v>0.42</v>
      </c>
      <c r="G252">
        <v>403.8</v>
      </c>
      <c r="H252">
        <v>669.8</v>
      </c>
      <c r="Y252">
        <v>163372770</v>
      </c>
      <c r="Z252">
        <v>30576028</v>
      </c>
      <c r="AA252">
        <v>2087199.4</v>
      </c>
      <c r="AB252">
        <v>1469556.1</v>
      </c>
      <c r="AC252">
        <v>0</v>
      </c>
      <c r="AD252">
        <v>3549608.5</v>
      </c>
      <c r="AE252">
        <v>7438600</v>
      </c>
      <c r="AF252">
        <v>0</v>
      </c>
      <c r="AG252">
        <v>0</v>
      </c>
      <c r="AH252">
        <v>4386848</v>
      </c>
      <c r="AI252">
        <v>88531176</v>
      </c>
      <c r="AJ252">
        <v>0</v>
      </c>
      <c r="AK252">
        <v>860055.4</v>
      </c>
      <c r="AL252">
        <v>0</v>
      </c>
      <c r="AM252">
        <v>576313.9</v>
      </c>
      <c r="AN252">
        <v>25650846</v>
      </c>
      <c r="AO252">
        <v>242790.2</v>
      </c>
      <c r="AP252">
        <v>2390598</v>
      </c>
      <c r="AQ252">
        <v>0</v>
      </c>
      <c r="AR252">
        <v>5965772.5</v>
      </c>
      <c r="AS252">
        <v>20223408</v>
      </c>
      <c r="AT252">
        <v>0</v>
      </c>
    </row>
    <row r="253" spans="1:46" x14ac:dyDescent="0.3">
      <c r="A253" t="s">
        <v>6</v>
      </c>
      <c r="B253" t="s">
        <v>178</v>
      </c>
      <c r="C253" t="s">
        <v>164</v>
      </c>
      <c r="D253">
        <v>2040</v>
      </c>
      <c r="E253">
        <v>0.45</v>
      </c>
      <c r="F253">
        <v>0.46</v>
      </c>
      <c r="G253">
        <v>377</v>
      </c>
      <c r="H253">
        <v>638.79999999999995</v>
      </c>
      <c r="Y253">
        <v>180991680</v>
      </c>
      <c r="Z253">
        <v>43808836</v>
      </c>
      <c r="AA253">
        <v>4914735</v>
      </c>
      <c r="AB253">
        <v>893960.2</v>
      </c>
      <c r="AC253">
        <v>0</v>
      </c>
      <c r="AD253">
        <v>3186257.2</v>
      </c>
      <c r="AE253">
        <v>6836103</v>
      </c>
      <c r="AF253">
        <v>0</v>
      </c>
      <c r="AG253">
        <v>0</v>
      </c>
      <c r="AH253">
        <v>4866289.5</v>
      </c>
      <c r="AI253">
        <v>90601050</v>
      </c>
      <c r="AJ253">
        <v>0</v>
      </c>
      <c r="AK253">
        <v>1524874.8</v>
      </c>
      <c r="AL253">
        <v>0</v>
      </c>
      <c r="AM253">
        <v>548943.6</v>
      </c>
      <c r="AN253">
        <v>25322462</v>
      </c>
      <c r="AO253">
        <v>396766.7</v>
      </c>
      <c r="AP253">
        <v>2957690</v>
      </c>
      <c r="AQ253">
        <v>0</v>
      </c>
      <c r="AR253">
        <v>10344888</v>
      </c>
      <c r="AS253">
        <v>28597658</v>
      </c>
      <c r="AT253">
        <v>0</v>
      </c>
    </row>
    <row r="254" spans="1:46" x14ac:dyDescent="0.3">
      <c r="A254" t="s">
        <v>6</v>
      </c>
      <c r="B254" t="s">
        <v>178</v>
      </c>
      <c r="C254" t="s">
        <v>164</v>
      </c>
      <c r="D254">
        <v>2045</v>
      </c>
      <c r="E254">
        <v>0.53</v>
      </c>
      <c r="F254">
        <v>0.51</v>
      </c>
      <c r="G254">
        <v>325.2</v>
      </c>
      <c r="H254">
        <v>629.20000000000005</v>
      </c>
      <c r="Y254">
        <v>210609660</v>
      </c>
      <c r="Z254">
        <v>69018520</v>
      </c>
      <c r="AA254">
        <v>8444902</v>
      </c>
      <c r="AB254">
        <v>867272.1</v>
      </c>
      <c r="AC254">
        <v>0</v>
      </c>
      <c r="AD254">
        <v>3187168.5</v>
      </c>
      <c r="AE254">
        <v>6775531</v>
      </c>
      <c r="AF254">
        <v>0</v>
      </c>
      <c r="AG254">
        <v>0</v>
      </c>
      <c r="AH254">
        <v>5383694.5</v>
      </c>
      <c r="AI254">
        <v>87095896</v>
      </c>
      <c r="AJ254">
        <v>0</v>
      </c>
      <c r="AK254">
        <v>5118151.5</v>
      </c>
      <c r="AL254">
        <v>0</v>
      </c>
      <c r="AM254">
        <v>532538</v>
      </c>
      <c r="AN254">
        <v>25109824</v>
      </c>
      <c r="AO254">
        <v>874707.6</v>
      </c>
      <c r="AP254">
        <v>3585164.8</v>
      </c>
      <c r="AQ254">
        <v>0</v>
      </c>
      <c r="AR254">
        <v>30338644</v>
      </c>
      <c r="AS254">
        <v>33296180</v>
      </c>
      <c r="AT254">
        <v>0</v>
      </c>
    </row>
    <row r="255" spans="1:46" x14ac:dyDescent="0.3">
      <c r="A255" t="s">
        <v>6</v>
      </c>
      <c r="B255" t="s">
        <v>178</v>
      </c>
      <c r="C255" t="s">
        <v>164</v>
      </c>
      <c r="D255">
        <v>2050</v>
      </c>
      <c r="E255">
        <v>0.55000000000000004</v>
      </c>
      <c r="F255">
        <v>0.54</v>
      </c>
      <c r="G255">
        <v>321.60000000000002</v>
      </c>
      <c r="H255">
        <v>562.29999999999995</v>
      </c>
      <c r="Y255">
        <v>224824530</v>
      </c>
      <c r="Z255">
        <v>81101090</v>
      </c>
      <c r="AA255">
        <v>10202837</v>
      </c>
      <c r="AB255">
        <v>844483</v>
      </c>
      <c r="AC255">
        <v>0</v>
      </c>
      <c r="AD255">
        <v>3181911.8</v>
      </c>
      <c r="AE255">
        <v>14316.8</v>
      </c>
      <c r="AF255">
        <v>0</v>
      </c>
      <c r="AG255">
        <v>0</v>
      </c>
      <c r="AH255">
        <v>6012650.5</v>
      </c>
      <c r="AI255">
        <v>83949096</v>
      </c>
      <c r="AJ255">
        <v>0</v>
      </c>
      <c r="AK255">
        <v>15660938</v>
      </c>
      <c r="AL255">
        <v>0</v>
      </c>
      <c r="AM255">
        <v>517798.8</v>
      </c>
      <c r="AN255">
        <v>24750960</v>
      </c>
      <c r="AO255">
        <v>689412</v>
      </c>
      <c r="AP255">
        <v>3911668</v>
      </c>
      <c r="AQ255">
        <v>0</v>
      </c>
      <c r="AR255">
        <v>37879108</v>
      </c>
      <c r="AS255">
        <v>37209330</v>
      </c>
      <c r="AT255">
        <v>0</v>
      </c>
    </row>
    <row r="256" spans="1:46" x14ac:dyDescent="0.3">
      <c r="A256" t="s">
        <v>6</v>
      </c>
      <c r="B256" t="s">
        <v>178</v>
      </c>
      <c r="C256" t="s">
        <v>165</v>
      </c>
      <c r="D256">
        <v>2024</v>
      </c>
      <c r="E256">
        <v>0.33</v>
      </c>
      <c r="F256">
        <v>0.39</v>
      </c>
      <c r="G256">
        <v>446.6</v>
      </c>
      <c r="H256">
        <v>915.5</v>
      </c>
      <c r="Y256">
        <v>429172830</v>
      </c>
      <c r="Z256">
        <v>35671670</v>
      </c>
      <c r="AA256">
        <v>252779.6</v>
      </c>
      <c r="AB256">
        <v>1421224.5</v>
      </c>
      <c r="AC256">
        <v>0</v>
      </c>
      <c r="AD256">
        <v>0</v>
      </c>
      <c r="AE256">
        <v>125247510</v>
      </c>
      <c r="AF256">
        <v>0</v>
      </c>
      <c r="AG256">
        <v>0</v>
      </c>
      <c r="AH256">
        <v>2249480.2000000002</v>
      </c>
      <c r="AI256">
        <v>159263570</v>
      </c>
      <c r="AJ256">
        <v>0</v>
      </c>
      <c r="AK256">
        <v>2772084.5</v>
      </c>
      <c r="AL256">
        <v>0</v>
      </c>
      <c r="AM256">
        <v>3054975.2</v>
      </c>
      <c r="AN256">
        <v>100931370</v>
      </c>
      <c r="AO256">
        <v>557635.6</v>
      </c>
      <c r="AP256">
        <v>0</v>
      </c>
      <c r="AQ256">
        <v>0</v>
      </c>
      <c r="AR256">
        <v>10560703</v>
      </c>
      <c r="AS256">
        <v>22792698</v>
      </c>
      <c r="AT256">
        <v>68789.7</v>
      </c>
    </row>
    <row r="257" spans="1:46" x14ac:dyDescent="0.3">
      <c r="A257" t="s">
        <v>6</v>
      </c>
      <c r="B257" t="s">
        <v>178</v>
      </c>
      <c r="C257" t="s">
        <v>165</v>
      </c>
      <c r="D257">
        <v>2026</v>
      </c>
      <c r="E257">
        <v>0.34</v>
      </c>
      <c r="F257">
        <v>0.42</v>
      </c>
      <c r="G257">
        <v>425.6</v>
      </c>
      <c r="H257">
        <v>874.6</v>
      </c>
      <c r="Y257">
        <v>423525200</v>
      </c>
      <c r="Z257">
        <v>38696536</v>
      </c>
      <c r="AA257">
        <v>954622.2</v>
      </c>
      <c r="AB257">
        <v>1418919.8</v>
      </c>
      <c r="AC257">
        <v>0</v>
      </c>
      <c r="AD257">
        <v>0</v>
      </c>
      <c r="AE257">
        <v>112049260</v>
      </c>
      <c r="AF257">
        <v>0</v>
      </c>
      <c r="AG257">
        <v>0</v>
      </c>
      <c r="AH257">
        <v>3699150.5</v>
      </c>
      <c r="AI257">
        <v>164851440</v>
      </c>
      <c r="AJ257">
        <v>0</v>
      </c>
      <c r="AK257">
        <v>1355305.5</v>
      </c>
      <c r="AL257">
        <v>0</v>
      </c>
      <c r="AM257">
        <v>3054095</v>
      </c>
      <c r="AN257">
        <v>100874760</v>
      </c>
      <c r="AO257">
        <v>270245.8</v>
      </c>
      <c r="AP257">
        <v>0</v>
      </c>
      <c r="AQ257">
        <v>0</v>
      </c>
      <c r="AR257">
        <v>12261970</v>
      </c>
      <c r="AS257">
        <v>22666998</v>
      </c>
      <c r="AT257">
        <v>68418.8</v>
      </c>
    </row>
    <row r="258" spans="1:46" x14ac:dyDescent="0.3">
      <c r="A258" t="s">
        <v>6</v>
      </c>
      <c r="B258" t="s">
        <v>178</v>
      </c>
      <c r="C258" t="s">
        <v>165</v>
      </c>
      <c r="D258">
        <v>2028</v>
      </c>
      <c r="E258">
        <v>0.43</v>
      </c>
      <c r="F258">
        <v>0.55000000000000004</v>
      </c>
      <c r="G258">
        <v>374.9</v>
      </c>
      <c r="H258">
        <v>757.6</v>
      </c>
      <c r="Y258">
        <v>374813280</v>
      </c>
      <c r="Z258">
        <v>50927452</v>
      </c>
      <c r="AA258">
        <v>8067122.5</v>
      </c>
      <c r="AB258">
        <v>1339048.8</v>
      </c>
      <c r="AC258">
        <v>0</v>
      </c>
      <c r="AD258">
        <v>0</v>
      </c>
      <c r="AE258">
        <v>55585612</v>
      </c>
      <c r="AF258">
        <v>0</v>
      </c>
      <c r="AG258">
        <v>0</v>
      </c>
      <c r="AH258">
        <v>5854172</v>
      </c>
      <c r="AI258">
        <v>157215570</v>
      </c>
      <c r="AJ258">
        <v>0</v>
      </c>
      <c r="AK258">
        <v>808349.4</v>
      </c>
      <c r="AL258">
        <v>0</v>
      </c>
      <c r="AM258">
        <v>3115617.2</v>
      </c>
      <c r="AN258">
        <v>97658056</v>
      </c>
      <c r="AO258">
        <v>96450.1</v>
      </c>
      <c r="AP258">
        <v>0</v>
      </c>
      <c r="AQ258">
        <v>0</v>
      </c>
      <c r="AR258">
        <v>22125544</v>
      </c>
      <c r="AS258">
        <v>22879686</v>
      </c>
      <c r="AT258">
        <v>68049.8</v>
      </c>
    </row>
    <row r="259" spans="1:46" x14ac:dyDescent="0.3">
      <c r="A259" t="s">
        <v>6</v>
      </c>
      <c r="B259" t="s">
        <v>178</v>
      </c>
      <c r="C259" t="s">
        <v>165</v>
      </c>
      <c r="D259">
        <v>2030</v>
      </c>
      <c r="E259">
        <v>0.52</v>
      </c>
      <c r="F259">
        <v>0.62</v>
      </c>
      <c r="G259">
        <v>408.1</v>
      </c>
      <c r="H259">
        <v>701.9</v>
      </c>
      <c r="Y259">
        <v>403963900</v>
      </c>
      <c r="Z259">
        <v>93644310</v>
      </c>
      <c r="AA259">
        <v>18724078</v>
      </c>
      <c r="AB259">
        <v>1273502.3999999999</v>
      </c>
      <c r="AC259">
        <v>0</v>
      </c>
      <c r="AD259">
        <v>0</v>
      </c>
      <c r="AE259">
        <v>43901816</v>
      </c>
      <c r="AF259">
        <v>0</v>
      </c>
      <c r="AG259">
        <v>0</v>
      </c>
      <c r="AH259">
        <v>9042421</v>
      </c>
      <c r="AI259">
        <v>147386350</v>
      </c>
      <c r="AJ259">
        <v>0</v>
      </c>
      <c r="AK259">
        <v>629487.1</v>
      </c>
      <c r="AL259">
        <v>0</v>
      </c>
      <c r="AM259">
        <v>3057520.2</v>
      </c>
      <c r="AN259">
        <v>95302160</v>
      </c>
      <c r="AO259">
        <v>44682.8</v>
      </c>
      <c r="AP259">
        <v>0</v>
      </c>
      <c r="AQ259">
        <v>0</v>
      </c>
      <c r="AR259">
        <v>54128664</v>
      </c>
      <c r="AS259">
        <v>30405540</v>
      </c>
      <c r="AT259">
        <v>67682.8</v>
      </c>
    </row>
    <row r="260" spans="1:46" x14ac:dyDescent="0.3">
      <c r="A260" t="s">
        <v>6</v>
      </c>
      <c r="B260" t="s">
        <v>178</v>
      </c>
      <c r="C260" t="s">
        <v>165</v>
      </c>
      <c r="D260">
        <v>2035</v>
      </c>
      <c r="E260">
        <v>0.62</v>
      </c>
      <c r="F260">
        <v>0.66</v>
      </c>
      <c r="G260">
        <v>378.8</v>
      </c>
      <c r="H260">
        <v>637.79999999999995</v>
      </c>
      <c r="Y260">
        <v>559708800</v>
      </c>
      <c r="Z260">
        <v>207180510</v>
      </c>
      <c r="AA260">
        <v>42044612</v>
      </c>
      <c r="AB260">
        <v>1202159.2</v>
      </c>
      <c r="AC260">
        <v>0</v>
      </c>
      <c r="AD260">
        <v>0</v>
      </c>
      <c r="AE260">
        <v>33332532</v>
      </c>
      <c r="AF260">
        <v>0</v>
      </c>
      <c r="AG260">
        <v>0</v>
      </c>
      <c r="AH260">
        <v>14397802</v>
      </c>
      <c r="AI260">
        <v>178488200</v>
      </c>
      <c r="AJ260">
        <v>0</v>
      </c>
      <c r="AK260">
        <v>902476.5</v>
      </c>
      <c r="AL260">
        <v>0</v>
      </c>
      <c r="AM260">
        <v>2894301</v>
      </c>
      <c r="AN260">
        <v>93657850</v>
      </c>
      <c r="AO260">
        <v>6135.9</v>
      </c>
      <c r="AP260">
        <v>0</v>
      </c>
      <c r="AQ260">
        <v>0</v>
      </c>
      <c r="AR260">
        <v>153663400</v>
      </c>
      <c r="AS260">
        <v>39053108</v>
      </c>
      <c r="AT260">
        <v>66212.3</v>
      </c>
    </row>
    <row r="261" spans="1:46" x14ac:dyDescent="0.3">
      <c r="A261" t="s">
        <v>6</v>
      </c>
      <c r="B261" t="s">
        <v>178</v>
      </c>
      <c r="C261" t="s">
        <v>165</v>
      </c>
      <c r="D261">
        <v>2040</v>
      </c>
      <c r="E261">
        <v>0.68</v>
      </c>
      <c r="F261">
        <v>0.7</v>
      </c>
      <c r="G261">
        <v>376</v>
      </c>
      <c r="H261">
        <v>595.20000000000005</v>
      </c>
      <c r="Y261">
        <v>668067500</v>
      </c>
      <c r="Z261">
        <v>297626460</v>
      </c>
      <c r="AA261">
        <v>59077256</v>
      </c>
      <c r="AB261">
        <v>1073744.5</v>
      </c>
      <c r="AC261">
        <v>0</v>
      </c>
      <c r="AD261">
        <v>0</v>
      </c>
      <c r="AE261">
        <v>27139370</v>
      </c>
      <c r="AF261">
        <v>0</v>
      </c>
      <c r="AG261">
        <v>0</v>
      </c>
      <c r="AH261">
        <v>16820918</v>
      </c>
      <c r="AI261">
        <v>186202430</v>
      </c>
      <c r="AJ261">
        <v>0</v>
      </c>
      <c r="AK261">
        <v>2106318</v>
      </c>
      <c r="AL261">
        <v>0</v>
      </c>
      <c r="AM261">
        <v>2765894</v>
      </c>
      <c r="AN261">
        <v>92065576</v>
      </c>
      <c r="AO261">
        <v>10477</v>
      </c>
      <c r="AP261">
        <v>0</v>
      </c>
      <c r="AQ261">
        <v>0</v>
      </c>
      <c r="AR261">
        <v>222413150</v>
      </c>
      <c r="AS261">
        <v>58327220</v>
      </c>
      <c r="AT261">
        <v>65178.1</v>
      </c>
    </row>
    <row r="262" spans="1:46" x14ac:dyDescent="0.3">
      <c r="A262" t="s">
        <v>6</v>
      </c>
      <c r="B262" t="s">
        <v>178</v>
      </c>
      <c r="C262" t="s">
        <v>165</v>
      </c>
      <c r="D262">
        <v>2045</v>
      </c>
      <c r="E262">
        <v>0.68</v>
      </c>
      <c r="F262">
        <v>0.72</v>
      </c>
      <c r="G262">
        <v>276.3</v>
      </c>
      <c r="H262">
        <v>597.9</v>
      </c>
      <c r="Y262">
        <v>730497500</v>
      </c>
      <c r="Z262">
        <v>343776960</v>
      </c>
      <c r="AA262">
        <v>59206904</v>
      </c>
      <c r="AB262">
        <v>1040572.1</v>
      </c>
      <c r="AC262">
        <v>0</v>
      </c>
      <c r="AD262">
        <v>0</v>
      </c>
      <c r="AE262">
        <v>25792312</v>
      </c>
      <c r="AF262">
        <v>0</v>
      </c>
      <c r="AG262">
        <v>0</v>
      </c>
      <c r="AH262">
        <v>18076724</v>
      </c>
      <c r="AI262">
        <v>195814600</v>
      </c>
      <c r="AJ262">
        <v>0</v>
      </c>
      <c r="AK262">
        <v>10865038</v>
      </c>
      <c r="AL262">
        <v>0</v>
      </c>
      <c r="AM262">
        <v>2727231</v>
      </c>
      <c r="AN262">
        <v>91266984</v>
      </c>
      <c r="AO262">
        <v>6894.8</v>
      </c>
      <c r="AP262">
        <v>0</v>
      </c>
      <c r="AQ262">
        <v>0</v>
      </c>
      <c r="AR262">
        <v>236403970</v>
      </c>
      <c r="AS262">
        <v>89232424</v>
      </c>
      <c r="AT262">
        <v>63848.4</v>
      </c>
    </row>
    <row r="263" spans="1:46" x14ac:dyDescent="0.3">
      <c r="A263" t="s">
        <v>6</v>
      </c>
      <c r="B263" t="s">
        <v>178</v>
      </c>
      <c r="C263" t="s">
        <v>165</v>
      </c>
      <c r="D263">
        <v>2050</v>
      </c>
      <c r="E263">
        <v>0.69</v>
      </c>
      <c r="F263">
        <v>0.73</v>
      </c>
      <c r="G263">
        <v>262.10000000000002</v>
      </c>
      <c r="H263">
        <v>550.29999999999995</v>
      </c>
      <c r="Y263">
        <v>797164860</v>
      </c>
      <c r="Z263">
        <v>415337300</v>
      </c>
      <c r="AA263">
        <v>65263276</v>
      </c>
      <c r="AB263">
        <v>991570.9</v>
      </c>
      <c r="AC263">
        <v>0</v>
      </c>
      <c r="AD263">
        <v>0</v>
      </c>
      <c r="AE263">
        <v>16114586</v>
      </c>
      <c r="AF263">
        <v>0</v>
      </c>
      <c r="AG263">
        <v>0</v>
      </c>
      <c r="AH263">
        <v>19155824</v>
      </c>
      <c r="AI263">
        <v>194930530</v>
      </c>
      <c r="AJ263">
        <v>0</v>
      </c>
      <c r="AK263">
        <v>33489892</v>
      </c>
      <c r="AL263">
        <v>0</v>
      </c>
      <c r="AM263">
        <v>2646683</v>
      </c>
      <c r="AN263">
        <v>68382950</v>
      </c>
      <c r="AO263">
        <v>8041.5</v>
      </c>
      <c r="AP263">
        <v>0</v>
      </c>
      <c r="AQ263">
        <v>0</v>
      </c>
      <c r="AR263">
        <v>274961400</v>
      </c>
      <c r="AS263">
        <v>121157140</v>
      </c>
      <c r="AT263">
        <v>62933.7</v>
      </c>
    </row>
    <row r="264" spans="1:46" x14ac:dyDescent="0.3">
      <c r="A264" t="s">
        <v>6</v>
      </c>
      <c r="B264" t="s">
        <v>178</v>
      </c>
      <c r="C264" t="s">
        <v>166</v>
      </c>
      <c r="D264">
        <v>2024</v>
      </c>
      <c r="E264">
        <v>0.42</v>
      </c>
      <c r="F264">
        <v>0.47</v>
      </c>
      <c r="G264">
        <v>383.3</v>
      </c>
      <c r="H264">
        <v>838.6</v>
      </c>
      <c r="Y264">
        <v>83347496</v>
      </c>
      <c r="Z264">
        <v>31338630</v>
      </c>
      <c r="AA264">
        <v>2452</v>
      </c>
      <c r="AB264">
        <v>188575.4</v>
      </c>
      <c r="AC264">
        <v>0</v>
      </c>
      <c r="AD264">
        <v>0</v>
      </c>
      <c r="AE264">
        <v>37459010</v>
      </c>
      <c r="AF264">
        <v>0</v>
      </c>
      <c r="AG264">
        <v>0</v>
      </c>
      <c r="AH264">
        <v>1469627</v>
      </c>
      <c r="AI264">
        <v>11245504</v>
      </c>
      <c r="AJ264">
        <v>0</v>
      </c>
      <c r="AK264">
        <v>2190.6999999999998</v>
      </c>
      <c r="AL264">
        <v>0</v>
      </c>
      <c r="AM264">
        <v>2620397.2000000002</v>
      </c>
      <c r="AN264">
        <v>0</v>
      </c>
      <c r="AO264">
        <v>160.9</v>
      </c>
      <c r="AP264">
        <v>490574.2</v>
      </c>
      <c r="AQ264">
        <v>0</v>
      </c>
      <c r="AR264">
        <v>4417981.5</v>
      </c>
      <c r="AS264">
        <v>25451024</v>
      </c>
      <c r="AT264">
        <v>0</v>
      </c>
    </row>
    <row r="265" spans="1:46" x14ac:dyDescent="0.3">
      <c r="A265" t="s">
        <v>6</v>
      </c>
      <c r="B265" t="s">
        <v>178</v>
      </c>
      <c r="C265" t="s">
        <v>166</v>
      </c>
      <c r="D265">
        <v>2026</v>
      </c>
      <c r="E265">
        <v>0.54</v>
      </c>
      <c r="F265">
        <v>0.61</v>
      </c>
      <c r="G265">
        <v>334.5</v>
      </c>
      <c r="H265">
        <v>797.4</v>
      </c>
      <c r="Y265">
        <v>89780250</v>
      </c>
      <c r="Z265">
        <v>45284704</v>
      </c>
      <c r="AA265">
        <v>7250.7</v>
      </c>
      <c r="AB265">
        <v>185226.8</v>
      </c>
      <c r="AC265">
        <v>0</v>
      </c>
      <c r="AD265">
        <v>0</v>
      </c>
      <c r="AE265">
        <v>31457104</v>
      </c>
      <c r="AF265">
        <v>0</v>
      </c>
      <c r="AG265">
        <v>0</v>
      </c>
      <c r="AH265">
        <v>1841670.6</v>
      </c>
      <c r="AI265">
        <v>9632207</v>
      </c>
      <c r="AJ265">
        <v>0</v>
      </c>
      <c r="AK265">
        <v>15.5</v>
      </c>
      <c r="AL265">
        <v>0</v>
      </c>
      <c r="AM265">
        <v>2584599</v>
      </c>
      <c r="AN265">
        <v>0</v>
      </c>
      <c r="AO265">
        <v>45.8</v>
      </c>
      <c r="AP265">
        <v>629097</v>
      </c>
      <c r="AQ265">
        <v>0</v>
      </c>
      <c r="AR265">
        <v>4356984</v>
      </c>
      <c r="AS265">
        <v>39086050</v>
      </c>
      <c r="AT265">
        <v>0</v>
      </c>
    </row>
    <row r="266" spans="1:46" x14ac:dyDescent="0.3">
      <c r="A266" t="s">
        <v>6</v>
      </c>
      <c r="B266" t="s">
        <v>178</v>
      </c>
      <c r="C266" t="s">
        <v>166</v>
      </c>
      <c r="D266">
        <v>2028</v>
      </c>
      <c r="E266">
        <v>0.71</v>
      </c>
      <c r="F266">
        <v>0.79</v>
      </c>
      <c r="G266">
        <v>228</v>
      </c>
      <c r="H266">
        <v>755.9</v>
      </c>
      <c r="Y266">
        <v>88309890</v>
      </c>
      <c r="Z266">
        <v>59116470</v>
      </c>
      <c r="AA266">
        <v>128830.39999999999</v>
      </c>
      <c r="AB266">
        <v>177188.7</v>
      </c>
      <c r="AC266">
        <v>0</v>
      </c>
      <c r="AD266">
        <v>0</v>
      </c>
      <c r="AE266">
        <v>19770484</v>
      </c>
      <c r="AF266">
        <v>0</v>
      </c>
      <c r="AG266">
        <v>0</v>
      </c>
      <c r="AH266">
        <v>2312259</v>
      </c>
      <c r="AI266">
        <v>5859379.5</v>
      </c>
      <c r="AJ266">
        <v>0</v>
      </c>
      <c r="AK266">
        <v>0</v>
      </c>
      <c r="AL266">
        <v>0</v>
      </c>
      <c r="AM266">
        <v>2496073.2000000002</v>
      </c>
      <c r="AN266">
        <v>0</v>
      </c>
      <c r="AO266">
        <v>0</v>
      </c>
      <c r="AP266">
        <v>761454.8</v>
      </c>
      <c r="AQ266">
        <v>0</v>
      </c>
      <c r="AR266">
        <v>9014250</v>
      </c>
      <c r="AS266">
        <v>47789970</v>
      </c>
      <c r="AT266">
        <v>0</v>
      </c>
    </row>
    <row r="267" spans="1:46" x14ac:dyDescent="0.3">
      <c r="A267" t="s">
        <v>6</v>
      </c>
      <c r="B267" t="s">
        <v>178</v>
      </c>
      <c r="C267" t="s">
        <v>166</v>
      </c>
      <c r="D267">
        <v>2030</v>
      </c>
      <c r="E267">
        <v>0.94</v>
      </c>
      <c r="F267">
        <v>0.94</v>
      </c>
      <c r="G267">
        <v>196.1</v>
      </c>
      <c r="H267">
        <v>440.6</v>
      </c>
      <c r="Y267">
        <v>124794090</v>
      </c>
      <c r="Z267">
        <v>113159410</v>
      </c>
      <c r="AA267">
        <v>412474.2</v>
      </c>
      <c r="AB267">
        <v>98091.199999999997</v>
      </c>
      <c r="AC267">
        <v>0</v>
      </c>
      <c r="AD267">
        <v>0</v>
      </c>
      <c r="AE267">
        <v>6584597</v>
      </c>
      <c r="AF267">
        <v>0</v>
      </c>
      <c r="AG267">
        <v>0</v>
      </c>
      <c r="AH267">
        <v>2673520</v>
      </c>
      <c r="AI267">
        <v>1424701.6</v>
      </c>
      <c r="AJ267">
        <v>0</v>
      </c>
      <c r="AK267">
        <v>1077.5999999999999</v>
      </c>
      <c r="AL267">
        <v>0</v>
      </c>
      <c r="AM267">
        <v>2157588.2000000002</v>
      </c>
      <c r="AN267">
        <v>0</v>
      </c>
      <c r="AO267">
        <v>0</v>
      </c>
      <c r="AP267">
        <v>956155.6</v>
      </c>
      <c r="AQ267">
        <v>0</v>
      </c>
      <c r="AR267">
        <v>18886366</v>
      </c>
      <c r="AS267">
        <v>91599520</v>
      </c>
      <c r="AT267">
        <v>0</v>
      </c>
    </row>
    <row r="268" spans="1:46" x14ac:dyDescent="0.3">
      <c r="A268" t="s">
        <v>6</v>
      </c>
      <c r="B268" t="s">
        <v>178</v>
      </c>
      <c r="C268" t="s">
        <v>166</v>
      </c>
      <c r="D268">
        <v>2035</v>
      </c>
      <c r="E268">
        <v>0.93</v>
      </c>
      <c r="F268">
        <v>0.94</v>
      </c>
      <c r="G268">
        <v>150.30000000000001</v>
      </c>
      <c r="H268">
        <v>410.6</v>
      </c>
      <c r="Y268">
        <v>135474300</v>
      </c>
      <c r="Z268">
        <v>120946050</v>
      </c>
      <c r="AA268">
        <v>1297042.2</v>
      </c>
      <c r="AB268">
        <v>95633.9</v>
      </c>
      <c r="AC268">
        <v>0</v>
      </c>
      <c r="AD268">
        <v>0</v>
      </c>
      <c r="AE268">
        <v>8646802</v>
      </c>
      <c r="AF268">
        <v>0</v>
      </c>
      <c r="AG268">
        <v>0</v>
      </c>
      <c r="AH268">
        <v>3565232.8</v>
      </c>
      <c r="AI268">
        <v>1280379.2</v>
      </c>
      <c r="AJ268">
        <v>0</v>
      </c>
      <c r="AK268">
        <v>15094.4</v>
      </c>
      <c r="AL268">
        <v>0</v>
      </c>
      <c r="AM268">
        <v>2111660.2000000002</v>
      </c>
      <c r="AN268">
        <v>0</v>
      </c>
      <c r="AO268">
        <v>0</v>
      </c>
      <c r="AP268">
        <v>1081635</v>
      </c>
      <c r="AQ268">
        <v>0</v>
      </c>
      <c r="AR268">
        <v>18165250</v>
      </c>
      <c r="AS268">
        <v>99215570</v>
      </c>
      <c r="AT268">
        <v>0</v>
      </c>
    </row>
    <row r="269" spans="1:46" x14ac:dyDescent="0.3">
      <c r="A269" t="s">
        <v>6</v>
      </c>
      <c r="B269" t="s">
        <v>178</v>
      </c>
      <c r="C269" t="s">
        <v>166</v>
      </c>
      <c r="D269">
        <v>2040</v>
      </c>
      <c r="E269">
        <v>0.93</v>
      </c>
      <c r="F269">
        <v>0.94</v>
      </c>
      <c r="G269">
        <v>159.80000000000001</v>
      </c>
      <c r="H269">
        <v>366.2</v>
      </c>
      <c r="Y269">
        <v>140501800</v>
      </c>
      <c r="Z269">
        <v>125749740</v>
      </c>
      <c r="AA269">
        <v>2024464</v>
      </c>
      <c r="AB269">
        <v>91274.5</v>
      </c>
      <c r="AC269">
        <v>0</v>
      </c>
      <c r="AD269">
        <v>0</v>
      </c>
      <c r="AE269">
        <v>7810224</v>
      </c>
      <c r="AF269">
        <v>0</v>
      </c>
      <c r="AG269">
        <v>0</v>
      </c>
      <c r="AH269">
        <v>3924324.5</v>
      </c>
      <c r="AI269">
        <v>1635603.8</v>
      </c>
      <c r="AJ269">
        <v>0</v>
      </c>
      <c r="AK269">
        <v>36338.9</v>
      </c>
      <c r="AL269">
        <v>0</v>
      </c>
      <c r="AM269">
        <v>2067004.4</v>
      </c>
      <c r="AN269">
        <v>0</v>
      </c>
      <c r="AO269">
        <v>0</v>
      </c>
      <c r="AP269">
        <v>1087121.5</v>
      </c>
      <c r="AQ269">
        <v>0</v>
      </c>
      <c r="AR269">
        <v>18138382</v>
      </c>
      <c r="AS269">
        <v>103687050</v>
      </c>
      <c r="AT269">
        <v>0</v>
      </c>
    </row>
    <row r="270" spans="1:46" x14ac:dyDescent="0.3">
      <c r="A270" t="s">
        <v>6</v>
      </c>
      <c r="B270" t="s">
        <v>178</v>
      </c>
      <c r="C270" t="s">
        <v>166</v>
      </c>
      <c r="D270">
        <v>2045</v>
      </c>
      <c r="E270">
        <v>0.96</v>
      </c>
      <c r="F270">
        <v>0.97</v>
      </c>
      <c r="G270">
        <v>155.6</v>
      </c>
      <c r="H270">
        <v>281.5</v>
      </c>
      <c r="Y270">
        <v>169606220</v>
      </c>
      <c r="Z270">
        <v>157008030</v>
      </c>
      <c r="AA270">
        <v>3350763</v>
      </c>
      <c r="AB270">
        <v>38464.1</v>
      </c>
      <c r="AC270">
        <v>0</v>
      </c>
      <c r="AD270">
        <v>0</v>
      </c>
      <c r="AE270">
        <v>5385261</v>
      </c>
      <c r="AF270">
        <v>0</v>
      </c>
      <c r="AG270">
        <v>0</v>
      </c>
      <c r="AH270">
        <v>4138465.5</v>
      </c>
      <c r="AI270">
        <v>1093218</v>
      </c>
      <c r="AJ270">
        <v>0</v>
      </c>
      <c r="AK270">
        <v>18706.3</v>
      </c>
      <c r="AL270">
        <v>0</v>
      </c>
      <c r="AM270">
        <v>1853118.2</v>
      </c>
      <c r="AN270">
        <v>0</v>
      </c>
      <c r="AO270">
        <v>0</v>
      </c>
      <c r="AP270">
        <v>858663.6</v>
      </c>
      <c r="AQ270">
        <v>0</v>
      </c>
      <c r="AR270">
        <v>17145308</v>
      </c>
      <c r="AS270">
        <v>135724260</v>
      </c>
      <c r="AT270">
        <v>0</v>
      </c>
    </row>
    <row r="271" spans="1:46" x14ac:dyDescent="0.3">
      <c r="A271" t="s">
        <v>6</v>
      </c>
      <c r="B271" t="s">
        <v>178</v>
      </c>
      <c r="C271" t="s">
        <v>166</v>
      </c>
      <c r="D271">
        <v>2050</v>
      </c>
      <c r="E271">
        <v>0.97</v>
      </c>
      <c r="F271">
        <v>0.97</v>
      </c>
      <c r="G271">
        <v>168.2</v>
      </c>
      <c r="H271">
        <v>245.8</v>
      </c>
      <c r="Y271">
        <v>188887310</v>
      </c>
      <c r="Z271">
        <v>174494100</v>
      </c>
      <c r="AA271">
        <v>5834767.5</v>
      </c>
      <c r="AB271">
        <v>34688.1</v>
      </c>
      <c r="AC271">
        <v>0</v>
      </c>
      <c r="AD271">
        <v>0</v>
      </c>
      <c r="AE271">
        <v>4672296.5</v>
      </c>
      <c r="AF271">
        <v>0</v>
      </c>
      <c r="AG271">
        <v>0</v>
      </c>
      <c r="AH271">
        <v>4535788.5</v>
      </c>
      <c r="AI271">
        <v>1173770.8999999999</v>
      </c>
      <c r="AJ271">
        <v>0</v>
      </c>
      <c r="AK271">
        <v>10771.2</v>
      </c>
      <c r="AL271">
        <v>0</v>
      </c>
      <c r="AM271">
        <v>1802581</v>
      </c>
      <c r="AN271">
        <v>0</v>
      </c>
      <c r="AO271">
        <v>0</v>
      </c>
      <c r="AP271">
        <v>864340.6</v>
      </c>
      <c r="AQ271">
        <v>0</v>
      </c>
      <c r="AR271">
        <v>17134582</v>
      </c>
      <c r="AS271">
        <v>152823730</v>
      </c>
      <c r="AT271">
        <v>0</v>
      </c>
    </row>
    <row r="272" spans="1:46" x14ac:dyDescent="0.3">
      <c r="A272" t="s">
        <v>6</v>
      </c>
      <c r="B272" t="s">
        <v>178</v>
      </c>
      <c r="C272" t="s">
        <v>167</v>
      </c>
      <c r="D272">
        <v>2024</v>
      </c>
      <c r="E272">
        <v>0.63</v>
      </c>
      <c r="F272">
        <v>0.7</v>
      </c>
      <c r="G272">
        <v>383.3</v>
      </c>
      <c r="H272">
        <v>788.4</v>
      </c>
      <c r="Y272">
        <v>82670184</v>
      </c>
      <c r="Z272">
        <v>42444636</v>
      </c>
      <c r="AA272">
        <v>1371.9</v>
      </c>
      <c r="AB272">
        <v>51568.3</v>
      </c>
      <c r="AC272">
        <v>0</v>
      </c>
      <c r="AD272">
        <v>0</v>
      </c>
      <c r="AE272">
        <v>26113422</v>
      </c>
      <c r="AF272">
        <v>0</v>
      </c>
      <c r="AG272">
        <v>0</v>
      </c>
      <c r="AH272">
        <v>303115.90000000002</v>
      </c>
      <c r="AI272">
        <v>4265764</v>
      </c>
      <c r="AJ272">
        <v>0</v>
      </c>
      <c r="AK272">
        <v>26087.599999999999</v>
      </c>
      <c r="AL272">
        <v>0</v>
      </c>
      <c r="AM272">
        <v>577914.5</v>
      </c>
      <c r="AN272">
        <v>9010384</v>
      </c>
      <c r="AO272">
        <v>348.1</v>
      </c>
      <c r="AP272">
        <v>178686.6</v>
      </c>
      <c r="AQ272">
        <v>0</v>
      </c>
      <c r="AR272">
        <v>6098369.5</v>
      </c>
      <c r="AS272">
        <v>36043148</v>
      </c>
      <c r="AT272">
        <v>0</v>
      </c>
    </row>
    <row r="273" spans="1:46" x14ac:dyDescent="0.3">
      <c r="A273" t="s">
        <v>6</v>
      </c>
      <c r="B273" t="s">
        <v>178</v>
      </c>
      <c r="C273" t="s">
        <v>167</v>
      </c>
      <c r="D273">
        <v>2026</v>
      </c>
      <c r="E273">
        <v>0.8</v>
      </c>
      <c r="F273">
        <v>0.8</v>
      </c>
      <c r="G273">
        <v>258.2</v>
      </c>
      <c r="H273">
        <v>663.8</v>
      </c>
      <c r="Y273">
        <v>109056020</v>
      </c>
      <c r="Z273">
        <v>77665290</v>
      </c>
      <c r="AA273">
        <v>238218.2</v>
      </c>
      <c r="AB273">
        <v>44249.2</v>
      </c>
      <c r="AC273">
        <v>0</v>
      </c>
      <c r="AD273">
        <v>0</v>
      </c>
      <c r="AE273">
        <v>18455750</v>
      </c>
      <c r="AF273">
        <v>0</v>
      </c>
      <c r="AG273">
        <v>0</v>
      </c>
      <c r="AH273">
        <v>387603</v>
      </c>
      <c r="AI273">
        <v>3258459.2</v>
      </c>
      <c r="AJ273">
        <v>0</v>
      </c>
      <c r="AK273">
        <v>7500.4</v>
      </c>
      <c r="AL273">
        <v>0</v>
      </c>
      <c r="AM273">
        <v>511892.6</v>
      </c>
      <c r="AN273">
        <v>8640279</v>
      </c>
      <c r="AO273">
        <v>0</v>
      </c>
      <c r="AP273">
        <v>234383</v>
      </c>
      <c r="AQ273">
        <v>0</v>
      </c>
      <c r="AR273">
        <v>15161134</v>
      </c>
      <c r="AS273">
        <v>62116550</v>
      </c>
      <c r="AT273">
        <v>0</v>
      </c>
    </row>
    <row r="274" spans="1:46" x14ac:dyDescent="0.3">
      <c r="A274" t="s">
        <v>6</v>
      </c>
      <c r="B274" t="s">
        <v>178</v>
      </c>
      <c r="C274" t="s">
        <v>167</v>
      </c>
      <c r="D274">
        <v>2028</v>
      </c>
      <c r="E274">
        <v>0.91</v>
      </c>
      <c r="F274">
        <v>0.9</v>
      </c>
      <c r="G274">
        <v>120</v>
      </c>
      <c r="H274">
        <v>526.6</v>
      </c>
      <c r="Y274">
        <v>155917020</v>
      </c>
      <c r="Z274">
        <v>132046100</v>
      </c>
      <c r="AA274">
        <v>1327170.5</v>
      </c>
      <c r="AB274">
        <v>38102.5</v>
      </c>
      <c r="AC274">
        <v>0</v>
      </c>
      <c r="AD274">
        <v>0</v>
      </c>
      <c r="AE274">
        <v>11175992</v>
      </c>
      <c r="AF274">
        <v>0</v>
      </c>
      <c r="AG274">
        <v>0</v>
      </c>
      <c r="AH274">
        <v>553513.19999999995</v>
      </c>
      <c r="AI274">
        <v>2228382.5</v>
      </c>
      <c r="AJ274">
        <v>0</v>
      </c>
      <c r="AK274">
        <v>6142.8</v>
      </c>
      <c r="AL274">
        <v>0</v>
      </c>
      <c r="AM274">
        <v>436171.8</v>
      </c>
      <c r="AN274">
        <v>8422103</v>
      </c>
      <c r="AO274">
        <v>53.6</v>
      </c>
      <c r="AP274">
        <v>236803.20000000001</v>
      </c>
      <c r="AQ274">
        <v>0</v>
      </c>
      <c r="AR274">
        <v>27113300</v>
      </c>
      <c r="AS274">
        <v>104379290</v>
      </c>
      <c r="AT274">
        <v>0</v>
      </c>
    </row>
    <row r="275" spans="1:46" x14ac:dyDescent="0.3">
      <c r="A275" t="s">
        <v>6</v>
      </c>
      <c r="B275" t="s">
        <v>178</v>
      </c>
      <c r="C275" t="s">
        <v>167</v>
      </c>
      <c r="D275">
        <v>2030</v>
      </c>
      <c r="E275">
        <v>0.93</v>
      </c>
      <c r="F275">
        <v>0.92</v>
      </c>
      <c r="G275">
        <v>128.30000000000001</v>
      </c>
      <c r="H275">
        <v>472.8</v>
      </c>
      <c r="Y275">
        <v>167495540</v>
      </c>
      <c r="Z275">
        <v>144669060</v>
      </c>
      <c r="AA275">
        <v>2987148</v>
      </c>
      <c r="AB275">
        <v>34580</v>
      </c>
      <c r="AC275">
        <v>0</v>
      </c>
      <c r="AD275">
        <v>0</v>
      </c>
      <c r="AE275">
        <v>9469413</v>
      </c>
      <c r="AF275">
        <v>0</v>
      </c>
      <c r="AG275">
        <v>0</v>
      </c>
      <c r="AH275">
        <v>814960</v>
      </c>
      <c r="AI275">
        <v>1443218.6</v>
      </c>
      <c r="AJ275">
        <v>0</v>
      </c>
      <c r="AK275">
        <v>3137.6</v>
      </c>
      <c r="AL275">
        <v>0</v>
      </c>
      <c r="AM275">
        <v>389254.1</v>
      </c>
      <c r="AN275">
        <v>8269894.5</v>
      </c>
      <c r="AO275">
        <v>0</v>
      </c>
      <c r="AP275">
        <v>229836.4</v>
      </c>
      <c r="AQ275">
        <v>0</v>
      </c>
      <c r="AR275">
        <v>26189482</v>
      </c>
      <c r="AS275">
        <v>117664616</v>
      </c>
      <c r="AT275">
        <v>0</v>
      </c>
    </row>
    <row r="276" spans="1:46" x14ac:dyDescent="0.3">
      <c r="A276" t="s">
        <v>6</v>
      </c>
      <c r="B276" t="s">
        <v>178</v>
      </c>
      <c r="C276" t="s">
        <v>167</v>
      </c>
      <c r="D276">
        <v>2035</v>
      </c>
      <c r="E276">
        <v>0.94</v>
      </c>
      <c r="F276">
        <v>0.93</v>
      </c>
      <c r="G276">
        <v>131.5</v>
      </c>
      <c r="H276">
        <v>440</v>
      </c>
      <c r="Y276">
        <v>181477330</v>
      </c>
      <c r="Z276">
        <v>157182720</v>
      </c>
      <c r="AA276">
        <v>5215686</v>
      </c>
      <c r="AB276">
        <v>32711.200000000001</v>
      </c>
      <c r="AC276">
        <v>0</v>
      </c>
      <c r="AD276">
        <v>0</v>
      </c>
      <c r="AE276">
        <v>9052523</v>
      </c>
      <c r="AF276">
        <v>0</v>
      </c>
      <c r="AG276">
        <v>0</v>
      </c>
      <c r="AH276">
        <v>1514365.5</v>
      </c>
      <c r="AI276">
        <v>1204620.6000000001</v>
      </c>
      <c r="AJ276">
        <v>0</v>
      </c>
      <c r="AK276">
        <v>881</v>
      </c>
      <c r="AL276">
        <v>0</v>
      </c>
      <c r="AM276">
        <v>362493</v>
      </c>
      <c r="AN276">
        <v>8182669</v>
      </c>
      <c r="AO276">
        <v>0</v>
      </c>
      <c r="AP276">
        <v>243025.4</v>
      </c>
      <c r="AQ276">
        <v>0</v>
      </c>
      <c r="AR276">
        <v>29484852</v>
      </c>
      <c r="AS276">
        <v>126183500</v>
      </c>
      <c r="AT276">
        <v>0</v>
      </c>
    </row>
    <row r="277" spans="1:46" x14ac:dyDescent="0.3">
      <c r="A277" t="s">
        <v>6</v>
      </c>
      <c r="B277" t="s">
        <v>178</v>
      </c>
      <c r="C277" t="s">
        <v>167</v>
      </c>
      <c r="D277">
        <v>2040</v>
      </c>
      <c r="E277">
        <v>0.96</v>
      </c>
      <c r="F277">
        <v>0.95</v>
      </c>
      <c r="G277">
        <v>160.1</v>
      </c>
      <c r="H277">
        <v>380.8</v>
      </c>
      <c r="Y277">
        <v>201417230</v>
      </c>
      <c r="Z277">
        <v>174145040</v>
      </c>
      <c r="AA277">
        <v>9964966</v>
      </c>
      <c r="AB277">
        <v>29332.7</v>
      </c>
      <c r="AC277">
        <v>0</v>
      </c>
      <c r="AD277">
        <v>0</v>
      </c>
      <c r="AE277">
        <v>7426933</v>
      </c>
      <c r="AF277">
        <v>0</v>
      </c>
      <c r="AG277">
        <v>0</v>
      </c>
      <c r="AH277">
        <v>2158205.7999999998</v>
      </c>
      <c r="AI277">
        <v>1231088.3999999999</v>
      </c>
      <c r="AJ277">
        <v>0</v>
      </c>
      <c r="AK277">
        <v>1109.7</v>
      </c>
      <c r="AL277">
        <v>0</v>
      </c>
      <c r="AM277">
        <v>326801.2</v>
      </c>
      <c r="AN277">
        <v>8035859</v>
      </c>
      <c r="AO277">
        <v>0</v>
      </c>
      <c r="AP277">
        <v>256103.8</v>
      </c>
      <c r="AQ277">
        <v>0</v>
      </c>
      <c r="AR277">
        <v>40807948</v>
      </c>
      <c r="AS277">
        <v>131178900</v>
      </c>
      <c r="AT277">
        <v>0</v>
      </c>
    </row>
    <row r="278" spans="1:46" x14ac:dyDescent="0.3">
      <c r="A278" t="s">
        <v>6</v>
      </c>
      <c r="B278" t="s">
        <v>178</v>
      </c>
      <c r="C278" t="s">
        <v>167</v>
      </c>
      <c r="D278">
        <v>2045</v>
      </c>
      <c r="E278">
        <v>0.97</v>
      </c>
      <c r="F278">
        <v>0.96</v>
      </c>
      <c r="G278">
        <v>144</v>
      </c>
      <c r="H278">
        <v>338.8</v>
      </c>
      <c r="Y278">
        <v>207005310</v>
      </c>
      <c r="Z278">
        <v>187010800</v>
      </c>
      <c r="AA278">
        <v>12595331</v>
      </c>
      <c r="AB278">
        <v>26688.799999999999</v>
      </c>
      <c r="AC278">
        <v>0</v>
      </c>
      <c r="AD278">
        <v>0</v>
      </c>
      <c r="AE278">
        <v>5307762</v>
      </c>
      <c r="AF278">
        <v>0</v>
      </c>
      <c r="AG278">
        <v>0</v>
      </c>
      <c r="AH278">
        <v>2848114.2</v>
      </c>
      <c r="AI278">
        <v>1494622.6</v>
      </c>
      <c r="AJ278">
        <v>0</v>
      </c>
      <c r="AK278">
        <v>4077.3</v>
      </c>
      <c r="AL278">
        <v>0</v>
      </c>
      <c r="AM278">
        <v>295870.7</v>
      </c>
      <c r="AN278">
        <v>0</v>
      </c>
      <c r="AO278">
        <v>0</v>
      </c>
      <c r="AP278">
        <v>270155.90000000002</v>
      </c>
      <c r="AQ278">
        <v>0</v>
      </c>
      <c r="AR278">
        <v>47278892</v>
      </c>
      <c r="AS278">
        <v>136883790</v>
      </c>
      <c r="AT278">
        <v>0</v>
      </c>
    </row>
    <row r="279" spans="1:46" x14ac:dyDescent="0.3">
      <c r="A279" t="s">
        <v>6</v>
      </c>
      <c r="B279" t="s">
        <v>178</v>
      </c>
      <c r="C279" t="s">
        <v>167</v>
      </c>
      <c r="D279">
        <v>2050</v>
      </c>
      <c r="E279">
        <v>0.97</v>
      </c>
      <c r="F279">
        <v>0.97</v>
      </c>
      <c r="G279">
        <v>161.6</v>
      </c>
      <c r="H279">
        <v>309</v>
      </c>
      <c r="Y279">
        <v>216828370</v>
      </c>
      <c r="Z279">
        <v>196044130</v>
      </c>
      <c r="AA279">
        <v>14205635</v>
      </c>
      <c r="AB279">
        <v>25268.799999999999</v>
      </c>
      <c r="AC279">
        <v>0</v>
      </c>
      <c r="AD279">
        <v>0</v>
      </c>
      <c r="AE279">
        <v>4284811.5</v>
      </c>
      <c r="AF279">
        <v>0</v>
      </c>
      <c r="AG279">
        <v>0</v>
      </c>
      <c r="AH279">
        <v>3588797.5</v>
      </c>
      <c r="AI279">
        <v>1671357.2</v>
      </c>
      <c r="AJ279">
        <v>0</v>
      </c>
      <c r="AK279">
        <v>31668.9</v>
      </c>
      <c r="AL279">
        <v>0</v>
      </c>
      <c r="AM279">
        <v>280822.5</v>
      </c>
      <c r="AN279">
        <v>0</v>
      </c>
      <c r="AO279">
        <v>0</v>
      </c>
      <c r="AP279">
        <v>284646.2</v>
      </c>
      <c r="AQ279">
        <v>0</v>
      </c>
      <c r="AR279">
        <v>53418824</v>
      </c>
      <c r="AS279">
        <v>139036510</v>
      </c>
      <c r="AT279">
        <v>0</v>
      </c>
    </row>
    <row r="280" spans="1:46" x14ac:dyDescent="0.3">
      <c r="A280" t="s">
        <v>6</v>
      </c>
      <c r="B280" t="s">
        <v>178</v>
      </c>
      <c r="C280" t="s">
        <v>168</v>
      </c>
      <c r="D280">
        <v>2024</v>
      </c>
      <c r="E280">
        <v>0.83</v>
      </c>
      <c r="F280">
        <v>0.8</v>
      </c>
      <c r="G280">
        <v>404.7</v>
      </c>
      <c r="H280">
        <v>667.9</v>
      </c>
      <c r="Y280">
        <v>167807650</v>
      </c>
      <c r="Z280">
        <v>136659410</v>
      </c>
      <c r="AA280">
        <v>10072.9</v>
      </c>
      <c r="AB280">
        <v>37051.9</v>
      </c>
      <c r="AC280">
        <v>0</v>
      </c>
      <c r="AD280">
        <v>0</v>
      </c>
      <c r="AE280">
        <v>6232406.5</v>
      </c>
      <c r="AF280">
        <v>0</v>
      </c>
      <c r="AG280">
        <v>0</v>
      </c>
      <c r="AH280">
        <v>531440.6</v>
      </c>
      <c r="AI280">
        <v>21634824</v>
      </c>
      <c r="AJ280">
        <v>0</v>
      </c>
      <c r="AK280">
        <v>263671.5</v>
      </c>
      <c r="AL280">
        <v>0</v>
      </c>
      <c r="AM280">
        <v>2506832.7999999998</v>
      </c>
      <c r="AN280">
        <v>0</v>
      </c>
      <c r="AO280">
        <v>100901.3</v>
      </c>
      <c r="AP280">
        <v>362475.9</v>
      </c>
      <c r="AQ280">
        <v>0</v>
      </c>
      <c r="AR280">
        <v>30040372</v>
      </c>
      <c r="AS280">
        <v>106087600</v>
      </c>
      <c r="AT280">
        <v>0</v>
      </c>
    </row>
    <row r="281" spans="1:46" x14ac:dyDescent="0.3">
      <c r="A281" t="s">
        <v>6</v>
      </c>
      <c r="B281" t="s">
        <v>178</v>
      </c>
      <c r="C281" t="s">
        <v>168</v>
      </c>
      <c r="D281">
        <v>2026</v>
      </c>
      <c r="E281">
        <v>0.89</v>
      </c>
      <c r="F281">
        <v>0.86</v>
      </c>
      <c r="G281">
        <v>295.89999999999998</v>
      </c>
      <c r="H281">
        <v>578.20000000000005</v>
      </c>
      <c r="Y281">
        <v>181904830</v>
      </c>
      <c r="Z281">
        <v>157822770</v>
      </c>
      <c r="AA281">
        <v>625172.69999999995</v>
      </c>
      <c r="AB281">
        <v>31860.5</v>
      </c>
      <c r="AC281">
        <v>0</v>
      </c>
      <c r="AD281">
        <v>0</v>
      </c>
      <c r="AE281">
        <v>4373628.5</v>
      </c>
      <c r="AF281">
        <v>0</v>
      </c>
      <c r="AG281">
        <v>0</v>
      </c>
      <c r="AH281">
        <v>1083453.8999999999</v>
      </c>
      <c r="AI281">
        <v>16118109</v>
      </c>
      <c r="AJ281">
        <v>0</v>
      </c>
      <c r="AK281">
        <v>192612.8</v>
      </c>
      <c r="AL281">
        <v>0</v>
      </c>
      <c r="AM281">
        <v>2367942.2000000002</v>
      </c>
      <c r="AN281">
        <v>0</v>
      </c>
      <c r="AO281">
        <v>31787.5</v>
      </c>
      <c r="AP281">
        <v>340949.9</v>
      </c>
      <c r="AQ281">
        <v>0</v>
      </c>
      <c r="AR281">
        <v>33164164</v>
      </c>
      <c r="AS281">
        <v>123575150</v>
      </c>
      <c r="AT281">
        <v>0</v>
      </c>
    </row>
    <row r="282" spans="1:46" x14ac:dyDescent="0.3">
      <c r="A282" t="s">
        <v>6</v>
      </c>
      <c r="B282" t="s">
        <v>178</v>
      </c>
      <c r="C282" t="s">
        <v>168</v>
      </c>
      <c r="D282">
        <v>2028</v>
      </c>
      <c r="E282">
        <v>0.93</v>
      </c>
      <c r="F282">
        <v>0.91</v>
      </c>
      <c r="G282">
        <v>189.9</v>
      </c>
      <c r="H282">
        <v>484.4</v>
      </c>
      <c r="Y282">
        <v>213140220</v>
      </c>
      <c r="Z282">
        <v>194600110</v>
      </c>
      <c r="AA282">
        <v>1376775.6</v>
      </c>
      <c r="AB282">
        <v>27896</v>
      </c>
      <c r="AC282">
        <v>0</v>
      </c>
      <c r="AD282">
        <v>0</v>
      </c>
      <c r="AE282">
        <v>1864167.8</v>
      </c>
      <c r="AF282">
        <v>0</v>
      </c>
      <c r="AG282">
        <v>0</v>
      </c>
      <c r="AH282">
        <v>1836738.4</v>
      </c>
      <c r="AI282">
        <v>12431117</v>
      </c>
      <c r="AJ282">
        <v>0</v>
      </c>
      <c r="AK282">
        <v>133848</v>
      </c>
      <c r="AL282">
        <v>0</v>
      </c>
      <c r="AM282">
        <v>2360076.5</v>
      </c>
      <c r="AN282">
        <v>0</v>
      </c>
      <c r="AO282">
        <v>22348.7</v>
      </c>
      <c r="AP282">
        <v>323888</v>
      </c>
      <c r="AQ282">
        <v>0</v>
      </c>
      <c r="AR282">
        <v>38608004</v>
      </c>
      <c r="AS282">
        <v>154155360</v>
      </c>
      <c r="AT282">
        <v>0</v>
      </c>
    </row>
    <row r="283" spans="1:46" x14ac:dyDescent="0.3">
      <c r="A283" t="s">
        <v>6</v>
      </c>
      <c r="B283" t="s">
        <v>178</v>
      </c>
      <c r="C283" t="s">
        <v>168</v>
      </c>
      <c r="D283">
        <v>2030</v>
      </c>
      <c r="E283">
        <v>0.96</v>
      </c>
      <c r="F283">
        <v>0.94</v>
      </c>
      <c r="G283">
        <v>159.30000000000001</v>
      </c>
      <c r="H283">
        <v>426.9</v>
      </c>
      <c r="Y283">
        <v>226502860</v>
      </c>
      <c r="Z283">
        <v>210843730</v>
      </c>
      <c r="AA283">
        <v>3244786.5</v>
      </c>
      <c r="AB283">
        <v>25621.5</v>
      </c>
      <c r="AC283">
        <v>0</v>
      </c>
      <c r="AD283">
        <v>0</v>
      </c>
      <c r="AE283">
        <v>1518395.6</v>
      </c>
      <c r="AF283">
        <v>0</v>
      </c>
      <c r="AG283">
        <v>0</v>
      </c>
      <c r="AH283">
        <v>2937241.5</v>
      </c>
      <c r="AI283">
        <v>8183437</v>
      </c>
      <c r="AJ283">
        <v>0</v>
      </c>
      <c r="AK283">
        <v>64543.9</v>
      </c>
      <c r="AL283">
        <v>0</v>
      </c>
      <c r="AM283">
        <v>2307042.2000000002</v>
      </c>
      <c r="AN283">
        <v>0</v>
      </c>
      <c r="AO283">
        <v>11849.2</v>
      </c>
      <c r="AP283">
        <v>303460.8</v>
      </c>
      <c r="AQ283">
        <v>0</v>
      </c>
      <c r="AR283">
        <v>44927104</v>
      </c>
      <c r="AS283">
        <v>162979380</v>
      </c>
      <c r="AT283">
        <v>0</v>
      </c>
    </row>
    <row r="284" spans="1:46" x14ac:dyDescent="0.3">
      <c r="A284" t="s">
        <v>6</v>
      </c>
      <c r="B284" t="s">
        <v>178</v>
      </c>
      <c r="C284" t="s">
        <v>168</v>
      </c>
      <c r="D284">
        <v>2035</v>
      </c>
      <c r="E284">
        <v>0.97</v>
      </c>
      <c r="F284">
        <v>0.95</v>
      </c>
      <c r="G284">
        <v>149.30000000000001</v>
      </c>
      <c r="H284">
        <v>387</v>
      </c>
      <c r="Y284">
        <v>255664690</v>
      </c>
      <c r="Z284">
        <v>238137650</v>
      </c>
      <c r="AA284">
        <v>7271333.5</v>
      </c>
      <c r="AB284">
        <v>24121.3</v>
      </c>
      <c r="AC284">
        <v>0</v>
      </c>
      <c r="AD284">
        <v>0</v>
      </c>
      <c r="AE284">
        <v>1256895.2</v>
      </c>
      <c r="AF284">
        <v>0</v>
      </c>
      <c r="AG284">
        <v>0</v>
      </c>
      <c r="AH284">
        <v>4867383</v>
      </c>
      <c r="AI284">
        <v>6228595.5</v>
      </c>
      <c r="AJ284">
        <v>0</v>
      </c>
      <c r="AK284">
        <v>167641.60000000001</v>
      </c>
      <c r="AL284">
        <v>0</v>
      </c>
      <c r="AM284">
        <v>2257611.2000000002</v>
      </c>
      <c r="AN284">
        <v>0</v>
      </c>
      <c r="AO284">
        <v>3020.4</v>
      </c>
      <c r="AP284">
        <v>317823.09999999998</v>
      </c>
      <c r="AQ284">
        <v>0</v>
      </c>
      <c r="AR284">
        <v>51214748</v>
      </c>
      <c r="AS284">
        <v>182055540</v>
      </c>
      <c r="AT284">
        <v>0</v>
      </c>
    </row>
    <row r="285" spans="1:46" x14ac:dyDescent="0.3">
      <c r="A285" t="s">
        <v>6</v>
      </c>
      <c r="B285" t="s">
        <v>178</v>
      </c>
      <c r="C285" t="s">
        <v>168</v>
      </c>
      <c r="D285">
        <v>2040</v>
      </c>
      <c r="E285">
        <v>0.98</v>
      </c>
      <c r="F285">
        <v>0.96</v>
      </c>
      <c r="G285">
        <v>178.2</v>
      </c>
      <c r="H285">
        <v>322.5</v>
      </c>
      <c r="Y285">
        <v>289339230</v>
      </c>
      <c r="Z285">
        <v>269901630</v>
      </c>
      <c r="AA285">
        <v>9869557</v>
      </c>
      <c r="AB285">
        <v>21822.6</v>
      </c>
      <c r="AC285">
        <v>0</v>
      </c>
      <c r="AD285">
        <v>0</v>
      </c>
      <c r="AE285">
        <v>880304.6</v>
      </c>
      <c r="AF285">
        <v>0</v>
      </c>
      <c r="AG285">
        <v>0</v>
      </c>
      <c r="AH285">
        <v>5635121.5</v>
      </c>
      <c r="AI285">
        <v>5990713.5</v>
      </c>
      <c r="AJ285">
        <v>0</v>
      </c>
      <c r="AK285">
        <v>164267.6</v>
      </c>
      <c r="AL285">
        <v>0</v>
      </c>
      <c r="AM285">
        <v>2164708</v>
      </c>
      <c r="AN285">
        <v>0</v>
      </c>
      <c r="AO285">
        <v>3085</v>
      </c>
      <c r="AP285">
        <v>343151</v>
      </c>
      <c r="AQ285">
        <v>0</v>
      </c>
      <c r="AR285">
        <v>68768620</v>
      </c>
      <c r="AS285">
        <v>195497890</v>
      </c>
      <c r="AT285">
        <v>0</v>
      </c>
    </row>
    <row r="286" spans="1:46" x14ac:dyDescent="0.3">
      <c r="A286" t="s">
        <v>6</v>
      </c>
      <c r="B286" t="s">
        <v>178</v>
      </c>
      <c r="C286" t="s">
        <v>168</v>
      </c>
      <c r="D286">
        <v>2045</v>
      </c>
      <c r="E286">
        <v>0.97</v>
      </c>
      <c r="F286">
        <v>0.96</v>
      </c>
      <c r="G286">
        <v>155.69999999999999</v>
      </c>
      <c r="H286">
        <v>288.7</v>
      </c>
      <c r="Y286">
        <v>301586240</v>
      </c>
      <c r="Z286">
        <v>276943460</v>
      </c>
      <c r="AA286">
        <v>13959918</v>
      </c>
      <c r="AB286">
        <v>21491.5</v>
      </c>
      <c r="AC286">
        <v>0</v>
      </c>
      <c r="AD286">
        <v>0</v>
      </c>
      <c r="AE286">
        <v>989381.4</v>
      </c>
      <c r="AF286">
        <v>0</v>
      </c>
      <c r="AG286">
        <v>0</v>
      </c>
      <c r="AH286">
        <v>6430158.5</v>
      </c>
      <c r="AI286">
        <v>6900865.5</v>
      </c>
      <c r="AJ286">
        <v>0</v>
      </c>
      <c r="AK286">
        <v>316556</v>
      </c>
      <c r="AL286">
        <v>0</v>
      </c>
      <c r="AM286">
        <v>2096868.2</v>
      </c>
      <c r="AN286">
        <v>0</v>
      </c>
      <c r="AO286">
        <v>2755.4</v>
      </c>
      <c r="AP286">
        <v>354919.3</v>
      </c>
      <c r="AQ286">
        <v>0</v>
      </c>
      <c r="AR286">
        <v>72498744</v>
      </c>
      <c r="AS286">
        <v>198014560</v>
      </c>
      <c r="AT286">
        <v>0</v>
      </c>
    </row>
    <row r="287" spans="1:46" x14ac:dyDescent="0.3">
      <c r="A287" t="s">
        <v>6</v>
      </c>
      <c r="B287" t="s">
        <v>178</v>
      </c>
      <c r="C287" t="s">
        <v>168</v>
      </c>
      <c r="D287">
        <v>2050</v>
      </c>
      <c r="E287">
        <v>0.97</v>
      </c>
      <c r="F287">
        <v>0.96</v>
      </c>
      <c r="G287">
        <v>166.6</v>
      </c>
      <c r="H287">
        <v>252.8</v>
      </c>
      <c r="Y287">
        <v>334918500</v>
      </c>
      <c r="Z287">
        <v>301388800</v>
      </c>
      <c r="AA287">
        <v>21474512</v>
      </c>
      <c r="AB287">
        <v>20162.8</v>
      </c>
      <c r="AC287">
        <v>0</v>
      </c>
      <c r="AD287">
        <v>0</v>
      </c>
      <c r="AE287">
        <v>2206805.2000000002</v>
      </c>
      <c r="AF287">
        <v>0</v>
      </c>
      <c r="AG287">
        <v>0</v>
      </c>
      <c r="AH287">
        <v>7248790.5</v>
      </c>
      <c r="AI287">
        <v>7075395</v>
      </c>
      <c r="AJ287">
        <v>0</v>
      </c>
      <c r="AK287">
        <v>346384.1</v>
      </c>
      <c r="AL287">
        <v>0</v>
      </c>
      <c r="AM287">
        <v>2038954</v>
      </c>
      <c r="AN287">
        <v>0</v>
      </c>
      <c r="AO287">
        <v>0</v>
      </c>
      <c r="AP287">
        <v>367461.6</v>
      </c>
      <c r="AQ287">
        <v>0</v>
      </c>
      <c r="AR287">
        <v>78548240</v>
      </c>
      <c r="AS287">
        <v>215591780</v>
      </c>
      <c r="AT287">
        <v>0</v>
      </c>
    </row>
    <row r="288" spans="1:46" x14ac:dyDescent="0.3">
      <c r="A288" t="s">
        <v>6</v>
      </c>
      <c r="B288" t="s">
        <v>178</v>
      </c>
      <c r="C288" t="s">
        <v>169</v>
      </c>
      <c r="D288">
        <v>2024</v>
      </c>
      <c r="E288">
        <v>0.28999999999999998</v>
      </c>
      <c r="F288">
        <v>0.34</v>
      </c>
      <c r="G288">
        <v>518.79999999999995</v>
      </c>
      <c r="H288">
        <v>901.5</v>
      </c>
      <c r="Y288">
        <v>178889820</v>
      </c>
      <c r="Z288">
        <v>5015528</v>
      </c>
      <c r="AA288">
        <v>0</v>
      </c>
      <c r="AB288">
        <v>1257300.8999999999</v>
      </c>
      <c r="AC288">
        <v>0</v>
      </c>
      <c r="AD288">
        <v>0</v>
      </c>
      <c r="AE288">
        <v>17528374</v>
      </c>
      <c r="AF288">
        <v>0</v>
      </c>
      <c r="AG288">
        <v>0</v>
      </c>
      <c r="AH288">
        <v>1963266.8</v>
      </c>
      <c r="AI288">
        <v>100205784</v>
      </c>
      <c r="AJ288">
        <v>0</v>
      </c>
      <c r="AK288">
        <v>1281594.2</v>
      </c>
      <c r="AL288">
        <v>0</v>
      </c>
      <c r="AM288">
        <v>3562629.2</v>
      </c>
      <c r="AN288">
        <v>42740030</v>
      </c>
      <c r="AO288">
        <v>7283627</v>
      </c>
      <c r="AP288">
        <v>14950.9</v>
      </c>
      <c r="AQ288">
        <v>0</v>
      </c>
      <c r="AR288">
        <v>3052261</v>
      </c>
      <c r="AS288">
        <v>0</v>
      </c>
      <c r="AT288">
        <v>0</v>
      </c>
    </row>
    <row r="289" spans="1:46" x14ac:dyDescent="0.3">
      <c r="A289" t="s">
        <v>6</v>
      </c>
      <c r="B289" t="s">
        <v>178</v>
      </c>
      <c r="C289" t="s">
        <v>169</v>
      </c>
      <c r="D289">
        <v>2026</v>
      </c>
      <c r="E289">
        <v>0.31</v>
      </c>
      <c r="F289">
        <v>0.39</v>
      </c>
      <c r="G289">
        <v>490.1</v>
      </c>
      <c r="H289">
        <v>848.2</v>
      </c>
      <c r="Y289">
        <v>177490270</v>
      </c>
      <c r="Z289">
        <v>7132198.5</v>
      </c>
      <c r="AA289">
        <v>3183.1</v>
      </c>
      <c r="AB289">
        <v>1257250.8</v>
      </c>
      <c r="AC289">
        <v>0</v>
      </c>
      <c r="AD289">
        <v>0</v>
      </c>
      <c r="AE289">
        <v>14321178</v>
      </c>
      <c r="AF289">
        <v>0</v>
      </c>
      <c r="AG289">
        <v>0</v>
      </c>
      <c r="AH289">
        <v>3219074.5</v>
      </c>
      <c r="AI289">
        <v>103739960</v>
      </c>
      <c r="AJ289">
        <v>0</v>
      </c>
      <c r="AK289">
        <v>897424</v>
      </c>
      <c r="AL289">
        <v>0</v>
      </c>
      <c r="AM289">
        <v>3564753.5</v>
      </c>
      <c r="AN289">
        <v>42701030</v>
      </c>
      <c r="AO289">
        <v>3855924.8</v>
      </c>
      <c r="AP289">
        <v>17357.099999999999</v>
      </c>
      <c r="AQ289">
        <v>0</v>
      </c>
      <c r="AR289">
        <v>3913123.5</v>
      </c>
      <c r="AS289">
        <v>0</v>
      </c>
      <c r="AT289">
        <v>0</v>
      </c>
    </row>
    <row r="290" spans="1:46" x14ac:dyDescent="0.3">
      <c r="A290" t="s">
        <v>6</v>
      </c>
      <c r="B290" t="s">
        <v>178</v>
      </c>
      <c r="C290" t="s">
        <v>169</v>
      </c>
      <c r="D290">
        <v>2028</v>
      </c>
      <c r="E290">
        <v>0.37</v>
      </c>
      <c r="F290">
        <v>0.54</v>
      </c>
      <c r="G290">
        <v>409.9</v>
      </c>
      <c r="H290">
        <v>722.6</v>
      </c>
      <c r="Y290">
        <v>160206930</v>
      </c>
      <c r="Z290">
        <v>12633375</v>
      </c>
      <c r="AA290">
        <v>234415.4</v>
      </c>
      <c r="AB290">
        <v>1245230.8999999999</v>
      </c>
      <c r="AC290">
        <v>0</v>
      </c>
      <c r="AD290">
        <v>0</v>
      </c>
      <c r="AE290">
        <v>6793961.5</v>
      </c>
      <c r="AF290">
        <v>0</v>
      </c>
      <c r="AG290">
        <v>0</v>
      </c>
      <c r="AH290">
        <v>4743119</v>
      </c>
      <c r="AI290">
        <v>91226230</v>
      </c>
      <c r="AJ290">
        <v>0</v>
      </c>
      <c r="AK290">
        <v>461377</v>
      </c>
      <c r="AL290">
        <v>0</v>
      </c>
      <c r="AM290">
        <v>3502943.5</v>
      </c>
      <c r="AN290">
        <v>41864016</v>
      </c>
      <c r="AO290">
        <v>2197798.5</v>
      </c>
      <c r="AP290">
        <v>47576.6</v>
      </c>
      <c r="AQ290">
        <v>0</v>
      </c>
      <c r="AR290">
        <v>7890256</v>
      </c>
      <c r="AS290">
        <v>0</v>
      </c>
      <c r="AT290">
        <v>0</v>
      </c>
    </row>
    <row r="291" spans="1:46" x14ac:dyDescent="0.3">
      <c r="A291" t="s">
        <v>6</v>
      </c>
      <c r="B291" t="s">
        <v>178</v>
      </c>
      <c r="C291" t="s">
        <v>169</v>
      </c>
      <c r="D291">
        <v>2030</v>
      </c>
      <c r="E291">
        <v>0.47</v>
      </c>
      <c r="F291">
        <v>0.65</v>
      </c>
      <c r="G291">
        <v>406.8</v>
      </c>
      <c r="H291">
        <v>641.6</v>
      </c>
      <c r="Y291">
        <v>147920900</v>
      </c>
      <c r="Z291">
        <v>23066370</v>
      </c>
      <c r="AA291">
        <v>1197212.8999999999</v>
      </c>
      <c r="AB291">
        <v>1092910.8999999999</v>
      </c>
      <c r="AC291">
        <v>0</v>
      </c>
      <c r="AD291">
        <v>0</v>
      </c>
      <c r="AE291">
        <v>5629069</v>
      </c>
      <c r="AF291">
        <v>0</v>
      </c>
      <c r="AG291">
        <v>0</v>
      </c>
      <c r="AH291">
        <v>7006886.5</v>
      </c>
      <c r="AI291">
        <v>71921870</v>
      </c>
      <c r="AJ291">
        <v>0</v>
      </c>
      <c r="AK291">
        <v>223064.6</v>
      </c>
      <c r="AL291">
        <v>0</v>
      </c>
      <c r="AM291">
        <v>3278718.2</v>
      </c>
      <c r="AN291">
        <v>40624884</v>
      </c>
      <c r="AO291">
        <v>835712</v>
      </c>
      <c r="AP291">
        <v>51079.7</v>
      </c>
      <c r="AQ291">
        <v>0</v>
      </c>
      <c r="AR291">
        <v>16059485</v>
      </c>
      <c r="AS291">
        <v>0</v>
      </c>
      <c r="AT291">
        <v>0</v>
      </c>
    </row>
    <row r="292" spans="1:46" x14ac:dyDescent="0.3">
      <c r="A292" t="s">
        <v>6</v>
      </c>
      <c r="B292" t="s">
        <v>178</v>
      </c>
      <c r="C292" t="s">
        <v>169</v>
      </c>
      <c r="D292">
        <v>2035</v>
      </c>
      <c r="E292">
        <v>0.64</v>
      </c>
      <c r="F292">
        <v>0.75</v>
      </c>
      <c r="G292">
        <v>345.5</v>
      </c>
      <c r="H292">
        <v>579</v>
      </c>
      <c r="Y292">
        <v>173532420</v>
      </c>
      <c r="Z292">
        <v>54061670</v>
      </c>
      <c r="AA292">
        <v>12665022</v>
      </c>
      <c r="AB292">
        <v>990128</v>
      </c>
      <c r="AC292">
        <v>0</v>
      </c>
      <c r="AD292">
        <v>0</v>
      </c>
      <c r="AE292">
        <v>5799760.5</v>
      </c>
      <c r="AF292">
        <v>0</v>
      </c>
      <c r="AG292">
        <v>0</v>
      </c>
      <c r="AH292">
        <v>9389525</v>
      </c>
      <c r="AI292">
        <v>55952950</v>
      </c>
      <c r="AJ292">
        <v>0</v>
      </c>
      <c r="AK292">
        <v>768278.8</v>
      </c>
      <c r="AL292">
        <v>0</v>
      </c>
      <c r="AM292">
        <v>3140601.5</v>
      </c>
      <c r="AN292">
        <v>39924956</v>
      </c>
      <c r="AO292">
        <v>172278.9</v>
      </c>
      <c r="AP292">
        <v>56769.1</v>
      </c>
      <c r="AQ292">
        <v>0</v>
      </c>
      <c r="AR292">
        <v>44672144</v>
      </c>
      <c r="AS292">
        <v>0</v>
      </c>
      <c r="AT292">
        <v>0</v>
      </c>
    </row>
    <row r="293" spans="1:46" x14ac:dyDescent="0.3">
      <c r="A293" t="s">
        <v>6</v>
      </c>
      <c r="B293" t="s">
        <v>178</v>
      </c>
      <c r="C293" t="s">
        <v>169</v>
      </c>
      <c r="D293">
        <v>2040</v>
      </c>
      <c r="E293">
        <v>0.7</v>
      </c>
      <c r="F293">
        <v>0.8</v>
      </c>
      <c r="G293">
        <v>327.7</v>
      </c>
      <c r="H293">
        <v>509.7</v>
      </c>
      <c r="Y293">
        <v>192388600</v>
      </c>
      <c r="Z293">
        <v>70484600</v>
      </c>
      <c r="AA293">
        <v>20159294</v>
      </c>
      <c r="AB293">
        <v>925344.6</v>
      </c>
      <c r="AC293">
        <v>0</v>
      </c>
      <c r="AD293">
        <v>0</v>
      </c>
      <c r="AE293">
        <v>4306628</v>
      </c>
      <c r="AF293">
        <v>0</v>
      </c>
      <c r="AG293">
        <v>0</v>
      </c>
      <c r="AH293">
        <v>9925722</v>
      </c>
      <c r="AI293">
        <v>53173664</v>
      </c>
      <c r="AJ293">
        <v>0</v>
      </c>
      <c r="AK293">
        <v>1001353.2</v>
      </c>
      <c r="AL293">
        <v>0</v>
      </c>
      <c r="AM293">
        <v>2973965.2</v>
      </c>
      <c r="AN293">
        <v>39162256</v>
      </c>
      <c r="AO293">
        <v>141331.4</v>
      </c>
      <c r="AP293">
        <v>60178.3</v>
      </c>
      <c r="AQ293">
        <v>0</v>
      </c>
      <c r="AR293">
        <v>60558870</v>
      </c>
      <c r="AS293">
        <v>0</v>
      </c>
      <c r="AT293">
        <v>0</v>
      </c>
    </row>
    <row r="294" spans="1:46" x14ac:dyDescent="0.3">
      <c r="A294" t="s">
        <v>6</v>
      </c>
      <c r="B294" t="s">
        <v>178</v>
      </c>
      <c r="C294" t="s">
        <v>169</v>
      </c>
      <c r="D294">
        <v>2045</v>
      </c>
      <c r="E294">
        <v>0.78</v>
      </c>
      <c r="F294">
        <v>0.82</v>
      </c>
      <c r="G294">
        <v>243.1</v>
      </c>
      <c r="H294">
        <v>449.8</v>
      </c>
      <c r="Y294">
        <v>259462220</v>
      </c>
      <c r="Z294">
        <v>117521064</v>
      </c>
      <c r="AA294">
        <v>41416844</v>
      </c>
      <c r="AB294">
        <v>809066.2</v>
      </c>
      <c r="AC294">
        <v>0</v>
      </c>
      <c r="AD294">
        <v>0</v>
      </c>
      <c r="AE294">
        <v>3406848.8</v>
      </c>
      <c r="AF294">
        <v>0</v>
      </c>
      <c r="AG294">
        <v>0</v>
      </c>
      <c r="AH294">
        <v>10251037</v>
      </c>
      <c r="AI294">
        <v>53640796</v>
      </c>
      <c r="AJ294">
        <v>0</v>
      </c>
      <c r="AK294">
        <v>1021920</v>
      </c>
      <c r="AL294">
        <v>0</v>
      </c>
      <c r="AM294">
        <v>2868219.8</v>
      </c>
      <c r="AN294">
        <v>38617500</v>
      </c>
      <c r="AO294">
        <v>92822.7</v>
      </c>
      <c r="AP294">
        <v>67143.8</v>
      </c>
      <c r="AQ294">
        <v>0</v>
      </c>
      <c r="AR294">
        <v>107270030</v>
      </c>
      <c r="AS294">
        <v>0</v>
      </c>
      <c r="AT294">
        <v>0</v>
      </c>
    </row>
    <row r="295" spans="1:46" x14ac:dyDescent="0.3">
      <c r="A295" t="s">
        <v>6</v>
      </c>
      <c r="B295" t="s">
        <v>178</v>
      </c>
      <c r="C295" t="s">
        <v>169</v>
      </c>
      <c r="D295">
        <v>2050</v>
      </c>
      <c r="E295">
        <v>0.81</v>
      </c>
      <c r="F295">
        <v>0.83</v>
      </c>
      <c r="G295">
        <v>234.5</v>
      </c>
      <c r="H295">
        <v>424.2</v>
      </c>
      <c r="Y295">
        <v>317176130</v>
      </c>
      <c r="Z295">
        <v>176810530</v>
      </c>
      <c r="AA295">
        <v>59163930</v>
      </c>
      <c r="AB295">
        <v>760590.7</v>
      </c>
      <c r="AC295">
        <v>0</v>
      </c>
      <c r="AD295">
        <v>0</v>
      </c>
      <c r="AE295">
        <v>4780085.5</v>
      </c>
      <c r="AF295">
        <v>0</v>
      </c>
      <c r="AG295">
        <v>0</v>
      </c>
      <c r="AH295">
        <v>10376816</v>
      </c>
      <c r="AI295">
        <v>55508172</v>
      </c>
      <c r="AJ295">
        <v>0</v>
      </c>
      <c r="AK295">
        <v>1051081.8999999999</v>
      </c>
      <c r="AL295">
        <v>0</v>
      </c>
      <c r="AM295">
        <v>2780283.5</v>
      </c>
      <c r="AN295">
        <v>16235117</v>
      </c>
      <c r="AO295">
        <v>23354.400000000001</v>
      </c>
      <c r="AP295">
        <v>62976.7</v>
      </c>
      <c r="AQ295">
        <v>0</v>
      </c>
      <c r="AR295">
        <v>166187090</v>
      </c>
      <c r="AS295">
        <v>246627.20000000001</v>
      </c>
      <c r="AT295">
        <v>0</v>
      </c>
    </row>
    <row r="296" spans="1:46" x14ac:dyDescent="0.3">
      <c r="A296" t="s">
        <v>6</v>
      </c>
      <c r="B296" t="s">
        <v>178</v>
      </c>
      <c r="C296" t="s">
        <v>170</v>
      </c>
      <c r="D296">
        <v>2024</v>
      </c>
      <c r="E296">
        <v>0.43</v>
      </c>
      <c r="F296">
        <v>0.46</v>
      </c>
      <c r="G296">
        <v>443.2</v>
      </c>
      <c r="H296">
        <v>945.4</v>
      </c>
      <c r="Y296">
        <v>134897580</v>
      </c>
      <c r="Z296">
        <v>23845072</v>
      </c>
      <c r="AA296">
        <v>0</v>
      </c>
      <c r="AB296">
        <v>86645.1</v>
      </c>
      <c r="AC296">
        <v>0</v>
      </c>
      <c r="AD296">
        <v>0</v>
      </c>
      <c r="AE296">
        <v>69774920</v>
      </c>
      <c r="AF296">
        <v>0</v>
      </c>
      <c r="AG296">
        <v>0</v>
      </c>
      <c r="AH296">
        <v>253480</v>
      </c>
      <c r="AI296">
        <v>6451250.5</v>
      </c>
      <c r="AJ296">
        <v>0</v>
      </c>
      <c r="AK296">
        <v>481749</v>
      </c>
      <c r="AL296">
        <v>0</v>
      </c>
      <c r="AM296">
        <v>834767.5</v>
      </c>
      <c r="AN296">
        <v>32969702</v>
      </c>
      <c r="AO296">
        <v>16204.4</v>
      </c>
      <c r="AP296">
        <v>437276</v>
      </c>
      <c r="AQ296">
        <v>0</v>
      </c>
      <c r="AR296">
        <v>3817264.5</v>
      </c>
      <c r="AS296">
        <v>19774328</v>
      </c>
      <c r="AT296">
        <v>0</v>
      </c>
    </row>
    <row r="297" spans="1:46" x14ac:dyDescent="0.3">
      <c r="A297" t="s">
        <v>6</v>
      </c>
      <c r="B297" t="s">
        <v>178</v>
      </c>
      <c r="C297" t="s">
        <v>170</v>
      </c>
      <c r="D297">
        <v>2026</v>
      </c>
      <c r="E297">
        <v>0.47</v>
      </c>
      <c r="F297">
        <v>0.52</v>
      </c>
      <c r="G297">
        <v>343.5</v>
      </c>
      <c r="H297">
        <v>906</v>
      </c>
      <c r="Y297">
        <v>123622530</v>
      </c>
      <c r="Z297">
        <v>23882026</v>
      </c>
      <c r="AA297">
        <v>2043.1</v>
      </c>
      <c r="AB297">
        <v>85961.5</v>
      </c>
      <c r="AC297">
        <v>0</v>
      </c>
      <c r="AD297">
        <v>0</v>
      </c>
      <c r="AE297">
        <v>60251316</v>
      </c>
      <c r="AF297">
        <v>0</v>
      </c>
      <c r="AG297">
        <v>0</v>
      </c>
      <c r="AH297">
        <v>400653.3</v>
      </c>
      <c r="AI297">
        <v>5030907.5</v>
      </c>
      <c r="AJ297">
        <v>0</v>
      </c>
      <c r="AK297">
        <v>224275.6</v>
      </c>
      <c r="AL297">
        <v>0</v>
      </c>
      <c r="AM297">
        <v>892796.3</v>
      </c>
      <c r="AN297">
        <v>32942124</v>
      </c>
      <c r="AO297">
        <v>8265.9</v>
      </c>
      <c r="AP297">
        <v>302811.09999999998</v>
      </c>
      <c r="AQ297">
        <v>0</v>
      </c>
      <c r="AR297">
        <v>3774928</v>
      </c>
      <c r="AS297">
        <v>19706444</v>
      </c>
      <c r="AT297">
        <v>0</v>
      </c>
    </row>
    <row r="298" spans="1:46" x14ac:dyDescent="0.3">
      <c r="A298" t="s">
        <v>6</v>
      </c>
      <c r="B298" t="s">
        <v>178</v>
      </c>
      <c r="C298" t="s">
        <v>170</v>
      </c>
      <c r="D298">
        <v>2028</v>
      </c>
      <c r="E298">
        <v>0.8</v>
      </c>
      <c r="F298">
        <v>0.75</v>
      </c>
      <c r="G298">
        <v>254</v>
      </c>
      <c r="H298">
        <v>673.7</v>
      </c>
      <c r="Y298">
        <v>168447540</v>
      </c>
      <c r="Z298">
        <v>101261460</v>
      </c>
      <c r="AA298">
        <v>1940689.8</v>
      </c>
      <c r="AB298">
        <v>68758</v>
      </c>
      <c r="AC298">
        <v>0</v>
      </c>
      <c r="AD298">
        <v>0</v>
      </c>
      <c r="AE298">
        <v>30446100</v>
      </c>
      <c r="AF298">
        <v>0</v>
      </c>
      <c r="AG298">
        <v>0</v>
      </c>
      <c r="AH298">
        <v>689300</v>
      </c>
      <c r="AI298">
        <v>2388547.2000000002</v>
      </c>
      <c r="AJ298">
        <v>0</v>
      </c>
      <c r="AK298">
        <v>109226.4</v>
      </c>
      <c r="AL298">
        <v>0</v>
      </c>
      <c r="AM298">
        <v>864338.9</v>
      </c>
      <c r="AN298">
        <v>30741350</v>
      </c>
      <c r="AO298">
        <v>3026.3</v>
      </c>
      <c r="AP298">
        <v>624042</v>
      </c>
      <c r="AQ298">
        <v>0</v>
      </c>
      <c r="AR298">
        <v>22119188</v>
      </c>
      <c r="AS298">
        <v>78452970</v>
      </c>
      <c r="AT298">
        <v>0</v>
      </c>
    </row>
    <row r="299" spans="1:46" x14ac:dyDescent="0.3">
      <c r="A299" t="s">
        <v>6</v>
      </c>
      <c r="B299" t="s">
        <v>178</v>
      </c>
      <c r="C299" t="s">
        <v>170</v>
      </c>
      <c r="D299">
        <v>2030</v>
      </c>
      <c r="E299">
        <v>0.87</v>
      </c>
      <c r="F299">
        <v>0.82</v>
      </c>
      <c r="G299">
        <v>230.2</v>
      </c>
      <c r="H299">
        <v>600.9</v>
      </c>
      <c r="Y299">
        <v>209529500</v>
      </c>
      <c r="Z299">
        <v>148369630</v>
      </c>
      <c r="AA299">
        <v>2635608</v>
      </c>
      <c r="AB299">
        <v>61614.5</v>
      </c>
      <c r="AC299">
        <v>0</v>
      </c>
      <c r="AD299">
        <v>0</v>
      </c>
      <c r="AE299">
        <v>25987496</v>
      </c>
      <c r="AF299">
        <v>0</v>
      </c>
      <c r="AG299">
        <v>0</v>
      </c>
      <c r="AH299">
        <v>1190741.8</v>
      </c>
      <c r="AI299">
        <v>1151604.6000000001</v>
      </c>
      <c r="AJ299">
        <v>0</v>
      </c>
      <c r="AK299">
        <v>71483.199999999997</v>
      </c>
      <c r="AL299">
        <v>0</v>
      </c>
      <c r="AM299">
        <v>846102.6</v>
      </c>
      <c r="AN299">
        <v>29770394</v>
      </c>
      <c r="AO299">
        <v>1202.5999999999999</v>
      </c>
      <c r="AP299">
        <v>634363</v>
      </c>
      <c r="AQ299">
        <v>0</v>
      </c>
      <c r="AR299">
        <v>44115028</v>
      </c>
      <c r="AS299">
        <v>103063860</v>
      </c>
      <c r="AT299">
        <v>0</v>
      </c>
    </row>
    <row r="300" spans="1:46" x14ac:dyDescent="0.3">
      <c r="A300" t="s">
        <v>6</v>
      </c>
      <c r="B300" t="s">
        <v>178</v>
      </c>
      <c r="C300" t="s">
        <v>170</v>
      </c>
      <c r="D300">
        <v>2035</v>
      </c>
      <c r="E300">
        <v>0.89</v>
      </c>
      <c r="F300">
        <v>0.85</v>
      </c>
      <c r="G300">
        <v>216.9</v>
      </c>
      <c r="H300">
        <v>553.9</v>
      </c>
      <c r="Y300">
        <v>225501140</v>
      </c>
      <c r="Z300">
        <v>165470660</v>
      </c>
      <c r="AA300">
        <v>3765831.2</v>
      </c>
      <c r="AB300">
        <v>57546.3</v>
      </c>
      <c r="AC300">
        <v>0</v>
      </c>
      <c r="AD300">
        <v>0</v>
      </c>
      <c r="AE300">
        <v>24178272</v>
      </c>
      <c r="AF300">
        <v>0</v>
      </c>
      <c r="AG300">
        <v>0</v>
      </c>
      <c r="AH300">
        <v>1838093</v>
      </c>
      <c r="AI300">
        <v>898365.6</v>
      </c>
      <c r="AJ300">
        <v>0</v>
      </c>
      <c r="AK300">
        <v>242212.1</v>
      </c>
      <c r="AL300">
        <v>0</v>
      </c>
      <c r="AM300">
        <v>834144.2</v>
      </c>
      <c r="AN300">
        <v>29378692</v>
      </c>
      <c r="AO300">
        <v>355.6</v>
      </c>
      <c r="AP300">
        <v>675058.7</v>
      </c>
      <c r="AQ300">
        <v>0</v>
      </c>
      <c r="AR300">
        <v>42960108</v>
      </c>
      <c r="AS300">
        <v>120672460</v>
      </c>
      <c r="AT300">
        <v>0</v>
      </c>
    </row>
    <row r="301" spans="1:46" x14ac:dyDescent="0.3">
      <c r="A301" t="s">
        <v>6</v>
      </c>
      <c r="B301" t="s">
        <v>178</v>
      </c>
      <c r="C301" t="s">
        <v>170</v>
      </c>
      <c r="D301">
        <v>2040</v>
      </c>
      <c r="E301">
        <v>0.93</v>
      </c>
      <c r="F301">
        <v>0.9</v>
      </c>
      <c r="G301">
        <v>190.7</v>
      </c>
      <c r="H301">
        <v>475.2</v>
      </c>
      <c r="Y301">
        <v>245270990</v>
      </c>
      <c r="Z301">
        <v>190868110</v>
      </c>
      <c r="AA301">
        <v>6158958.5</v>
      </c>
      <c r="AB301">
        <v>51129.599999999999</v>
      </c>
      <c r="AC301">
        <v>0</v>
      </c>
      <c r="AD301">
        <v>0</v>
      </c>
      <c r="AE301">
        <v>16010968</v>
      </c>
      <c r="AF301">
        <v>0</v>
      </c>
      <c r="AG301">
        <v>0</v>
      </c>
      <c r="AH301">
        <v>2235123.7999999998</v>
      </c>
      <c r="AI301">
        <v>1272938.2</v>
      </c>
      <c r="AJ301">
        <v>0</v>
      </c>
      <c r="AK301">
        <v>680751.4</v>
      </c>
      <c r="AL301">
        <v>0</v>
      </c>
      <c r="AM301">
        <v>816728.8</v>
      </c>
      <c r="AN301">
        <v>28683260</v>
      </c>
      <c r="AO301">
        <v>266.2</v>
      </c>
      <c r="AP301">
        <v>727878.2</v>
      </c>
      <c r="AQ301">
        <v>0</v>
      </c>
      <c r="AR301">
        <v>42273996</v>
      </c>
      <c r="AS301">
        <v>146358990</v>
      </c>
      <c r="AT301">
        <v>0</v>
      </c>
    </row>
    <row r="302" spans="1:46" x14ac:dyDescent="0.3">
      <c r="A302" t="s">
        <v>6</v>
      </c>
      <c r="B302" t="s">
        <v>178</v>
      </c>
      <c r="C302" t="s">
        <v>170</v>
      </c>
      <c r="D302">
        <v>2045</v>
      </c>
      <c r="E302">
        <v>0.95</v>
      </c>
      <c r="F302">
        <v>0.92</v>
      </c>
      <c r="G302">
        <v>118.4</v>
      </c>
      <c r="H302">
        <v>437.6</v>
      </c>
      <c r="Y302">
        <v>289321020</v>
      </c>
      <c r="Z302">
        <v>249755600</v>
      </c>
      <c r="AA302">
        <v>12007489</v>
      </c>
      <c r="AB302">
        <v>47373.1</v>
      </c>
      <c r="AC302">
        <v>0</v>
      </c>
      <c r="AD302">
        <v>0</v>
      </c>
      <c r="AE302">
        <v>9626480</v>
      </c>
      <c r="AF302">
        <v>0</v>
      </c>
      <c r="AG302">
        <v>0</v>
      </c>
      <c r="AH302">
        <v>2701126.5</v>
      </c>
      <c r="AI302">
        <v>1998549.2</v>
      </c>
      <c r="AJ302">
        <v>0</v>
      </c>
      <c r="AK302">
        <v>2067612.4</v>
      </c>
      <c r="AL302">
        <v>0</v>
      </c>
      <c r="AM302">
        <v>795264.8</v>
      </c>
      <c r="AN302">
        <v>12331250</v>
      </c>
      <c r="AO302">
        <v>0</v>
      </c>
      <c r="AP302">
        <v>691409.3</v>
      </c>
      <c r="AQ302">
        <v>0</v>
      </c>
      <c r="AR302">
        <v>52652760</v>
      </c>
      <c r="AS302">
        <v>194401710</v>
      </c>
      <c r="AT302">
        <v>0</v>
      </c>
    </row>
    <row r="303" spans="1:46" x14ac:dyDescent="0.3">
      <c r="A303" t="s">
        <v>6</v>
      </c>
      <c r="B303" t="s">
        <v>178</v>
      </c>
      <c r="C303" t="s">
        <v>170</v>
      </c>
      <c r="D303">
        <v>2050</v>
      </c>
      <c r="E303">
        <v>0.97</v>
      </c>
      <c r="F303">
        <v>0.96</v>
      </c>
      <c r="G303">
        <v>104.4</v>
      </c>
      <c r="H303">
        <v>408.9</v>
      </c>
      <c r="Y303">
        <v>289380580</v>
      </c>
      <c r="Z303">
        <v>261246940</v>
      </c>
      <c r="AA303">
        <v>17132466</v>
      </c>
      <c r="AB303">
        <v>45656.1</v>
      </c>
      <c r="AC303">
        <v>0</v>
      </c>
      <c r="AD303">
        <v>0</v>
      </c>
      <c r="AE303">
        <v>3218853.2</v>
      </c>
      <c r="AF303">
        <v>0</v>
      </c>
      <c r="AG303">
        <v>0</v>
      </c>
      <c r="AH303">
        <v>3345906.8</v>
      </c>
      <c r="AI303">
        <v>2431231.7999999998</v>
      </c>
      <c r="AJ303">
        <v>0</v>
      </c>
      <c r="AK303">
        <v>3801138.8</v>
      </c>
      <c r="AL303">
        <v>0</v>
      </c>
      <c r="AM303">
        <v>784390.2</v>
      </c>
      <c r="AN303">
        <v>0</v>
      </c>
      <c r="AO303">
        <v>0</v>
      </c>
      <c r="AP303">
        <v>719899</v>
      </c>
      <c r="AQ303">
        <v>0</v>
      </c>
      <c r="AR303">
        <v>52578172</v>
      </c>
      <c r="AS303">
        <v>205322860</v>
      </c>
      <c r="AT303">
        <v>0</v>
      </c>
    </row>
    <row r="304" spans="1:46" x14ac:dyDescent="0.3">
      <c r="A304" t="s">
        <v>6</v>
      </c>
      <c r="B304" t="s">
        <v>178</v>
      </c>
      <c r="C304" t="s">
        <v>171</v>
      </c>
      <c r="D304">
        <v>2024</v>
      </c>
      <c r="E304">
        <v>0.45</v>
      </c>
      <c r="F304">
        <v>0.45</v>
      </c>
      <c r="G304">
        <v>379.9</v>
      </c>
      <c r="H304">
        <v>876.5</v>
      </c>
      <c r="Y304">
        <v>274291500</v>
      </c>
      <c r="Z304">
        <v>10810469</v>
      </c>
      <c r="AA304">
        <v>264692.59999999998</v>
      </c>
      <c r="AB304">
        <v>2102373.7999999998</v>
      </c>
      <c r="AC304">
        <v>0</v>
      </c>
      <c r="AD304">
        <v>0</v>
      </c>
      <c r="AE304">
        <v>46132404</v>
      </c>
      <c r="AF304">
        <v>0</v>
      </c>
      <c r="AG304">
        <v>0</v>
      </c>
      <c r="AH304">
        <v>509204.1</v>
      </c>
      <c r="AI304">
        <v>105337350</v>
      </c>
      <c r="AJ304">
        <v>0</v>
      </c>
      <c r="AK304">
        <v>651515.6</v>
      </c>
      <c r="AL304">
        <v>0</v>
      </c>
      <c r="AM304">
        <v>13191630</v>
      </c>
      <c r="AN304">
        <v>94504056</v>
      </c>
      <c r="AO304">
        <v>92624.4</v>
      </c>
      <c r="AP304">
        <v>1204377.2</v>
      </c>
      <c r="AQ304">
        <v>0</v>
      </c>
      <c r="AR304">
        <v>10301265</v>
      </c>
      <c r="AS304">
        <v>0</v>
      </c>
      <c r="AT304">
        <v>0</v>
      </c>
    </row>
    <row r="305" spans="1:46" x14ac:dyDescent="0.3">
      <c r="A305" t="s">
        <v>6</v>
      </c>
      <c r="B305" t="s">
        <v>178</v>
      </c>
      <c r="C305" t="s">
        <v>171</v>
      </c>
      <c r="D305">
        <v>2026</v>
      </c>
      <c r="E305">
        <v>0.51</v>
      </c>
      <c r="F305">
        <v>0.52</v>
      </c>
      <c r="G305">
        <v>338.2</v>
      </c>
      <c r="H305">
        <v>836.5</v>
      </c>
      <c r="Y305">
        <v>279705760</v>
      </c>
      <c r="Z305">
        <v>30549638</v>
      </c>
      <c r="AA305">
        <v>707340</v>
      </c>
      <c r="AB305">
        <v>2101197.5</v>
      </c>
      <c r="AC305">
        <v>0</v>
      </c>
      <c r="AD305">
        <v>0</v>
      </c>
      <c r="AE305">
        <v>44906640</v>
      </c>
      <c r="AF305">
        <v>0</v>
      </c>
      <c r="AG305">
        <v>0</v>
      </c>
      <c r="AH305">
        <v>873239.7</v>
      </c>
      <c r="AI305">
        <v>91272000</v>
      </c>
      <c r="AJ305">
        <v>0</v>
      </c>
      <c r="AK305">
        <v>500657.2</v>
      </c>
      <c r="AL305">
        <v>0</v>
      </c>
      <c r="AM305">
        <v>13560867</v>
      </c>
      <c r="AN305">
        <v>94376100</v>
      </c>
      <c r="AO305">
        <v>46782.1</v>
      </c>
      <c r="AP305">
        <v>1684559.2</v>
      </c>
      <c r="AQ305">
        <v>0</v>
      </c>
      <c r="AR305">
        <v>29676396</v>
      </c>
      <c r="AS305">
        <v>0</v>
      </c>
      <c r="AT305">
        <v>0</v>
      </c>
    </row>
    <row r="306" spans="1:46" x14ac:dyDescent="0.3">
      <c r="A306" t="s">
        <v>6</v>
      </c>
      <c r="B306" t="s">
        <v>178</v>
      </c>
      <c r="C306" t="s">
        <v>171</v>
      </c>
      <c r="D306">
        <v>2028</v>
      </c>
      <c r="E306">
        <v>0.6</v>
      </c>
      <c r="F306">
        <v>0.61</v>
      </c>
      <c r="G306">
        <v>249.4</v>
      </c>
      <c r="H306">
        <v>720.3</v>
      </c>
      <c r="Y306">
        <v>286863500</v>
      </c>
      <c r="Z306">
        <v>59644730</v>
      </c>
      <c r="AA306">
        <v>1337531.6000000001</v>
      </c>
      <c r="AB306">
        <v>2068471.2</v>
      </c>
      <c r="AC306">
        <v>0</v>
      </c>
      <c r="AD306">
        <v>0</v>
      </c>
      <c r="AE306">
        <v>32254874</v>
      </c>
      <c r="AF306">
        <v>0</v>
      </c>
      <c r="AG306">
        <v>0</v>
      </c>
      <c r="AH306">
        <v>1425400.4</v>
      </c>
      <c r="AI306">
        <v>81419620</v>
      </c>
      <c r="AJ306">
        <v>0</v>
      </c>
      <c r="AK306">
        <v>460412.6</v>
      </c>
      <c r="AL306">
        <v>0</v>
      </c>
      <c r="AM306">
        <v>13691082</v>
      </c>
      <c r="AN306">
        <v>93223140</v>
      </c>
      <c r="AO306">
        <v>47975.5</v>
      </c>
      <c r="AP306">
        <v>2715648.8</v>
      </c>
      <c r="AQ306">
        <v>0</v>
      </c>
      <c r="AR306">
        <v>58219336</v>
      </c>
      <c r="AS306">
        <v>0</v>
      </c>
      <c r="AT306">
        <v>0</v>
      </c>
    </row>
    <row r="307" spans="1:46" x14ac:dyDescent="0.3">
      <c r="A307" t="s">
        <v>6</v>
      </c>
      <c r="B307" t="s">
        <v>178</v>
      </c>
      <c r="C307" t="s">
        <v>171</v>
      </c>
      <c r="D307">
        <v>2030</v>
      </c>
      <c r="E307">
        <v>0.64</v>
      </c>
      <c r="F307">
        <v>0.66</v>
      </c>
      <c r="G307">
        <v>342</v>
      </c>
      <c r="H307">
        <v>643.6</v>
      </c>
      <c r="Y307">
        <v>275096770</v>
      </c>
      <c r="Z307">
        <v>63651136</v>
      </c>
      <c r="AA307">
        <v>2727684.2</v>
      </c>
      <c r="AB307">
        <v>1941980.4</v>
      </c>
      <c r="AC307">
        <v>0</v>
      </c>
      <c r="AD307">
        <v>0</v>
      </c>
      <c r="AE307">
        <v>28469308</v>
      </c>
      <c r="AF307">
        <v>0</v>
      </c>
      <c r="AG307">
        <v>0</v>
      </c>
      <c r="AH307">
        <v>2421235</v>
      </c>
      <c r="AI307">
        <v>70382310</v>
      </c>
      <c r="AJ307">
        <v>0</v>
      </c>
      <c r="AK307">
        <v>538551.80000000005</v>
      </c>
      <c r="AL307">
        <v>0</v>
      </c>
      <c r="AM307">
        <v>13344246</v>
      </c>
      <c r="AN307">
        <v>90937850</v>
      </c>
      <c r="AO307">
        <v>49276.7</v>
      </c>
      <c r="AP307">
        <v>3054416.2</v>
      </c>
      <c r="AQ307">
        <v>0</v>
      </c>
      <c r="AR307">
        <v>61229900</v>
      </c>
      <c r="AS307">
        <v>0</v>
      </c>
      <c r="AT307">
        <v>0</v>
      </c>
    </row>
    <row r="308" spans="1:46" x14ac:dyDescent="0.3">
      <c r="A308" t="s">
        <v>6</v>
      </c>
      <c r="B308" t="s">
        <v>178</v>
      </c>
      <c r="C308" t="s">
        <v>171</v>
      </c>
      <c r="D308">
        <v>2035</v>
      </c>
      <c r="E308">
        <v>0.73</v>
      </c>
      <c r="F308">
        <v>0.74</v>
      </c>
      <c r="G308">
        <v>405.5</v>
      </c>
      <c r="H308">
        <v>585.1</v>
      </c>
      <c r="Y308">
        <v>309649150</v>
      </c>
      <c r="Z308">
        <v>103227910</v>
      </c>
      <c r="AA308">
        <v>16279430</v>
      </c>
      <c r="AB308">
        <v>1812368.8</v>
      </c>
      <c r="AC308">
        <v>0</v>
      </c>
      <c r="AD308">
        <v>0</v>
      </c>
      <c r="AE308">
        <v>26762894</v>
      </c>
      <c r="AF308">
        <v>0</v>
      </c>
      <c r="AG308">
        <v>0</v>
      </c>
      <c r="AH308">
        <v>3867365.5</v>
      </c>
      <c r="AI308">
        <v>55705760</v>
      </c>
      <c r="AJ308">
        <v>0</v>
      </c>
      <c r="AK308">
        <v>405532.7</v>
      </c>
      <c r="AL308">
        <v>0</v>
      </c>
      <c r="AM308">
        <v>12978094</v>
      </c>
      <c r="AN308">
        <v>89427300</v>
      </c>
      <c r="AO308">
        <v>1518.9</v>
      </c>
      <c r="AP308">
        <v>3048334.2</v>
      </c>
      <c r="AQ308">
        <v>0</v>
      </c>
      <c r="AR308">
        <v>99360550</v>
      </c>
      <c r="AS308">
        <v>0</v>
      </c>
      <c r="AT308">
        <v>0</v>
      </c>
    </row>
    <row r="309" spans="1:46" x14ac:dyDescent="0.3">
      <c r="A309" t="s">
        <v>6</v>
      </c>
      <c r="B309" t="s">
        <v>178</v>
      </c>
      <c r="C309" t="s">
        <v>171</v>
      </c>
      <c r="D309">
        <v>2040</v>
      </c>
      <c r="E309">
        <v>0.78</v>
      </c>
      <c r="F309">
        <v>0.78</v>
      </c>
      <c r="G309">
        <v>511</v>
      </c>
      <c r="H309">
        <v>526.79999999999995</v>
      </c>
      <c r="Y309">
        <v>367670500</v>
      </c>
      <c r="Z309">
        <v>149024690</v>
      </c>
      <c r="AA309">
        <v>32000820</v>
      </c>
      <c r="AB309">
        <v>1710221</v>
      </c>
      <c r="AC309">
        <v>0</v>
      </c>
      <c r="AD309">
        <v>0</v>
      </c>
      <c r="AE309">
        <v>21109968</v>
      </c>
      <c r="AF309">
        <v>0</v>
      </c>
      <c r="AG309">
        <v>0</v>
      </c>
      <c r="AH309">
        <v>4666882</v>
      </c>
      <c r="AI309">
        <v>59179276</v>
      </c>
      <c r="AJ309">
        <v>0</v>
      </c>
      <c r="AK309">
        <v>472848.2</v>
      </c>
      <c r="AL309">
        <v>0</v>
      </c>
      <c r="AM309">
        <v>12615661</v>
      </c>
      <c r="AN309">
        <v>88116910</v>
      </c>
      <c r="AO309">
        <v>1649.3</v>
      </c>
      <c r="AP309">
        <v>3438444.8</v>
      </c>
      <c r="AQ309">
        <v>0</v>
      </c>
      <c r="AR309">
        <v>144357810</v>
      </c>
      <c r="AS309">
        <v>0</v>
      </c>
      <c r="AT309">
        <v>0</v>
      </c>
    </row>
    <row r="310" spans="1:46" x14ac:dyDescent="0.3">
      <c r="A310" t="s">
        <v>6</v>
      </c>
      <c r="B310" t="s">
        <v>178</v>
      </c>
      <c r="C310" t="s">
        <v>171</v>
      </c>
      <c r="D310">
        <v>2045</v>
      </c>
      <c r="E310">
        <v>0.81</v>
      </c>
      <c r="F310">
        <v>0.8</v>
      </c>
      <c r="G310">
        <v>445.8</v>
      </c>
      <c r="H310">
        <v>490.2</v>
      </c>
      <c r="Y310">
        <v>434275740</v>
      </c>
      <c r="Z310">
        <v>196739280</v>
      </c>
      <c r="AA310">
        <v>50646388</v>
      </c>
      <c r="AB310">
        <v>1603534.9</v>
      </c>
      <c r="AC310">
        <v>0</v>
      </c>
      <c r="AD310">
        <v>0</v>
      </c>
      <c r="AE310">
        <v>17953820</v>
      </c>
      <c r="AF310">
        <v>0</v>
      </c>
      <c r="AG310">
        <v>0</v>
      </c>
      <c r="AH310">
        <v>5610155</v>
      </c>
      <c r="AI310">
        <v>64162250</v>
      </c>
      <c r="AJ310">
        <v>0</v>
      </c>
      <c r="AK310">
        <v>303388</v>
      </c>
      <c r="AL310">
        <v>0</v>
      </c>
      <c r="AM310">
        <v>12323397</v>
      </c>
      <c r="AN310">
        <v>86909530</v>
      </c>
      <c r="AO310">
        <v>336.3</v>
      </c>
      <c r="AP310">
        <v>3633827.2</v>
      </c>
      <c r="AQ310">
        <v>0</v>
      </c>
      <c r="AR310">
        <v>191129140</v>
      </c>
      <c r="AS310">
        <v>0</v>
      </c>
      <c r="AT310">
        <v>0</v>
      </c>
    </row>
    <row r="311" spans="1:46" x14ac:dyDescent="0.3">
      <c r="A311" t="s">
        <v>6</v>
      </c>
      <c r="B311" t="s">
        <v>178</v>
      </c>
      <c r="C311" t="s">
        <v>171</v>
      </c>
      <c r="D311">
        <v>2050</v>
      </c>
      <c r="E311">
        <v>0.85</v>
      </c>
      <c r="F311">
        <v>0.82</v>
      </c>
      <c r="G311">
        <v>409.6</v>
      </c>
      <c r="H311">
        <v>463.9</v>
      </c>
      <c r="Y311">
        <v>512854530</v>
      </c>
      <c r="Z311">
        <v>256444130</v>
      </c>
      <c r="AA311">
        <v>74187100</v>
      </c>
      <c r="AB311">
        <v>1553277.2</v>
      </c>
      <c r="AC311">
        <v>0</v>
      </c>
      <c r="AD311">
        <v>0</v>
      </c>
      <c r="AE311">
        <v>10872080</v>
      </c>
      <c r="AF311">
        <v>0</v>
      </c>
      <c r="AG311">
        <v>0</v>
      </c>
      <c r="AH311">
        <v>6748315</v>
      </c>
      <c r="AI311">
        <v>67313496</v>
      </c>
      <c r="AJ311">
        <v>0</v>
      </c>
      <c r="AK311">
        <v>389020.1</v>
      </c>
      <c r="AL311">
        <v>0</v>
      </c>
      <c r="AM311">
        <v>12184309</v>
      </c>
      <c r="AN311">
        <v>86150610</v>
      </c>
      <c r="AO311">
        <v>0</v>
      </c>
      <c r="AP311">
        <v>3760499.2</v>
      </c>
      <c r="AQ311">
        <v>0</v>
      </c>
      <c r="AR311">
        <v>247985380</v>
      </c>
      <c r="AS311">
        <v>1710426.4</v>
      </c>
      <c r="AT311">
        <v>0</v>
      </c>
    </row>
    <row r="312" spans="1:46" x14ac:dyDescent="0.3">
      <c r="A312" t="s">
        <v>6</v>
      </c>
      <c r="B312" t="s">
        <v>178</v>
      </c>
      <c r="C312" t="s">
        <v>172</v>
      </c>
      <c r="D312">
        <v>2024</v>
      </c>
      <c r="E312">
        <v>0.33</v>
      </c>
      <c r="F312">
        <v>0.34</v>
      </c>
      <c r="G312">
        <v>368.2</v>
      </c>
      <c r="H312">
        <v>917.8</v>
      </c>
      <c r="Y312">
        <v>171984670</v>
      </c>
      <c r="Z312">
        <v>6045091</v>
      </c>
      <c r="AA312">
        <v>21003.200000000001</v>
      </c>
      <c r="AB312">
        <v>178949.3</v>
      </c>
      <c r="AC312">
        <v>0</v>
      </c>
      <c r="AD312">
        <v>0</v>
      </c>
      <c r="AE312">
        <v>69509656</v>
      </c>
      <c r="AF312">
        <v>0</v>
      </c>
      <c r="AG312">
        <v>0</v>
      </c>
      <c r="AH312">
        <v>298037.3</v>
      </c>
      <c r="AI312">
        <v>44463210</v>
      </c>
      <c r="AJ312">
        <v>0</v>
      </c>
      <c r="AK312">
        <v>604378.5</v>
      </c>
      <c r="AL312">
        <v>0</v>
      </c>
      <c r="AM312">
        <v>13428027</v>
      </c>
      <c r="AN312">
        <v>36119536</v>
      </c>
      <c r="AO312">
        <v>1817.3</v>
      </c>
      <c r="AP312">
        <v>1613007.2</v>
      </c>
      <c r="AQ312">
        <v>0</v>
      </c>
      <c r="AR312">
        <v>5693015</v>
      </c>
      <c r="AS312">
        <v>54038.8</v>
      </c>
      <c r="AT312">
        <v>0</v>
      </c>
    </row>
    <row r="313" spans="1:46" x14ac:dyDescent="0.3">
      <c r="A313" t="s">
        <v>6</v>
      </c>
      <c r="B313" t="s">
        <v>178</v>
      </c>
      <c r="C313" t="s">
        <v>172</v>
      </c>
      <c r="D313">
        <v>2026</v>
      </c>
      <c r="E313">
        <v>0.4</v>
      </c>
      <c r="F313">
        <v>0.42</v>
      </c>
      <c r="G313">
        <v>385.1</v>
      </c>
      <c r="H313">
        <v>868.6</v>
      </c>
      <c r="Y313">
        <v>172698420</v>
      </c>
      <c r="Z313">
        <v>16048706</v>
      </c>
      <c r="AA313">
        <v>2171877.2000000002</v>
      </c>
      <c r="AB313">
        <v>177968.2</v>
      </c>
      <c r="AC313">
        <v>0</v>
      </c>
      <c r="AD313">
        <v>0</v>
      </c>
      <c r="AE313">
        <v>57556064</v>
      </c>
      <c r="AF313">
        <v>0</v>
      </c>
      <c r="AG313">
        <v>0</v>
      </c>
      <c r="AH313">
        <v>460677.2</v>
      </c>
      <c r="AI313">
        <v>44945276</v>
      </c>
      <c r="AJ313">
        <v>0</v>
      </c>
      <c r="AK313">
        <v>329211.40000000002</v>
      </c>
      <c r="AL313">
        <v>0</v>
      </c>
      <c r="AM313">
        <v>13900590</v>
      </c>
      <c r="AN313">
        <v>36083292</v>
      </c>
      <c r="AO313">
        <v>870.9</v>
      </c>
      <c r="AP313">
        <v>1484563.2</v>
      </c>
      <c r="AQ313">
        <v>0</v>
      </c>
      <c r="AR313">
        <v>15534280</v>
      </c>
      <c r="AS313">
        <v>53747.4</v>
      </c>
      <c r="AT313">
        <v>0</v>
      </c>
    </row>
    <row r="314" spans="1:46" x14ac:dyDescent="0.3">
      <c r="A314" t="s">
        <v>6</v>
      </c>
      <c r="B314" t="s">
        <v>178</v>
      </c>
      <c r="C314" t="s">
        <v>172</v>
      </c>
      <c r="D314">
        <v>2028</v>
      </c>
      <c r="E314">
        <v>0.44</v>
      </c>
      <c r="F314">
        <v>0.54</v>
      </c>
      <c r="G314">
        <v>361.5</v>
      </c>
      <c r="H314">
        <v>768</v>
      </c>
      <c r="Y314">
        <v>170812030</v>
      </c>
      <c r="Z314">
        <v>20114170</v>
      </c>
      <c r="AA314">
        <v>3640516.8</v>
      </c>
      <c r="AB314">
        <v>173031.6</v>
      </c>
      <c r="AC314">
        <v>0</v>
      </c>
      <c r="AD314">
        <v>0</v>
      </c>
      <c r="AE314">
        <v>36102480</v>
      </c>
      <c r="AF314">
        <v>0</v>
      </c>
      <c r="AG314">
        <v>0</v>
      </c>
      <c r="AH314">
        <v>740190.8</v>
      </c>
      <c r="AI314">
        <v>59115000</v>
      </c>
      <c r="AJ314">
        <v>0</v>
      </c>
      <c r="AK314">
        <v>197174.3</v>
      </c>
      <c r="AL314">
        <v>0</v>
      </c>
      <c r="AM314">
        <v>14054643</v>
      </c>
      <c r="AN314">
        <v>35724930</v>
      </c>
      <c r="AO314">
        <v>378.7</v>
      </c>
      <c r="AP314">
        <v>1689704.4</v>
      </c>
      <c r="AQ314">
        <v>0</v>
      </c>
      <c r="AR314">
        <v>19320520</v>
      </c>
      <c r="AS314">
        <v>53457.599999999999</v>
      </c>
      <c r="AT314">
        <v>0</v>
      </c>
    </row>
    <row r="315" spans="1:46" x14ac:dyDescent="0.3">
      <c r="A315" t="s">
        <v>6</v>
      </c>
      <c r="B315" t="s">
        <v>178</v>
      </c>
      <c r="C315" t="s">
        <v>172</v>
      </c>
      <c r="D315">
        <v>2030</v>
      </c>
      <c r="E315">
        <v>0.49</v>
      </c>
      <c r="F315">
        <v>0.62</v>
      </c>
      <c r="G315">
        <v>438.1</v>
      </c>
      <c r="H315">
        <v>710.3</v>
      </c>
      <c r="Y315">
        <v>171278400</v>
      </c>
      <c r="Z315">
        <v>26804994</v>
      </c>
      <c r="AA315">
        <v>5973683</v>
      </c>
      <c r="AB315">
        <v>165514.4</v>
      </c>
      <c r="AC315">
        <v>0</v>
      </c>
      <c r="AD315">
        <v>0</v>
      </c>
      <c r="AE315">
        <v>32755424</v>
      </c>
      <c r="AF315">
        <v>0</v>
      </c>
      <c r="AG315">
        <v>0</v>
      </c>
      <c r="AH315">
        <v>1216062.5</v>
      </c>
      <c r="AI315">
        <v>54331160</v>
      </c>
      <c r="AJ315">
        <v>0</v>
      </c>
      <c r="AK315">
        <v>211368</v>
      </c>
      <c r="AL315">
        <v>0</v>
      </c>
      <c r="AM315">
        <v>13824842</v>
      </c>
      <c r="AN315">
        <v>34894492</v>
      </c>
      <c r="AO315">
        <v>231.2</v>
      </c>
      <c r="AP315">
        <v>2316684.2000000002</v>
      </c>
      <c r="AQ315">
        <v>0</v>
      </c>
      <c r="AR315">
        <v>25535762</v>
      </c>
      <c r="AS315">
        <v>53169.2</v>
      </c>
      <c r="AT315">
        <v>0</v>
      </c>
    </row>
    <row r="316" spans="1:46" x14ac:dyDescent="0.3">
      <c r="A316" t="s">
        <v>6</v>
      </c>
      <c r="B316" t="s">
        <v>178</v>
      </c>
      <c r="C316" t="s">
        <v>172</v>
      </c>
      <c r="D316">
        <v>2035</v>
      </c>
      <c r="E316">
        <v>0.64</v>
      </c>
      <c r="F316">
        <v>0.7</v>
      </c>
      <c r="G316">
        <v>399.1</v>
      </c>
      <c r="H316">
        <v>650.20000000000005</v>
      </c>
      <c r="Y316">
        <v>201296020</v>
      </c>
      <c r="Z316">
        <v>62891276</v>
      </c>
      <c r="AA316">
        <v>15715181</v>
      </c>
      <c r="AB316">
        <v>155357.9</v>
      </c>
      <c r="AC316">
        <v>0</v>
      </c>
      <c r="AD316">
        <v>0</v>
      </c>
      <c r="AE316">
        <v>27367104</v>
      </c>
      <c r="AF316">
        <v>0</v>
      </c>
      <c r="AG316">
        <v>0</v>
      </c>
      <c r="AH316">
        <v>2623223.7999999998</v>
      </c>
      <c r="AI316">
        <v>43657976</v>
      </c>
      <c r="AJ316">
        <v>0</v>
      </c>
      <c r="AK316">
        <v>1457388.8</v>
      </c>
      <c r="AL316">
        <v>0</v>
      </c>
      <c r="AM316">
        <v>13483304</v>
      </c>
      <c r="AN316">
        <v>34241428</v>
      </c>
      <c r="AO316">
        <v>0</v>
      </c>
      <c r="AP316">
        <v>2326997.5</v>
      </c>
      <c r="AQ316">
        <v>0</v>
      </c>
      <c r="AR316">
        <v>60268056</v>
      </c>
      <c r="AS316">
        <v>0</v>
      </c>
      <c r="AT316">
        <v>0</v>
      </c>
    </row>
    <row r="317" spans="1:46" x14ac:dyDescent="0.3">
      <c r="A317" t="s">
        <v>6</v>
      </c>
      <c r="B317" t="s">
        <v>178</v>
      </c>
      <c r="C317" t="s">
        <v>172</v>
      </c>
      <c r="D317">
        <v>2040</v>
      </c>
      <c r="E317">
        <v>0.76</v>
      </c>
      <c r="F317">
        <v>0.76</v>
      </c>
      <c r="G317">
        <v>406.6</v>
      </c>
      <c r="H317">
        <v>599.29999999999995</v>
      </c>
      <c r="Y317">
        <v>277341540</v>
      </c>
      <c r="Z317">
        <v>130375384</v>
      </c>
      <c r="AA317">
        <v>30012924</v>
      </c>
      <c r="AB317">
        <v>145599.79999999999</v>
      </c>
      <c r="AC317">
        <v>0</v>
      </c>
      <c r="AD317">
        <v>0</v>
      </c>
      <c r="AE317">
        <v>23077534</v>
      </c>
      <c r="AF317">
        <v>0</v>
      </c>
      <c r="AG317">
        <v>0</v>
      </c>
      <c r="AH317">
        <v>3924048.5</v>
      </c>
      <c r="AI317">
        <v>42768616</v>
      </c>
      <c r="AJ317">
        <v>0</v>
      </c>
      <c r="AK317">
        <v>1308293.6000000001</v>
      </c>
      <c r="AL317">
        <v>0</v>
      </c>
      <c r="AM317">
        <v>13150383</v>
      </c>
      <c r="AN317">
        <v>33647360</v>
      </c>
      <c r="AO317">
        <v>0</v>
      </c>
      <c r="AP317">
        <v>2855454.2</v>
      </c>
      <c r="AQ317">
        <v>0</v>
      </c>
      <c r="AR317">
        <v>126451340</v>
      </c>
      <c r="AS317">
        <v>0</v>
      </c>
      <c r="AT317">
        <v>0</v>
      </c>
    </row>
    <row r="318" spans="1:46" x14ac:dyDescent="0.3">
      <c r="A318" t="s">
        <v>6</v>
      </c>
      <c r="B318" t="s">
        <v>178</v>
      </c>
      <c r="C318" t="s">
        <v>172</v>
      </c>
      <c r="D318">
        <v>2045</v>
      </c>
      <c r="E318">
        <v>0.78</v>
      </c>
      <c r="F318">
        <v>0.79</v>
      </c>
      <c r="G318">
        <v>335.6</v>
      </c>
      <c r="H318">
        <v>571.70000000000005</v>
      </c>
      <c r="Y318">
        <v>311590100</v>
      </c>
      <c r="Z318">
        <v>159975630</v>
      </c>
      <c r="AA318">
        <v>33476304</v>
      </c>
      <c r="AB318">
        <v>139117.5</v>
      </c>
      <c r="AC318">
        <v>0</v>
      </c>
      <c r="AD318">
        <v>0</v>
      </c>
      <c r="AE318">
        <v>22737612</v>
      </c>
      <c r="AF318">
        <v>0</v>
      </c>
      <c r="AG318">
        <v>0</v>
      </c>
      <c r="AH318">
        <v>5386084.5</v>
      </c>
      <c r="AI318">
        <v>44755972</v>
      </c>
      <c r="AJ318">
        <v>0</v>
      </c>
      <c r="AK318">
        <v>1333616.1000000001</v>
      </c>
      <c r="AL318">
        <v>0</v>
      </c>
      <c r="AM318">
        <v>12894165</v>
      </c>
      <c r="AN318">
        <v>33086252</v>
      </c>
      <c r="AO318">
        <v>0</v>
      </c>
      <c r="AP318">
        <v>3191451.5</v>
      </c>
      <c r="AQ318">
        <v>0</v>
      </c>
      <c r="AR318">
        <v>154589540</v>
      </c>
      <c r="AS318">
        <v>0</v>
      </c>
      <c r="AT318">
        <v>0</v>
      </c>
    </row>
    <row r="319" spans="1:46" x14ac:dyDescent="0.3">
      <c r="A319" t="s">
        <v>6</v>
      </c>
      <c r="B319" t="s">
        <v>178</v>
      </c>
      <c r="C319" t="s">
        <v>172</v>
      </c>
      <c r="D319">
        <v>2050</v>
      </c>
      <c r="E319">
        <v>0.81</v>
      </c>
      <c r="F319">
        <v>0.82</v>
      </c>
      <c r="G319">
        <v>339.1</v>
      </c>
      <c r="H319">
        <v>530.5</v>
      </c>
      <c r="Y319">
        <v>345040260</v>
      </c>
      <c r="Z319">
        <v>191143490</v>
      </c>
      <c r="AA319">
        <v>40396536</v>
      </c>
      <c r="AB319">
        <v>119894.3</v>
      </c>
      <c r="AC319">
        <v>0</v>
      </c>
      <c r="AD319">
        <v>0</v>
      </c>
      <c r="AE319">
        <v>17447074</v>
      </c>
      <c r="AF319">
        <v>0</v>
      </c>
      <c r="AG319">
        <v>0</v>
      </c>
      <c r="AH319">
        <v>7023781.5</v>
      </c>
      <c r="AI319">
        <v>45808692</v>
      </c>
      <c r="AJ319">
        <v>0</v>
      </c>
      <c r="AK319">
        <v>1140494.5</v>
      </c>
      <c r="AL319">
        <v>0</v>
      </c>
      <c r="AM319">
        <v>12705836</v>
      </c>
      <c r="AN319">
        <v>32819356</v>
      </c>
      <c r="AO319">
        <v>0</v>
      </c>
      <c r="AP319">
        <v>3458880.5</v>
      </c>
      <c r="AQ319">
        <v>0</v>
      </c>
      <c r="AR319">
        <v>183526140</v>
      </c>
      <c r="AS319">
        <v>593575.1</v>
      </c>
      <c r="AT319">
        <v>0</v>
      </c>
    </row>
    <row r="320" spans="1:46" x14ac:dyDescent="0.3">
      <c r="A320" t="s">
        <v>6</v>
      </c>
      <c r="B320" t="s">
        <v>178</v>
      </c>
      <c r="C320" t="s">
        <v>173</v>
      </c>
      <c r="D320">
        <v>2024</v>
      </c>
      <c r="E320">
        <v>0.56000000000000005</v>
      </c>
      <c r="F320">
        <v>0.54</v>
      </c>
      <c r="G320">
        <v>378.8</v>
      </c>
      <c r="H320">
        <v>871</v>
      </c>
      <c r="Y320">
        <v>324327140</v>
      </c>
      <c r="Z320">
        <v>39231230</v>
      </c>
      <c r="AA320">
        <v>154567.9</v>
      </c>
      <c r="AB320">
        <v>4233525</v>
      </c>
      <c r="AC320">
        <v>0</v>
      </c>
      <c r="AD320">
        <v>0</v>
      </c>
      <c r="AE320">
        <v>42095916</v>
      </c>
      <c r="AF320">
        <v>0</v>
      </c>
      <c r="AG320">
        <v>0</v>
      </c>
      <c r="AH320">
        <v>3201306.5</v>
      </c>
      <c r="AI320">
        <v>100935730</v>
      </c>
      <c r="AJ320">
        <v>0</v>
      </c>
      <c r="AK320">
        <v>649359</v>
      </c>
      <c r="AL320">
        <v>0</v>
      </c>
      <c r="AM320">
        <v>9000154</v>
      </c>
      <c r="AN320">
        <v>122475520</v>
      </c>
      <c r="AO320">
        <v>11009.8</v>
      </c>
      <c r="AP320">
        <v>5540136</v>
      </c>
      <c r="AQ320">
        <v>0</v>
      </c>
      <c r="AR320">
        <v>33480410</v>
      </c>
      <c r="AS320">
        <v>727700.7</v>
      </c>
      <c r="AT320">
        <v>1821817.6</v>
      </c>
    </row>
    <row r="321" spans="1:46" x14ac:dyDescent="0.3">
      <c r="A321" t="s">
        <v>6</v>
      </c>
      <c r="B321" t="s">
        <v>178</v>
      </c>
      <c r="C321" t="s">
        <v>173</v>
      </c>
      <c r="D321">
        <v>2026</v>
      </c>
      <c r="E321">
        <v>0.61</v>
      </c>
      <c r="F321">
        <v>0.59</v>
      </c>
      <c r="G321">
        <v>303</v>
      </c>
      <c r="H321">
        <v>832.8</v>
      </c>
      <c r="Y321">
        <v>342398270</v>
      </c>
      <c r="Z321">
        <v>65476504</v>
      </c>
      <c r="AA321">
        <v>1512078.6</v>
      </c>
      <c r="AB321">
        <v>4196634.5</v>
      </c>
      <c r="AC321">
        <v>0</v>
      </c>
      <c r="AD321">
        <v>0</v>
      </c>
      <c r="AE321">
        <v>39708556</v>
      </c>
      <c r="AF321">
        <v>0</v>
      </c>
      <c r="AG321">
        <v>0</v>
      </c>
      <c r="AH321">
        <v>4677357.5</v>
      </c>
      <c r="AI321">
        <v>93661000</v>
      </c>
      <c r="AJ321">
        <v>0</v>
      </c>
      <c r="AK321">
        <v>515757.5</v>
      </c>
      <c r="AL321">
        <v>0</v>
      </c>
      <c r="AM321">
        <v>9009794</v>
      </c>
      <c r="AN321">
        <v>122318850</v>
      </c>
      <c r="AO321">
        <v>10199.6</v>
      </c>
      <c r="AP321">
        <v>5988895</v>
      </c>
      <c r="AQ321">
        <v>0</v>
      </c>
      <c r="AR321">
        <v>55377536</v>
      </c>
      <c r="AS321">
        <v>723776.6</v>
      </c>
      <c r="AT321">
        <v>4697835.5</v>
      </c>
    </row>
    <row r="322" spans="1:46" x14ac:dyDescent="0.3">
      <c r="A322" t="s">
        <v>6</v>
      </c>
      <c r="B322" t="s">
        <v>178</v>
      </c>
      <c r="C322" t="s">
        <v>173</v>
      </c>
      <c r="D322">
        <v>2028</v>
      </c>
      <c r="E322">
        <v>0.7</v>
      </c>
      <c r="F322">
        <v>0.66</v>
      </c>
      <c r="G322">
        <v>224.8</v>
      </c>
      <c r="H322">
        <v>743.1</v>
      </c>
      <c r="Y322">
        <v>368269000</v>
      </c>
      <c r="Z322">
        <v>105832430</v>
      </c>
      <c r="AA322">
        <v>9569443</v>
      </c>
      <c r="AB322">
        <v>2679693.7999999998</v>
      </c>
      <c r="AC322">
        <v>0</v>
      </c>
      <c r="AD322">
        <v>0</v>
      </c>
      <c r="AE322">
        <v>23601622</v>
      </c>
      <c r="AF322">
        <v>0</v>
      </c>
      <c r="AG322">
        <v>0</v>
      </c>
      <c r="AH322">
        <v>6904737</v>
      </c>
      <c r="AI322">
        <v>87667240</v>
      </c>
      <c r="AJ322">
        <v>0</v>
      </c>
      <c r="AK322">
        <v>533796.4</v>
      </c>
      <c r="AL322">
        <v>0</v>
      </c>
      <c r="AM322">
        <v>9110653</v>
      </c>
      <c r="AN322">
        <v>121329510</v>
      </c>
      <c r="AO322">
        <v>12530.8</v>
      </c>
      <c r="AP322">
        <v>7932078.5</v>
      </c>
      <c r="AQ322">
        <v>0</v>
      </c>
      <c r="AR322">
        <v>90825790</v>
      </c>
      <c r="AS322">
        <v>719873.2</v>
      </c>
      <c r="AT322">
        <v>7382027</v>
      </c>
    </row>
    <row r="323" spans="1:46" x14ac:dyDescent="0.3">
      <c r="A323" t="s">
        <v>6</v>
      </c>
      <c r="B323" t="s">
        <v>178</v>
      </c>
      <c r="C323" t="s">
        <v>173</v>
      </c>
      <c r="D323">
        <v>2030</v>
      </c>
      <c r="E323">
        <v>0.77</v>
      </c>
      <c r="F323">
        <v>0.72</v>
      </c>
      <c r="G323">
        <v>241.8</v>
      </c>
      <c r="H323">
        <v>661.1</v>
      </c>
      <c r="Y323">
        <v>416189630</v>
      </c>
      <c r="Z323">
        <v>161283680</v>
      </c>
      <c r="AA323">
        <v>20541296</v>
      </c>
      <c r="AB323">
        <v>2591213.7999999998</v>
      </c>
      <c r="AC323">
        <v>0</v>
      </c>
      <c r="AD323">
        <v>0</v>
      </c>
      <c r="AE323">
        <v>17561808</v>
      </c>
      <c r="AF323">
        <v>0</v>
      </c>
      <c r="AG323">
        <v>0</v>
      </c>
      <c r="AH323">
        <v>10056798</v>
      </c>
      <c r="AI323">
        <v>77353890</v>
      </c>
      <c r="AJ323">
        <v>0</v>
      </c>
      <c r="AK323">
        <v>398799.4</v>
      </c>
      <c r="AL323">
        <v>0</v>
      </c>
      <c r="AM323">
        <v>8926127</v>
      </c>
      <c r="AN323">
        <v>118401980</v>
      </c>
      <c r="AO323">
        <v>4194</v>
      </c>
      <c r="AP323">
        <v>9126633</v>
      </c>
      <c r="AQ323">
        <v>0</v>
      </c>
      <c r="AR323">
        <v>135249630</v>
      </c>
      <c r="AS323">
        <v>924783.2</v>
      </c>
      <c r="AT323">
        <v>15052470</v>
      </c>
    </row>
    <row r="324" spans="1:46" x14ac:dyDescent="0.3">
      <c r="A324" t="s">
        <v>6</v>
      </c>
      <c r="B324" t="s">
        <v>178</v>
      </c>
      <c r="C324" t="s">
        <v>173</v>
      </c>
      <c r="D324">
        <v>2035</v>
      </c>
      <c r="E324">
        <v>0.83</v>
      </c>
      <c r="F324">
        <v>0.78</v>
      </c>
      <c r="G324">
        <v>216</v>
      </c>
      <c r="H324">
        <v>599.1</v>
      </c>
      <c r="Y324">
        <v>476440830</v>
      </c>
      <c r="Z324">
        <v>219004130</v>
      </c>
      <c r="AA324">
        <v>40885360</v>
      </c>
      <c r="AB324">
        <v>2134806.7999999998</v>
      </c>
      <c r="AC324">
        <v>0</v>
      </c>
      <c r="AD324">
        <v>0</v>
      </c>
      <c r="AE324">
        <v>11998951</v>
      </c>
      <c r="AF324">
        <v>0</v>
      </c>
      <c r="AG324">
        <v>0</v>
      </c>
      <c r="AH324">
        <v>15162710</v>
      </c>
      <c r="AI324">
        <v>67674790</v>
      </c>
      <c r="AJ324">
        <v>0</v>
      </c>
      <c r="AK324">
        <v>304297.5</v>
      </c>
      <c r="AL324">
        <v>0</v>
      </c>
      <c r="AM324">
        <v>8713725</v>
      </c>
      <c r="AN324">
        <v>116216910</v>
      </c>
      <c r="AO324">
        <v>3468.3</v>
      </c>
      <c r="AP324">
        <v>9504358</v>
      </c>
      <c r="AQ324">
        <v>0</v>
      </c>
      <c r="AR324">
        <v>184505950</v>
      </c>
      <c r="AS324">
        <v>4499458.5</v>
      </c>
      <c r="AT324">
        <v>14836030</v>
      </c>
    </row>
    <row r="325" spans="1:46" x14ac:dyDescent="0.3">
      <c r="A325" t="s">
        <v>6</v>
      </c>
      <c r="B325" t="s">
        <v>178</v>
      </c>
      <c r="C325" t="s">
        <v>173</v>
      </c>
      <c r="D325">
        <v>2040</v>
      </c>
      <c r="E325">
        <v>0.85</v>
      </c>
      <c r="F325">
        <v>0.83</v>
      </c>
      <c r="G325">
        <v>199.5</v>
      </c>
      <c r="H325">
        <v>565.29999999999995</v>
      </c>
      <c r="Y325">
        <v>531635360</v>
      </c>
      <c r="Z325">
        <v>254900000</v>
      </c>
      <c r="AA325">
        <v>58874104</v>
      </c>
      <c r="AB325">
        <v>2095669.8</v>
      </c>
      <c r="AC325">
        <v>0</v>
      </c>
      <c r="AD325">
        <v>0</v>
      </c>
      <c r="AE325">
        <v>10660508</v>
      </c>
      <c r="AF325">
        <v>0</v>
      </c>
      <c r="AG325">
        <v>0</v>
      </c>
      <c r="AH325">
        <v>16781340</v>
      </c>
      <c r="AI325">
        <v>70391530</v>
      </c>
      <c r="AJ325">
        <v>0</v>
      </c>
      <c r="AK325">
        <v>537997.9</v>
      </c>
      <c r="AL325">
        <v>0</v>
      </c>
      <c r="AM325">
        <v>8625432</v>
      </c>
      <c r="AN325">
        <v>115635150</v>
      </c>
      <c r="AO325">
        <v>1837.5</v>
      </c>
      <c r="AP325">
        <v>9913162</v>
      </c>
      <c r="AQ325">
        <v>0</v>
      </c>
      <c r="AR325">
        <v>216784820</v>
      </c>
      <c r="AS325">
        <v>6693526.5</v>
      </c>
      <c r="AT325">
        <v>14640310</v>
      </c>
    </row>
    <row r="326" spans="1:46" x14ac:dyDescent="0.3">
      <c r="A326" t="s">
        <v>6</v>
      </c>
      <c r="B326" t="s">
        <v>178</v>
      </c>
      <c r="C326" t="s">
        <v>173</v>
      </c>
      <c r="D326">
        <v>2045</v>
      </c>
      <c r="E326">
        <v>0.92</v>
      </c>
      <c r="F326">
        <v>0.93</v>
      </c>
      <c r="G326">
        <v>129.30000000000001</v>
      </c>
      <c r="H326">
        <v>566.9</v>
      </c>
      <c r="Y326">
        <v>574817150</v>
      </c>
      <c r="Z326">
        <v>314307680</v>
      </c>
      <c r="AA326">
        <v>82217490</v>
      </c>
      <c r="AB326">
        <v>1444487.6</v>
      </c>
      <c r="AC326">
        <v>0</v>
      </c>
      <c r="AD326">
        <v>0</v>
      </c>
      <c r="AE326">
        <v>8786483</v>
      </c>
      <c r="AF326">
        <v>0</v>
      </c>
      <c r="AG326">
        <v>0</v>
      </c>
      <c r="AH326">
        <v>17691476</v>
      </c>
      <c r="AI326">
        <v>33878790</v>
      </c>
      <c r="AJ326">
        <v>0</v>
      </c>
      <c r="AK326">
        <v>1004021.3</v>
      </c>
      <c r="AL326">
        <v>0</v>
      </c>
      <c r="AM326">
        <v>8545519</v>
      </c>
      <c r="AN326">
        <v>114741144</v>
      </c>
      <c r="AO326">
        <v>61.9</v>
      </c>
      <c r="AP326">
        <v>9891479</v>
      </c>
      <c r="AQ326">
        <v>0</v>
      </c>
      <c r="AR326">
        <v>274066020</v>
      </c>
      <c r="AS326">
        <v>8152169</v>
      </c>
      <c r="AT326">
        <v>14398013</v>
      </c>
    </row>
    <row r="327" spans="1:46" x14ac:dyDescent="0.3">
      <c r="A327" t="s">
        <v>6</v>
      </c>
      <c r="B327" t="s">
        <v>178</v>
      </c>
      <c r="C327" t="s">
        <v>173</v>
      </c>
      <c r="D327">
        <v>2050</v>
      </c>
      <c r="E327">
        <v>0.93</v>
      </c>
      <c r="F327">
        <v>0.97</v>
      </c>
      <c r="G327">
        <v>99.6</v>
      </c>
      <c r="H327">
        <v>544.79999999999995</v>
      </c>
      <c r="Y327">
        <v>627999800</v>
      </c>
      <c r="Z327">
        <v>355038200</v>
      </c>
      <c r="AA327">
        <v>96710210</v>
      </c>
      <c r="AB327">
        <v>1461045.1</v>
      </c>
      <c r="AC327">
        <v>0</v>
      </c>
      <c r="AD327">
        <v>0</v>
      </c>
      <c r="AE327">
        <v>4004932</v>
      </c>
      <c r="AF327">
        <v>0</v>
      </c>
      <c r="AG327">
        <v>0</v>
      </c>
      <c r="AH327">
        <v>19145082</v>
      </c>
      <c r="AI327">
        <v>35787996</v>
      </c>
      <c r="AJ327">
        <v>0</v>
      </c>
      <c r="AK327">
        <v>2018774.8</v>
      </c>
      <c r="AL327">
        <v>0</v>
      </c>
      <c r="AM327">
        <v>8513682</v>
      </c>
      <c r="AN327">
        <v>114267560</v>
      </c>
      <c r="AO327">
        <v>0</v>
      </c>
      <c r="AP327">
        <v>10197425</v>
      </c>
      <c r="AQ327">
        <v>0</v>
      </c>
      <c r="AR327">
        <v>307399680</v>
      </c>
      <c r="AS327">
        <v>14373931</v>
      </c>
      <c r="AT327">
        <v>14119501</v>
      </c>
    </row>
    <row r="329" spans="1:46" x14ac:dyDescent="0.3">
      <c r="A329" t="s">
        <v>176</v>
      </c>
      <c r="B329" t="s">
        <v>177</v>
      </c>
      <c r="C329" t="s">
        <v>174</v>
      </c>
      <c r="D329" t="s">
        <v>175</v>
      </c>
    </row>
    <row r="330" spans="1:46" x14ac:dyDescent="0.3">
      <c r="A330" t="s">
        <v>6</v>
      </c>
      <c r="B330" t="s">
        <v>179</v>
      </c>
      <c r="C330" t="s">
        <v>154</v>
      </c>
      <c r="D330">
        <v>2024</v>
      </c>
    </row>
    <row r="331" spans="1:46" x14ac:dyDescent="0.3">
      <c r="A331" t="s">
        <v>6</v>
      </c>
      <c r="B331" t="s">
        <v>179</v>
      </c>
      <c r="C331" t="s">
        <v>154</v>
      </c>
      <c r="D331">
        <v>2026</v>
      </c>
    </row>
    <row r="332" spans="1:46" x14ac:dyDescent="0.3">
      <c r="A332" t="s">
        <v>6</v>
      </c>
      <c r="B332" t="s">
        <v>179</v>
      </c>
      <c r="C332" t="s">
        <v>154</v>
      </c>
      <c r="D332">
        <v>2028</v>
      </c>
    </row>
    <row r="333" spans="1:46" x14ac:dyDescent="0.3">
      <c r="A333" t="s">
        <v>6</v>
      </c>
      <c r="B333" t="s">
        <v>179</v>
      </c>
      <c r="C333" t="s">
        <v>154</v>
      </c>
      <c r="D333">
        <v>2030</v>
      </c>
    </row>
    <row r="334" spans="1:46" x14ac:dyDescent="0.3">
      <c r="A334" t="s">
        <v>6</v>
      </c>
      <c r="B334" t="s">
        <v>179</v>
      </c>
      <c r="C334" t="s">
        <v>154</v>
      </c>
      <c r="D334">
        <v>2035</v>
      </c>
    </row>
    <row r="335" spans="1:46" x14ac:dyDescent="0.3">
      <c r="A335" t="s">
        <v>6</v>
      </c>
      <c r="B335" t="s">
        <v>179</v>
      </c>
      <c r="C335" t="s">
        <v>154</v>
      </c>
      <c r="D335">
        <v>2040</v>
      </c>
    </row>
    <row r="336" spans="1:46" x14ac:dyDescent="0.3">
      <c r="A336" t="s">
        <v>6</v>
      </c>
      <c r="B336" t="s">
        <v>179</v>
      </c>
      <c r="C336" t="s">
        <v>154</v>
      </c>
      <c r="D336">
        <v>2045</v>
      </c>
    </row>
    <row r="337" spans="1:4" x14ac:dyDescent="0.3">
      <c r="A337" t="s">
        <v>6</v>
      </c>
      <c r="B337" t="s">
        <v>179</v>
      </c>
      <c r="C337" t="s">
        <v>154</v>
      </c>
      <c r="D337">
        <v>2050</v>
      </c>
    </row>
    <row r="338" spans="1:4" x14ac:dyDescent="0.3">
      <c r="A338" t="s">
        <v>6</v>
      </c>
      <c r="B338" t="s">
        <v>179</v>
      </c>
      <c r="C338" t="s">
        <v>155</v>
      </c>
      <c r="D338">
        <v>2024</v>
      </c>
    </row>
    <row r="339" spans="1:4" x14ac:dyDescent="0.3">
      <c r="A339" t="s">
        <v>6</v>
      </c>
      <c r="B339" t="s">
        <v>179</v>
      </c>
      <c r="C339" t="s">
        <v>155</v>
      </c>
      <c r="D339">
        <v>2026</v>
      </c>
    </row>
    <row r="340" spans="1:4" x14ac:dyDescent="0.3">
      <c r="A340" t="s">
        <v>6</v>
      </c>
      <c r="B340" t="s">
        <v>179</v>
      </c>
      <c r="C340" t="s">
        <v>155</v>
      </c>
      <c r="D340">
        <v>2028</v>
      </c>
    </row>
    <row r="341" spans="1:4" x14ac:dyDescent="0.3">
      <c r="A341" t="s">
        <v>6</v>
      </c>
      <c r="B341" t="s">
        <v>179</v>
      </c>
      <c r="C341" t="s">
        <v>155</v>
      </c>
      <c r="D341">
        <v>2030</v>
      </c>
    </row>
    <row r="342" spans="1:4" x14ac:dyDescent="0.3">
      <c r="A342" t="s">
        <v>6</v>
      </c>
      <c r="B342" t="s">
        <v>179</v>
      </c>
      <c r="C342" t="s">
        <v>155</v>
      </c>
      <c r="D342">
        <v>2035</v>
      </c>
    </row>
    <row r="343" spans="1:4" x14ac:dyDescent="0.3">
      <c r="A343" t="s">
        <v>6</v>
      </c>
      <c r="B343" t="s">
        <v>179</v>
      </c>
      <c r="C343" t="s">
        <v>155</v>
      </c>
      <c r="D343">
        <v>2040</v>
      </c>
    </row>
    <row r="344" spans="1:4" x14ac:dyDescent="0.3">
      <c r="A344" t="s">
        <v>6</v>
      </c>
      <c r="B344" t="s">
        <v>179</v>
      </c>
      <c r="C344" t="s">
        <v>155</v>
      </c>
      <c r="D344">
        <v>2045</v>
      </c>
    </row>
    <row r="345" spans="1:4" x14ac:dyDescent="0.3">
      <c r="A345" t="s">
        <v>6</v>
      </c>
      <c r="B345" t="s">
        <v>179</v>
      </c>
      <c r="C345" t="s">
        <v>155</v>
      </c>
      <c r="D345">
        <v>2050</v>
      </c>
    </row>
    <row r="346" spans="1:4" x14ac:dyDescent="0.3">
      <c r="A346" t="s">
        <v>6</v>
      </c>
      <c r="B346" t="s">
        <v>179</v>
      </c>
      <c r="C346" t="s">
        <v>156</v>
      </c>
      <c r="D346">
        <v>2024</v>
      </c>
    </row>
    <row r="347" spans="1:4" x14ac:dyDescent="0.3">
      <c r="A347" t="s">
        <v>6</v>
      </c>
      <c r="B347" t="s">
        <v>179</v>
      </c>
      <c r="C347" t="s">
        <v>156</v>
      </c>
      <c r="D347">
        <v>2026</v>
      </c>
    </row>
    <row r="348" spans="1:4" x14ac:dyDescent="0.3">
      <c r="A348" t="s">
        <v>6</v>
      </c>
      <c r="B348" t="s">
        <v>179</v>
      </c>
      <c r="C348" t="s">
        <v>156</v>
      </c>
      <c r="D348">
        <v>2028</v>
      </c>
    </row>
    <row r="349" spans="1:4" x14ac:dyDescent="0.3">
      <c r="A349" t="s">
        <v>6</v>
      </c>
      <c r="B349" t="s">
        <v>179</v>
      </c>
      <c r="C349" t="s">
        <v>156</v>
      </c>
      <c r="D349">
        <v>2030</v>
      </c>
    </row>
    <row r="350" spans="1:4" x14ac:dyDescent="0.3">
      <c r="A350" t="s">
        <v>6</v>
      </c>
      <c r="B350" t="s">
        <v>179</v>
      </c>
      <c r="C350" t="s">
        <v>156</v>
      </c>
      <c r="D350">
        <v>2035</v>
      </c>
    </row>
    <row r="351" spans="1:4" x14ac:dyDescent="0.3">
      <c r="A351" t="s">
        <v>6</v>
      </c>
      <c r="B351" t="s">
        <v>179</v>
      </c>
      <c r="C351" t="s">
        <v>156</v>
      </c>
      <c r="D351">
        <v>2040</v>
      </c>
    </row>
    <row r="352" spans="1:4" x14ac:dyDescent="0.3">
      <c r="A352" t="s">
        <v>6</v>
      </c>
      <c r="B352" t="s">
        <v>179</v>
      </c>
      <c r="C352" t="s">
        <v>156</v>
      </c>
      <c r="D352">
        <v>2045</v>
      </c>
    </row>
    <row r="353" spans="1:4" x14ac:dyDescent="0.3">
      <c r="A353" t="s">
        <v>6</v>
      </c>
      <c r="B353" t="s">
        <v>179</v>
      </c>
      <c r="C353" t="s">
        <v>156</v>
      </c>
      <c r="D353">
        <v>2050</v>
      </c>
    </row>
    <row r="354" spans="1:4" x14ac:dyDescent="0.3">
      <c r="A354" t="s">
        <v>6</v>
      </c>
      <c r="B354" t="s">
        <v>179</v>
      </c>
      <c r="C354" t="s">
        <v>157</v>
      </c>
      <c r="D354">
        <v>2024</v>
      </c>
    </row>
    <row r="355" spans="1:4" x14ac:dyDescent="0.3">
      <c r="A355" t="s">
        <v>6</v>
      </c>
      <c r="B355" t="s">
        <v>179</v>
      </c>
      <c r="C355" t="s">
        <v>157</v>
      </c>
      <c r="D355">
        <v>2026</v>
      </c>
    </row>
    <row r="356" spans="1:4" x14ac:dyDescent="0.3">
      <c r="A356" t="s">
        <v>6</v>
      </c>
      <c r="B356" t="s">
        <v>179</v>
      </c>
      <c r="C356" t="s">
        <v>157</v>
      </c>
      <c r="D356">
        <v>2028</v>
      </c>
    </row>
    <row r="357" spans="1:4" x14ac:dyDescent="0.3">
      <c r="A357" t="s">
        <v>6</v>
      </c>
      <c r="B357" t="s">
        <v>179</v>
      </c>
      <c r="C357" t="s">
        <v>157</v>
      </c>
      <c r="D357">
        <v>2030</v>
      </c>
    </row>
    <row r="358" spans="1:4" x14ac:dyDescent="0.3">
      <c r="A358" t="s">
        <v>6</v>
      </c>
      <c r="B358" t="s">
        <v>179</v>
      </c>
      <c r="C358" t="s">
        <v>157</v>
      </c>
      <c r="D358">
        <v>2035</v>
      </c>
    </row>
    <row r="359" spans="1:4" x14ac:dyDescent="0.3">
      <c r="A359" t="s">
        <v>6</v>
      </c>
      <c r="B359" t="s">
        <v>179</v>
      </c>
      <c r="C359" t="s">
        <v>157</v>
      </c>
      <c r="D359">
        <v>2040</v>
      </c>
    </row>
    <row r="360" spans="1:4" x14ac:dyDescent="0.3">
      <c r="A360" t="s">
        <v>6</v>
      </c>
      <c r="B360" t="s">
        <v>179</v>
      </c>
      <c r="C360" t="s">
        <v>157</v>
      </c>
      <c r="D360">
        <v>2045</v>
      </c>
    </row>
    <row r="361" spans="1:4" x14ac:dyDescent="0.3">
      <c r="A361" t="s">
        <v>6</v>
      </c>
      <c r="B361" t="s">
        <v>179</v>
      </c>
      <c r="C361" t="s">
        <v>157</v>
      </c>
      <c r="D361">
        <v>2050</v>
      </c>
    </row>
    <row r="362" spans="1:4" x14ac:dyDescent="0.3">
      <c r="A362" t="s">
        <v>6</v>
      </c>
      <c r="B362" t="s">
        <v>179</v>
      </c>
      <c r="C362" t="s">
        <v>158</v>
      </c>
      <c r="D362">
        <v>2024</v>
      </c>
    </row>
    <row r="363" spans="1:4" x14ac:dyDescent="0.3">
      <c r="A363" t="s">
        <v>6</v>
      </c>
      <c r="B363" t="s">
        <v>179</v>
      </c>
      <c r="C363" t="s">
        <v>158</v>
      </c>
      <c r="D363">
        <v>2026</v>
      </c>
    </row>
    <row r="364" spans="1:4" x14ac:dyDescent="0.3">
      <c r="A364" t="s">
        <v>6</v>
      </c>
      <c r="B364" t="s">
        <v>179</v>
      </c>
      <c r="C364" t="s">
        <v>158</v>
      </c>
      <c r="D364">
        <v>2028</v>
      </c>
    </row>
    <row r="365" spans="1:4" x14ac:dyDescent="0.3">
      <c r="A365" t="s">
        <v>6</v>
      </c>
      <c r="B365" t="s">
        <v>179</v>
      </c>
      <c r="C365" t="s">
        <v>158</v>
      </c>
      <c r="D365">
        <v>2030</v>
      </c>
    </row>
    <row r="366" spans="1:4" x14ac:dyDescent="0.3">
      <c r="A366" t="s">
        <v>6</v>
      </c>
      <c r="B366" t="s">
        <v>179</v>
      </c>
      <c r="C366" t="s">
        <v>158</v>
      </c>
      <c r="D366">
        <v>2035</v>
      </c>
    </row>
    <row r="367" spans="1:4" x14ac:dyDescent="0.3">
      <c r="A367" t="s">
        <v>6</v>
      </c>
      <c r="B367" t="s">
        <v>179</v>
      </c>
      <c r="C367" t="s">
        <v>158</v>
      </c>
      <c r="D367">
        <v>2040</v>
      </c>
    </row>
    <row r="368" spans="1:4" x14ac:dyDescent="0.3">
      <c r="A368" t="s">
        <v>6</v>
      </c>
      <c r="B368" t="s">
        <v>179</v>
      </c>
      <c r="C368" t="s">
        <v>158</v>
      </c>
      <c r="D368">
        <v>2045</v>
      </c>
    </row>
    <row r="369" spans="1:4" x14ac:dyDescent="0.3">
      <c r="A369" t="s">
        <v>6</v>
      </c>
      <c r="B369" t="s">
        <v>179</v>
      </c>
      <c r="C369" t="s">
        <v>158</v>
      </c>
      <c r="D369">
        <v>2050</v>
      </c>
    </row>
    <row r="370" spans="1:4" x14ac:dyDescent="0.3">
      <c r="A370" t="s">
        <v>6</v>
      </c>
      <c r="B370" t="s">
        <v>179</v>
      </c>
      <c r="C370" t="s">
        <v>159</v>
      </c>
      <c r="D370">
        <v>2024</v>
      </c>
    </row>
    <row r="371" spans="1:4" x14ac:dyDescent="0.3">
      <c r="A371" t="s">
        <v>6</v>
      </c>
      <c r="B371" t="s">
        <v>179</v>
      </c>
      <c r="C371" t="s">
        <v>159</v>
      </c>
      <c r="D371">
        <v>2026</v>
      </c>
    </row>
    <row r="372" spans="1:4" x14ac:dyDescent="0.3">
      <c r="A372" t="s">
        <v>6</v>
      </c>
      <c r="B372" t="s">
        <v>179</v>
      </c>
      <c r="C372" t="s">
        <v>159</v>
      </c>
      <c r="D372">
        <v>2028</v>
      </c>
    </row>
    <row r="373" spans="1:4" x14ac:dyDescent="0.3">
      <c r="A373" t="s">
        <v>6</v>
      </c>
      <c r="B373" t="s">
        <v>179</v>
      </c>
      <c r="C373" t="s">
        <v>159</v>
      </c>
      <c r="D373">
        <v>2030</v>
      </c>
    </row>
    <row r="374" spans="1:4" x14ac:dyDescent="0.3">
      <c r="A374" t="s">
        <v>6</v>
      </c>
      <c r="B374" t="s">
        <v>179</v>
      </c>
      <c r="C374" t="s">
        <v>159</v>
      </c>
      <c r="D374">
        <v>2035</v>
      </c>
    </row>
    <row r="375" spans="1:4" x14ac:dyDescent="0.3">
      <c r="A375" t="s">
        <v>6</v>
      </c>
      <c r="B375" t="s">
        <v>179</v>
      </c>
      <c r="C375" t="s">
        <v>159</v>
      </c>
      <c r="D375">
        <v>2040</v>
      </c>
    </row>
    <row r="376" spans="1:4" x14ac:dyDescent="0.3">
      <c r="A376" t="s">
        <v>6</v>
      </c>
      <c r="B376" t="s">
        <v>179</v>
      </c>
      <c r="C376" t="s">
        <v>159</v>
      </c>
      <c r="D376">
        <v>2045</v>
      </c>
    </row>
    <row r="377" spans="1:4" x14ac:dyDescent="0.3">
      <c r="A377" t="s">
        <v>6</v>
      </c>
      <c r="B377" t="s">
        <v>179</v>
      </c>
      <c r="C377" t="s">
        <v>159</v>
      </c>
      <c r="D377">
        <v>2050</v>
      </c>
    </row>
    <row r="378" spans="1:4" x14ac:dyDescent="0.3">
      <c r="A378" t="s">
        <v>6</v>
      </c>
      <c r="B378" t="s">
        <v>179</v>
      </c>
      <c r="C378" t="s">
        <v>160</v>
      </c>
      <c r="D378">
        <v>2024</v>
      </c>
    </row>
    <row r="379" spans="1:4" x14ac:dyDescent="0.3">
      <c r="A379" t="s">
        <v>6</v>
      </c>
      <c r="B379" t="s">
        <v>179</v>
      </c>
      <c r="C379" t="s">
        <v>160</v>
      </c>
      <c r="D379">
        <v>2026</v>
      </c>
    </row>
    <row r="380" spans="1:4" x14ac:dyDescent="0.3">
      <c r="A380" t="s">
        <v>6</v>
      </c>
      <c r="B380" t="s">
        <v>179</v>
      </c>
      <c r="C380" t="s">
        <v>160</v>
      </c>
      <c r="D380">
        <v>2028</v>
      </c>
    </row>
    <row r="381" spans="1:4" x14ac:dyDescent="0.3">
      <c r="A381" t="s">
        <v>6</v>
      </c>
      <c r="B381" t="s">
        <v>179</v>
      </c>
      <c r="C381" t="s">
        <v>160</v>
      </c>
      <c r="D381">
        <v>2030</v>
      </c>
    </row>
    <row r="382" spans="1:4" x14ac:dyDescent="0.3">
      <c r="A382" t="s">
        <v>6</v>
      </c>
      <c r="B382" t="s">
        <v>179</v>
      </c>
      <c r="C382" t="s">
        <v>160</v>
      </c>
      <c r="D382">
        <v>2035</v>
      </c>
    </row>
    <row r="383" spans="1:4" x14ac:dyDescent="0.3">
      <c r="A383" t="s">
        <v>6</v>
      </c>
      <c r="B383" t="s">
        <v>179</v>
      </c>
      <c r="C383" t="s">
        <v>160</v>
      </c>
      <c r="D383">
        <v>2040</v>
      </c>
    </row>
    <row r="384" spans="1:4" x14ac:dyDescent="0.3">
      <c r="A384" t="s">
        <v>6</v>
      </c>
      <c r="B384" t="s">
        <v>179</v>
      </c>
      <c r="C384" t="s">
        <v>160</v>
      </c>
      <c r="D384">
        <v>2045</v>
      </c>
    </row>
    <row r="385" spans="1:4" x14ac:dyDescent="0.3">
      <c r="A385" t="s">
        <v>6</v>
      </c>
      <c r="B385" t="s">
        <v>179</v>
      </c>
      <c r="C385" t="s">
        <v>160</v>
      </c>
      <c r="D385">
        <v>2050</v>
      </c>
    </row>
    <row r="386" spans="1:4" x14ac:dyDescent="0.3">
      <c r="A386" t="s">
        <v>6</v>
      </c>
      <c r="B386" t="s">
        <v>179</v>
      </c>
      <c r="C386" t="s">
        <v>161</v>
      </c>
      <c r="D386">
        <v>2024</v>
      </c>
    </row>
    <row r="387" spans="1:4" x14ac:dyDescent="0.3">
      <c r="A387" t="s">
        <v>6</v>
      </c>
      <c r="B387" t="s">
        <v>179</v>
      </c>
      <c r="C387" t="s">
        <v>161</v>
      </c>
      <c r="D387">
        <v>2026</v>
      </c>
    </row>
    <row r="388" spans="1:4" x14ac:dyDescent="0.3">
      <c r="A388" t="s">
        <v>6</v>
      </c>
      <c r="B388" t="s">
        <v>179</v>
      </c>
      <c r="C388" t="s">
        <v>161</v>
      </c>
      <c r="D388">
        <v>2028</v>
      </c>
    </row>
    <row r="389" spans="1:4" x14ac:dyDescent="0.3">
      <c r="A389" t="s">
        <v>6</v>
      </c>
      <c r="B389" t="s">
        <v>179</v>
      </c>
      <c r="C389" t="s">
        <v>161</v>
      </c>
      <c r="D389">
        <v>2030</v>
      </c>
    </row>
    <row r="390" spans="1:4" x14ac:dyDescent="0.3">
      <c r="A390" t="s">
        <v>6</v>
      </c>
      <c r="B390" t="s">
        <v>179</v>
      </c>
      <c r="C390" t="s">
        <v>161</v>
      </c>
      <c r="D390">
        <v>2035</v>
      </c>
    </row>
    <row r="391" spans="1:4" x14ac:dyDescent="0.3">
      <c r="A391" t="s">
        <v>6</v>
      </c>
      <c r="B391" t="s">
        <v>179</v>
      </c>
      <c r="C391" t="s">
        <v>161</v>
      </c>
      <c r="D391">
        <v>2040</v>
      </c>
    </row>
    <row r="392" spans="1:4" x14ac:dyDescent="0.3">
      <c r="A392" t="s">
        <v>6</v>
      </c>
      <c r="B392" t="s">
        <v>179</v>
      </c>
      <c r="C392" t="s">
        <v>161</v>
      </c>
      <c r="D392">
        <v>2045</v>
      </c>
    </row>
    <row r="393" spans="1:4" x14ac:dyDescent="0.3">
      <c r="A393" t="s">
        <v>6</v>
      </c>
      <c r="B393" t="s">
        <v>179</v>
      </c>
      <c r="C393" t="s">
        <v>161</v>
      </c>
      <c r="D393">
        <v>2050</v>
      </c>
    </row>
    <row r="394" spans="1:4" x14ac:dyDescent="0.3">
      <c r="A394" t="s">
        <v>6</v>
      </c>
      <c r="B394" t="s">
        <v>179</v>
      </c>
      <c r="C394" t="s">
        <v>162</v>
      </c>
      <c r="D394">
        <v>2024</v>
      </c>
    </row>
    <row r="395" spans="1:4" x14ac:dyDescent="0.3">
      <c r="A395" t="s">
        <v>6</v>
      </c>
      <c r="B395" t="s">
        <v>179</v>
      </c>
      <c r="C395" t="s">
        <v>162</v>
      </c>
      <c r="D395">
        <v>2026</v>
      </c>
    </row>
    <row r="396" spans="1:4" x14ac:dyDescent="0.3">
      <c r="A396" t="s">
        <v>6</v>
      </c>
      <c r="B396" t="s">
        <v>179</v>
      </c>
      <c r="C396" t="s">
        <v>162</v>
      </c>
      <c r="D396">
        <v>2028</v>
      </c>
    </row>
    <row r="397" spans="1:4" x14ac:dyDescent="0.3">
      <c r="A397" t="s">
        <v>6</v>
      </c>
      <c r="B397" t="s">
        <v>179</v>
      </c>
      <c r="C397" t="s">
        <v>162</v>
      </c>
      <c r="D397">
        <v>2030</v>
      </c>
    </row>
    <row r="398" spans="1:4" x14ac:dyDescent="0.3">
      <c r="A398" t="s">
        <v>6</v>
      </c>
      <c r="B398" t="s">
        <v>179</v>
      </c>
      <c r="C398" t="s">
        <v>162</v>
      </c>
      <c r="D398">
        <v>2035</v>
      </c>
    </row>
    <row r="399" spans="1:4" x14ac:dyDescent="0.3">
      <c r="A399" t="s">
        <v>6</v>
      </c>
      <c r="B399" t="s">
        <v>179</v>
      </c>
      <c r="C399" t="s">
        <v>162</v>
      </c>
      <c r="D399">
        <v>2040</v>
      </c>
    </row>
    <row r="400" spans="1:4" x14ac:dyDescent="0.3">
      <c r="A400" t="s">
        <v>6</v>
      </c>
      <c r="B400" t="s">
        <v>179</v>
      </c>
      <c r="C400" t="s">
        <v>162</v>
      </c>
      <c r="D400">
        <v>2045</v>
      </c>
    </row>
    <row r="401" spans="1:4" x14ac:dyDescent="0.3">
      <c r="A401" t="s">
        <v>6</v>
      </c>
      <c r="B401" t="s">
        <v>179</v>
      </c>
      <c r="C401" t="s">
        <v>162</v>
      </c>
      <c r="D401">
        <v>2050</v>
      </c>
    </row>
    <row r="402" spans="1:4" x14ac:dyDescent="0.3">
      <c r="A402" t="s">
        <v>6</v>
      </c>
      <c r="B402" t="s">
        <v>179</v>
      </c>
      <c r="C402" t="s">
        <v>163</v>
      </c>
      <c r="D402">
        <v>2024</v>
      </c>
    </row>
    <row r="403" spans="1:4" x14ac:dyDescent="0.3">
      <c r="A403" t="s">
        <v>6</v>
      </c>
      <c r="B403" t="s">
        <v>179</v>
      </c>
      <c r="C403" t="s">
        <v>163</v>
      </c>
      <c r="D403">
        <v>2026</v>
      </c>
    </row>
    <row r="404" spans="1:4" x14ac:dyDescent="0.3">
      <c r="A404" t="s">
        <v>6</v>
      </c>
      <c r="B404" t="s">
        <v>179</v>
      </c>
      <c r="C404" t="s">
        <v>163</v>
      </c>
      <c r="D404">
        <v>2028</v>
      </c>
    </row>
    <row r="405" spans="1:4" x14ac:dyDescent="0.3">
      <c r="A405" t="s">
        <v>6</v>
      </c>
      <c r="B405" t="s">
        <v>179</v>
      </c>
      <c r="C405" t="s">
        <v>163</v>
      </c>
      <c r="D405">
        <v>2030</v>
      </c>
    </row>
    <row r="406" spans="1:4" x14ac:dyDescent="0.3">
      <c r="A406" t="s">
        <v>6</v>
      </c>
      <c r="B406" t="s">
        <v>179</v>
      </c>
      <c r="C406" t="s">
        <v>163</v>
      </c>
      <c r="D406">
        <v>2035</v>
      </c>
    </row>
    <row r="407" spans="1:4" x14ac:dyDescent="0.3">
      <c r="A407" t="s">
        <v>6</v>
      </c>
      <c r="B407" t="s">
        <v>179</v>
      </c>
      <c r="C407" t="s">
        <v>163</v>
      </c>
      <c r="D407">
        <v>2040</v>
      </c>
    </row>
    <row r="408" spans="1:4" x14ac:dyDescent="0.3">
      <c r="A408" t="s">
        <v>6</v>
      </c>
      <c r="B408" t="s">
        <v>179</v>
      </c>
      <c r="C408" t="s">
        <v>163</v>
      </c>
      <c r="D408">
        <v>2045</v>
      </c>
    </row>
    <row r="409" spans="1:4" x14ac:dyDescent="0.3">
      <c r="A409" t="s">
        <v>6</v>
      </c>
      <c r="B409" t="s">
        <v>179</v>
      </c>
      <c r="C409" t="s">
        <v>163</v>
      </c>
      <c r="D409">
        <v>2050</v>
      </c>
    </row>
    <row r="410" spans="1:4" x14ac:dyDescent="0.3">
      <c r="A410" t="s">
        <v>6</v>
      </c>
      <c r="B410" t="s">
        <v>179</v>
      </c>
      <c r="C410" t="s">
        <v>164</v>
      </c>
      <c r="D410">
        <v>2024</v>
      </c>
    </row>
    <row r="411" spans="1:4" x14ac:dyDescent="0.3">
      <c r="A411" t="s">
        <v>6</v>
      </c>
      <c r="B411" t="s">
        <v>179</v>
      </c>
      <c r="C411" t="s">
        <v>164</v>
      </c>
      <c r="D411">
        <v>2026</v>
      </c>
    </row>
    <row r="412" spans="1:4" x14ac:dyDescent="0.3">
      <c r="A412" t="s">
        <v>6</v>
      </c>
      <c r="B412" t="s">
        <v>179</v>
      </c>
      <c r="C412" t="s">
        <v>164</v>
      </c>
      <c r="D412">
        <v>2028</v>
      </c>
    </row>
    <row r="413" spans="1:4" x14ac:dyDescent="0.3">
      <c r="A413" t="s">
        <v>6</v>
      </c>
      <c r="B413" t="s">
        <v>179</v>
      </c>
      <c r="C413" t="s">
        <v>164</v>
      </c>
      <c r="D413">
        <v>2030</v>
      </c>
    </row>
    <row r="414" spans="1:4" x14ac:dyDescent="0.3">
      <c r="A414" t="s">
        <v>6</v>
      </c>
      <c r="B414" t="s">
        <v>179</v>
      </c>
      <c r="C414" t="s">
        <v>164</v>
      </c>
      <c r="D414">
        <v>2035</v>
      </c>
    </row>
    <row r="415" spans="1:4" x14ac:dyDescent="0.3">
      <c r="A415" t="s">
        <v>6</v>
      </c>
      <c r="B415" t="s">
        <v>179</v>
      </c>
      <c r="C415" t="s">
        <v>164</v>
      </c>
      <c r="D415">
        <v>2040</v>
      </c>
    </row>
    <row r="416" spans="1:4" x14ac:dyDescent="0.3">
      <c r="A416" t="s">
        <v>6</v>
      </c>
      <c r="B416" t="s">
        <v>179</v>
      </c>
      <c r="C416" t="s">
        <v>164</v>
      </c>
      <c r="D416">
        <v>2045</v>
      </c>
    </row>
    <row r="417" spans="1:4" x14ac:dyDescent="0.3">
      <c r="A417" t="s">
        <v>6</v>
      </c>
      <c r="B417" t="s">
        <v>179</v>
      </c>
      <c r="C417" t="s">
        <v>164</v>
      </c>
      <c r="D417">
        <v>2050</v>
      </c>
    </row>
    <row r="418" spans="1:4" x14ac:dyDescent="0.3">
      <c r="A418" t="s">
        <v>6</v>
      </c>
      <c r="B418" t="s">
        <v>179</v>
      </c>
      <c r="C418" t="s">
        <v>165</v>
      </c>
      <c r="D418">
        <v>2024</v>
      </c>
    </row>
    <row r="419" spans="1:4" x14ac:dyDescent="0.3">
      <c r="A419" t="s">
        <v>6</v>
      </c>
      <c r="B419" t="s">
        <v>179</v>
      </c>
      <c r="C419" t="s">
        <v>165</v>
      </c>
      <c r="D419">
        <v>2026</v>
      </c>
    </row>
    <row r="420" spans="1:4" x14ac:dyDescent="0.3">
      <c r="A420" t="s">
        <v>6</v>
      </c>
      <c r="B420" t="s">
        <v>179</v>
      </c>
      <c r="C420" t="s">
        <v>165</v>
      </c>
      <c r="D420">
        <v>2028</v>
      </c>
    </row>
    <row r="421" spans="1:4" x14ac:dyDescent="0.3">
      <c r="A421" t="s">
        <v>6</v>
      </c>
      <c r="B421" t="s">
        <v>179</v>
      </c>
      <c r="C421" t="s">
        <v>165</v>
      </c>
      <c r="D421">
        <v>2030</v>
      </c>
    </row>
    <row r="422" spans="1:4" x14ac:dyDescent="0.3">
      <c r="A422" t="s">
        <v>6</v>
      </c>
      <c r="B422" t="s">
        <v>179</v>
      </c>
      <c r="C422" t="s">
        <v>165</v>
      </c>
      <c r="D422">
        <v>2035</v>
      </c>
    </row>
    <row r="423" spans="1:4" x14ac:dyDescent="0.3">
      <c r="A423" t="s">
        <v>6</v>
      </c>
      <c r="B423" t="s">
        <v>179</v>
      </c>
      <c r="C423" t="s">
        <v>165</v>
      </c>
      <c r="D423">
        <v>2040</v>
      </c>
    </row>
    <row r="424" spans="1:4" x14ac:dyDescent="0.3">
      <c r="A424" t="s">
        <v>6</v>
      </c>
      <c r="B424" t="s">
        <v>179</v>
      </c>
      <c r="C424" t="s">
        <v>165</v>
      </c>
      <c r="D424">
        <v>2045</v>
      </c>
    </row>
    <row r="425" spans="1:4" x14ac:dyDescent="0.3">
      <c r="A425" t="s">
        <v>6</v>
      </c>
      <c r="B425" t="s">
        <v>179</v>
      </c>
      <c r="C425" t="s">
        <v>165</v>
      </c>
      <c r="D425">
        <v>2050</v>
      </c>
    </row>
    <row r="426" spans="1:4" x14ac:dyDescent="0.3">
      <c r="A426" t="s">
        <v>6</v>
      </c>
      <c r="B426" t="s">
        <v>179</v>
      </c>
      <c r="C426" t="s">
        <v>166</v>
      </c>
      <c r="D426">
        <v>2024</v>
      </c>
    </row>
    <row r="427" spans="1:4" x14ac:dyDescent="0.3">
      <c r="A427" t="s">
        <v>6</v>
      </c>
      <c r="B427" t="s">
        <v>179</v>
      </c>
      <c r="C427" t="s">
        <v>166</v>
      </c>
      <c r="D427">
        <v>2026</v>
      </c>
    </row>
    <row r="428" spans="1:4" x14ac:dyDescent="0.3">
      <c r="A428" t="s">
        <v>6</v>
      </c>
      <c r="B428" t="s">
        <v>179</v>
      </c>
      <c r="C428" t="s">
        <v>166</v>
      </c>
      <c r="D428">
        <v>2028</v>
      </c>
    </row>
    <row r="429" spans="1:4" x14ac:dyDescent="0.3">
      <c r="A429" t="s">
        <v>6</v>
      </c>
      <c r="B429" t="s">
        <v>179</v>
      </c>
      <c r="C429" t="s">
        <v>166</v>
      </c>
      <c r="D429">
        <v>2030</v>
      </c>
    </row>
    <row r="430" spans="1:4" x14ac:dyDescent="0.3">
      <c r="A430" t="s">
        <v>6</v>
      </c>
      <c r="B430" t="s">
        <v>179</v>
      </c>
      <c r="C430" t="s">
        <v>166</v>
      </c>
      <c r="D430">
        <v>2035</v>
      </c>
    </row>
    <row r="431" spans="1:4" x14ac:dyDescent="0.3">
      <c r="A431" t="s">
        <v>6</v>
      </c>
      <c r="B431" t="s">
        <v>179</v>
      </c>
      <c r="C431" t="s">
        <v>166</v>
      </c>
      <c r="D431">
        <v>2040</v>
      </c>
    </row>
    <row r="432" spans="1:4" x14ac:dyDescent="0.3">
      <c r="A432" t="s">
        <v>6</v>
      </c>
      <c r="B432" t="s">
        <v>179</v>
      </c>
      <c r="C432" t="s">
        <v>166</v>
      </c>
      <c r="D432">
        <v>2045</v>
      </c>
    </row>
    <row r="433" spans="1:4" x14ac:dyDescent="0.3">
      <c r="A433" t="s">
        <v>6</v>
      </c>
      <c r="B433" t="s">
        <v>179</v>
      </c>
      <c r="C433" t="s">
        <v>166</v>
      </c>
      <c r="D433">
        <v>2050</v>
      </c>
    </row>
    <row r="434" spans="1:4" x14ac:dyDescent="0.3">
      <c r="A434" t="s">
        <v>6</v>
      </c>
      <c r="B434" t="s">
        <v>179</v>
      </c>
      <c r="C434" t="s">
        <v>167</v>
      </c>
      <c r="D434">
        <v>2024</v>
      </c>
    </row>
    <row r="435" spans="1:4" x14ac:dyDescent="0.3">
      <c r="A435" t="s">
        <v>6</v>
      </c>
      <c r="B435" t="s">
        <v>179</v>
      </c>
      <c r="C435" t="s">
        <v>167</v>
      </c>
      <c r="D435">
        <v>2026</v>
      </c>
    </row>
    <row r="436" spans="1:4" x14ac:dyDescent="0.3">
      <c r="A436" t="s">
        <v>6</v>
      </c>
      <c r="B436" t="s">
        <v>179</v>
      </c>
      <c r="C436" t="s">
        <v>167</v>
      </c>
      <c r="D436">
        <v>2028</v>
      </c>
    </row>
    <row r="437" spans="1:4" x14ac:dyDescent="0.3">
      <c r="A437" t="s">
        <v>6</v>
      </c>
      <c r="B437" t="s">
        <v>179</v>
      </c>
      <c r="C437" t="s">
        <v>167</v>
      </c>
      <c r="D437">
        <v>2030</v>
      </c>
    </row>
    <row r="438" spans="1:4" x14ac:dyDescent="0.3">
      <c r="A438" t="s">
        <v>6</v>
      </c>
      <c r="B438" t="s">
        <v>179</v>
      </c>
      <c r="C438" t="s">
        <v>167</v>
      </c>
      <c r="D438">
        <v>2035</v>
      </c>
    </row>
    <row r="439" spans="1:4" x14ac:dyDescent="0.3">
      <c r="A439" t="s">
        <v>6</v>
      </c>
      <c r="B439" t="s">
        <v>179</v>
      </c>
      <c r="C439" t="s">
        <v>167</v>
      </c>
      <c r="D439">
        <v>2040</v>
      </c>
    </row>
    <row r="440" spans="1:4" x14ac:dyDescent="0.3">
      <c r="A440" t="s">
        <v>6</v>
      </c>
      <c r="B440" t="s">
        <v>179</v>
      </c>
      <c r="C440" t="s">
        <v>167</v>
      </c>
      <c r="D440">
        <v>2045</v>
      </c>
    </row>
    <row r="441" spans="1:4" x14ac:dyDescent="0.3">
      <c r="A441" t="s">
        <v>6</v>
      </c>
      <c r="B441" t="s">
        <v>179</v>
      </c>
      <c r="C441" t="s">
        <v>167</v>
      </c>
      <c r="D441">
        <v>2050</v>
      </c>
    </row>
    <row r="442" spans="1:4" x14ac:dyDescent="0.3">
      <c r="A442" t="s">
        <v>6</v>
      </c>
      <c r="B442" t="s">
        <v>179</v>
      </c>
      <c r="C442" t="s">
        <v>168</v>
      </c>
      <c r="D442">
        <v>2024</v>
      </c>
    </row>
    <row r="443" spans="1:4" x14ac:dyDescent="0.3">
      <c r="A443" t="s">
        <v>6</v>
      </c>
      <c r="B443" t="s">
        <v>179</v>
      </c>
      <c r="C443" t="s">
        <v>168</v>
      </c>
      <c r="D443">
        <v>2026</v>
      </c>
    </row>
    <row r="444" spans="1:4" x14ac:dyDescent="0.3">
      <c r="A444" t="s">
        <v>6</v>
      </c>
      <c r="B444" t="s">
        <v>179</v>
      </c>
      <c r="C444" t="s">
        <v>168</v>
      </c>
      <c r="D444">
        <v>2028</v>
      </c>
    </row>
    <row r="445" spans="1:4" x14ac:dyDescent="0.3">
      <c r="A445" t="s">
        <v>6</v>
      </c>
      <c r="B445" t="s">
        <v>179</v>
      </c>
      <c r="C445" t="s">
        <v>168</v>
      </c>
      <c r="D445">
        <v>2030</v>
      </c>
    </row>
    <row r="446" spans="1:4" x14ac:dyDescent="0.3">
      <c r="A446" t="s">
        <v>6</v>
      </c>
      <c r="B446" t="s">
        <v>179</v>
      </c>
      <c r="C446" t="s">
        <v>168</v>
      </c>
      <c r="D446">
        <v>2035</v>
      </c>
    </row>
    <row r="447" spans="1:4" x14ac:dyDescent="0.3">
      <c r="A447" t="s">
        <v>6</v>
      </c>
      <c r="B447" t="s">
        <v>179</v>
      </c>
      <c r="C447" t="s">
        <v>168</v>
      </c>
      <c r="D447">
        <v>2040</v>
      </c>
    </row>
    <row r="448" spans="1:4" x14ac:dyDescent="0.3">
      <c r="A448" t="s">
        <v>6</v>
      </c>
      <c r="B448" t="s">
        <v>179</v>
      </c>
      <c r="C448" t="s">
        <v>168</v>
      </c>
      <c r="D448">
        <v>2045</v>
      </c>
    </row>
    <row r="449" spans="1:4" x14ac:dyDescent="0.3">
      <c r="A449" t="s">
        <v>6</v>
      </c>
      <c r="B449" t="s">
        <v>179</v>
      </c>
      <c r="C449" t="s">
        <v>168</v>
      </c>
      <c r="D449">
        <v>2050</v>
      </c>
    </row>
    <row r="450" spans="1:4" x14ac:dyDescent="0.3">
      <c r="A450" t="s">
        <v>6</v>
      </c>
      <c r="B450" t="s">
        <v>179</v>
      </c>
      <c r="C450" t="s">
        <v>169</v>
      </c>
      <c r="D450">
        <v>2024</v>
      </c>
    </row>
    <row r="451" spans="1:4" x14ac:dyDescent="0.3">
      <c r="A451" t="s">
        <v>6</v>
      </c>
      <c r="B451" t="s">
        <v>179</v>
      </c>
      <c r="C451" t="s">
        <v>169</v>
      </c>
      <c r="D451">
        <v>2026</v>
      </c>
    </row>
    <row r="452" spans="1:4" x14ac:dyDescent="0.3">
      <c r="A452" t="s">
        <v>6</v>
      </c>
      <c r="B452" t="s">
        <v>179</v>
      </c>
      <c r="C452" t="s">
        <v>169</v>
      </c>
      <c r="D452">
        <v>2028</v>
      </c>
    </row>
    <row r="453" spans="1:4" x14ac:dyDescent="0.3">
      <c r="A453" t="s">
        <v>6</v>
      </c>
      <c r="B453" t="s">
        <v>179</v>
      </c>
      <c r="C453" t="s">
        <v>169</v>
      </c>
      <c r="D453">
        <v>2030</v>
      </c>
    </row>
    <row r="454" spans="1:4" x14ac:dyDescent="0.3">
      <c r="A454" t="s">
        <v>6</v>
      </c>
      <c r="B454" t="s">
        <v>179</v>
      </c>
      <c r="C454" t="s">
        <v>169</v>
      </c>
      <c r="D454">
        <v>2035</v>
      </c>
    </row>
    <row r="455" spans="1:4" x14ac:dyDescent="0.3">
      <c r="A455" t="s">
        <v>6</v>
      </c>
      <c r="B455" t="s">
        <v>179</v>
      </c>
      <c r="C455" t="s">
        <v>169</v>
      </c>
      <c r="D455">
        <v>2040</v>
      </c>
    </row>
    <row r="456" spans="1:4" x14ac:dyDescent="0.3">
      <c r="A456" t="s">
        <v>6</v>
      </c>
      <c r="B456" t="s">
        <v>179</v>
      </c>
      <c r="C456" t="s">
        <v>169</v>
      </c>
      <c r="D456">
        <v>2045</v>
      </c>
    </row>
    <row r="457" spans="1:4" x14ac:dyDescent="0.3">
      <c r="A457" t="s">
        <v>6</v>
      </c>
      <c r="B457" t="s">
        <v>179</v>
      </c>
      <c r="C457" t="s">
        <v>169</v>
      </c>
      <c r="D457">
        <v>2050</v>
      </c>
    </row>
    <row r="458" spans="1:4" x14ac:dyDescent="0.3">
      <c r="A458" t="s">
        <v>6</v>
      </c>
      <c r="B458" t="s">
        <v>179</v>
      </c>
      <c r="C458" t="s">
        <v>170</v>
      </c>
      <c r="D458">
        <v>2024</v>
      </c>
    </row>
    <row r="459" spans="1:4" x14ac:dyDescent="0.3">
      <c r="A459" t="s">
        <v>6</v>
      </c>
      <c r="B459" t="s">
        <v>179</v>
      </c>
      <c r="C459" t="s">
        <v>170</v>
      </c>
      <c r="D459">
        <v>2026</v>
      </c>
    </row>
    <row r="460" spans="1:4" x14ac:dyDescent="0.3">
      <c r="A460" t="s">
        <v>6</v>
      </c>
      <c r="B460" t="s">
        <v>179</v>
      </c>
      <c r="C460" t="s">
        <v>170</v>
      </c>
      <c r="D460">
        <v>2028</v>
      </c>
    </row>
    <row r="461" spans="1:4" x14ac:dyDescent="0.3">
      <c r="A461" t="s">
        <v>6</v>
      </c>
      <c r="B461" t="s">
        <v>179</v>
      </c>
      <c r="C461" t="s">
        <v>170</v>
      </c>
      <c r="D461">
        <v>2030</v>
      </c>
    </row>
    <row r="462" spans="1:4" x14ac:dyDescent="0.3">
      <c r="A462" t="s">
        <v>6</v>
      </c>
      <c r="B462" t="s">
        <v>179</v>
      </c>
      <c r="C462" t="s">
        <v>170</v>
      </c>
      <c r="D462">
        <v>2035</v>
      </c>
    </row>
    <row r="463" spans="1:4" x14ac:dyDescent="0.3">
      <c r="A463" t="s">
        <v>6</v>
      </c>
      <c r="B463" t="s">
        <v>179</v>
      </c>
      <c r="C463" t="s">
        <v>170</v>
      </c>
      <c r="D463">
        <v>2040</v>
      </c>
    </row>
    <row r="464" spans="1:4" x14ac:dyDescent="0.3">
      <c r="A464" t="s">
        <v>6</v>
      </c>
      <c r="B464" t="s">
        <v>179</v>
      </c>
      <c r="C464" t="s">
        <v>170</v>
      </c>
      <c r="D464">
        <v>2045</v>
      </c>
    </row>
    <row r="465" spans="1:4" x14ac:dyDescent="0.3">
      <c r="A465" t="s">
        <v>6</v>
      </c>
      <c r="B465" t="s">
        <v>179</v>
      </c>
      <c r="C465" t="s">
        <v>170</v>
      </c>
      <c r="D465">
        <v>2050</v>
      </c>
    </row>
    <row r="466" spans="1:4" x14ac:dyDescent="0.3">
      <c r="A466" t="s">
        <v>6</v>
      </c>
      <c r="B466" t="s">
        <v>179</v>
      </c>
      <c r="C466" t="s">
        <v>171</v>
      </c>
      <c r="D466">
        <v>2024</v>
      </c>
    </row>
    <row r="467" spans="1:4" x14ac:dyDescent="0.3">
      <c r="A467" t="s">
        <v>6</v>
      </c>
      <c r="B467" t="s">
        <v>179</v>
      </c>
      <c r="C467" t="s">
        <v>171</v>
      </c>
      <c r="D467">
        <v>2026</v>
      </c>
    </row>
    <row r="468" spans="1:4" x14ac:dyDescent="0.3">
      <c r="A468" t="s">
        <v>6</v>
      </c>
      <c r="B468" t="s">
        <v>179</v>
      </c>
      <c r="C468" t="s">
        <v>171</v>
      </c>
      <c r="D468">
        <v>2028</v>
      </c>
    </row>
    <row r="469" spans="1:4" x14ac:dyDescent="0.3">
      <c r="A469" t="s">
        <v>6</v>
      </c>
      <c r="B469" t="s">
        <v>179</v>
      </c>
      <c r="C469" t="s">
        <v>171</v>
      </c>
      <c r="D469">
        <v>2030</v>
      </c>
    </row>
    <row r="470" spans="1:4" x14ac:dyDescent="0.3">
      <c r="A470" t="s">
        <v>6</v>
      </c>
      <c r="B470" t="s">
        <v>179</v>
      </c>
      <c r="C470" t="s">
        <v>171</v>
      </c>
      <c r="D470">
        <v>2035</v>
      </c>
    </row>
    <row r="471" spans="1:4" x14ac:dyDescent="0.3">
      <c r="A471" t="s">
        <v>6</v>
      </c>
      <c r="B471" t="s">
        <v>179</v>
      </c>
      <c r="C471" t="s">
        <v>171</v>
      </c>
      <c r="D471">
        <v>2040</v>
      </c>
    </row>
    <row r="472" spans="1:4" x14ac:dyDescent="0.3">
      <c r="A472" t="s">
        <v>6</v>
      </c>
      <c r="B472" t="s">
        <v>179</v>
      </c>
      <c r="C472" t="s">
        <v>171</v>
      </c>
      <c r="D472">
        <v>2045</v>
      </c>
    </row>
    <row r="473" spans="1:4" x14ac:dyDescent="0.3">
      <c r="A473" t="s">
        <v>6</v>
      </c>
      <c r="B473" t="s">
        <v>179</v>
      </c>
      <c r="C473" t="s">
        <v>171</v>
      </c>
      <c r="D473">
        <v>2050</v>
      </c>
    </row>
    <row r="474" spans="1:4" x14ac:dyDescent="0.3">
      <c r="A474" t="s">
        <v>6</v>
      </c>
      <c r="B474" t="s">
        <v>179</v>
      </c>
      <c r="C474" t="s">
        <v>172</v>
      </c>
      <c r="D474">
        <v>2024</v>
      </c>
    </row>
    <row r="475" spans="1:4" x14ac:dyDescent="0.3">
      <c r="A475" t="s">
        <v>6</v>
      </c>
      <c r="B475" t="s">
        <v>179</v>
      </c>
      <c r="C475" t="s">
        <v>172</v>
      </c>
      <c r="D475">
        <v>2026</v>
      </c>
    </row>
    <row r="476" spans="1:4" x14ac:dyDescent="0.3">
      <c r="A476" t="s">
        <v>6</v>
      </c>
      <c r="B476" t="s">
        <v>179</v>
      </c>
      <c r="C476" t="s">
        <v>172</v>
      </c>
      <c r="D476">
        <v>2028</v>
      </c>
    </row>
    <row r="477" spans="1:4" x14ac:dyDescent="0.3">
      <c r="A477" t="s">
        <v>6</v>
      </c>
      <c r="B477" t="s">
        <v>179</v>
      </c>
      <c r="C477" t="s">
        <v>172</v>
      </c>
      <c r="D477">
        <v>2030</v>
      </c>
    </row>
    <row r="478" spans="1:4" x14ac:dyDescent="0.3">
      <c r="A478" t="s">
        <v>6</v>
      </c>
      <c r="B478" t="s">
        <v>179</v>
      </c>
      <c r="C478" t="s">
        <v>172</v>
      </c>
      <c r="D478">
        <v>2035</v>
      </c>
    </row>
    <row r="479" spans="1:4" x14ac:dyDescent="0.3">
      <c r="A479" t="s">
        <v>6</v>
      </c>
      <c r="B479" t="s">
        <v>179</v>
      </c>
      <c r="C479" t="s">
        <v>172</v>
      </c>
      <c r="D479">
        <v>2040</v>
      </c>
    </row>
    <row r="480" spans="1:4" x14ac:dyDescent="0.3">
      <c r="A480" t="s">
        <v>6</v>
      </c>
      <c r="B480" t="s">
        <v>179</v>
      </c>
      <c r="C480" t="s">
        <v>172</v>
      </c>
      <c r="D480">
        <v>2045</v>
      </c>
    </row>
    <row r="481" spans="1:4" x14ac:dyDescent="0.3">
      <c r="A481" t="s">
        <v>6</v>
      </c>
      <c r="B481" t="s">
        <v>179</v>
      </c>
      <c r="C481" t="s">
        <v>172</v>
      </c>
      <c r="D481">
        <v>2050</v>
      </c>
    </row>
    <row r="482" spans="1:4" x14ac:dyDescent="0.3">
      <c r="A482" t="s">
        <v>6</v>
      </c>
      <c r="B482" t="s">
        <v>179</v>
      </c>
      <c r="C482" t="s">
        <v>173</v>
      </c>
      <c r="D482">
        <v>2024</v>
      </c>
    </row>
    <row r="483" spans="1:4" x14ac:dyDescent="0.3">
      <c r="A483" t="s">
        <v>6</v>
      </c>
      <c r="B483" t="s">
        <v>179</v>
      </c>
      <c r="C483" t="s">
        <v>173</v>
      </c>
      <c r="D483">
        <v>2026</v>
      </c>
    </row>
    <row r="484" spans="1:4" x14ac:dyDescent="0.3">
      <c r="A484" t="s">
        <v>6</v>
      </c>
      <c r="B484" t="s">
        <v>179</v>
      </c>
      <c r="C484" t="s">
        <v>173</v>
      </c>
      <c r="D484">
        <v>2028</v>
      </c>
    </row>
    <row r="485" spans="1:4" x14ac:dyDescent="0.3">
      <c r="A485" t="s">
        <v>6</v>
      </c>
      <c r="B485" t="s">
        <v>179</v>
      </c>
      <c r="C485" t="s">
        <v>173</v>
      </c>
      <c r="D485">
        <v>2030</v>
      </c>
    </row>
    <row r="486" spans="1:4" x14ac:dyDescent="0.3">
      <c r="A486" t="s">
        <v>6</v>
      </c>
      <c r="B486" t="s">
        <v>179</v>
      </c>
      <c r="C486" t="s">
        <v>173</v>
      </c>
      <c r="D486">
        <v>2035</v>
      </c>
    </row>
    <row r="487" spans="1:4" x14ac:dyDescent="0.3">
      <c r="A487" t="s">
        <v>6</v>
      </c>
      <c r="B487" t="s">
        <v>179</v>
      </c>
      <c r="C487" t="s">
        <v>173</v>
      </c>
      <c r="D487">
        <v>2040</v>
      </c>
    </row>
    <row r="488" spans="1:4" x14ac:dyDescent="0.3">
      <c r="A488" t="s">
        <v>6</v>
      </c>
      <c r="B488" t="s">
        <v>179</v>
      </c>
      <c r="C488" t="s">
        <v>173</v>
      </c>
      <c r="D488">
        <v>2045</v>
      </c>
    </row>
    <row r="489" spans="1:4" x14ac:dyDescent="0.3">
      <c r="A489" t="s">
        <v>6</v>
      </c>
      <c r="B489" t="s">
        <v>179</v>
      </c>
      <c r="C489" t="s">
        <v>173</v>
      </c>
      <c r="D489">
        <v>2050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proc_Cambium22_coal_gea</vt:lpstr>
      <vt:lpstr>proc_Cambium22_Delta_gea</vt:lpstr>
      <vt:lpstr>proc_Cambium22_MidCase_gea</vt:lpstr>
      <vt:lpstr>proc_Cambium22_highElec_gea</vt:lpstr>
      <vt:lpstr>Cambium22_MidCase_annual_gea</vt:lpstr>
      <vt:lpstr>Cambium22_highElec_annual_gea</vt:lpstr>
      <vt:lpstr>Cambium22_annual_GEA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2024-11-16T00:07:44Z</dcterms:created>
  <dcterms:modified xsi:type="dcterms:W3CDTF">2024-11-19T21:32:06Z</dcterms:modified>
</cp:coreProperties>
</file>