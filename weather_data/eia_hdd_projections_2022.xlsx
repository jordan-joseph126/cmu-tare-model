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830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14128\Research\cmu-tare-model\weather_data\"/>
    </mc:Choice>
  </mc:AlternateContent>
  <xr:revisionPtr revIDLastSave="0" documentId="13_ncr:9_{64FA412D-4CFD-473E-8A21-36ED3269EFFE}" xr6:coauthVersionLast="47" xr6:coauthVersionMax="47" xr10:uidLastSave="{00000000-0000-0000-0000-000000000000}"/>
  <bookViews>
    <workbookView xWindow="-108" yWindow="-108" windowWidth="23256" windowHeight="13896" xr2:uid="{76903EA5-D81E-4F69-A7D7-6F4C02B265C1}"/>
  </bookViews>
  <sheets>
    <sheet name="hdd_projection_factors" sheetId="2" r:id="rId1"/>
    <sheet name="aeo_hdd_projections" sheetId="1" r:id="rId2"/>
  </sheets>
  <calcPr calcId="0"/>
</workbook>
</file>

<file path=xl/calcChain.xml><?xml version="1.0" encoding="utf-8"?>
<calcChain xmlns="http://schemas.openxmlformats.org/spreadsheetml/2006/main">
  <c r="I3" i="2" l="1"/>
  <c r="J3" i="2"/>
  <c r="K3" i="2"/>
  <c r="L3" i="2"/>
  <c r="M3" i="2"/>
  <c r="N3" i="2"/>
  <c r="O3" i="2"/>
  <c r="P3" i="2"/>
  <c r="Q3" i="2"/>
  <c r="R3" i="2"/>
  <c r="S3" i="2"/>
  <c r="T3" i="2"/>
  <c r="U3" i="2"/>
  <c r="V3" i="2"/>
  <c r="W3" i="2"/>
  <c r="X3" i="2"/>
  <c r="Y3" i="2"/>
  <c r="Z3" i="2"/>
  <c r="AA3" i="2"/>
  <c r="AB3" i="2"/>
  <c r="AC3" i="2"/>
  <c r="AD3" i="2"/>
  <c r="AE3" i="2"/>
  <c r="AF3" i="2"/>
  <c r="AG3" i="2"/>
  <c r="AH3" i="2"/>
  <c r="AI3" i="2"/>
  <c r="AJ3" i="2"/>
  <c r="I4" i="2"/>
  <c r="J4" i="2"/>
  <c r="K4" i="2"/>
  <c r="L4" i="2"/>
  <c r="M4" i="2"/>
  <c r="N4" i="2"/>
  <c r="O4" i="2"/>
  <c r="P4" i="2"/>
  <c r="Q4" i="2"/>
  <c r="R4" i="2"/>
  <c r="S4" i="2"/>
  <c r="T4" i="2"/>
  <c r="U4" i="2"/>
  <c r="V4" i="2"/>
  <c r="W4" i="2"/>
  <c r="X4" i="2"/>
  <c r="Y4" i="2"/>
  <c r="Z4" i="2"/>
  <c r="AA4" i="2"/>
  <c r="AB4" i="2"/>
  <c r="AC4" i="2"/>
  <c r="AD4" i="2"/>
  <c r="AE4" i="2"/>
  <c r="AF4" i="2"/>
  <c r="AG4" i="2"/>
  <c r="AH4" i="2"/>
  <c r="AI4" i="2"/>
  <c r="AJ4" i="2"/>
  <c r="I5" i="2"/>
  <c r="J5" i="2"/>
  <c r="K5" i="2"/>
  <c r="L5" i="2"/>
  <c r="M5" i="2"/>
  <c r="N5" i="2"/>
  <c r="O5" i="2"/>
  <c r="P5" i="2"/>
  <c r="Q5" i="2"/>
  <c r="R5" i="2"/>
  <c r="S5" i="2"/>
  <c r="T5" i="2"/>
  <c r="U5" i="2"/>
  <c r="V5" i="2"/>
  <c r="W5" i="2"/>
  <c r="X5" i="2"/>
  <c r="Y5" i="2"/>
  <c r="Z5" i="2"/>
  <c r="AA5" i="2"/>
  <c r="AB5" i="2"/>
  <c r="AC5" i="2"/>
  <c r="AD5" i="2"/>
  <c r="AE5" i="2"/>
  <c r="AF5" i="2"/>
  <c r="AG5" i="2"/>
  <c r="AH5" i="2"/>
  <c r="AI5" i="2"/>
  <c r="AJ5" i="2"/>
  <c r="I6" i="2"/>
  <c r="J6" i="2"/>
  <c r="K6" i="2"/>
  <c r="L6" i="2"/>
  <c r="M6" i="2"/>
  <c r="N6" i="2"/>
  <c r="O6" i="2"/>
  <c r="P6" i="2"/>
  <c r="Q6" i="2"/>
  <c r="R6" i="2"/>
  <c r="S6" i="2"/>
  <c r="T6" i="2"/>
  <c r="U6" i="2"/>
  <c r="V6" i="2"/>
  <c r="W6" i="2"/>
  <c r="X6" i="2"/>
  <c r="Y6" i="2"/>
  <c r="Z6" i="2"/>
  <c r="AA6" i="2"/>
  <c r="AB6" i="2"/>
  <c r="AC6" i="2"/>
  <c r="AD6" i="2"/>
  <c r="AE6" i="2"/>
  <c r="AF6" i="2"/>
  <c r="AG6" i="2"/>
  <c r="AH6" i="2"/>
  <c r="AI6" i="2"/>
  <c r="AJ6" i="2"/>
  <c r="I7" i="2"/>
  <c r="J7" i="2"/>
  <c r="K7" i="2"/>
  <c r="L7" i="2"/>
  <c r="M7" i="2"/>
  <c r="N7" i="2"/>
  <c r="O7" i="2"/>
  <c r="P7" i="2"/>
  <c r="Q7" i="2"/>
  <c r="R7" i="2"/>
  <c r="S7" i="2"/>
  <c r="T7" i="2"/>
  <c r="U7" i="2"/>
  <c r="V7" i="2"/>
  <c r="W7" i="2"/>
  <c r="X7" i="2"/>
  <c r="Y7" i="2"/>
  <c r="Z7" i="2"/>
  <c r="AA7" i="2"/>
  <c r="AB7" i="2"/>
  <c r="AC7" i="2"/>
  <c r="AD7" i="2"/>
  <c r="AE7" i="2"/>
  <c r="AF7" i="2"/>
  <c r="AG7" i="2"/>
  <c r="AH7" i="2"/>
  <c r="AI7" i="2"/>
  <c r="AJ7" i="2"/>
  <c r="I8" i="2"/>
  <c r="J8" i="2"/>
  <c r="K8" i="2"/>
  <c r="L8" i="2"/>
  <c r="M8" i="2"/>
  <c r="N8" i="2"/>
  <c r="O8" i="2"/>
  <c r="P8" i="2"/>
  <c r="Q8" i="2"/>
  <c r="R8" i="2"/>
  <c r="S8" i="2"/>
  <c r="T8" i="2"/>
  <c r="U8" i="2"/>
  <c r="V8" i="2"/>
  <c r="W8" i="2"/>
  <c r="X8" i="2"/>
  <c r="Y8" i="2"/>
  <c r="Z8" i="2"/>
  <c r="AA8" i="2"/>
  <c r="AB8" i="2"/>
  <c r="AC8" i="2"/>
  <c r="AD8" i="2"/>
  <c r="AE8" i="2"/>
  <c r="AF8" i="2"/>
  <c r="AG8" i="2"/>
  <c r="AH8" i="2"/>
  <c r="AI8" i="2"/>
  <c r="AJ8" i="2"/>
  <c r="I9" i="2"/>
  <c r="J9" i="2"/>
  <c r="K9" i="2"/>
  <c r="L9" i="2"/>
  <c r="M9" i="2"/>
  <c r="N9" i="2"/>
  <c r="O9" i="2"/>
  <c r="P9" i="2"/>
  <c r="Q9" i="2"/>
  <c r="R9" i="2"/>
  <c r="S9" i="2"/>
  <c r="T9" i="2"/>
  <c r="U9" i="2"/>
  <c r="V9" i="2"/>
  <c r="W9" i="2"/>
  <c r="X9" i="2"/>
  <c r="Y9" i="2"/>
  <c r="Z9" i="2"/>
  <c r="AA9" i="2"/>
  <c r="AB9" i="2"/>
  <c r="AC9" i="2"/>
  <c r="AD9" i="2"/>
  <c r="AE9" i="2"/>
  <c r="AF9" i="2"/>
  <c r="AG9" i="2"/>
  <c r="AH9" i="2"/>
  <c r="AI9" i="2"/>
  <c r="AJ9" i="2"/>
  <c r="I10" i="2"/>
  <c r="J10" i="2"/>
  <c r="K10" i="2"/>
  <c r="L10" i="2"/>
  <c r="M10" i="2"/>
  <c r="N10" i="2"/>
  <c r="O10" i="2"/>
  <c r="P10" i="2"/>
  <c r="Q10" i="2"/>
  <c r="R10" i="2"/>
  <c r="S10" i="2"/>
  <c r="T10" i="2"/>
  <c r="U10" i="2"/>
  <c r="V10" i="2"/>
  <c r="W10" i="2"/>
  <c r="X10" i="2"/>
  <c r="Y10" i="2"/>
  <c r="Z10" i="2"/>
  <c r="AA10" i="2"/>
  <c r="AB10" i="2"/>
  <c r="AC10" i="2"/>
  <c r="AD10" i="2"/>
  <c r="AE10" i="2"/>
  <c r="AF10" i="2"/>
  <c r="AG10" i="2"/>
  <c r="AH10" i="2"/>
  <c r="AI10" i="2"/>
  <c r="AJ10" i="2"/>
  <c r="I11" i="2"/>
  <c r="J11" i="2"/>
  <c r="K11" i="2"/>
  <c r="L11" i="2"/>
  <c r="M11" i="2"/>
  <c r="N11" i="2"/>
  <c r="O11" i="2"/>
  <c r="P11" i="2"/>
  <c r="Q11" i="2"/>
  <c r="R11" i="2"/>
  <c r="S11" i="2"/>
  <c r="T11" i="2"/>
  <c r="U11" i="2"/>
  <c r="V11" i="2"/>
  <c r="W11" i="2"/>
  <c r="X11" i="2"/>
  <c r="Y11" i="2"/>
  <c r="Z11" i="2"/>
  <c r="AA11" i="2"/>
  <c r="AB11" i="2"/>
  <c r="AC11" i="2"/>
  <c r="AD11" i="2"/>
  <c r="AE11" i="2"/>
  <c r="AF11" i="2"/>
  <c r="AG11" i="2"/>
  <c r="AH11" i="2"/>
  <c r="AI11" i="2"/>
  <c r="AJ11" i="2"/>
  <c r="J2" i="2"/>
  <c r="K2" i="2"/>
  <c r="L2" i="2"/>
  <c r="M2" i="2"/>
  <c r="N2" i="2"/>
  <c r="O2" i="2"/>
  <c r="P2" i="2"/>
  <c r="Q2" i="2"/>
  <c r="R2" i="2"/>
  <c r="S2" i="2"/>
  <c r="T2" i="2"/>
  <c r="U2" i="2"/>
  <c r="V2" i="2"/>
  <c r="W2" i="2"/>
  <c r="X2" i="2"/>
  <c r="Y2" i="2"/>
  <c r="Z2" i="2"/>
  <c r="AA2" i="2"/>
  <c r="AB2" i="2"/>
  <c r="AC2" i="2"/>
  <c r="AD2" i="2"/>
  <c r="AE2" i="2"/>
  <c r="AF2" i="2"/>
  <c r="AG2" i="2"/>
  <c r="AH2" i="2"/>
  <c r="AI2" i="2"/>
  <c r="AJ2" i="2"/>
  <c r="I2" i="2"/>
  <c r="H3" i="2"/>
  <c r="H4" i="2"/>
  <c r="H5" i="2"/>
  <c r="H6" i="2"/>
  <c r="H7" i="2"/>
  <c r="H8" i="2"/>
  <c r="H9" i="2"/>
  <c r="H10" i="2"/>
  <c r="H11" i="2"/>
  <c r="H2" i="2"/>
  <c r="F7" i="1"/>
  <c r="F5" i="1"/>
  <c r="F3" i="1"/>
  <c r="F10" i="1"/>
  <c r="F9" i="1"/>
  <c r="F4" i="1"/>
  <c r="F11" i="1"/>
  <c r="F6" i="1"/>
  <c r="F8" i="1"/>
  <c r="F2" i="1"/>
</calcChain>
</file>

<file path=xl/sharedStrings.xml><?xml version="1.0" encoding="utf-8"?>
<sst xmlns="http://schemas.openxmlformats.org/spreadsheetml/2006/main" count="94" uniqueCount="19">
  <si>
    <t>units</t>
  </si>
  <si>
    <t>U.S. Average</t>
  </si>
  <si>
    <t>heating degree days</t>
  </si>
  <si>
    <t>New England</t>
  </si>
  <si>
    <t>Middle Atlantic</t>
  </si>
  <si>
    <t>East North Central</t>
  </si>
  <si>
    <t>West North Central</t>
  </si>
  <si>
    <t>South Atlantic</t>
  </si>
  <si>
    <t>East South Central</t>
  </si>
  <si>
    <t>West South Central</t>
  </si>
  <si>
    <t>Mountain</t>
  </si>
  <si>
    <t>Pacific</t>
  </si>
  <si>
    <t>steo_2018</t>
  </si>
  <si>
    <t>steo_2022</t>
  </si>
  <si>
    <t>steo_2022_2018</t>
  </si>
  <si>
    <t>source</t>
  </si>
  <si>
    <t>region</t>
  </si>
  <si>
    <t>AEO2023: Table 4 Residential Sector Key Indicators and Consumption</t>
  </si>
  <si>
    <t>STEO Aug 2024 Table 9c. U.S. Regional Weather Data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</si>
</sst>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sz val="8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7">
    <xf numFmtId="0" fontId="0" fillId="0" borderId="0" xfId="0"/>
    <xf numFmtId="0" fontId="0" fillId="0" borderId="0" xfId="0" applyAlignment="1">
      <alignment wrapText="1"/>
    </xf>
    <xf numFmtId="2" fontId="0" fillId="0" borderId="0" xfId="0" applyNumberFormat="1"/>
    <xf numFmtId="49" fontId="0" fillId="0" borderId="0" xfId="0" applyNumberFormat="1"/>
    <xf numFmtId="49" fontId="0" fillId="0" borderId="0" xfId="0" applyNumberFormat="1" applyAlignment="1">
      <alignment wrapText="1"/>
    </xf>
    <xf numFmtId="49" fontId="16" fillId="0" borderId="0" xfId="0" applyNumberFormat="1" applyFont="1"/>
    <xf numFmtId="49" fontId="16" fillId="0" borderId="0" xfId="0" applyNumberFormat="1" applyFont="1" applyAlignment="1">
      <alignment wrapText="1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7396BF7-0C69-4229-918B-CA66F27E08BA}">
  <dimension ref="A1:AJ11"/>
  <sheetViews>
    <sheetView tabSelected="1" workbookViewId="0">
      <selection activeCell="C3" sqref="C3"/>
    </sheetView>
  </sheetViews>
  <sheetFormatPr defaultRowHeight="14.4" x14ac:dyDescent="0.3"/>
  <cols>
    <col min="3" max="3" width="28.109375" style="1" customWidth="1"/>
    <col min="6" max="6" width="14.33203125" customWidth="1"/>
    <col min="7" max="7" width="27.21875" customWidth="1"/>
  </cols>
  <sheetData>
    <row r="1" spans="1:36" s="5" customFormat="1" x14ac:dyDescent="0.3">
      <c r="A1" s="5" t="s">
        <v>16</v>
      </c>
      <c r="B1" s="5" t="s">
        <v>0</v>
      </c>
      <c r="C1" s="6" t="s">
        <v>15</v>
      </c>
      <c r="D1" s="5" t="s">
        <v>12</v>
      </c>
      <c r="E1" s="5" t="s">
        <v>13</v>
      </c>
      <c r="F1" s="5" t="s">
        <v>14</v>
      </c>
      <c r="G1" s="6" t="s">
        <v>15</v>
      </c>
      <c r="H1" s="5">
        <v>2022</v>
      </c>
      <c r="I1" s="5">
        <v>2023</v>
      </c>
      <c r="J1" s="5">
        <v>2024</v>
      </c>
      <c r="K1" s="5">
        <v>2025</v>
      </c>
      <c r="L1" s="5">
        <v>2026</v>
      </c>
      <c r="M1" s="5">
        <v>2027</v>
      </c>
      <c r="N1" s="5">
        <v>2028</v>
      </c>
      <c r="O1" s="5">
        <v>2029</v>
      </c>
      <c r="P1" s="5">
        <v>2030</v>
      </c>
      <c r="Q1" s="5">
        <v>2031</v>
      </c>
      <c r="R1" s="5">
        <v>2032</v>
      </c>
      <c r="S1" s="5">
        <v>2033</v>
      </c>
      <c r="T1" s="5">
        <v>2034</v>
      </c>
      <c r="U1" s="5">
        <v>2035</v>
      </c>
      <c r="V1" s="5">
        <v>2036</v>
      </c>
      <c r="W1" s="5">
        <v>2037</v>
      </c>
      <c r="X1" s="5">
        <v>2038</v>
      </c>
      <c r="Y1" s="5">
        <v>2039</v>
      </c>
      <c r="Z1" s="5">
        <v>2040</v>
      </c>
      <c r="AA1" s="5">
        <v>2041</v>
      </c>
      <c r="AB1" s="5">
        <v>2042</v>
      </c>
      <c r="AC1" s="5">
        <v>2043</v>
      </c>
      <c r="AD1" s="5">
        <v>2044</v>
      </c>
      <c r="AE1" s="5">
        <v>2045</v>
      </c>
      <c r="AF1" s="5">
        <v>2046</v>
      </c>
      <c r="AG1" s="5">
        <v>2047</v>
      </c>
      <c r="AH1" s="5">
        <v>2048</v>
      </c>
      <c r="AI1" s="5">
        <v>2049</v>
      </c>
      <c r="AJ1" s="5">
        <v>2050</v>
      </c>
    </row>
    <row r="2" spans="1:36" ht="43.2" x14ac:dyDescent="0.3">
      <c r="A2" s="3" t="s">
        <v>1</v>
      </c>
      <c r="B2" s="3" t="s">
        <v>2</v>
      </c>
      <c r="C2" s="4" t="s">
        <v>18</v>
      </c>
      <c r="D2" s="2">
        <v>4291</v>
      </c>
      <c r="E2" s="2">
        <v>4245</v>
      </c>
      <c r="F2" s="2">
        <v>0.98927988813796319</v>
      </c>
      <c r="G2" s="4" t="s">
        <v>17</v>
      </c>
      <c r="H2" s="2">
        <f>aeo_hdd_projections!$H2/aeo_hdd_projections!$H2</f>
        <v>1</v>
      </c>
      <c r="I2" s="2">
        <f>aeo_hdd_projections!I2/aeo_hdd_projections!$H2</f>
        <v>1.0028349414260749</v>
      </c>
      <c r="J2" s="2">
        <f>aeo_hdd_projections!J2/aeo_hdd_projections!$H2</f>
        <v>0.93895362669639648</v>
      </c>
      <c r="K2" s="2">
        <f>aeo_hdd_projections!K2/aeo_hdd_projections!$H2</f>
        <v>0.93448443681795335</v>
      </c>
      <c r="L2" s="2">
        <f>aeo_hdd_projections!L2/aeo_hdd_projections!$H2</f>
        <v>0.93008281697435657</v>
      </c>
      <c r="M2" s="2">
        <f>aeo_hdd_projections!M2/aeo_hdd_projections!$H2</f>
        <v>0.92570702593261533</v>
      </c>
      <c r="N2" s="2">
        <f>aeo_hdd_projections!N2/aeo_hdd_projections!$H2</f>
        <v>0.92127790535192067</v>
      </c>
      <c r="O2" s="2">
        <f>aeo_hdd_projections!O2/aeo_hdd_projections!$H2</f>
        <v>0.91685385819732035</v>
      </c>
      <c r="P2" s="2">
        <f>aeo_hdd_projections!P2/aeo_hdd_projections!$H2</f>
        <v>0.91243511518643183</v>
      </c>
      <c r="Q2" s="2">
        <f>aeo_hdd_projections!Q2/aeo_hdd_projections!$H2</f>
        <v>0.90803770399112449</v>
      </c>
      <c r="R2" s="2">
        <f>aeo_hdd_projections!R2/aeo_hdd_projections!$H2</f>
        <v>0.90365412971299153</v>
      </c>
      <c r="S2" s="2">
        <f>aeo_hdd_projections!S2/aeo_hdd_projections!$H2</f>
        <v>0.89924928123964432</v>
      </c>
      <c r="T2" s="2">
        <f>aeo_hdd_projections!T2/aeo_hdd_projections!$H2</f>
        <v>0.89487550785534797</v>
      </c>
      <c r="U2" s="2">
        <f>aeo_hdd_projections!U2/aeo_hdd_projections!$H2</f>
        <v>0.89047584828497828</v>
      </c>
      <c r="V2" s="2">
        <f>aeo_hdd_projections!V2/aeo_hdd_projections!$H2</f>
        <v>0.88603900208825892</v>
      </c>
      <c r="W2" s="2">
        <f>aeo_hdd_projections!W2/aeo_hdd_projections!$H2</f>
        <v>0.88172859009051963</v>
      </c>
      <c r="X2" s="2">
        <f>aeo_hdd_projections!X2/aeo_hdd_projections!$H2</f>
        <v>0.87736588642888202</v>
      </c>
      <c r="Y2" s="2">
        <f>aeo_hdd_projections!Y2/aeo_hdd_projections!$H2</f>
        <v>0.87293140408410852</v>
      </c>
      <c r="Z2" s="2">
        <f>aeo_hdd_projections!Z2/aeo_hdd_projections!$H2</f>
        <v>0.86858392093690284</v>
      </c>
      <c r="AA2" s="2">
        <f>aeo_hdd_projections!AA2/aeo_hdd_projections!$H2</f>
        <v>0.86427022268904585</v>
      </c>
      <c r="AB2" s="2">
        <f>aeo_hdd_projections!AB2/aeo_hdd_projections!$H2</f>
        <v>0.85991207363404953</v>
      </c>
      <c r="AC2" s="2">
        <f>aeo_hdd_projections!AC2/aeo_hdd_projections!$H2</f>
        <v>0.85554418106943442</v>
      </c>
      <c r="AD2" s="2">
        <f>aeo_hdd_projections!AD2/aeo_hdd_projections!$H2</f>
        <v>0.8511753084862802</v>
      </c>
      <c r="AE2" s="2">
        <f>aeo_hdd_projections!AE2/aeo_hdd_projections!$H2</f>
        <v>0.84682327049628425</v>
      </c>
      <c r="AF2" s="2">
        <f>aeo_hdd_projections!AF2/aeo_hdd_projections!$H2</f>
        <v>0.84250905342897431</v>
      </c>
      <c r="AG2" s="2">
        <f>aeo_hdd_projections!AG2/aeo_hdd_projections!$H2</f>
        <v>0.83822475857107515</v>
      </c>
      <c r="AH2" s="2">
        <f>aeo_hdd_projections!AH2/aeo_hdd_projections!$H2</f>
        <v>0.83393890725481679</v>
      </c>
      <c r="AI2" s="2">
        <f>aeo_hdd_projections!AI2/aeo_hdd_projections!$H2</f>
        <v>0.82970552046355817</v>
      </c>
      <c r="AJ2" s="2">
        <f>aeo_hdd_projections!AJ2/aeo_hdd_projections!$H2</f>
        <v>0.82550026870573379</v>
      </c>
    </row>
    <row r="3" spans="1:36" ht="43.2" x14ac:dyDescent="0.3">
      <c r="A3" s="3" t="s">
        <v>5</v>
      </c>
      <c r="B3" s="3" t="s">
        <v>2</v>
      </c>
      <c r="C3" s="4" t="s">
        <v>18</v>
      </c>
      <c r="D3" s="2">
        <v>6434</v>
      </c>
      <c r="E3" s="2">
        <v>6344</v>
      </c>
      <c r="F3" s="2">
        <v>0.9860118122474355</v>
      </c>
      <c r="G3" s="4" t="s">
        <v>17</v>
      </c>
      <c r="H3" s="2">
        <f>aeo_hdd_projections!$H3/aeo_hdd_projections!$H3</f>
        <v>1</v>
      </c>
      <c r="I3" s="2">
        <f>aeo_hdd_projections!I3/aeo_hdd_projections!$H3</f>
        <v>0.9811731756651626</v>
      </c>
      <c r="J3" s="2">
        <f>aeo_hdd_projections!J3/aeo_hdd_projections!$H3</f>
        <v>0.93076085265287067</v>
      </c>
      <c r="K3" s="2">
        <f>aeo_hdd_projections!K3/aeo_hdd_projections!$H3</f>
        <v>0.928426948809709</v>
      </c>
      <c r="L3" s="2">
        <f>aeo_hdd_projections!L3/aeo_hdd_projections!$H3</f>
        <v>0.92624863855609152</v>
      </c>
      <c r="M3" s="2">
        <f>aeo_hdd_projections!M3/aeo_hdd_projections!$H3</f>
        <v>0.92391473471292984</v>
      </c>
      <c r="N3" s="2">
        <f>aeo_hdd_projections!N3/aeo_hdd_projections!$H3</f>
        <v>0.92158083086976816</v>
      </c>
      <c r="O3" s="2">
        <f>aeo_hdd_projections!O3/aeo_hdd_projections!$H3</f>
        <v>0.91924692702660649</v>
      </c>
      <c r="P3" s="2">
        <f>aeo_hdd_projections!P3/aeo_hdd_projections!$H3</f>
        <v>0.91691302318344481</v>
      </c>
      <c r="Q3" s="2">
        <f>aeo_hdd_projections!Q3/aeo_hdd_projections!$H3</f>
        <v>0.91473471292982733</v>
      </c>
      <c r="R3" s="2">
        <f>aeo_hdd_projections!R3/aeo_hdd_projections!$H3</f>
        <v>0.91240080908666565</v>
      </c>
      <c r="S3" s="2">
        <f>aeo_hdd_projections!S3/aeo_hdd_projections!$H3</f>
        <v>0.91006690524350398</v>
      </c>
      <c r="T3" s="2">
        <f>aeo_hdd_projections!T3/aeo_hdd_projections!$H3</f>
        <v>0.9077330014003423</v>
      </c>
      <c r="U3" s="2">
        <f>aeo_hdd_projections!U3/aeo_hdd_projections!$H3</f>
        <v>0.90539909755718062</v>
      </c>
      <c r="V3" s="2">
        <f>aeo_hdd_projections!V3/aeo_hdd_projections!$H3</f>
        <v>0.90306519371401894</v>
      </c>
      <c r="W3" s="2">
        <f>aeo_hdd_projections!W3/aeo_hdd_projections!$H3</f>
        <v>0.90088688346040147</v>
      </c>
      <c r="X3" s="2">
        <f>aeo_hdd_projections!X3/aeo_hdd_projections!$H3</f>
        <v>0.89855297961723979</v>
      </c>
      <c r="Y3" s="2">
        <f>aeo_hdd_projections!Y3/aeo_hdd_projections!$H3</f>
        <v>0.89621907577407811</v>
      </c>
      <c r="Z3" s="2">
        <f>aeo_hdd_projections!Z3/aeo_hdd_projections!$H3</f>
        <v>0.89388517193091643</v>
      </c>
      <c r="AA3" s="2">
        <f>aeo_hdd_projections!AA3/aeo_hdd_projections!$H3</f>
        <v>0.89155126808775476</v>
      </c>
      <c r="AB3" s="2">
        <f>aeo_hdd_projections!AB3/aeo_hdd_projections!$H3</f>
        <v>0.88921736424459308</v>
      </c>
      <c r="AC3" s="2">
        <f>aeo_hdd_projections!AC3/aeo_hdd_projections!$H3</f>
        <v>0.8870390539909756</v>
      </c>
      <c r="AD3" s="2">
        <f>aeo_hdd_projections!AD3/aeo_hdd_projections!$H3</f>
        <v>0.88470515014781392</v>
      </c>
      <c r="AE3" s="2">
        <f>aeo_hdd_projections!AE3/aeo_hdd_projections!$H3</f>
        <v>0.88237124630465225</v>
      </c>
      <c r="AF3" s="2">
        <f>aeo_hdd_projections!AF3/aeo_hdd_projections!$H3</f>
        <v>0.88003734246149057</v>
      </c>
      <c r="AG3" s="2">
        <f>aeo_hdd_projections!AG3/aeo_hdd_projections!$H3</f>
        <v>0.87770343861832889</v>
      </c>
      <c r="AH3" s="2">
        <f>aeo_hdd_projections!AH3/aeo_hdd_projections!$H3</f>
        <v>0.87536953477516721</v>
      </c>
      <c r="AI3" s="2">
        <f>aeo_hdd_projections!AI3/aeo_hdd_projections!$H3</f>
        <v>0.87303563093200565</v>
      </c>
      <c r="AJ3" s="2">
        <f>aeo_hdd_projections!AJ3/aeo_hdd_projections!$H3</f>
        <v>0.87085732067838806</v>
      </c>
    </row>
    <row r="4" spans="1:36" ht="43.2" x14ac:dyDescent="0.3">
      <c r="A4" s="3" t="s">
        <v>8</v>
      </c>
      <c r="B4" s="3" t="s">
        <v>2</v>
      </c>
      <c r="C4" s="4" t="s">
        <v>18</v>
      </c>
      <c r="D4" s="2">
        <v>3479</v>
      </c>
      <c r="E4" s="2">
        <v>3438</v>
      </c>
      <c r="F4" s="2">
        <v>0.98821500431158382</v>
      </c>
      <c r="G4" s="4" t="s">
        <v>17</v>
      </c>
      <c r="H4" s="2">
        <f>aeo_hdd_projections!$H4/aeo_hdd_projections!$H4</f>
        <v>1</v>
      </c>
      <c r="I4" s="2">
        <f>aeo_hdd_projections!I4/aeo_hdd_projections!$H4</f>
        <v>0.98709492400344134</v>
      </c>
      <c r="J4" s="2">
        <f>aeo_hdd_projections!J4/aeo_hdd_projections!$H4</f>
        <v>0.91195870375681098</v>
      </c>
      <c r="K4" s="2">
        <f>aeo_hdd_projections!K4/aeo_hdd_projections!$H4</f>
        <v>0.90851735015772872</v>
      </c>
      <c r="L4" s="2">
        <f>aeo_hdd_projections!L4/aeo_hdd_projections!$H4</f>
        <v>0.90507599655864646</v>
      </c>
      <c r="M4" s="2">
        <f>aeo_hdd_projections!M4/aeo_hdd_projections!$H4</f>
        <v>0.90163464295956408</v>
      </c>
      <c r="N4" s="2">
        <f>aeo_hdd_projections!N4/aeo_hdd_projections!$H4</f>
        <v>0.89790650989389165</v>
      </c>
      <c r="O4" s="2">
        <f>aeo_hdd_projections!O4/aeo_hdd_projections!$H4</f>
        <v>0.89446515629480927</v>
      </c>
      <c r="P4" s="2">
        <f>aeo_hdd_projections!P4/aeo_hdd_projections!$H4</f>
        <v>0.89073702322913684</v>
      </c>
      <c r="Q4" s="2">
        <f>aeo_hdd_projections!Q4/aeo_hdd_projections!$H4</f>
        <v>0.88729566963005446</v>
      </c>
      <c r="R4" s="2">
        <f>aeo_hdd_projections!R4/aeo_hdd_projections!$H4</f>
        <v>0.88356753656438203</v>
      </c>
      <c r="S4" s="2">
        <f>aeo_hdd_projections!S4/aeo_hdd_projections!$H4</f>
        <v>0.88012618296529965</v>
      </c>
      <c r="T4" s="2">
        <f>aeo_hdd_projections!T4/aeo_hdd_projections!$H4</f>
        <v>0.87639804989962722</v>
      </c>
      <c r="U4" s="2">
        <f>aeo_hdd_projections!U4/aeo_hdd_projections!$H4</f>
        <v>0.87266991683395467</v>
      </c>
      <c r="V4" s="2">
        <f>aeo_hdd_projections!V4/aeo_hdd_projections!$H4</f>
        <v>0.86922856323487241</v>
      </c>
      <c r="W4" s="2">
        <f>aeo_hdd_projections!W4/aeo_hdd_projections!$H4</f>
        <v>0.86550043016919986</v>
      </c>
      <c r="X4" s="2">
        <f>aeo_hdd_projections!X4/aeo_hdd_projections!$H4</f>
        <v>0.86177229710352743</v>
      </c>
      <c r="Y4" s="2">
        <f>aeo_hdd_projections!Y4/aeo_hdd_projections!$H4</f>
        <v>0.85804416403785488</v>
      </c>
      <c r="Z4" s="2">
        <f>aeo_hdd_projections!Z4/aeo_hdd_projections!$H4</f>
        <v>0.85460281043877262</v>
      </c>
      <c r="AA4" s="2">
        <f>aeo_hdd_projections!AA4/aeo_hdd_projections!$H4</f>
        <v>0.85087467737310007</v>
      </c>
      <c r="AB4" s="2">
        <f>aeo_hdd_projections!AB4/aeo_hdd_projections!$H4</f>
        <v>0.84714654430742764</v>
      </c>
      <c r="AC4" s="2">
        <f>aeo_hdd_projections!AC4/aeo_hdd_projections!$H4</f>
        <v>0.84341841124175509</v>
      </c>
      <c r="AD4" s="2">
        <f>aeo_hdd_projections!AD4/aeo_hdd_projections!$H4</f>
        <v>0.83997705764267283</v>
      </c>
      <c r="AE4" s="2">
        <f>aeo_hdd_projections!AE4/aeo_hdd_projections!$H4</f>
        <v>0.83624892457700029</v>
      </c>
      <c r="AF4" s="2">
        <f>aeo_hdd_projections!AF4/aeo_hdd_projections!$H4</f>
        <v>0.83252079151132774</v>
      </c>
      <c r="AG4" s="2">
        <f>aeo_hdd_projections!AG4/aeo_hdd_projections!$H4</f>
        <v>0.82879265844565531</v>
      </c>
      <c r="AH4" s="2">
        <f>aeo_hdd_projections!AH4/aeo_hdd_projections!$H4</f>
        <v>0.82506452537998276</v>
      </c>
      <c r="AI4" s="2">
        <f>aeo_hdd_projections!AI4/aeo_hdd_projections!$H4</f>
        <v>0.8216231717809005</v>
      </c>
      <c r="AJ4" s="2">
        <f>aeo_hdd_projections!AJ4/aeo_hdd_projections!$H4</f>
        <v>0.81789503871522795</v>
      </c>
    </row>
    <row r="5" spans="1:36" ht="43.2" x14ac:dyDescent="0.3">
      <c r="A5" s="3" t="s">
        <v>4</v>
      </c>
      <c r="B5" s="3" t="s">
        <v>2</v>
      </c>
      <c r="C5" s="4" t="s">
        <v>18</v>
      </c>
      <c r="D5" s="2">
        <v>5769</v>
      </c>
      <c r="E5" s="2">
        <v>5636</v>
      </c>
      <c r="F5" s="2">
        <v>0.97694574449644656</v>
      </c>
      <c r="G5" s="4" t="s">
        <v>17</v>
      </c>
      <c r="H5" s="2">
        <f>aeo_hdd_projections!$H5/aeo_hdd_projections!$H5</f>
        <v>1</v>
      </c>
      <c r="I5" s="2">
        <f>aeo_hdd_projections!I5/aeo_hdd_projections!$H5</f>
        <v>1.0064437478230581</v>
      </c>
      <c r="J5" s="2">
        <f>aeo_hdd_projections!J5/aeo_hdd_projections!$H5</f>
        <v>0.93138279345175901</v>
      </c>
      <c r="K5" s="2">
        <f>aeo_hdd_projections!K5/aeo_hdd_projections!$H5</f>
        <v>0.92737722048066873</v>
      </c>
      <c r="L5" s="2">
        <f>aeo_hdd_projections!L5/aeo_hdd_projections!$H5</f>
        <v>0.92354580285614774</v>
      </c>
      <c r="M5" s="2">
        <f>aeo_hdd_projections!M5/aeo_hdd_projections!$H5</f>
        <v>0.91971438523162663</v>
      </c>
      <c r="N5" s="2">
        <f>aeo_hdd_projections!N5/aeo_hdd_projections!$H5</f>
        <v>0.91588296760710552</v>
      </c>
      <c r="O5" s="2">
        <f>aeo_hdd_projections!O5/aeo_hdd_projections!$H5</f>
        <v>0.91187739463601536</v>
      </c>
      <c r="P5" s="2">
        <f>aeo_hdd_projections!P5/aeo_hdd_projections!$H5</f>
        <v>0.90804597701149425</v>
      </c>
      <c r="Q5" s="2">
        <f>aeo_hdd_projections!Q5/aeo_hdd_projections!$H5</f>
        <v>0.90421455938697315</v>
      </c>
      <c r="R5" s="2">
        <f>aeo_hdd_projections!R5/aeo_hdd_projections!$H5</f>
        <v>0.90020898641588298</v>
      </c>
      <c r="S5" s="2">
        <f>aeo_hdd_projections!S5/aeo_hdd_projections!$H5</f>
        <v>0.89637756879136188</v>
      </c>
      <c r="T5" s="2">
        <f>aeo_hdd_projections!T5/aeo_hdd_projections!$H5</f>
        <v>0.89254615116684077</v>
      </c>
      <c r="U5" s="2">
        <f>aeo_hdd_projections!U5/aeo_hdd_projections!$H5</f>
        <v>0.88854057819575061</v>
      </c>
      <c r="V5" s="2">
        <f>aeo_hdd_projections!V5/aeo_hdd_projections!$H5</f>
        <v>0.8847091605712295</v>
      </c>
      <c r="W5" s="2">
        <f>aeo_hdd_projections!W5/aeo_hdd_projections!$H5</f>
        <v>0.88087774294670851</v>
      </c>
      <c r="X5" s="2">
        <f>aeo_hdd_projections!X5/aeo_hdd_projections!$H5</f>
        <v>0.8770463253221874</v>
      </c>
      <c r="Y5" s="2">
        <f>aeo_hdd_projections!Y5/aeo_hdd_projections!$H5</f>
        <v>0.87304075235109713</v>
      </c>
      <c r="Z5" s="2">
        <f>aeo_hdd_projections!Z5/aeo_hdd_projections!$H5</f>
        <v>0.86920933472657613</v>
      </c>
      <c r="AA5" s="2">
        <f>aeo_hdd_projections!AA5/aeo_hdd_projections!$H5</f>
        <v>0.86537791710205503</v>
      </c>
      <c r="AB5" s="2">
        <f>aeo_hdd_projections!AB5/aeo_hdd_projections!$H5</f>
        <v>0.86154649947753392</v>
      </c>
      <c r="AC5" s="2">
        <f>aeo_hdd_projections!AC5/aeo_hdd_projections!$H5</f>
        <v>0.85754092650644376</v>
      </c>
      <c r="AD5" s="2">
        <f>aeo_hdd_projections!AD5/aeo_hdd_projections!$H5</f>
        <v>0.85370950888192265</v>
      </c>
      <c r="AE5" s="2">
        <f>aeo_hdd_projections!AE5/aeo_hdd_projections!$H5</f>
        <v>0.84987809125740155</v>
      </c>
      <c r="AF5" s="2">
        <f>aeo_hdd_projections!AF5/aeo_hdd_projections!$H5</f>
        <v>0.84604667363288055</v>
      </c>
      <c r="AG5" s="2">
        <f>aeo_hdd_projections!AG5/aeo_hdd_projections!$H5</f>
        <v>0.84204110066179028</v>
      </c>
      <c r="AH5" s="2">
        <f>aeo_hdd_projections!AH5/aeo_hdd_projections!$H5</f>
        <v>0.83820968303726928</v>
      </c>
      <c r="AI5" s="2">
        <f>aeo_hdd_projections!AI5/aeo_hdd_projections!$H5</f>
        <v>0.83437826541274818</v>
      </c>
      <c r="AJ5" s="2">
        <f>aeo_hdd_projections!AJ5/aeo_hdd_projections!$H5</f>
        <v>0.83054684778822707</v>
      </c>
    </row>
    <row r="6" spans="1:36" ht="43.2" x14ac:dyDescent="0.3">
      <c r="A6" s="3" t="s">
        <v>10</v>
      </c>
      <c r="B6" s="3" t="s">
        <v>2</v>
      </c>
      <c r="C6" s="4" t="s">
        <v>18</v>
      </c>
      <c r="D6" s="2">
        <v>4808</v>
      </c>
      <c r="E6" s="2">
        <v>5125</v>
      </c>
      <c r="F6" s="2">
        <v>1.0659317803660566</v>
      </c>
      <c r="G6" s="4" t="s">
        <v>17</v>
      </c>
      <c r="H6" s="2">
        <f>aeo_hdd_projections!$H6/aeo_hdd_projections!$H6</f>
        <v>1</v>
      </c>
      <c r="I6" s="2">
        <f>aeo_hdd_projections!I6/aeo_hdd_projections!$H6</f>
        <v>1.0016096579476861</v>
      </c>
      <c r="J6" s="2">
        <f>aeo_hdd_projections!J6/aeo_hdd_projections!$H6</f>
        <v>0.96358148893360163</v>
      </c>
      <c r="K6" s="2">
        <f>aeo_hdd_projections!K6/aeo_hdd_projections!$H6</f>
        <v>0.96096579476861166</v>
      </c>
      <c r="L6" s="2">
        <f>aeo_hdd_projections!L6/aeo_hdd_projections!$H6</f>
        <v>0.95835010060362169</v>
      </c>
      <c r="M6" s="2">
        <f>aeo_hdd_projections!M6/aeo_hdd_projections!$H6</f>
        <v>0.95593561368209257</v>
      </c>
      <c r="N6" s="2">
        <f>aeo_hdd_projections!N6/aeo_hdd_projections!$H6</f>
        <v>0.9533199195171026</v>
      </c>
      <c r="O6" s="2">
        <f>aeo_hdd_projections!O6/aeo_hdd_projections!$H6</f>
        <v>0.95070422535211263</v>
      </c>
      <c r="P6" s="2">
        <f>aeo_hdd_projections!P6/aeo_hdd_projections!$H6</f>
        <v>0.94808853118712277</v>
      </c>
      <c r="Q6" s="2">
        <f>aeo_hdd_projections!Q6/aeo_hdd_projections!$H6</f>
        <v>0.94527162977867207</v>
      </c>
      <c r="R6" s="2">
        <f>aeo_hdd_projections!R6/aeo_hdd_projections!$H6</f>
        <v>0.94265593561368211</v>
      </c>
      <c r="S6" s="2">
        <f>aeo_hdd_projections!S6/aeo_hdd_projections!$H6</f>
        <v>0.94004024144869214</v>
      </c>
      <c r="T6" s="2">
        <f>aeo_hdd_projections!T6/aeo_hdd_projections!$H6</f>
        <v>0.93722334004024144</v>
      </c>
      <c r="U6" s="2">
        <f>aeo_hdd_projections!U6/aeo_hdd_projections!$H6</f>
        <v>0.93460764587525147</v>
      </c>
      <c r="V6" s="2">
        <f>aeo_hdd_projections!V6/aeo_hdd_projections!$H6</f>
        <v>0.93199195171026161</v>
      </c>
      <c r="W6" s="2">
        <f>aeo_hdd_projections!W6/aeo_hdd_projections!$H6</f>
        <v>0.92937625754527164</v>
      </c>
      <c r="X6" s="2">
        <f>aeo_hdd_projections!X6/aeo_hdd_projections!$H6</f>
        <v>0.92676056338028168</v>
      </c>
      <c r="Y6" s="2">
        <f>aeo_hdd_projections!Y6/aeo_hdd_projections!$H6</f>
        <v>0.92414486921529171</v>
      </c>
      <c r="Z6" s="2">
        <f>aeo_hdd_projections!Z6/aeo_hdd_projections!$H6</f>
        <v>0.92152917505030185</v>
      </c>
      <c r="AA6" s="2">
        <f>aeo_hdd_projections!AA6/aeo_hdd_projections!$H6</f>
        <v>0.91911468812877262</v>
      </c>
      <c r="AB6" s="2">
        <f>aeo_hdd_projections!AB6/aeo_hdd_projections!$H6</f>
        <v>0.91649899396378265</v>
      </c>
      <c r="AC6" s="2">
        <f>aeo_hdd_projections!AC6/aeo_hdd_projections!$H6</f>
        <v>0.91388329979879279</v>
      </c>
      <c r="AD6" s="2">
        <f>aeo_hdd_projections!AD6/aeo_hdd_projections!$H6</f>
        <v>0.91146881287726356</v>
      </c>
      <c r="AE6" s="2">
        <f>aeo_hdd_projections!AE6/aeo_hdd_projections!$H6</f>
        <v>0.90885311871227359</v>
      </c>
      <c r="AF6" s="2">
        <f>aeo_hdd_projections!AF6/aeo_hdd_projections!$H6</f>
        <v>0.90623742454728373</v>
      </c>
      <c r="AG6" s="2">
        <f>aeo_hdd_projections!AG6/aeo_hdd_projections!$H6</f>
        <v>0.9038229376257545</v>
      </c>
      <c r="AH6" s="2">
        <f>aeo_hdd_projections!AH6/aeo_hdd_projections!$H6</f>
        <v>0.90120724346076464</v>
      </c>
      <c r="AI6" s="2">
        <f>aeo_hdd_projections!AI6/aeo_hdd_projections!$H6</f>
        <v>0.8987927565392354</v>
      </c>
      <c r="AJ6" s="2">
        <f>aeo_hdd_projections!AJ6/aeo_hdd_projections!$H6</f>
        <v>0.89617706237424544</v>
      </c>
    </row>
    <row r="7" spans="1:36" ht="43.2" x14ac:dyDescent="0.3">
      <c r="A7" s="3" t="s">
        <v>3</v>
      </c>
      <c r="B7" s="3" t="s">
        <v>2</v>
      </c>
      <c r="C7" s="4" t="s">
        <v>18</v>
      </c>
      <c r="D7" s="2">
        <v>6323</v>
      </c>
      <c r="E7" s="2">
        <v>6019</v>
      </c>
      <c r="F7" s="2">
        <v>0.95192155622331176</v>
      </c>
      <c r="G7" s="4" t="s">
        <v>17</v>
      </c>
      <c r="H7" s="2">
        <f>aeo_hdd_projections!$H7/aeo_hdd_projections!$H7</f>
        <v>1</v>
      </c>
      <c r="I7" s="2">
        <f>aeo_hdd_projections!I7/aeo_hdd_projections!$H7</f>
        <v>1.0358180058083253</v>
      </c>
      <c r="J7" s="2">
        <f>aeo_hdd_projections!J7/aeo_hdd_projections!$H7</f>
        <v>0.96353662471765089</v>
      </c>
      <c r="K7" s="2">
        <f>aeo_hdd_projections!K7/aeo_hdd_projections!$H7</f>
        <v>0.95982575024201355</v>
      </c>
      <c r="L7" s="2">
        <f>aeo_hdd_projections!L7/aeo_hdd_projections!$H7</f>
        <v>0.95595353339787026</v>
      </c>
      <c r="M7" s="2">
        <f>aeo_hdd_projections!M7/aeo_hdd_projections!$H7</f>
        <v>0.95224265892223303</v>
      </c>
      <c r="N7" s="2">
        <f>aeo_hdd_projections!N7/aeo_hdd_projections!$H7</f>
        <v>0.94837044207808974</v>
      </c>
      <c r="O7" s="2">
        <f>aeo_hdd_projections!O7/aeo_hdd_projections!$H7</f>
        <v>0.94449822523394644</v>
      </c>
      <c r="P7" s="2">
        <f>aeo_hdd_projections!P7/aeo_hdd_projections!$H7</f>
        <v>0.94062600838980315</v>
      </c>
      <c r="Q7" s="2">
        <f>aeo_hdd_projections!Q7/aeo_hdd_projections!$H7</f>
        <v>0.93691513391416581</v>
      </c>
      <c r="R7" s="2">
        <f>aeo_hdd_projections!R7/aeo_hdd_projections!$H7</f>
        <v>0.93304291707002263</v>
      </c>
      <c r="S7" s="2">
        <f>aeo_hdd_projections!S7/aeo_hdd_projections!$H7</f>
        <v>0.92917070022587933</v>
      </c>
      <c r="T7" s="2">
        <f>aeo_hdd_projections!T7/aeo_hdd_projections!$H7</f>
        <v>0.92529848338173604</v>
      </c>
      <c r="U7" s="2">
        <f>aeo_hdd_projections!U7/aeo_hdd_projections!$H7</f>
        <v>0.92142626653759274</v>
      </c>
      <c r="V7" s="2">
        <f>aeo_hdd_projections!V7/aeo_hdd_projections!$H7</f>
        <v>0.91755404969344945</v>
      </c>
      <c r="W7" s="2">
        <f>aeo_hdd_projections!W7/aeo_hdd_projections!$H7</f>
        <v>0.91368183284930626</v>
      </c>
      <c r="X7" s="2">
        <f>aeo_hdd_projections!X7/aeo_hdd_projections!$H7</f>
        <v>0.90980961600516297</v>
      </c>
      <c r="Y7" s="2">
        <f>aeo_hdd_projections!Y7/aeo_hdd_projections!$H7</f>
        <v>0.90593739916101967</v>
      </c>
      <c r="Z7" s="2">
        <f>aeo_hdd_projections!Z7/aeo_hdd_projections!$H7</f>
        <v>0.90206518231687638</v>
      </c>
      <c r="AA7" s="2">
        <f>aeo_hdd_projections!AA7/aeo_hdd_projections!$H7</f>
        <v>0.89819296547273308</v>
      </c>
      <c r="AB7" s="2">
        <f>aeo_hdd_projections!AB7/aeo_hdd_projections!$H7</f>
        <v>0.8943207486285899</v>
      </c>
      <c r="AC7" s="2">
        <f>aeo_hdd_projections!AC7/aeo_hdd_projections!$H7</f>
        <v>0.89044853178444661</v>
      </c>
      <c r="AD7" s="2">
        <f>aeo_hdd_projections!AD7/aeo_hdd_projections!$H7</f>
        <v>0.88657631494030331</v>
      </c>
      <c r="AE7" s="2">
        <f>aeo_hdd_projections!AE7/aeo_hdd_projections!$H7</f>
        <v>0.88270409809616002</v>
      </c>
      <c r="AF7" s="2">
        <f>aeo_hdd_projections!AF7/aeo_hdd_projections!$H7</f>
        <v>0.87883188125201683</v>
      </c>
      <c r="AG7" s="2">
        <f>aeo_hdd_projections!AG7/aeo_hdd_projections!$H7</f>
        <v>0.87495966440787354</v>
      </c>
      <c r="AH7" s="2">
        <f>aeo_hdd_projections!AH7/aeo_hdd_projections!$H7</f>
        <v>0.87108744756373024</v>
      </c>
      <c r="AI7" s="2">
        <f>aeo_hdd_projections!AI7/aeo_hdd_projections!$H7</f>
        <v>0.86705388835108099</v>
      </c>
      <c r="AJ7" s="2">
        <f>aeo_hdd_projections!AJ7/aeo_hdd_projections!$H7</f>
        <v>0.8631816715069377</v>
      </c>
    </row>
    <row r="8" spans="1:36" ht="43.2" x14ac:dyDescent="0.3">
      <c r="A8" s="3" t="s">
        <v>11</v>
      </c>
      <c r="B8" s="3" t="s">
        <v>2</v>
      </c>
      <c r="C8" s="4" t="s">
        <v>18</v>
      </c>
      <c r="D8" s="2">
        <v>3172</v>
      </c>
      <c r="E8" s="2">
        <v>3366</v>
      </c>
      <c r="F8" s="2">
        <v>1.0611601513240858</v>
      </c>
      <c r="G8" s="4" t="s">
        <v>17</v>
      </c>
      <c r="H8" s="2">
        <f>aeo_hdd_projections!$H8/aeo_hdd_projections!$H8</f>
        <v>1</v>
      </c>
      <c r="I8" s="2">
        <f>aeo_hdd_projections!I8/aeo_hdd_projections!$H8</f>
        <v>1.0905977584059776</v>
      </c>
      <c r="J8" s="2">
        <f>aeo_hdd_projections!J8/aeo_hdd_projections!$H8</f>
        <v>1.0118306351183064</v>
      </c>
      <c r="K8" s="2">
        <f>aeo_hdd_projections!K8/aeo_hdd_projections!$H8</f>
        <v>1.0090286425902864</v>
      </c>
      <c r="L8" s="2">
        <f>aeo_hdd_projections!L8/aeo_hdd_projections!$H8</f>
        <v>1.0062266500622665</v>
      </c>
      <c r="M8" s="2">
        <f>aeo_hdd_projections!M8/aeo_hdd_projections!$H8</f>
        <v>1.0034246575342465</v>
      </c>
      <c r="N8" s="2">
        <f>aeo_hdd_projections!N8/aeo_hdd_projections!$H8</f>
        <v>1.0003113325031132</v>
      </c>
      <c r="O8" s="2">
        <f>aeo_hdd_projections!O8/aeo_hdd_projections!$H8</f>
        <v>0.99750933997509339</v>
      </c>
      <c r="P8" s="2">
        <f>aeo_hdd_projections!P8/aeo_hdd_projections!$H8</f>
        <v>0.99470734744707345</v>
      </c>
      <c r="Q8" s="2">
        <f>aeo_hdd_projections!Q8/aeo_hdd_projections!$H8</f>
        <v>0.99159402241594019</v>
      </c>
      <c r="R8" s="2">
        <f>aeo_hdd_projections!R8/aeo_hdd_projections!$H8</f>
        <v>0.98879202988792025</v>
      </c>
      <c r="S8" s="2">
        <f>aeo_hdd_projections!S8/aeo_hdd_projections!$H8</f>
        <v>0.9856787048567871</v>
      </c>
      <c r="T8" s="2">
        <f>aeo_hdd_projections!T8/aeo_hdd_projections!$H8</f>
        <v>0.98287671232876717</v>
      </c>
      <c r="U8" s="2">
        <f>aeo_hdd_projections!U8/aeo_hdd_projections!$H8</f>
        <v>0.9797633872976339</v>
      </c>
      <c r="V8" s="2">
        <f>aeo_hdd_projections!V8/aeo_hdd_projections!$H8</f>
        <v>0.97665006226650064</v>
      </c>
      <c r="W8" s="2">
        <f>aeo_hdd_projections!W8/aeo_hdd_projections!$H8</f>
        <v>0.9738480697384807</v>
      </c>
      <c r="X8" s="2">
        <f>aeo_hdd_projections!X8/aeo_hdd_projections!$H8</f>
        <v>0.97073474470734744</v>
      </c>
      <c r="Y8" s="2">
        <f>aeo_hdd_projections!Y8/aeo_hdd_projections!$H8</f>
        <v>0.96762141967621418</v>
      </c>
      <c r="Z8" s="2">
        <f>aeo_hdd_projections!Z8/aeo_hdd_projections!$H8</f>
        <v>0.96450809464508092</v>
      </c>
      <c r="AA8" s="2">
        <f>aeo_hdd_projections!AA8/aeo_hdd_projections!$H8</f>
        <v>0.96170610211706098</v>
      </c>
      <c r="AB8" s="2">
        <f>aeo_hdd_projections!AB8/aeo_hdd_projections!$H8</f>
        <v>0.95859277708592772</v>
      </c>
      <c r="AC8" s="2">
        <f>aeo_hdd_projections!AC8/aeo_hdd_projections!$H8</f>
        <v>0.95547945205479456</v>
      </c>
      <c r="AD8" s="2">
        <f>aeo_hdd_projections!AD8/aeo_hdd_projections!$H8</f>
        <v>0.9523661270236613</v>
      </c>
      <c r="AE8" s="2">
        <f>aeo_hdd_projections!AE8/aeo_hdd_projections!$H8</f>
        <v>0.94925280199252804</v>
      </c>
      <c r="AF8" s="2">
        <f>aeo_hdd_projections!AF8/aeo_hdd_projections!$H8</f>
        <v>0.9464508094645081</v>
      </c>
      <c r="AG8" s="2">
        <f>aeo_hdd_projections!AG8/aeo_hdd_projections!$H8</f>
        <v>0.94333748443337484</v>
      </c>
      <c r="AH8" s="2">
        <f>aeo_hdd_projections!AH8/aeo_hdd_projections!$H8</f>
        <v>0.94022415940224158</v>
      </c>
      <c r="AI8" s="2">
        <f>aeo_hdd_projections!AI8/aeo_hdd_projections!$H8</f>
        <v>0.93711083437110831</v>
      </c>
      <c r="AJ8" s="2">
        <f>aeo_hdd_projections!AJ8/aeo_hdd_projections!$H8</f>
        <v>0.93399750933997505</v>
      </c>
    </row>
    <row r="9" spans="1:36" ht="43.2" x14ac:dyDescent="0.3">
      <c r="A9" s="3" t="s">
        <v>7</v>
      </c>
      <c r="B9" s="3" t="s">
        <v>2</v>
      </c>
      <c r="C9" s="4" t="s">
        <v>18</v>
      </c>
      <c r="D9" s="2">
        <v>2638</v>
      </c>
      <c r="E9" s="2">
        <v>2523</v>
      </c>
      <c r="F9" s="2">
        <v>0.95640636846095528</v>
      </c>
      <c r="G9" s="4" t="s">
        <v>17</v>
      </c>
      <c r="H9" s="2">
        <f>aeo_hdd_projections!$H9/aeo_hdd_projections!$H9</f>
        <v>1</v>
      </c>
      <c r="I9" s="2">
        <f>aeo_hdd_projections!I9/aeo_hdd_projections!$H9</f>
        <v>1.0132501948558068</v>
      </c>
      <c r="J9" s="2">
        <f>aeo_hdd_projections!J9/aeo_hdd_projections!$H9</f>
        <v>0.92556508183943886</v>
      </c>
      <c r="K9" s="2">
        <f>aeo_hdd_projections!K9/aeo_hdd_projections!$H9</f>
        <v>0.91893998441153546</v>
      </c>
      <c r="L9" s="2">
        <f>aeo_hdd_projections!L9/aeo_hdd_projections!$H9</f>
        <v>0.91270459859703823</v>
      </c>
      <c r="M9" s="2">
        <f>aeo_hdd_projections!M9/aeo_hdd_projections!$H9</f>
        <v>0.90646921278254089</v>
      </c>
      <c r="N9" s="2">
        <f>aeo_hdd_projections!N9/aeo_hdd_projections!$H9</f>
        <v>0.90023382696804366</v>
      </c>
      <c r="O9" s="2">
        <f>aeo_hdd_projections!O9/aeo_hdd_projections!$H9</f>
        <v>0.89399844115354643</v>
      </c>
      <c r="P9" s="2">
        <f>aeo_hdd_projections!P9/aeo_hdd_projections!$H9</f>
        <v>0.88737334372564303</v>
      </c>
      <c r="Q9" s="2">
        <f>aeo_hdd_projections!Q9/aeo_hdd_projections!$H9</f>
        <v>0.8811379579111458</v>
      </c>
      <c r="R9" s="2">
        <f>aeo_hdd_projections!R9/aeo_hdd_projections!$H9</f>
        <v>0.87490257209664846</v>
      </c>
      <c r="S9" s="2">
        <f>aeo_hdd_projections!S9/aeo_hdd_projections!$H9</f>
        <v>0.86866718628215123</v>
      </c>
      <c r="T9" s="2">
        <f>aeo_hdd_projections!T9/aeo_hdd_projections!$H9</f>
        <v>0.86243180046765389</v>
      </c>
      <c r="U9" s="2">
        <f>aeo_hdd_projections!U9/aeo_hdd_projections!$H9</f>
        <v>0.85619641465315666</v>
      </c>
      <c r="V9" s="2">
        <f>aeo_hdd_projections!V9/aeo_hdd_projections!$H9</f>
        <v>0.84957131722525336</v>
      </c>
      <c r="W9" s="2">
        <f>aeo_hdd_projections!W9/aeo_hdd_projections!$H9</f>
        <v>0.84333593141075602</v>
      </c>
      <c r="X9" s="2">
        <f>aeo_hdd_projections!X9/aeo_hdd_projections!$H9</f>
        <v>0.83710054559625879</v>
      </c>
      <c r="Y9" s="2">
        <f>aeo_hdd_projections!Y9/aeo_hdd_projections!$H9</f>
        <v>0.83086515978176145</v>
      </c>
      <c r="Z9" s="2">
        <f>aeo_hdd_projections!Z9/aeo_hdd_projections!$H9</f>
        <v>0.82462977396726422</v>
      </c>
      <c r="AA9" s="2">
        <f>aeo_hdd_projections!AA9/aeo_hdd_projections!$H9</f>
        <v>0.81839438815276699</v>
      </c>
      <c r="AB9" s="2">
        <f>aeo_hdd_projections!AB9/aeo_hdd_projections!$H9</f>
        <v>0.81215900233826965</v>
      </c>
      <c r="AC9" s="2">
        <f>aeo_hdd_projections!AC9/aeo_hdd_projections!$H9</f>
        <v>0.80592361652377242</v>
      </c>
      <c r="AD9" s="2">
        <f>aeo_hdd_projections!AD9/aeo_hdd_projections!$H9</f>
        <v>0.79968823070927508</v>
      </c>
      <c r="AE9" s="2">
        <f>aeo_hdd_projections!AE9/aeo_hdd_projections!$H9</f>
        <v>0.79345284489477785</v>
      </c>
      <c r="AF9" s="2">
        <f>aeo_hdd_projections!AF9/aeo_hdd_projections!$H9</f>
        <v>0.78721745908028062</v>
      </c>
      <c r="AG9" s="2">
        <f>aeo_hdd_projections!AG9/aeo_hdd_projections!$H9</f>
        <v>0.78137178487918935</v>
      </c>
      <c r="AH9" s="2">
        <f>aeo_hdd_projections!AH9/aeo_hdd_projections!$H9</f>
        <v>0.77513639906469212</v>
      </c>
      <c r="AI9" s="2">
        <f>aeo_hdd_projections!AI9/aeo_hdd_projections!$H9</f>
        <v>0.76890101325019489</v>
      </c>
      <c r="AJ9" s="2">
        <f>aeo_hdd_projections!AJ9/aeo_hdd_projections!$H9</f>
        <v>0.76266562743569755</v>
      </c>
    </row>
    <row r="10" spans="1:36" ht="43.2" x14ac:dyDescent="0.3">
      <c r="A10" s="3" t="s">
        <v>6</v>
      </c>
      <c r="B10" s="3" t="s">
        <v>2</v>
      </c>
      <c r="C10" s="4" t="s">
        <v>18</v>
      </c>
      <c r="D10" s="2">
        <v>6974</v>
      </c>
      <c r="E10" s="2">
        <v>6905</v>
      </c>
      <c r="F10" s="2">
        <v>0.99010610840263835</v>
      </c>
      <c r="G10" s="4" t="s">
        <v>17</v>
      </c>
      <c r="H10" s="2">
        <f>aeo_hdd_projections!$H10/aeo_hdd_projections!$H10</f>
        <v>1</v>
      </c>
      <c r="I10" s="2">
        <f>aeo_hdd_projections!I10/aeo_hdd_projections!$H10</f>
        <v>0.96435354273192109</v>
      </c>
      <c r="J10" s="2">
        <f>aeo_hdd_projections!J10/aeo_hdd_projections!$H10</f>
        <v>0.9275383491599708</v>
      </c>
      <c r="K10" s="2">
        <f>aeo_hdd_projections!K10/aeo_hdd_projections!$H10</f>
        <v>0.92622352081811543</v>
      </c>
      <c r="L10" s="2">
        <f>aeo_hdd_projections!L10/aeo_hdd_projections!$H10</f>
        <v>0.92476260043827607</v>
      </c>
      <c r="M10" s="2">
        <f>aeo_hdd_projections!M10/aeo_hdd_projections!$H10</f>
        <v>0.9234477720964207</v>
      </c>
      <c r="N10" s="2">
        <f>aeo_hdd_projections!N10/aeo_hdd_projections!$H10</f>
        <v>0.92198685171658146</v>
      </c>
      <c r="O10" s="2">
        <f>aeo_hdd_projections!O10/aeo_hdd_projections!$H10</f>
        <v>0.9205259313367421</v>
      </c>
      <c r="P10" s="2">
        <f>aeo_hdd_projections!P10/aeo_hdd_projections!$H10</f>
        <v>0.91906501095690285</v>
      </c>
      <c r="Q10" s="2">
        <f>aeo_hdd_projections!Q10/aeo_hdd_projections!$H10</f>
        <v>0.9176040905770636</v>
      </c>
      <c r="R10" s="2">
        <f>aeo_hdd_projections!R10/aeo_hdd_projections!$H10</f>
        <v>0.91614317019722424</v>
      </c>
      <c r="S10" s="2">
        <f>aeo_hdd_projections!S10/aeo_hdd_projections!$H10</f>
        <v>0.914682249817385</v>
      </c>
      <c r="T10" s="2">
        <f>aeo_hdd_projections!T10/aeo_hdd_projections!$H10</f>
        <v>0.91307523739956176</v>
      </c>
      <c r="U10" s="2">
        <f>aeo_hdd_projections!U10/aeo_hdd_projections!$H10</f>
        <v>0.9116143170197224</v>
      </c>
      <c r="V10" s="2">
        <f>aeo_hdd_projections!V10/aeo_hdd_projections!$H10</f>
        <v>0.91015339663988315</v>
      </c>
      <c r="W10" s="2">
        <f>aeo_hdd_projections!W10/aeo_hdd_projections!$H10</f>
        <v>0.90854638422205991</v>
      </c>
      <c r="X10" s="2">
        <f>aeo_hdd_projections!X10/aeo_hdd_projections!$H10</f>
        <v>0.90708546384222055</v>
      </c>
      <c r="Y10" s="2">
        <f>aeo_hdd_projections!Y10/aeo_hdd_projections!$H10</f>
        <v>0.90547845142439742</v>
      </c>
      <c r="Z10" s="2">
        <f>aeo_hdd_projections!Z10/aeo_hdd_projections!$H10</f>
        <v>0.90401753104455806</v>
      </c>
      <c r="AA10" s="2">
        <f>aeo_hdd_projections!AA10/aeo_hdd_projections!$H10</f>
        <v>0.90241051862673483</v>
      </c>
      <c r="AB10" s="2">
        <f>aeo_hdd_projections!AB10/aeo_hdd_projections!$H10</f>
        <v>0.90094959824689558</v>
      </c>
      <c r="AC10" s="2">
        <f>aeo_hdd_projections!AC10/aeo_hdd_projections!$H10</f>
        <v>0.89934258582907234</v>
      </c>
      <c r="AD10" s="2">
        <f>aeo_hdd_projections!AD10/aeo_hdd_projections!$H10</f>
        <v>0.8977355734112491</v>
      </c>
      <c r="AE10" s="2">
        <f>aeo_hdd_projections!AE10/aeo_hdd_projections!$H10</f>
        <v>0.89627465303140974</v>
      </c>
      <c r="AF10" s="2">
        <f>aeo_hdd_projections!AF10/aeo_hdd_projections!$H10</f>
        <v>0.89466764061358661</v>
      </c>
      <c r="AG10" s="2">
        <f>aeo_hdd_projections!AG10/aeo_hdd_projections!$H10</f>
        <v>0.89306062819576337</v>
      </c>
      <c r="AH10" s="2">
        <f>aeo_hdd_projections!AH10/aeo_hdd_projections!$H10</f>
        <v>0.89159970781592401</v>
      </c>
      <c r="AI10" s="2">
        <f>aeo_hdd_projections!AI10/aeo_hdd_projections!$H10</f>
        <v>0.88999269539810077</v>
      </c>
      <c r="AJ10" s="2">
        <f>aeo_hdd_projections!AJ10/aeo_hdd_projections!$H10</f>
        <v>0.88838568298027754</v>
      </c>
    </row>
    <row r="11" spans="1:36" ht="43.2" x14ac:dyDescent="0.3">
      <c r="A11" s="3" t="s">
        <v>9</v>
      </c>
      <c r="B11" s="3" t="s">
        <v>2</v>
      </c>
      <c r="C11" s="4" t="s">
        <v>18</v>
      </c>
      <c r="D11" s="2">
        <v>2252</v>
      </c>
      <c r="E11" s="2">
        <v>2200</v>
      </c>
      <c r="F11" s="2">
        <v>0.9769094138543517</v>
      </c>
      <c r="G11" s="4" t="s">
        <v>17</v>
      </c>
      <c r="H11" s="2">
        <f>aeo_hdd_projections!$H11/aeo_hdd_projections!$H11</f>
        <v>1</v>
      </c>
      <c r="I11" s="2">
        <f>aeo_hdd_projections!I11/aeo_hdd_projections!$H11</f>
        <v>0.93667425968109341</v>
      </c>
      <c r="J11" s="2">
        <f>aeo_hdd_projections!J11/aeo_hdd_projections!$H11</f>
        <v>0.88473804100227793</v>
      </c>
      <c r="K11" s="2">
        <f>aeo_hdd_projections!K11/aeo_hdd_projections!$H11</f>
        <v>0.8810933940774488</v>
      </c>
      <c r="L11" s="2">
        <f>aeo_hdd_projections!L11/aeo_hdd_projections!$H11</f>
        <v>0.87699316628701596</v>
      </c>
      <c r="M11" s="2">
        <f>aeo_hdd_projections!M11/aeo_hdd_projections!$H11</f>
        <v>0.87289293849658312</v>
      </c>
      <c r="N11" s="2">
        <f>aeo_hdd_projections!N11/aeo_hdd_projections!$H11</f>
        <v>0.86924829157175398</v>
      </c>
      <c r="O11" s="2">
        <f>aeo_hdd_projections!O11/aeo_hdd_projections!$H11</f>
        <v>0.86514806378132114</v>
      </c>
      <c r="P11" s="2">
        <f>aeo_hdd_projections!P11/aeo_hdd_projections!$H11</f>
        <v>0.86150341685649201</v>
      </c>
      <c r="Q11" s="2">
        <f>aeo_hdd_projections!Q11/aeo_hdd_projections!$H11</f>
        <v>0.85740318906605928</v>
      </c>
      <c r="R11" s="2">
        <f>aeo_hdd_projections!R11/aeo_hdd_projections!$H11</f>
        <v>0.85375854214123004</v>
      </c>
      <c r="S11" s="2">
        <f>aeo_hdd_projections!S11/aeo_hdd_projections!$H11</f>
        <v>0.84965831435079731</v>
      </c>
      <c r="T11" s="2">
        <f>aeo_hdd_projections!T11/aeo_hdd_projections!$H11</f>
        <v>0.84601366742596806</v>
      </c>
      <c r="U11" s="2">
        <f>aeo_hdd_projections!U11/aeo_hdd_projections!$H11</f>
        <v>0.84236902050113893</v>
      </c>
      <c r="V11" s="2">
        <f>aeo_hdd_projections!V11/aeo_hdd_projections!$H11</f>
        <v>0.8382687927107062</v>
      </c>
      <c r="W11" s="2">
        <f>aeo_hdd_projections!W11/aeo_hdd_projections!$H11</f>
        <v>0.83462414578587696</v>
      </c>
      <c r="X11" s="2">
        <f>aeo_hdd_projections!X11/aeo_hdd_projections!$H11</f>
        <v>0.83097949886104783</v>
      </c>
      <c r="Y11" s="2">
        <f>aeo_hdd_projections!Y11/aeo_hdd_projections!$H11</f>
        <v>0.82687927107061499</v>
      </c>
      <c r="Z11" s="2">
        <f>aeo_hdd_projections!Z11/aeo_hdd_projections!$H11</f>
        <v>0.82323462414578585</v>
      </c>
      <c r="AA11" s="2">
        <f>aeo_hdd_projections!AA11/aeo_hdd_projections!$H11</f>
        <v>0.81958997722095672</v>
      </c>
      <c r="AB11" s="2">
        <f>aeo_hdd_projections!AB11/aeo_hdd_projections!$H11</f>
        <v>0.81594533029612759</v>
      </c>
      <c r="AC11" s="2">
        <f>aeo_hdd_projections!AC11/aeo_hdd_projections!$H11</f>
        <v>0.81230068337129846</v>
      </c>
      <c r="AD11" s="2">
        <f>aeo_hdd_projections!AD11/aeo_hdd_projections!$H11</f>
        <v>0.80820045558086562</v>
      </c>
      <c r="AE11" s="2">
        <f>aeo_hdd_projections!AE11/aeo_hdd_projections!$H11</f>
        <v>0.80455580865603649</v>
      </c>
      <c r="AF11" s="2">
        <f>aeo_hdd_projections!AF11/aeo_hdd_projections!$H11</f>
        <v>0.80091116173120724</v>
      </c>
      <c r="AG11" s="2">
        <f>aeo_hdd_projections!AG11/aeo_hdd_projections!$H11</f>
        <v>0.79726651480637811</v>
      </c>
      <c r="AH11" s="2">
        <f>aeo_hdd_projections!AH11/aeo_hdd_projections!$H11</f>
        <v>0.79362186788154898</v>
      </c>
      <c r="AI11" s="2">
        <f>aeo_hdd_projections!AI11/aeo_hdd_projections!$H11</f>
        <v>0.78997722095671985</v>
      </c>
      <c r="AJ11" s="2">
        <f>aeo_hdd_projections!AJ11/aeo_hdd_projections!$H11</f>
        <v>0.78633257403189061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9488B06-BCBC-45B5-B14F-D8F6FD5D8D39}">
  <dimension ref="A1:AJ11"/>
  <sheetViews>
    <sheetView topLeftCell="C1" workbookViewId="0">
      <selection activeCell="H2" sqref="H2"/>
    </sheetView>
  </sheetViews>
  <sheetFormatPr defaultRowHeight="14.4" x14ac:dyDescent="0.3"/>
  <cols>
    <col min="1" max="1" width="28" style="1" customWidth="1"/>
    <col min="2" max="2" width="18.88671875" customWidth="1"/>
    <col min="3" max="3" width="26.5546875" style="1" customWidth="1"/>
    <col min="7" max="7" width="26.5546875" style="1" customWidth="1"/>
  </cols>
  <sheetData>
    <row r="1" spans="1:36" x14ac:dyDescent="0.3">
      <c r="A1" s="1" t="s">
        <v>16</v>
      </c>
      <c r="B1" t="s">
        <v>0</v>
      </c>
      <c r="C1" s="1" t="s">
        <v>15</v>
      </c>
      <c r="D1" t="s">
        <v>12</v>
      </c>
      <c r="E1" t="s">
        <v>13</v>
      </c>
      <c r="F1" t="s">
        <v>14</v>
      </c>
      <c r="G1" s="1" t="s">
        <v>15</v>
      </c>
      <c r="H1">
        <v>2022</v>
      </c>
      <c r="I1">
        <v>2023</v>
      </c>
      <c r="J1">
        <v>2024</v>
      </c>
      <c r="K1">
        <v>2025</v>
      </c>
      <c r="L1">
        <v>2026</v>
      </c>
      <c r="M1">
        <v>2027</v>
      </c>
      <c r="N1">
        <v>2028</v>
      </c>
      <c r="O1">
        <v>2029</v>
      </c>
      <c r="P1">
        <v>2030</v>
      </c>
      <c r="Q1">
        <v>2031</v>
      </c>
      <c r="R1">
        <v>2032</v>
      </c>
      <c r="S1">
        <v>2033</v>
      </c>
      <c r="T1">
        <v>2034</v>
      </c>
      <c r="U1">
        <v>2035</v>
      </c>
      <c r="V1">
        <v>2036</v>
      </c>
      <c r="W1">
        <v>2037</v>
      </c>
      <c r="X1">
        <v>2038</v>
      </c>
      <c r="Y1">
        <v>2039</v>
      </c>
      <c r="Z1">
        <v>2040</v>
      </c>
      <c r="AA1">
        <v>2041</v>
      </c>
      <c r="AB1">
        <v>2042</v>
      </c>
      <c r="AC1">
        <v>2043</v>
      </c>
      <c r="AD1">
        <v>2044</v>
      </c>
      <c r="AE1">
        <v>2045</v>
      </c>
      <c r="AF1">
        <v>2046</v>
      </c>
      <c r="AG1">
        <v>2047</v>
      </c>
      <c r="AH1">
        <v>2048</v>
      </c>
      <c r="AI1">
        <v>2049</v>
      </c>
      <c r="AJ1">
        <v>2050</v>
      </c>
    </row>
    <row r="2" spans="1:36" ht="43.2" x14ac:dyDescent="0.3">
      <c r="A2" s="1" t="s">
        <v>1</v>
      </c>
      <c r="B2" t="s">
        <v>2</v>
      </c>
      <c r="C2" s="1" t="s">
        <v>18</v>
      </c>
      <c r="D2">
        <v>4291</v>
      </c>
      <c r="E2">
        <v>4245</v>
      </c>
      <c r="F2">
        <f>E2/D2</f>
        <v>0.98927988813796319</v>
      </c>
      <c r="G2" s="1" t="s">
        <v>17</v>
      </c>
      <c r="H2">
        <v>4234.6137699999999</v>
      </c>
      <c r="I2">
        <v>4246.6186520000001</v>
      </c>
      <c r="J2">
        <v>3976.1059570000002</v>
      </c>
      <c r="K2">
        <v>3957.180664</v>
      </c>
      <c r="L2">
        <v>3938.5415039999998</v>
      </c>
      <c r="M2">
        <v>3920.0117190000001</v>
      </c>
      <c r="N2">
        <v>3901.2561040000001</v>
      </c>
      <c r="O2">
        <v>3882.5219729999999</v>
      </c>
      <c r="P2">
        <v>3863.8103030000002</v>
      </c>
      <c r="Q2">
        <v>3845.1889649999998</v>
      </c>
      <c r="R2">
        <v>3826.626221</v>
      </c>
      <c r="S2">
        <v>3807.9733890000002</v>
      </c>
      <c r="T2">
        <v>3789.4521479999999</v>
      </c>
      <c r="U2">
        <v>3770.821289</v>
      </c>
      <c r="V2">
        <v>3752.0329590000001</v>
      </c>
      <c r="W2">
        <v>3733.780029</v>
      </c>
      <c r="X2">
        <v>3715.305664</v>
      </c>
      <c r="Y2">
        <v>3696.5273440000001</v>
      </c>
      <c r="Z2">
        <v>3678.117432</v>
      </c>
      <c r="AA2">
        <v>3659.850586</v>
      </c>
      <c r="AB2">
        <v>3641.3955080000001</v>
      </c>
      <c r="AC2">
        <v>3622.8991700000001</v>
      </c>
      <c r="AD2">
        <v>3604.398682</v>
      </c>
      <c r="AE2">
        <v>3585.969482</v>
      </c>
      <c r="AF2">
        <v>3567.7004390000002</v>
      </c>
      <c r="AG2">
        <v>3549.5581050000001</v>
      </c>
      <c r="AH2">
        <v>3531.4091800000001</v>
      </c>
      <c r="AI2">
        <v>3513.482422</v>
      </c>
      <c r="AJ2">
        <v>3495.6748050000001</v>
      </c>
    </row>
    <row r="3" spans="1:36" ht="43.2" x14ac:dyDescent="0.3">
      <c r="A3" s="1" t="s">
        <v>5</v>
      </c>
      <c r="B3" t="s">
        <v>2</v>
      </c>
      <c r="C3" s="1" t="s">
        <v>18</v>
      </c>
      <c r="D3">
        <v>6434</v>
      </c>
      <c r="E3">
        <v>6344</v>
      </c>
      <c r="F3">
        <f>E3/D3</f>
        <v>0.9860118122474355</v>
      </c>
      <c r="G3" s="1" t="s">
        <v>17</v>
      </c>
      <c r="H3">
        <v>6427</v>
      </c>
      <c r="I3">
        <v>6306</v>
      </c>
      <c r="J3">
        <v>5982</v>
      </c>
      <c r="K3">
        <v>5967</v>
      </c>
      <c r="L3">
        <v>5953</v>
      </c>
      <c r="M3">
        <v>5938</v>
      </c>
      <c r="N3">
        <v>5923</v>
      </c>
      <c r="O3">
        <v>5908</v>
      </c>
      <c r="P3">
        <v>5893</v>
      </c>
      <c r="Q3">
        <v>5879</v>
      </c>
      <c r="R3">
        <v>5864</v>
      </c>
      <c r="S3">
        <v>5849</v>
      </c>
      <c r="T3">
        <v>5834</v>
      </c>
      <c r="U3">
        <v>5819</v>
      </c>
      <c r="V3">
        <v>5804</v>
      </c>
      <c r="W3">
        <v>5790</v>
      </c>
      <c r="X3">
        <v>5775</v>
      </c>
      <c r="Y3">
        <v>5760</v>
      </c>
      <c r="Z3">
        <v>5745</v>
      </c>
      <c r="AA3">
        <v>5730</v>
      </c>
      <c r="AB3">
        <v>5715</v>
      </c>
      <c r="AC3">
        <v>5701</v>
      </c>
      <c r="AD3">
        <v>5686</v>
      </c>
      <c r="AE3">
        <v>5671</v>
      </c>
      <c r="AF3">
        <v>5656</v>
      </c>
      <c r="AG3">
        <v>5641</v>
      </c>
      <c r="AH3">
        <v>5626</v>
      </c>
      <c r="AI3">
        <v>5611</v>
      </c>
      <c r="AJ3">
        <v>5597</v>
      </c>
    </row>
    <row r="4" spans="1:36" ht="43.2" x14ac:dyDescent="0.3">
      <c r="A4" s="1" t="s">
        <v>8</v>
      </c>
      <c r="B4" t="s">
        <v>2</v>
      </c>
      <c r="C4" s="1" t="s">
        <v>18</v>
      </c>
      <c r="D4">
        <v>3479</v>
      </c>
      <c r="E4">
        <v>3438</v>
      </c>
      <c r="F4">
        <f>E4/D4</f>
        <v>0.98821500431158382</v>
      </c>
      <c r="G4" s="1" t="s">
        <v>17</v>
      </c>
      <c r="H4">
        <v>3487</v>
      </c>
      <c r="I4">
        <v>3442</v>
      </c>
      <c r="J4">
        <v>3180</v>
      </c>
      <c r="K4">
        <v>3168</v>
      </c>
      <c r="L4">
        <v>3156</v>
      </c>
      <c r="M4">
        <v>3144</v>
      </c>
      <c r="N4">
        <v>3131</v>
      </c>
      <c r="O4">
        <v>3119</v>
      </c>
      <c r="P4">
        <v>3106</v>
      </c>
      <c r="Q4">
        <v>3094</v>
      </c>
      <c r="R4">
        <v>3081</v>
      </c>
      <c r="S4">
        <v>3069</v>
      </c>
      <c r="T4">
        <v>3056</v>
      </c>
      <c r="U4">
        <v>3043</v>
      </c>
      <c r="V4">
        <v>3031</v>
      </c>
      <c r="W4">
        <v>3018</v>
      </c>
      <c r="X4">
        <v>3005</v>
      </c>
      <c r="Y4">
        <v>2992</v>
      </c>
      <c r="Z4">
        <v>2980</v>
      </c>
      <c r="AA4">
        <v>2967</v>
      </c>
      <c r="AB4">
        <v>2954</v>
      </c>
      <c r="AC4">
        <v>2941</v>
      </c>
      <c r="AD4">
        <v>2929</v>
      </c>
      <c r="AE4">
        <v>2916</v>
      </c>
      <c r="AF4">
        <v>2903</v>
      </c>
      <c r="AG4">
        <v>2890</v>
      </c>
      <c r="AH4">
        <v>2877</v>
      </c>
      <c r="AI4">
        <v>2865</v>
      </c>
      <c r="AJ4">
        <v>2852</v>
      </c>
    </row>
    <row r="5" spans="1:36" ht="43.2" x14ac:dyDescent="0.3">
      <c r="A5" s="1" t="s">
        <v>4</v>
      </c>
      <c r="B5" t="s">
        <v>2</v>
      </c>
      <c r="C5" s="1" t="s">
        <v>18</v>
      </c>
      <c r="D5">
        <v>5769</v>
      </c>
      <c r="E5">
        <v>5636</v>
      </c>
      <c r="F5">
        <f>E5/D5</f>
        <v>0.97694574449644656</v>
      </c>
      <c r="G5" s="1" t="s">
        <v>17</v>
      </c>
      <c r="H5">
        <v>5742</v>
      </c>
      <c r="I5">
        <v>5779</v>
      </c>
      <c r="J5">
        <v>5348</v>
      </c>
      <c r="K5">
        <v>5325</v>
      </c>
      <c r="L5">
        <v>5303</v>
      </c>
      <c r="M5">
        <v>5281</v>
      </c>
      <c r="N5">
        <v>5259</v>
      </c>
      <c r="O5">
        <v>5236</v>
      </c>
      <c r="P5">
        <v>5214</v>
      </c>
      <c r="Q5">
        <v>5192</v>
      </c>
      <c r="R5">
        <v>5169</v>
      </c>
      <c r="S5">
        <v>5147</v>
      </c>
      <c r="T5">
        <v>5125</v>
      </c>
      <c r="U5">
        <v>5102</v>
      </c>
      <c r="V5">
        <v>5080</v>
      </c>
      <c r="W5">
        <v>5058</v>
      </c>
      <c r="X5">
        <v>5036</v>
      </c>
      <c r="Y5">
        <v>5013</v>
      </c>
      <c r="Z5">
        <v>4991</v>
      </c>
      <c r="AA5">
        <v>4969</v>
      </c>
      <c r="AB5">
        <v>4947</v>
      </c>
      <c r="AC5">
        <v>4924</v>
      </c>
      <c r="AD5">
        <v>4902</v>
      </c>
      <c r="AE5">
        <v>4880</v>
      </c>
      <c r="AF5">
        <v>4858</v>
      </c>
      <c r="AG5">
        <v>4835</v>
      </c>
      <c r="AH5">
        <v>4813</v>
      </c>
      <c r="AI5">
        <v>4791</v>
      </c>
      <c r="AJ5">
        <v>4769</v>
      </c>
    </row>
    <row r="6" spans="1:36" ht="43.2" x14ac:dyDescent="0.3">
      <c r="A6" s="1" t="s">
        <v>10</v>
      </c>
      <c r="B6" t="s">
        <v>2</v>
      </c>
      <c r="C6" s="1" t="s">
        <v>18</v>
      </c>
      <c r="D6">
        <v>4808</v>
      </c>
      <c r="E6">
        <v>5125</v>
      </c>
      <c r="F6">
        <f>E6/D6</f>
        <v>1.0659317803660566</v>
      </c>
      <c r="G6" s="1" t="s">
        <v>17</v>
      </c>
      <c r="H6">
        <v>4970</v>
      </c>
      <c r="I6">
        <v>4978</v>
      </c>
      <c r="J6">
        <v>4789</v>
      </c>
      <c r="K6">
        <v>4776</v>
      </c>
      <c r="L6">
        <v>4763</v>
      </c>
      <c r="M6">
        <v>4751</v>
      </c>
      <c r="N6">
        <v>4738</v>
      </c>
      <c r="O6">
        <v>4725</v>
      </c>
      <c r="P6">
        <v>4712</v>
      </c>
      <c r="Q6">
        <v>4698</v>
      </c>
      <c r="R6">
        <v>4685</v>
      </c>
      <c r="S6">
        <v>4672</v>
      </c>
      <c r="T6">
        <v>4658</v>
      </c>
      <c r="U6">
        <v>4645</v>
      </c>
      <c r="V6">
        <v>4632</v>
      </c>
      <c r="W6">
        <v>4619</v>
      </c>
      <c r="X6">
        <v>4606</v>
      </c>
      <c r="Y6">
        <v>4593</v>
      </c>
      <c r="Z6">
        <v>4580</v>
      </c>
      <c r="AA6">
        <v>4568</v>
      </c>
      <c r="AB6">
        <v>4555</v>
      </c>
      <c r="AC6">
        <v>4542</v>
      </c>
      <c r="AD6">
        <v>4530</v>
      </c>
      <c r="AE6">
        <v>4517</v>
      </c>
      <c r="AF6">
        <v>4504</v>
      </c>
      <c r="AG6">
        <v>4492</v>
      </c>
      <c r="AH6">
        <v>4479</v>
      </c>
      <c r="AI6">
        <v>4467</v>
      </c>
      <c r="AJ6">
        <v>4454</v>
      </c>
    </row>
    <row r="7" spans="1:36" ht="43.2" x14ac:dyDescent="0.3">
      <c r="A7" s="1" t="s">
        <v>3</v>
      </c>
      <c r="B7" t="s">
        <v>2</v>
      </c>
      <c r="C7" s="1" t="s">
        <v>18</v>
      </c>
      <c r="D7">
        <v>6323</v>
      </c>
      <c r="E7">
        <v>6019</v>
      </c>
      <c r="F7">
        <f>E7/D7</f>
        <v>0.95192155622331176</v>
      </c>
      <c r="G7" s="1" t="s">
        <v>17</v>
      </c>
      <c r="H7">
        <v>6198</v>
      </c>
      <c r="I7">
        <v>6420</v>
      </c>
      <c r="J7">
        <v>5972</v>
      </c>
      <c r="K7">
        <v>5949</v>
      </c>
      <c r="L7">
        <v>5925</v>
      </c>
      <c r="M7">
        <v>5902</v>
      </c>
      <c r="N7">
        <v>5878</v>
      </c>
      <c r="O7">
        <v>5854</v>
      </c>
      <c r="P7">
        <v>5830</v>
      </c>
      <c r="Q7">
        <v>5807</v>
      </c>
      <c r="R7">
        <v>5783</v>
      </c>
      <c r="S7">
        <v>5759</v>
      </c>
      <c r="T7">
        <v>5735</v>
      </c>
      <c r="U7">
        <v>5711</v>
      </c>
      <c r="V7">
        <v>5687</v>
      </c>
      <c r="W7">
        <v>5663</v>
      </c>
      <c r="X7">
        <v>5639</v>
      </c>
      <c r="Y7">
        <v>5615</v>
      </c>
      <c r="Z7">
        <v>5591</v>
      </c>
      <c r="AA7">
        <v>5567</v>
      </c>
      <c r="AB7">
        <v>5543</v>
      </c>
      <c r="AC7">
        <v>5519</v>
      </c>
      <c r="AD7">
        <v>5495</v>
      </c>
      <c r="AE7">
        <v>5471</v>
      </c>
      <c r="AF7">
        <v>5447</v>
      </c>
      <c r="AG7">
        <v>5423</v>
      </c>
      <c r="AH7">
        <v>5399</v>
      </c>
      <c r="AI7">
        <v>5374</v>
      </c>
      <c r="AJ7">
        <v>5350</v>
      </c>
    </row>
    <row r="8" spans="1:36" ht="43.2" x14ac:dyDescent="0.3">
      <c r="A8" s="1" t="s">
        <v>11</v>
      </c>
      <c r="B8" t="s">
        <v>2</v>
      </c>
      <c r="C8" s="1" t="s">
        <v>18</v>
      </c>
      <c r="D8">
        <v>3172</v>
      </c>
      <c r="E8">
        <v>3366</v>
      </c>
      <c r="F8">
        <f>E8/D8</f>
        <v>1.0611601513240858</v>
      </c>
      <c r="G8" s="1" t="s">
        <v>17</v>
      </c>
      <c r="H8">
        <v>3212</v>
      </c>
      <c r="I8">
        <v>3503</v>
      </c>
      <c r="J8">
        <v>3250</v>
      </c>
      <c r="K8">
        <v>3241</v>
      </c>
      <c r="L8">
        <v>3232</v>
      </c>
      <c r="M8">
        <v>3223</v>
      </c>
      <c r="N8">
        <v>3213</v>
      </c>
      <c r="O8">
        <v>3204</v>
      </c>
      <c r="P8">
        <v>3195</v>
      </c>
      <c r="Q8">
        <v>3185</v>
      </c>
      <c r="R8">
        <v>3176</v>
      </c>
      <c r="S8">
        <v>3166</v>
      </c>
      <c r="T8">
        <v>3157</v>
      </c>
      <c r="U8">
        <v>3147</v>
      </c>
      <c r="V8">
        <v>3137</v>
      </c>
      <c r="W8">
        <v>3128</v>
      </c>
      <c r="X8">
        <v>3118</v>
      </c>
      <c r="Y8">
        <v>3108</v>
      </c>
      <c r="Z8">
        <v>3098</v>
      </c>
      <c r="AA8">
        <v>3089</v>
      </c>
      <c r="AB8">
        <v>3079</v>
      </c>
      <c r="AC8">
        <v>3069</v>
      </c>
      <c r="AD8">
        <v>3059</v>
      </c>
      <c r="AE8">
        <v>3049</v>
      </c>
      <c r="AF8">
        <v>3040</v>
      </c>
      <c r="AG8">
        <v>3030</v>
      </c>
      <c r="AH8">
        <v>3020</v>
      </c>
      <c r="AI8">
        <v>3010</v>
      </c>
      <c r="AJ8">
        <v>3000</v>
      </c>
    </row>
    <row r="9" spans="1:36" ht="43.2" x14ac:dyDescent="0.3">
      <c r="A9" s="1" t="s">
        <v>7</v>
      </c>
      <c r="B9" t="s">
        <v>2</v>
      </c>
      <c r="C9" s="1" t="s">
        <v>18</v>
      </c>
      <c r="D9">
        <v>2638</v>
      </c>
      <c r="E9">
        <v>2523</v>
      </c>
      <c r="F9">
        <f>E9/D9</f>
        <v>0.95640636846095528</v>
      </c>
      <c r="G9" s="1" t="s">
        <v>17</v>
      </c>
      <c r="H9">
        <v>2566</v>
      </c>
      <c r="I9">
        <v>2600</v>
      </c>
      <c r="J9">
        <v>2375</v>
      </c>
      <c r="K9">
        <v>2358</v>
      </c>
      <c r="L9">
        <v>2342</v>
      </c>
      <c r="M9">
        <v>2326</v>
      </c>
      <c r="N9">
        <v>2310</v>
      </c>
      <c r="O9">
        <v>2294</v>
      </c>
      <c r="P9">
        <v>2277</v>
      </c>
      <c r="Q9">
        <v>2261</v>
      </c>
      <c r="R9">
        <v>2245</v>
      </c>
      <c r="S9">
        <v>2229</v>
      </c>
      <c r="T9">
        <v>2213</v>
      </c>
      <c r="U9">
        <v>2197</v>
      </c>
      <c r="V9">
        <v>2180</v>
      </c>
      <c r="W9">
        <v>2164</v>
      </c>
      <c r="X9">
        <v>2148</v>
      </c>
      <c r="Y9">
        <v>2132</v>
      </c>
      <c r="Z9">
        <v>2116</v>
      </c>
      <c r="AA9">
        <v>2100</v>
      </c>
      <c r="AB9">
        <v>2084</v>
      </c>
      <c r="AC9">
        <v>2068</v>
      </c>
      <c r="AD9">
        <v>2052</v>
      </c>
      <c r="AE9">
        <v>2036</v>
      </c>
      <c r="AF9">
        <v>2020</v>
      </c>
      <c r="AG9">
        <v>2005</v>
      </c>
      <c r="AH9">
        <v>1989</v>
      </c>
      <c r="AI9">
        <v>1973</v>
      </c>
      <c r="AJ9">
        <v>1957</v>
      </c>
    </row>
    <row r="10" spans="1:36" ht="43.2" x14ac:dyDescent="0.3">
      <c r="A10" s="1" t="s">
        <v>6</v>
      </c>
      <c r="B10" t="s">
        <v>2</v>
      </c>
      <c r="C10" s="1" t="s">
        <v>18</v>
      </c>
      <c r="D10">
        <v>6974</v>
      </c>
      <c r="E10">
        <v>6905</v>
      </c>
      <c r="F10">
        <f>E10/D10</f>
        <v>0.99010610840263835</v>
      </c>
      <c r="G10" s="1" t="s">
        <v>17</v>
      </c>
      <c r="H10">
        <v>6845</v>
      </c>
      <c r="I10">
        <v>6601</v>
      </c>
      <c r="J10">
        <v>6349</v>
      </c>
      <c r="K10">
        <v>6340</v>
      </c>
      <c r="L10">
        <v>6330</v>
      </c>
      <c r="M10">
        <v>6321</v>
      </c>
      <c r="N10">
        <v>6311</v>
      </c>
      <c r="O10">
        <v>6301</v>
      </c>
      <c r="P10">
        <v>6291</v>
      </c>
      <c r="Q10">
        <v>6281</v>
      </c>
      <c r="R10">
        <v>6271</v>
      </c>
      <c r="S10">
        <v>6261</v>
      </c>
      <c r="T10">
        <v>6250</v>
      </c>
      <c r="U10">
        <v>6240</v>
      </c>
      <c r="V10">
        <v>6230</v>
      </c>
      <c r="W10">
        <v>6219</v>
      </c>
      <c r="X10">
        <v>6209</v>
      </c>
      <c r="Y10">
        <v>6198</v>
      </c>
      <c r="Z10">
        <v>6188</v>
      </c>
      <c r="AA10">
        <v>6177</v>
      </c>
      <c r="AB10">
        <v>6167</v>
      </c>
      <c r="AC10">
        <v>6156</v>
      </c>
      <c r="AD10">
        <v>6145</v>
      </c>
      <c r="AE10">
        <v>6135</v>
      </c>
      <c r="AF10">
        <v>6124</v>
      </c>
      <c r="AG10">
        <v>6113</v>
      </c>
      <c r="AH10">
        <v>6103</v>
      </c>
      <c r="AI10">
        <v>6092</v>
      </c>
      <c r="AJ10">
        <v>6081</v>
      </c>
    </row>
    <row r="11" spans="1:36" ht="43.2" x14ac:dyDescent="0.3">
      <c r="A11" s="1" t="s">
        <v>9</v>
      </c>
      <c r="B11" t="s">
        <v>2</v>
      </c>
      <c r="C11" s="1" t="s">
        <v>18</v>
      </c>
      <c r="D11">
        <v>2252</v>
      </c>
      <c r="E11">
        <v>2200</v>
      </c>
      <c r="F11">
        <f>E11/D11</f>
        <v>0.9769094138543517</v>
      </c>
      <c r="G11" s="1" t="s">
        <v>17</v>
      </c>
      <c r="H11">
        <v>2195</v>
      </c>
      <c r="I11">
        <v>2056</v>
      </c>
      <c r="J11">
        <v>1942</v>
      </c>
      <c r="K11">
        <v>1934</v>
      </c>
      <c r="L11">
        <v>1925</v>
      </c>
      <c r="M11">
        <v>1916</v>
      </c>
      <c r="N11">
        <v>1908</v>
      </c>
      <c r="O11">
        <v>1899</v>
      </c>
      <c r="P11">
        <v>1891</v>
      </c>
      <c r="Q11">
        <v>1882</v>
      </c>
      <c r="R11">
        <v>1874</v>
      </c>
      <c r="S11">
        <v>1865</v>
      </c>
      <c r="T11">
        <v>1857</v>
      </c>
      <c r="U11">
        <v>1849</v>
      </c>
      <c r="V11">
        <v>1840</v>
      </c>
      <c r="W11">
        <v>1832</v>
      </c>
      <c r="X11">
        <v>1824</v>
      </c>
      <c r="Y11">
        <v>1815</v>
      </c>
      <c r="Z11">
        <v>1807</v>
      </c>
      <c r="AA11">
        <v>1799</v>
      </c>
      <c r="AB11">
        <v>1791</v>
      </c>
      <c r="AC11">
        <v>1783</v>
      </c>
      <c r="AD11">
        <v>1774</v>
      </c>
      <c r="AE11">
        <v>1766</v>
      </c>
      <c r="AF11">
        <v>1758</v>
      </c>
      <c r="AG11">
        <v>1750</v>
      </c>
      <c r="AH11">
        <v>1742</v>
      </c>
      <c r="AI11">
        <v>1734</v>
      </c>
      <c r="AJ11">
        <v>1726</v>
      </c>
    </row>
  </sheetData>
  <sortState xmlns:xlrd2="http://schemas.microsoft.com/office/spreadsheetml/2017/richdata2" ref="A3:G11">
    <sortCondition ref="A4:A11"/>
  </sortState>
  <phoneticPr fontId="18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hdd_projection_factors</vt:lpstr>
      <vt:lpstr>aeo_hdd_projections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Jordan Joseph</dc:creator>
  <cp:lastModifiedBy>Jordan Malique Joseph</cp:lastModifiedBy>
  <dcterms:created xsi:type="dcterms:W3CDTF">2024-08-12T01:00:57Z</dcterms:created>
  <dcterms:modified xsi:type="dcterms:W3CDTF">2024-08-12T01:01:40Z</dcterms:modified>
</cp:coreProperties>
</file>