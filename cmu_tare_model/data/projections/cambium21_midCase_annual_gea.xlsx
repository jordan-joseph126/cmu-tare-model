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128\Research\cmu-tare-model\projections\"/>
    </mc:Choice>
  </mc:AlternateContent>
  <xr:revisionPtr revIDLastSave="0" documentId="8_{D06A9275-868F-4CBE-8153-EB9F7C19AF60}" xr6:coauthVersionLast="47" xr6:coauthVersionMax="47" xr10:uidLastSave="{00000000-0000-0000-0000-000000000000}"/>
  <bookViews>
    <workbookView xWindow="-108" yWindow="-108" windowWidth="23256" windowHeight="13896" xr2:uid="{2CB6AA70-AA6B-4C13-8578-10F48749D9AE}"/>
  </bookViews>
  <sheets>
    <sheet name="proc_Cambium21_coal_gea" sheetId="3" r:id="rId1"/>
    <sheet name="proc_Cambium21_MidCase_gea" sheetId="2" r:id="rId2"/>
    <sheet name="StdScen21_MidCase_annual_ge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7" i="3" l="1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E162" i="3"/>
  <c r="E163" i="3"/>
  <c r="E164" i="3"/>
  <c r="E165" i="3"/>
  <c r="D166" i="3"/>
  <c r="D162" i="3"/>
  <c r="D163" i="3"/>
  <c r="D164" i="3"/>
  <c r="D165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2" i="3"/>
  <c r="C2" i="3"/>
  <c r="E2" i="3"/>
  <c r="AL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M286" i="2" s="1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M300" i="2" s="1"/>
  <c r="AH301" i="2"/>
  <c r="AH2" i="2"/>
  <c r="AI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F2" i="2"/>
  <c r="AE2" i="2"/>
  <c r="AD2" i="2"/>
  <c r="AG2" i="2" s="1"/>
  <c r="AK2" i="2"/>
  <c r="AJ2" i="2"/>
  <c r="AG88" i="2"/>
  <c r="AO88" i="2" s="1"/>
  <c r="AG103" i="2"/>
  <c r="AP103" i="2" s="1"/>
  <c r="AG186" i="2"/>
  <c r="AG187" i="2"/>
  <c r="AG202" i="2"/>
  <c r="AG215" i="2"/>
  <c r="AG229" i="2"/>
  <c r="AP229" i="2" s="1"/>
  <c r="AG271" i="2"/>
  <c r="AG272" i="2"/>
  <c r="AG286" i="2"/>
  <c r="AG300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G35" i="2" s="1"/>
  <c r="AF36" i="2"/>
  <c r="AF37" i="2"/>
  <c r="AF38" i="2"/>
  <c r="AF39" i="2"/>
  <c r="AF40" i="2"/>
  <c r="AF41" i="2"/>
  <c r="AF42" i="2"/>
  <c r="AF43" i="2"/>
  <c r="AF44" i="2"/>
  <c r="AF45" i="2"/>
  <c r="AG45" i="2" s="1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G76" i="2" s="1"/>
  <c r="AM76" i="2" s="1"/>
  <c r="AF77" i="2"/>
  <c r="AG77" i="2" s="1"/>
  <c r="AF78" i="2"/>
  <c r="AF79" i="2"/>
  <c r="AF80" i="2"/>
  <c r="AF81" i="2"/>
  <c r="AF82" i="2"/>
  <c r="AF83" i="2"/>
  <c r="AF84" i="2"/>
  <c r="AF85" i="2"/>
  <c r="AF86" i="2"/>
  <c r="AF87" i="2"/>
  <c r="AG87" i="2" s="1"/>
  <c r="AF88" i="2"/>
  <c r="AF89" i="2"/>
  <c r="AF90" i="2"/>
  <c r="AF91" i="2"/>
  <c r="AG91" i="2" s="1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G108" i="2" s="1"/>
  <c r="AF109" i="2"/>
  <c r="AF110" i="2"/>
  <c r="AF111" i="2"/>
  <c r="AF112" i="2"/>
  <c r="AF113" i="2"/>
  <c r="AF114" i="2"/>
  <c r="AF115" i="2"/>
  <c r="AF116" i="2"/>
  <c r="AF117" i="2"/>
  <c r="AF118" i="2"/>
  <c r="AF119" i="2"/>
  <c r="AG119" i="2" s="1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G157" i="2" s="1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G172" i="2" s="1"/>
  <c r="AO172" i="2" s="1"/>
  <c r="AF173" i="2"/>
  <c r="AF174" i="2"/>
  <c r="AG174" i="2" s="1"/>
  <c r="AM174" i="2" s="1"/>
  <c r="AF175" i="2"/>
  <c r="AG175" i="2" s="1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G199" i="2" s="1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G216" i="2" s="1"/>
  <c r="AM216" i="2" s="1"/>
  <c r="AF217" i="2"/>
  <c r="AG217" i="2" s="1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G241" i="2" s="1"/>
  <c r="AF242" i="2"/>
  <c r="AF243" i="2"/>
  <c r="AF244" i="2"/>
  <c r="AF245" i="2"/>
  <c r="AG245" i="2" s="1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G257" i="2" s="1"/>
  <c r="AF258" i="2"/>
  <c r="AF259" i="2"/>
  <c r="AG259" i="2" s="1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G287" i="2" s="1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G301" i="2" s="1"/>
  <c r="AF3" i="2"/>
  <c r="AG3" i="2" s="1"/>
  <c r="AF4" i="2"/>
  <c r="AF5" i="2"/>
  <c r="AF6" i="2"/>
  <c r="AF7" i="2"/>
  <c r="AF8" i="2"/>
  <c r="AF9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G40" i="2" s="1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G62" i="2" s="1"/>
  <c r="AE63" i="2"/>
  <c r="AG63" i="2" s="1"/>
  <c r="AE64" i="2"/>
  <c r="AE65" i="2"/>
  <c r="AE66" i="2"/>
  <c r="AE67" i="2"/>
  <c r="AE68" i="2"/>
  <c r="AG68" i="2" s="1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G110" i="2" s="1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G124" i="2" s="1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G138" i="2" s="1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G166" i="2" s="1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G180" i="2" s="1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G222" i="2" s="1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G250" i="2" s="1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G264" i="2" s="1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G278" i="2" s="1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G292" i="2" s="1"/>
  <c r="AE293" i="2"/>
  <c r="AE294" i="2"/>
  <c r="AE295" i="2"/>
  <c r="AE296" i="2"/>
  <c r="AE297" i="2"/>
  <c r="AE298" i="2"/>
  <c r="AE299" i="2"/>
  <c r="AE300" i="2"/>
  <c r="AE301" i="2"/>
  <c r="AD10" i="2"/>
  <c r="AD11" i="2"/>
  <c r="AD12" i="2"/>
  <c r="AD13" i="2"/>
  <c r="AG13" i="2" s="1"/>
  <c r="AD14" i="2"/>
  <c r="AD15" i="2"/>
  <c r="AG15" i="2" s="1"/>
  <c r="AD16" i="2"/>
  <c r="AG16" i="2" s="1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G29" i="2" s="1"/>
  <c r="AD30" i="2"/>
  <c r="AD31" i="2"/>
  <c r="AD32" i="2"/>
  <c r="AD33" i="2"/>
  <c r="AD34" i="2"/>
  <c r="AG34" i="2" s="1"/>
  <c r="AM34" i="2" s="1"/>
  <c r="AD35" i="2"/>
  <c r="AD36" i="2"/>
  <c r="AD37" i="2"/>
  <c r="AD38" i="2"/>
  <c r="AD39" i="2"/>
  <c r="AD40" i="2"/>
  <c r="AD41" i="2"/>
  <c r="AD42" i="2"/>
  <c r="AD43" i="2"/>
  <c r="AG43" i="2" s="1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G57" i="2" s="1"/>
  <c r="AD58" i="2"/>
  <c r="AD59" i="2"/>
  <c r="AD60" i="2"/>
  <c r="AG60" i="2" s="1"/>
  <c r="AD61" i="2"/>
  <c r="AD62" i="2"/>
  <c r="AD63" i="2"/>
  <c r="AD64" i="2"/>
  <c r="AD65" i="2"/>
  <c r="AD66" i="2"/>
  <c r="AD67" i="2"/>
  <c r="AD68" i="2"/>
  <c r="AD69" i="2"/>
  <c r="AD70" i="2"/>
  <c r="AD71" i="2"/>
  <c r="AG71" i="2" s="1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G85" i="2" s="1"/>
  <c r="AD86" i="2"/>
  <c r="AG86" i="2" s="1"/>
  <c r="AD87" i="2"/>
  <c r="AD88" i="2"/>
  <c r="AD89" i="2"/>
  <c r="AD90" i="2"/>
  <c r="AD91" i="2"/>
  <c r="AD92" i="2"/>
  <c r="AD93" i="2"/>
  <c r="AD94" i="2"/>
  <c r="AD95" i="2"/>
  <c r="AD96" i="2"/>
  <c r="AD97" i="2"/>
  <c r="AD98" i="2"/>
  <c r="AG98" i="2" s="1"/>
  <c r="AD99" i="2"/>
  <c r="AG99" i="2" s="1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G113" i="2" s="1"/>
  <c r="AD114" i="2"/>
  <c r="AG114" i="2" s="1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G127" i="2" s="1"/>
  <c r="AD128" i="2"/>
  <c r="AG128" i="2" s="1"/>
  <c r="AD129" i="2"/>
  <c r="AG129" i="2" s="1"/>
  <c r="AD130" i="2"/>
  <c r="AD131" i="2"/>
  <c r="AD132" i="2"/>
  <c r="AD133" i="2"/>
  <c r="AD134" i="2"/>
  <c r="AD135" i="2"/>
  <c r="AD136" i="2"/>
  <c r="AD137" i="2"/>
  <c r="AD138" i="2"/>
  <c r="AD139" i="2"/>
  <c r="AG139" i="2" s="1"/>
  <c r="AD140" i="2"/>
  <c r="AD141" i="2"/>
  <c r="AG141" i="2" s="1"/>
  <c r="AD142" i="2"/>
  <c r="AD143" i="2"/>
  <c r="AG143" i="2" s="1"/>
  <c r="AD144" i="2"/>
  <c r="AG144" i="2" s="1"/>
  <c r="AD145" i="2"/>
  <c r="AD146" i="2"/>
  <c r="AD147" i="2"/>
  <c r="AD148" i="2"/>
  <c r="AD149" i="2"/>
  <c r="AD150" i="2"/>
  <c r="AD151" i="2"/>
  <c r="AG151" i="2" s="1"/>
  <c r="AD152" i="2"/>
  <c r="AD153" i="2"/>
  <c r="AD154" i="2"/>
  <c r="AD155" i="2"/>
  <c r="AG155" i="2" s="1"/>
  <c r="AD156" i="2"/>
  <c r="AG156" i="2" s="1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G169" i="2" s="1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G181" i="2" s="1"/>
  <c r="AD182" i="2"/>
  <c r="AD183" i="2"/>
  <c r="AG183" i="2" s="1"/>
  <c r="AD184" i="2"/>
  <c r="AG184" i="2" s="1"/>
  <c r="AD185" i="2"/>
  <c r="AD186" i="2"/>
  <c r="AD187" i="2"/>
  <c r="AD188" i="2"/>
  <c r="AD189" i="2"/>
  <c r="AD190" i="2"/>
  <c r="AD191" i="2"/>
  <c r="AD192" i="2"/>
  <c r="AD193" i="2"/>
  <c r="AD194" i="2"/>
  <c r="AG194" i="2" s="1"/>
  <c r="AO194" i="2" s="1"/>
  <c r="AD195" i="2"/>
  <c r="AD196" i="2"/>
  <c r="AD197" i="2"/>
  <c r="AG197" i="2" s="1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G209" i="2" s="1"/>
  <c r="AD210" i="2"/>
  <c r="AD211" i="2"/>
  <c r="AG211" i="2" s="1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G224" i="2" s="1"/>
  <c r="AD225" i="2"/>
  <c r="AG225" i="2" s="1"/>
  <c r="AD226" i="2"/>
  <c r="AG226" i="2" s="1"/>
  <c r="AD227" i="2"/>
  <c r="AD228" i="2"/>
  <c r="AD229" i="2"/>
  <c r="AD230" i="2"/>
  <c r="AG230" i="2" s="1"/>
  <c r="AD231" i="2"/>
  <c r="AD232" i="2"/>
  <c r="AD233" i="2"/>
  <c r="AD234" i="2"/>
  <c r="AG234" i="2" s="1"/>
  <c r="AD235" i="2"/>
  <c r="AD236" i="2"/>
  <c r="AD237" i="2"/>
  <c r="AD238" i="2"/>
  <c r="AD239" i="2"/>
  <c r="AG239" i="2" s="1"/>
  <c r="AD240" i="2"/>
  <c r="AG240" i="2" s="1"/>
  <c r="AD241" i="2"/>
  <c r="AD242" i="2"/>
  <c r="AD243" i="2"/>
  <c r="AD244" i="2"/>
  <c r="AG244" i="2" s="1"/>
  <c r="AM244" i="2" s="1"/>
  <c r="AD245" i="2"/>
  <c r="AD246" i="2"/>
  <c r="AD247" i="2"/>
  <c r="AD248" i="2"/>
  <c r="AG248" i="2" s="1"/>
  <c r="AM248" i="2" s="1"/>
  <c r="AD249" i="2"/>
  <c r="AD250" i="2"/>
  <c r="AD251" i="2"/>
  <c r="AD252" i="2"/>
  <c r="AD253" i="2"/>
  <c r="AG253" i="2" s="1"/>
  <c r="AD254" i="2"/>
  <c r="AD255" i="2"/>
  <c r="AD256" i="2"/>
  <c r="AD257" i="2"/>
  <c r="AD258" i="2"/>
  <c r="AD259" i="2"/>
  <c r="AD260" i="2"/>
  <c r="AD261" i="2"/>
  <c r="AD262" i="2"/>
  <c r="AG262" i="2" s="1"/>
  <c r="AM262" i="2" s="1"/>
  <c r="AD263" i="2"/>
  <c r="AD264" i="2"/>
  <c r="AD265" i="2"/>
  <c r="AD266" i="2"/>
  <c r="AD267" i="2"/>
  <c r="AG267" i="2" s="1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G279" i="2" s="1"/>
  <c r="AD280" i="2"/>
  <c r="AG280" i="2" s="1"/>
  <c r="AD281" i="2"/>
  <c r="AG281" i="2" s="1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G295" i="2" s="1"/>
  <c r="AD296" i="2"/>
  <c r="AD297" i="2"/>
  <c r="AD298" i="2"/>
  <c r="AD299" i="2"/>
  <c r="AD300" i="2"/>
  <c r="AD301" i="2"/>
  <c r="AD3" i="2"/>
  <c r="AD4" i="2"/>
  <c r="AD5" i="2"/>
  <c r="AD6" i="2"/>
  <c r="AD7" i="2"/>
  <c r="AD8" i="2"/>
  <c r="AD9" i="2"/>
  <c r="AG9" i="2" s="1"/>
  <c r="AM2" i="2" l="1"/>
  <c r="AP2" i="2"/>
  <c r="AQ2" i="2"/>
  <c r="AG52" i="2"/>
  <c r="AQ287" i="2"/>
  <c r="AQ187" i="2"/>
  <c r="AM240" i="2"/>
  <c r="AM226" i="2"/>
  <c r="AM212" i="2"/>
  <c r="AM128" i="2"/>
  <c r="AG136" i="2"/>
  <c r="AN136" i="2" s="1"/>
  <c r="AG94" i="2"/>
  <c r="AQ94" i="2" s="1"/>
  <c r="AG288" i="2"/>
  <c r="AG246" i="2"/>
  <c r="AG232" i="2"/>
  <c r="AO232" i="2" s="1"/>
  <c r="AG218" i="2"/>
  <c r="AG204" i="2"/>
  <c r="AN204" i="2" s="1"/>
  <c r="AG176" i="2"/>
  <c r="AP176" i="2" s="1"/>
  <c r="AG162" i="2"/>
  <c r="AN162" i="2" s="1"/>
  <c r="AG106" i="2"/>
  <c r="AG92" i="2"/>
  <c r="AG78" i="2"/>
  <c r="AG64" i="2"/>
  <c r="AG50" i="2"/>
  <c r="AM50" i="2" s="1"/>
  <c r="AG22" i="2"/>
  <c r="AG4" i="2"/>
  <c r="AG261" i="2"/>
  <c r="AG233" i="2"/>
  <c r="AG219" i="2"/>
  <c r="AN219" i="2" s="1"/>
  <c r="AG205" i="2"/>
  <c r="AG177" i="2"/>
  <c r="AQ177" i="2" s="1"/>
  <c r="AG135" i="2"/>
  <c r="AG121" i="2"/>
  <c r="AO121" i="2" s="1"/>
  <c r="AG107" i="2"/>
  <c r="AG79" i="2"/>
  <c r="AO79" i="2" s="1"/>
  <c r="AG37" i="2"/>
  <c r="AM37" i="2" s="1"/>
  <c r="AG23" i="2"/>
  <c r="AQ240" i="2"/>
  <c r="AQ226" i="2"/>
  <c r="AQ156" i="2"/>
  <c r="AQ128" i="2"/>
  <c r="AQ114" i="2"/>
  <c r="AQ86" i="2"/>
  <c r="AQ44" i="2"/>
  <c r="AG160" i="2"/>
  <c r="AN160" i="2" s="1"/>
  <c r="AG132" i="2"/>
  <c r="AG104" i="2"/>
  <c r="AG48" i="2"/>
  <c r="AG20" i="2"/>
  <c r="AM20" i="2" s="1"/>
  <c r="AG200" i="2"/>
  <c r="AQ200" i="2" s="1"/>
  <c r="AG158" i="2"/>
  <c r="AO158" i="2" s="1"/>
  <c r="AG130" i="2"/>
  <c r="AG116" i="2"/>
  <c r="AO116" i="2" s="1"/>
  <c r="AG102" i="2"/>
  <c r="AO102" i="2" s="1"/>
  <c r="AG74" i="2"/>
  <c r="AO74" i="2" s="1"/>
  <c r="AG46" i="2"/>
  <c r="AO46" i="2" s="1"/>
  <c r="AG32" i="2"/>
  <c r="AO32" i="2" s="1"/>
  <c r="AG18" i="2"/>
  <c r="AO18" i="2" s="1"/>
  <c r="AG277" i="2"/>
  <c r="AM277" i="2" s="1"/>
  <c r="AG123" i="2"/>
  <c r="AG39" i="2"/>
  <c r="AG260" i="2"/>
  <c r="AG120" i="2"/>
  <c r="AP120" i="2" s="1"/>
  <c r="AG275" i="2"/>
  <c r="AG163" i="2"/>
  <c r="AM163" i="2" s="1"/>
  <c r="AG51" i="2"/>
  <c r="AP51" i="2" s="1"/>
  <c r="AG188" i="2"/>
  <c r="AM188" i="2" s="1"/>
  <c r="AG285" i="2"/>
  <c r="AG243" i="2"/>
  <c r="AP243" i="2" s="1"/>
  <c r="AG201" i="2"/>
  <c r="AP201" i="2" s="1"/>
  <c r="AG159" i="2"/>
  <c r="AG145" i="2"/>
  <c r="AP145" i="2" s="1"/>
  <c r="AG131" i="2"/>
  <c r="AN131" i="2" s="1"/>
  <c r="AG117" i="2"/>
  <c r="AG89" i="2"/>
  <c r="AM89" i="2" s="1"/>
  <c r="AG75" i="2"/>
  <c r="AG61" i="2"/>
  <c r="AG47" i="2"/>
  <c r="AQ47" i="2" s="1"/>
  <c r="AG33" i="2"/>
  <c r="AG19" i="2"/>
  <c r="AG249" i="2"/>
  <c r="AN249" i="2" s="1"/>
  <c r="AG274" i="2"/>
  <c r="AO274" i="2" s="1"/>
  <c r="AG134" i="2"/>
  <c r="AO134" i="2" s="1"/>
  <c r="AG247" i="2"/>
  <c r="AG149" i="2"/>
  <c r="AG65" i="2"/>
  <c r="AQ184" i="2"/>
  <c r="AG299" i="2"/>
  <c r="AP299" i="2" s="1"/>
  <c r="AG173" i="2"/>
  <c r="AG242" i="2"/>
  <c r="AG296" i="2"/>
  <c r="AM296" i="2" s="1"/>
  <c r="AG212" i="2"/>
  <c r="AG170" i="2"/>
  <c r="AQ170" i="2" s="1"/>
  <c r="AG142" i="2"/>
  <c r="AG44" i="2"/>
  <c r="AG291" i="2"/>
  <c r="AG179" i="2"/>
  <c r="AQ179" i="2" s="1"/>
  <c r="AG25" i="2"/>
  <c r="AG5" i="2"/>
  <c r="AN5" i="2" s="1"/>
  <c r="AG190" i="2"/>
  <c r="AG289" i="2"/>
  <c r="AO289" i="2" s="1"/>
  <c r="AG191" i="2"/>
  <c r="AQ191" i="2" s="1"/>
  <c r="AG93" i="2"/>
  <c r="AQ142" i="2"/>
  <c r="AG165" i="2"/>
  <c r="AG196" i="2"/>
  <c r="AQ196" i="2" s="1"/>
  <c r="AG154" i="2"/>
  <c r="AG112" i="2"/>
  <c r="AG70" i="2"/>
  <c r="AM70" i="2" s="1"/>
  <c r="AG42" i="2"/>
  <c r="AG14" i="2"/>
  <c r="AO14" i="2" s="1"/>
  <c r="AG53" i="2"/>
  <c r="AM202" i="2"/>
  <c r="AM160" i="2"/>
  <c r="AM48" i="2"/>
  <c r="AO288" i="2"/>
  <c r="AO191" i="2"/>
  <c r="AN62" i="2"/>
  <c r="AM74" i="2"/>
  <c r="AP44" i="2"/>
  <c r="AP128" i="2"/>
  <c r="AQ234" i="2"/>
  <c r="AN9" i="2"/>
  <c r="AO292" i="2"/>
  <c r="AO278" i="2"/>
  <c r="AO264" i="2"/>
  <c r="AO222" i="2"/>
  <c r="AO138" i="2"/>
  <c r="AO279" i="2"/>
  <c r="AN291" i="2"/>
  <c r="AN139" i="2"/>
  <c r="AO139" i="2"/>
  <c r="AG251" i="2"/>
  <c r="AG236" i="2"/>
  <c r="AG208" i="2"/>
  <c r="AG152" i="2"/>
  <c r="AQ152" i="2" s="1"/>
  <c r="AG82" i="2"/>
  <c r="AG54" i="2"/>
  <c r="AN54" i="2" s="1"/>
  <c r="AG12" i="2"/>
  <c r="AN12" i="2" s="1"/>
  <c r="AG6" i="2"/>
  <c r="AN6" i="2" s="1"/>
  <c r="AG263" i="2"/>
  <c r="AG235" i="2"/>
  <c r="AM235" i="2" s="1"/>
  <c r="AG221" i="2"/>
  <c r="AG207" i="2"/>
  <c r="AG193" i="2"/>
  <c r="AM193" i="2" s="1"/>
  <c r="AG137" i="2"/>
  <c r="AP137" i="2" s="1"/>
  <c r="AG109" i="2"/>
  <c r="AP109" i="2" s="1"/>
  <c r="AG95" i="2"/>
  <c r="AG81" i="2"/>
  <c r="AG67" i="2"/>
  <c r="AO67" i="2" s="1"/>
  <c r="AG11" i="2"/>
  <c r="AP11" i="2" s="1"/>
  <c r="AG290" i="2"/>
  <c r="AN290" i="2" s="1"/>
  <c r="AG276" i="2"/>
  <c r="AG220" i="2"/>
  <c r="AQ220" i="2" s="1"/>
  <c r="AG206" i="2"/>
  <c r="AG192" i="2"/>
  <c r="AM192" i="2" s="1"/>
  <c r="AG178" i="2"/>
  <c r="AG164" i="2"/>
  <c r="AG150" i="2"/>
  <c r="AG122" i="2"/>
  <c r="AQ122" i="2" s="1"/>
  <c r="AG80" i="2"/>
  <c r="AG38" i="2"/>
  <c r="AM258" i="2"/>
  <c r="AN292" i="2"/>
  <c r="AN180" i="2"/>
  <c r="AN40" i="2"/>
  <c r="AO60" i="2"/>
  <c r="AP263" i="2"/>
  <c r="AP39" i="2"/>
  <c r="AQ268" i="2"/>
  <c r="AQ198" i="2"/>
  <c r="AQ30" i="2"/>
  <c r="AQ16" i="2"/>
  <c r="AM299" i="2"/>
  <c r="AM285" i="2"/>
  <c r="AM271" i="2"/>
  <c r="AM257" i="2"/>
  <c r="AM229" i="2"/>
  <c r="AM215" i="2"/>
  <c r="AM187" i="2"/>
  <c r="AN25" i="2"/>
  <c r="AP178" i="2"/>
  <c r="AQ267" i="2"/>
  <c r="AQ253" i="2"/>
  <c r="AN138" i="2"/>
  <c r="AP173" i="2"/>
  <c r="AO173" i="2"/>
  <c r="AN201" i="2"/>
  <c r="AG298" i="2"/>
  <c r="AG284" i="2"/>
  <c r="AP284" i="2" s="1"/>
  <c r="AG270" i="2"/>
  <c r="AO270" i="2" s="1"/>
  <c r="AG256" i="2"/>
  <c r="AP256" i="2" s="1"/>
  <c r="AG228" i="2"/>
  <c r="AQ228" i="2" s="1"/>
  <c r="AG214" i="2"/>
  <c r="AO214" i="2" s="1"/>
  <c r="AG294" i="2"/>
  <c r="AP294" i="2" s="1"/>
  <c r="AG266" i="2"/>
  <c r="AQ266" i="2" s="1"/>
  <c r="AG252" i="2"/>
  <c r="AQ252" i="2" s="1"/>
  <c r="AG238" i="2"/>
  <c r="AM238" i="2" s="1"/>
  <c r="AG210" i="2"/>
  <c r="AG182" i="2"/>
  <c r="AN182" i="2" s="1"/>
  <c r="AG168" i="2"/>
  <c r="AM168" i="2" s="1"/>
  <c r="AG126" i="2"/>
  <c r="AP126" i="2" s="1"/>
  <c r="AG56" i="2"/>
  <c r="AQ56" i="2" s="1"/>
  <c r="AG28" i="2"/>
  <c r="AO271" i="2"/>
  <c r="AP271" i="2"/>
  <c r="AG293" i="2"/>
  <c r="AM293" i="2" s="1"/>
  <c r="AG265" i="2"/>
  <c r="AM265" i="2" s="1"/>
  <c r="AG223" i="2"/>
  <c r="AP223" i="2" s="1"/>
  <c r="AG153" i="2"/>
  <c r="AM153" i="2" s="1"/>
  <c r="AG125" i="2"/>
  <c r="AG97" i="2"/>
  <c r="AM97" i="2" s="1"/>
  <c r="AG69" i="2"/>
  <c r="AN69" i="2" s="1"/>
  <c r="AG41" i="2"/>
  <c r="AN41" i="2" s="1"/>
  <c r="AM276" i="2"/>
  <c r="AM234" i="2"/>
  <c r="AM220" i="2"/>
  <c r="AM206" i="2"/>
  <c r="AP274" i="2"/>
  <c r="AO246" i="2"/>
  <c r="AP246" i="2"/>
  <c r="AM272" i="2"/>
  <c r="AM230" i="2"/>
  <c r="AM118" i="2"/>
  <c r="AN278" i="2"/>
  <c r="AN250" i="2"/>
  <c r="AN222" i="2"/>
  <c r="AN194" i="2"/>
  <c r="AN110" i="2"/>
  <c r="AN68" i="2"/>
  <c r="AO144" i="2"/>
  <c r="AO4" i="2"/>
  <c r="AP277" i="2"/>
  <c r="AP67" i="2"/>
  <c r="AP53" i="2"/>
  <c r="AG255" i="2"/>
  <c r="AP255" i="2" s="1"/>
  <c r="AG227" i="2"/>
  <c r="AG185" i="2"/>
  <c r="AN185" i="2" s="1"/>
  <c r="AG171" i="2"/>
  <c r="AG115" i="2"/>
  <c r="AN115" i="2" s="1"/>
  <c r="AG73" i="2"/>
  <c r="AM73" i="2" s="1"/>
  <c r="AG59" i="2"/>
  <c r="AO176" i="2"/>
  <c r="AG140" i="2"/>
  <c r="AG8" i="2"/>
  <c r="AO8" i="2" s="1"/>
  <c r="AG237" i="2"/>
  <c r="AP237" i="2" s="1"/>
  <c r="AG195" i="2"/>
  <c r="AN195" i="2" s="1"/>
  <c r="AG167" i="2"/>
  <c r="AG111" i="2"/>
  <c r="AN111" i="2" s="1"/>
  <c r="AG83" i="2"/>
  <c r="AG55" i="2"/>
  <c r="AG27" i="2"/>
  <c r="AN27" i="2" s="1"/>
  <c r="AM62" i="2"/>
  <c r="AN264" i="2"/>
  <c r="AN208" i="2"/>
  <c r="AN166" i="2"/>
  <c r="AN124" i="2"/>
  <c r="AN96" i="2"/>
  <c r="AO186" i="2"/>
  <c r="AP291" i="2"/>
  <c r="AP249" i="2"/>
  <c r="AP221" i="2"/>
  <c r="AP193" i="2"/>
  <c r="AP151" i="2"/>
  <c r="AP25" i="2"/>
  <c r="AG231" i="2"/>
  <c r="AP231" i="2" s="1"/>
  <c r="AG203" i="2"/>
  <c r="AG189" i="2"/>
  <c r="AP189" i="2" s="1"/>
  <c r="AG105" i="2"/>
  <c r="AM105" i="2" s="1"/>
  <c r="AN229" i="2"/>
  <c r="AO193" i="2"/>
  <c r="AG66" i="2"/>
  <c r="AM66" i="2" s="1"/>
  <c r="AG24" i="2"/>
  <c r="AQ24" i="2" s="1"/>
  <c r="AG10" i="2"/>
  <c r="AM10" i="2" s="1"/>
  <c r="AM291" i="2"/>
  <c r="AM263" i="2"/>
  <c r="AM221" i="2"/>
  <c r="AM179" i="2"/>
  <c r="AM151" i="2"/>
  <c r="AM137" i="2"/>
  <c r="AM123" i="2"/>
  <c r="AM109" i="2"/>
  <c r="AM81" i="2"/>
  <c r="AM67" i="2"/>
  <c r="AM53" i="2"/>
  <c r="AM25" i="2"/>
  <c r="AN241" i="2"/>
  <c r="AN227" i="2"/>
  <c r="AN199" i="2"/>
  <c r="AN171" i="2"/>
  <c r="AN157" i="2"/>
  <c r="AN143" i="2"/>
  <c r="AN129" i="2"/>
  <c r="AN87" i="2"/>
  <c r="AO275" i="2"/>
  <c r="AG148" i="2"/>
  <c r="AN148" i="2" s="1"/>
  <c r="AM261" i="2"/>
  <c r="AM247" i="2"/>
  <c r="AM233" i="2"/>
  <c r="AM219" i="2"/>
  <c r="AM205" i="2"/>
  <c r="AM191" i="2"/>
  <c r="AM149" i="2"/>
  <c r="AM135" i="2"/>
  <c r="AM121" i="2"/>
  <c r="AM107" i="2"/>
  <c r="AM65" i="2"/>
  <c r="AM23" i="2"/>
  <c r="AM9" i="2"/>
  <c r="AN295" i="2"/>
  <c r="AN281" i="2"/>
  <c r="AN267" i="2"/>
  <c r="AN253" i="2"/>
  <c r="AN239" i="2"/>
  <c r="AN225" i="2"/>
  <c r="AN211" i="2"/>
  <c r="AN197" i="2"/>
  <c r="AN183" i="2"/>
  <c r="AN169" i="2"/>
  <c r="AN155" i="2"/>
  <c r="AN141" i="2"/>
  <c r="AN127" i="2"/>
  <c r="AN113" i="2"/>
  <c r="AN99" i="2"/>
  <c r="AN85" i="2"/>
  <c r="AN71" i="2"/>
  <c r="AN57" i="2"/>
  <c r="AN43" i="2"/>
  <c r="AN29" i="2"/>
  <c r="AN15" i="2"/>
  <c r="AO301" i="2"/>
  <c r="AO287" i="2"/>
  <c r="AO259" i="2"/>
  <c r="AO245" i="2"/>
  <c r="AO231" i="2"/>
  <c r="AO217" i="2"/>
  <c r="AO189" i="2"/>
  <c r="AO175" i="2"/>
  <c r="AO147" i="2"/>
  <c r="AO119" i="2"/>
  <c r="AO105" i="2"/>
  <c r="AO91" i="2"/>
  <c r="AO77" i="2"/>
  <c r="AO63" i="2"/>
  <c r="AO35" i="2"/>
  <c r="AP280" i="2"/>
  <c r="AP252" i="2"/>
  <c r="AP238" i="2"/>
  <c r="AP224" i="2"/>
  <c r="AP112" i="2"/>
  <c r="AP98" i="2"/>
  <c r="AP70" i="2"/>
  <c r="AP42" i="2"/>
  <c r="AQ257" i="2"/>
  <c r="AQ229" i="2"/>
  <c r="AQ201" i="2"/>
  <c r="AQ131" i="2"/>
  <c r="AQ103" i="2"/>
  <c r="AG147" i="2"/>
  <c r="AP147" i="2" s="1"/>
  <c r="AM288" i="2"/>
  <c r="AM274" i="2"/>
  <c r="AM246" i="2"/>
  <c r="AM218" i="2"/>
  <c r="AM204" i="2"/>
  <c r="AM190" i="2"/>
  <c r="AM176" i="2"/>
  <c r="AM162" i="2"/>
  <c r="AM134" i="2"/>
  <c r="AM106" i="2"/>
  <c r="AN252" i="2"/>
  <c r="AO188" i="2"/>
  <c r="AG273" i="2"/>
  <c r="AG161" i="2"/>
  <c r="AG133" i="2"/>
  <c r="AP133" i="2" s="1"/>
  <c r="AG49" i="2"/>
  <c r="AM49" i="2" s="1"/>
  <c r="AG21" i="2"/>
  <c r="AO21" i="2" s="1"/>
  <c r="AN280" i="2"/>
  <c r="AG258" i="2"/>
  <c r="AG146" i="2"/>
  <c r="AO146" i="2" s="1"/>
  <c r="AG118" i="2"/>
  <c r="AO118" i="2" s="1"/>
  <c r="AN293" i="2"/>
  <c r="AN279" i="2"/>
  <c r="AN265" i="2"/>
  <c r="AN125" i="2"/>
  <c r="AN55" i="2"/>
  <c r="AN13" i="2"/>
  <c r="AO229" i="2"/>
  <c r="AO103" i="2"/>
  <c r="AO19" i="2"/>
  <c r="AG297" i="2"/>
  <c r="AG283" i="2"/>
  <c r="AM283" i="2" s="1"/>
  <c r="AG269" i="2"/>
  <c r="AG213" i="2"/>
  <c r="AM213" i="2" s="1"/>
  <c r="AG101" i="2"/>
  <c r="AG31" i="2"/>
  <c r="AG17" i="2"/>
  <c r="AG282" i="2"/>
  <c r="AG268" i="2"/>
  <c r="AP268" i="2" s="1"/>
  <c r="AG254" i="2"/>
  <c r="AO254" i="2" s="1"/>
  <c r="AG198" i="2"/>
  <c r="AM198" i="2" s="1"/>
  <c r="AG100" i="2"/>
  <c r="AQ100" i="2" s="1"/>
  <c r="AG72" i="2"/>
  <c r="AO72" i="2" s="1"/>
  <c r="AG58" i="2"/>
  <c r="AO58" i="2" s="1"/>
  <c r="AG30" i="2"/>
  <c r="AO30" i="2" s="1"/>
  <c r="AN261" i="2"/>
  <c r="AM184" i="2"/>
  <c r="AM156" i="2"/>
  <c r="AM142" i="2"/>
  <c r="AM114" i="2"/>
  <c r="AM86" i="2"/>
  <c r="AM44" i="2"/>
  <c r="AM16" i="2"/>
  <c r="AN288" i="2"/>
  <c r="AN274" i="2"/>
  <c r="AN260" i="2"/>
  <c r="AN246" i="2"/>
  <c r="AN232" i="2"/>
  <c r="AN218" i="2"/>
  <c r="AN190" i="2"/>
  <c r="AN176" i="2"/>
  <c r="AN134" i="2"/>
  <c r="AO280" i="2"/>
  <c r="AO252" i="2"/>
  <c r="AO238" i="2"/>
  <c r="AO224" i="2"/>
  <c r="AO210" i="2"/>
  <c r="AO196" i="2"/>
  <c r="AO182" i="2"/>
  <c r="AO112" i="2"/>
  <c r="AO98" i="2"/>
  <c r="AO70" i="2"/>
  <c r="AO42" i="2"/>
  <c r="AP301" i="2"/>
  <c r="AP287" i="2"/>
  <c r="AP273" i="2"/>
  <c r="AP259" i="2"/>
  <c r="AP245" i="2"/>
  <c r="AP217" i="2"/>
  <c r="AP175" i="2"/>
  <c r="AP119" i="2"/>
  <c r="AP105" i="2"/>
  <c r="AP91" i="2"/>
  <c r="AP77" i="2"/>
  <c r="AP63" i="2"/>
  <c r="AP35" i="2"/>
  <c r="AP21" i="2"/>
  <c r="AQ292" i="2"/>
  <c r="AQ278" i="2"/>
  <c r="AQ264" i="2"/>
  <c r="AQ250" i="2"/>
  <c r="AQ194" i="2"/>
  <c r="AQ96" i="2"/>
  <c r="AQ68" i="2"/>
  <c r="AG84" i="2"/>
  <c r="AP84" i="2" s="1"/>
  <c r="AM295" i="2"/>
  <c r="AM281" i="2"/>
  <c r="AM267" i="2"/>
  <c r="AM253" i="2"/>
  <c r="AM239" i="2"/>
  <c r="AM225" i="2"/>
  <c r="AM211" i="2"/>
  <c r="AM197" i="2"/>
  <c r="AM183" i="2"/>
  <c r="AM169" i="2"/>
  <c r="AM155" i="2"/>
  <c r="AM141" i="2"/>
  <c r="AM127" i="2"/>
  <c r="AM113" i="2"/>
  <c r="AM99" i="2"/>
  <c r="AM85" i="2"/>
  <c r="AM71" i="2"/>
  <c r="AM57" i="2"/>
  <c r="AM43" i="2"/>
  <c r="AM29" i="2"/>
  <c r="AM15" i="2"/>
  <c r="AN301" i="2"/>
  <c r="AN287" i="2"/>
  <c r="AN259" i="2"/>
  <c r="AN245" i="2"/>
  <c r="AN231" i="2"/>
  <c r="AN217" i="2"/>
  <c r="AN189" i="2"/>
  <c r="AN175" i="2"/>
  <c r="AN147" i="2"/>
  <c r="AN119" i="2"/>
  <c r="AN105" i="2"/>
  <c r="AN91" i="2"/>
  <c r="AN77" i="2"/>
  <c r="AN63" i="2"/>
  <c r="AN35" i="2"/>
  <c r="AN21" i="2"/>
  <c r="AO209" i="2"/>
  <c r="AN224" i="2"/>
  <c r="AN210" i="2"/>
  <c r="AN196" i="2"/>
  <c r="AN140" i="2"/>
  <c r="AN112" i="2"/>
  <c r="AN98" i="2"/>
  <c r="AN70" i="2"/>
  <c r="AN42" i="2"/>
  <c r="AN14" i="2"/>
  <c r="AO300" i="2"/>
  <c r="AO286" i="2"/>
  <c r="AO272" i="2"/>
  <c r="AO258" i="2"/>
  <c r="AO244" i="2"/>
  <c r="AO230" i="2"/>
  <c r="AO216" i="2"/>
  <c r="AO202" i="2"/>
  <c r="AO174" i="2"/>
  <c r="AO160" i="2"/>
  <c r="AO76" i="2"/>
  <c r="AO62" i="2"/>
  <c r="AO34" i="2"/>
  <c r="AP293" i="2"/>
  <c r="AP279" i="2"/>
  <c r="AP265" i="2"/>
  <c r="AP209" i="2"/>
  <c r="AP181" i="2"/>
  <c r="AP139" i="2"/>
  <c r="AP125" i="2"/>
  <c r="AP55" i="2"/>
  <c r="AP27" i="2"/>
  <c r="AP13" i="2"/>
  <c r="AQ270" i="2"/>
  <c r="AM61" i="2"/>
  <c r="AN221" i="2"/>
  <c r="AN179" i="2"/>
  <c r="AN151" i="2"/>
  <c r="AN53" i="2"/>
  <c r="AO241" i="2"/>
  <c r="AO227" i="2"/>
  <c r="AO199" i="2"/>
  <c r="AO185" i="2"/>
  <c r="AO171" i="2"/>
  <c r="AO157" i="2"/>
  <c r="AO143" i="2"/>
  <c r="AO129" i="2"/>
  <c r="AO87" i="2"/>
  <c r="AO45" i="2"/>
  <c r="AO17" i="2"/>
  <c r="AO3" i="2"/>
  <c r="AP276" i="2"/>
  <c r="AP262" i="2"/>
  <c r="AP248" i="2"/>
  <c r="AP234" i="2"/>
  <c r="AP206" i="2"/>
  <c r="AP108" i="2"/>
  <c r="AP94" i="2"/>
  <c r="AP66" i="2"/>
  <c r="AP24" i="2"/>
  <c r="AQ295" i="2"/>
  <c r="AQ281" i="2"/>
  <c r="AQ239" i="2"/>
  <c r="AQ225" i="2"/>
  <c r="AQ211" i="2"/>
  <c r="AQ197" i="2"/>
  <c r="AQ183" i="2"/>
  <c r="AQ169" i="2"/>
  <c r="AQ155" i="2"/>
  <c r="AQ141" i="2"/>
  <c r="AQ127" i="2"/>
  <c r="AQ113" i="2"/>
  <c r="AQ99" i="2"/>
  <c r="AQ85" i="2"/>
  <c r="AQ71" i="2"/>
  <c r="AQ57" i="2"/>
  <c r="AQ43" i="2"/>
  <c r="AQ29" i="2"/>
  <c r="AQ15" i="2"/>
  <c r="AM201" i="2"/>
  <c r="AM145" i="2"/>
  <c r="AM103" i="2"/>
  <c r="AM19" i="2"/>
  <c r="AM5" i="2"/>
  <c r="AN277" i="2"/>
  <c r="AN263" i="2"/>
  <c r="AN193" i="2"/>
  <c r="AG7" i="2"/>
  <c r="AN7" i="2" s="1"/>
  <c r="AG96" i="2"/>
  <c r="AO96" i="2" s="1"/>
  <c r="AG26" i="2"/>
  <c r="AM298" i="2"/>
  <c r="AM270" i="2"/>
  <c r="AM186" i="2"/>
  <c r="AM172" i="2"/>
  <c r="AM144" i="2"/>
  <c r="AM116" i="2"/>
  <c r="AM102" i="2"/>
  <c r="AM88" i="2"/>
  <c r="AM60" i="2"/>
  <c r="AM46" i="2"/>
  <c r="AM32" i="2"/>
  <c r="AM18" i="2"/>
  <c r="AM4" i="2"/>
  <c r="AN276" i="2"/>
  <c r="AN262" i="2"/>
  <c r="AN248" i="2"/>
  <c r="AN234" i="2"/>
  <c r="AN206" i="2"/>
  <c r="AN178" i="2"/>
  <c r="AN108" i="2"/>
  <c r="AN94" i="2"/>
  <c r="AN52" i="2"/>
  <c r="AN24" i="2"/>
  <c r="AO296" i="2"/>
  <c r="AO282" i="2"/>
  <c r="AO268" i="2"/>
  <c r="AG36" i="2"/>
  <c r="AM279" i="2"/>
  <c r="AM209" i="2"/>
  <c r="AM181" i="2"/>
  <c r="AM139" i="2"/>
  <c r="AM125" i="2"/>
  <c r="AM55" i="2"/>
  <c r="AM27" i="2"/>
  <c r="AM13" i="2"/>
  <c r="AN299" i="2"/>
  <c r="AN285" i="2"/>
  <c r="AN271" i="2"/>
  <c r="AN257" i="2"/>
  <c r="AN243" i="2"/>
  <c r="AN215" i="2"/>
  <c r="AN187" i="2"/>
  <c r="AN159" i="2"/>
  <c r="AN145" i="2"/>
  <c r="AN117" i="2"/>
  <c r="AN103" i="2"/>
  <c r="AN89" i="2"/>
  <c r="AN75" i="2"/>
  <c r="AN19" i="2"/>
  <c r="AO291" i="2"/>
  <c r="AO277" i="2"/>
  <c r="AO263" i="2"/>
  <c r="AO249" i="2"/>
  <c r="AO235" i="2"/>
  <c r="AO221" i="2"/>
  <c r="AO179" i="2"/>
  <c r="AO151" i="2"/>
  <c r="AG90" i="2"/>
  <c r="AN90" i="2" s="1"/>
  <c r="AO240" i="2"/>
  <c r="AO226" i="2"/>
  <c r="AO212" i="2"/>
  <c r="AO198" i="2"/>
  <c r="AO184" i="2"/>
  <c r="AO170" i="2"/>
  <c r="AO156" i="2"/>
  <c r="AO142" i="2"/>
  <c r="AO128" i="2"/>
  <c r="AO114" i="2"/>
  <c r="AO86" i="2"/>
  <c r="AO44" i="2"/>
  <c r="AO16" i="2"/>
  <c r="AP289" i="2"/>
  <c r="AP261" i="2"/>
  <c r="AP247" i="2"/>
  <c r="AP233" i="2"/>
  <c r="AP219" i="2"/>
  <c r="AP205" i="2"/>
  <c r="AP191" i="2"/>
  <c r="AP135" i="2"/>
  <c r="AP93" i="2"/>
  <c r="AP65" i="2"/>
  <c r="AP9" i="2"/>
  <c r="AQ294" i="2"/>
  <c r="AQ280" i="2"/>
  <c r="AM280" i="2"/>
  <c r="AM252" i="2"/>
  <c r="AM224" i="2"/>
  <c r="AM112" i="2"/>
  <c r="AM98" i="2"/>
  <c r="AM42" i="2"/>
  <c r="AM14" i="2"/>
  <c r="AN300" i="2"/>
  <c r="AN286" i="2"/>
  <c r="AN272" i="2"/>
  <c r="AN258" i="2"/>
  <c r="AN244" i="2"/>
  <c r="AN230" i="2"/>
  <c r="AN216" i="2"/>
  <c r="AN202" i="2"/>
  <c r="AN188" i="2"/>
  <c r="AN174" i="2"/>
  <c r="AN118" i="2"/>
  <c r="AN76" i="2"/>
  <c r="AN48" i="2"/>
  <c r="AN34" i="2"/>
  <c r="AN20" i="2"/>
  <c r="AO250" i="2"/>
  <c r="AO208" i="2"/>
  <c r="AO180" i="2"/>
  <c r="AO166" i="2"/>
  <c r="AO124" i="2"/>
  <c r="AO110" i="2"/>
  <c r="AO82" i="2"/>
  <c r="AO68" i="2"/>
  <c r="AO40" i="2"/>
  <c r="AP285" i="2"/>
  <c r="AP257" i="2"/>
  <c r="AP215" i="2"/>
  <c r="AP187" i="2"/>
  <c r="AP159" i="2"/>
  <c r="AP89" i="2"/>
  <c r="AP75" i="2"/>
  <c r="AP61" i="2"/>
  <c r="AP47" i="2"/>
  <c r="AP19" i="2"/>
  <c r="AP5" i="2"/>
  <c r="AQ276" i="2"/>
  <c r="AQ262" i="2"/>
  <c r="AQ248" i="2"/>
  <c r="AQ206" i="2"/>
  <c r="AQ178" i="2"/>
  <c r="AQ108" i="2"/>
  <c r="AQ66" i="2"/>
  <c r="AQ52" i="2"/>
  <c r="AQ10" i="2"/>
  <c r="AN158" i="2"/>
  <c r="AN60" i="2"/>
  <c r="AN45" i="2"/>
  <c r="AN17" i="2"/>
  <c r="AN3" i="2"/>
  <c r="AO261" i="2"/>
  <c r="AM178" i="2"/>
  <c r="AM108" i="2"/>
  <c r="AM94" i="2"/>
  <c r="AQ238" i="2"/>
  <c r="AQ224" i="2"/>
  <c r="AQ112" i="2"/>
  <c r="AQ98" i="2"/>
  <c r="AQ70" i="2"/>
  <c r="AQ42" i="2"/>
  <c r="AQ28" i="2"/>
  <c r="AQ14" i="2"/>
  <c r="AM241" i="2"/>
  <c r="AM227" i="2"/>
  <c r="AM199" i="2"/>
  <c r="AM185" i="2"/>
  <c r="AM171" i="2"/>
  <c r="AM157" i="2"/>
  <c r="AM143" i="2"/>
  <c r="AM129" i="2"/>
  <c r="AM115" i="2"/>
  <c r="AM101" i="2"/>
  <c r="AM87" i="2"/>
  <c r="AM59" i="2"/>
  <c r="AM45" i="2"/>
  <c r="AM3" i="2"/>
  <c r="AN275" i="2"/>
  <c r="AN247" i="2"/>
  <c r="AN233" i="2"/>
  <c r="AN205" i="2"/>
  <c r="AN191" i="2"/>
  <c r="AN149" i="2"/>
  <c r="AN135" i="2"/>
  <c r="AN121" i="2"/>
  <c r="AN65" i="2"/>
  <c r="AO295" i="2"/>
  <c r="AO281" i="2"/>
  <c r="AO267" i="2"/>
  <c r="AO253" i="2"/>
  <c r="AO239" i="2"/>
  <c r="AO225" i="2"/>
  <c r="AO211" i="2"/>
  <c r="AO197" i="2"/>
  <c r="AO183" i="2"/>
  <c r="AO169" i="2"/>
  <c r="AP218" i="2"/>
  <c r="AQ222" i="2"/>
  <c r="AQ180" i="2"/>
  <c r="AQ166" i="2"/>
  <c r="AQ138" i="2"/>
  <c r="AQ124" i="2"/>
  <c r="AQ110" i="2"/>
  <c r="AQ82" i="2"/>
  <c r="AQ40" i="2"/>
  <c r="AO53" i="2"/>
  <c r="AO25" i="2"/>
  <c r="AO11" i="2"/>
  <c r="AP270" i="2"/>
  <c r="AM292" i="2"/>
  <c r="AM278" i="2"/>
  <c r="AM264" i="2"/>
  <c r="AM250" i="2"/>
  <c r="AM222" i="2"/>
  <c r="AM208" i="2"/>
  <c r="AM194" i="2"/>
  <c r="AM180" i="2"/>
  <c r="AM166" i="2"/>
  <c r="AM138" i="2"/>
  <c r="AM124" i="2"/>
  <c r="AM110" i="2"/>
  <c r="AM96" i="2"/>
  <c r="AM68" i="2"/>
  <c r="AM40" i="2"/>
  <c r="AM12" i="2"/>
  <c r="AN270" i="2"/>
  <c r="AN242" i="2"/>
  <c r="AN186" i="2"/>
  <c r="AN172" i="2"/>
  <c r="AN144" i="2"/>
  <c r="AN130" i="2"/>
  <c r="AN116" i="2"/>
  <c r="AN102" i="2"/>
  <c r="AN88" i="2"/>
  <c r="AN74" i="2"/>
  <c r="AN46" i="2"/>
  <c r="AN32" i="2"/>
  <c r="AN18" i="2"/>
  <c r="AN4" i="2"/>
  <c r="AO276" i="2"/>
  <c r="AO262" i="2"/>
  <c r="AO248" i="2"/>
  <c r="AO234" i="2"/>
  <c r="AO206" i="2"/>
  <c r="AO178" i="2"/>
  <c r="AO108" i="2"/>
  <c r="AO94" i="2"/>
  <c r="AO52" i="2"/>
  <c r="AO24" i="2"/>
  <c r="AP283" i="2"/>
  <c r="AO247" i="2"/>
  <c r="AO233" i="2"/>
  <c r="AO205" i="2"/>
  <c r="AO177" i="2"/>
  <c r="AO163" i="2"/>
  <c r="AO135" i="2"/>
  <c r="AO65" i="2"/>
  <c r="AP226" i="2"/>
  <c r="AP72" i="2"/>
  <c r="AP16" i="2"/>
  <c r="AM24" i="2"/>
  <c r="AO155" i="2"/>
  <c r="AO141" i="2"/>
  <c r="AO127" i="2"/>
  <c r="AO113" i="2"/>
  <c r="AO99" i="2"/>
  <c r="AO85" i="2"/>
  <c r="AO71" i="2"/>
  <c r="AO57" i="2"/>
  <c r="AO43" i="2"/>
  <c r="AO29" i="2"/>
  <c r="AO15" i="2"/>
  <c r="AP288" i="2"/>
  <c r="AP232" i="2"/>
  <c r="AP190" i="2"/>
  <c r="AP162" i="2"/>
  <c r="AP92" i="2"/>
  <c r="AP78" i="2"/>
  <c r="AP64" i="2"/>
  <c r="AP50" i="2"/>
  <c r="AP22" i="2"/>
  <c r="AQ293" i="2"/>
  <c r="AQ279" i="2"/>
  <c r="AQ209" i="2"/>
  <c r="AQ181" i="2"/>
  <c r="AQ139" i="2"/>
  <c r="AQ125" i="2"/>
  <c r="AQ69" i="2"/>
  <c r="AQ55" i="2"/>
  <c r="AQ41" i="2"/>
  <c r="AQ13" i="2"/>
  <c r="AO181" i="2"/>
  <c r="AO125" i="2"/>
  <c r="AO55" i="2"/>
  <c r="AO27" i="2"/>
  <c r="AO13" i="2"/>
  <c r="AP300" i="2"/>
  <c r="AP286" i="2"/>
  <c r="AP272" i="2"/>
  <c r="AP258" i="2"/>
  <c r="AP244" i="2"/>
  <c r="AP230" i="2"/>
  <c r="AP216" i="2"/>
  <c r="AP202" i="2"/>
  <c r="AP188" i="2"/>
  <c r="AP174" i="2"/>
  <c r="AP160" i="2"/>
  <c r="AP132" i="2"/>
  <c r="AP118" i="2"/>
  <c r="AP104" i="2"/>
  <c r="AP90" i="2"/>
  <c r="AP76" i="2"/>
  <c r="AP62" i="2"/>
  <c r="AP34" i="2"/>
  <c r="AP6" i="2"/>
  <c r="AQ291" i="2"/>
  <c r="AQ277" i="2"/>
  <c r="AQ263" i="2"/>
  <c r="AQ249" i="2"/>
  <c r="AQ235" i="2"/>
  <c r="AQ221" i="2"/>
  <c r="AQ193" i="2"/>
  <c r="AQ151" i="2"/>
  <c r="AP186" i="2"/>
  <c r="AP172" i="2"/>
  <c r="AP158" i="2"/>
  <c r="AP144" i="2"/>
  <c r="AP130" i="2"/>
  <c r="AP116" i="2"/>
  <c r="AP102" i="2"/>
  <c r="AP88" i="2"/>
  <c r="AP74" i="2"/>
  <c r="AP60" i="2"/>
  <c r="AP46" i="2"/>
  <c r="AP32" i="2"/>
  <c r="AP18" i="2"/>
  <c r="AP4" i="2"/>
  <c r="AQ289" i="2"/>
  <c r="AQ275" i="2"/>
  <c r="AQ261" i="2"/>
  <c r="AQ247" i="2"/>
  <c r="AQ233" i="2"/>
  <c r="AQ219" i="2"/>
  <c r="AQ205" i="2"/>
  <c r="AQ149" i="2"/>
  <c r="AQ135" i="2"/>
  <c r="AQ93" i="2"/>
  <c r="AQ65" i="2"/>
  <c r="AQ37" i="2"/>
  <c r="AQ23" i="2"/>
  <c r="AQ9" i="2"/>
  <c r="AP241" i="2"/>
  <c r="AP227" i="2"/>
  <c r="AP199" i="2"/>
  <c r="AP185" i="2"/>
  <c r="AP171" i="2"/>
  <c r="AP157" i="2"/>
  <c r="AP143" i="2"/>
  <c r="AP129" i="2"/>
  <c r="AP101" i="2"/>
  <c r="AP87" i="2"/>
  <c r="AP59" i="2"/>
  <c r="AP45" i="2"/>
  <c r="AP31" i="2"/>
  <c r="AP17" i="2"/>
  <c r="AP3" i="2"/>
  <c r="AQ288" i="2"/>
  <c r="AQ274" i="2"/>
  <c r="AQ260" i="2"/>
  <c r="AQ246" i="2"/>
  <c r="AQ232" i="2"/>
  <c r="AQ218" i="2"/>
  <c r="AQ204" i="2"/>
  <c r="AQ190" i="2"/>
  <c r="AQ176" i="2"/>
  <c r="AQ162" i="2"/>
  <c r="AQ134" i="2"/>
  <c r="AQ120" i="2"/>
  <c r="AQ106" i="2"/>
  <c r="AQ50" i="2"/>
  <c r="AQ22" i="2"/>
  <c r="AO9" i="2"/>
  <c r="AP240" i="2"/>
  <c r="AP198" i="2"/>
  <c r="AP184" i="2"/>
  <c r="AP170" i="2"/>
  <c r="AP156" i="2"/>
  <c r="AP142" i="2"/>
  <c r="AP114" i="2"/>
  <c r="AP86" i="2"/>
  <c r="AP30" i="2"/>
  <c r="AQ301" i="2"/>
  <c r="AQ259" i="2"/>
  <c r="AQ245" i="2"/>
  <c r="AQ231" i="2"/>
  <c r="AQ217" i="2"/>
  <c r="AQ189" i="2"/>
  <c r="AQ175" i="2"/>
  <c r="AQ161" i="2"/>
  <c r="AQ147" i="2"/>
  <c r="AQ133" i="2"/>
  <c r="AQ119" i="2"/>
  <c r="AQ105" i="2"/>
  <c r="AQ91" i="2"/>
  <c r="AQ77" i="2"/>
  <c r="AQ63" i="2"/>
  <c r="AQ35" i="2"/>
  <c r="AQ21" i="2"/>
  <c r="AN282" i="2"/>
  <c r="AN268" i="2"/>
  <c r="AN240" i="2"/>
  <c r="AN226" i="2"/>
  <c r="AN212" i="2"/>
  <c r="AN198" i="2"/>
  <c r="AN184" i="2"/>
  <c r="AO260" i="2"/>
  <c r="AO218" i="2"/>
  <c r="AO190" i="2"/>
  <c r="AO106" i="2"/>
  <c r="AP14" i="2"/>
  <c r="AQ299" i="2"/>
  <c r="AQ285" i="2"/>
  <c r="AQ271" i="2"/>
  <c r="AQ243" i="2"/>
  <c r="AQ215" i="2"/>
  <c r="AQ145" i="2"/>
  <c r="AQ117" i="2"/>
  <c r="AQ19" i="2"/>
  <c r="AQ5" i="2"/>
  <c r="AQ242" i="2"/>
  <c r="AQ186" i="2"/>
  <c r="AQ172" i="2"/>
  <c r="AQ158" i="2"/>
  <c r="AQ144" i="2"/>
  <c r="AQ116" i="2"/>
  <c r="AQ102" i="2"/>
  <c r="AQ88" i="2"/>
  <c r="AQ74" i="2"/>
  <c r="AQ60" i="2"/>
  <c r="AQ32" i="2"/>
  <c r="AQ18" i="2"/>
  <c r="AQ4" i="2"/>
  <c r="AM301" i="2"/>
  <c r="AM287" i="2"/>
  <c r="AM273" i="2"/>
  <c r="AM259" i="2"/>
  <c r="AM245" i="2"/>
  <c r="AM231" i="2"/>
  <c r="AM217" i="2"/>
  <c r="AM203" i="2"/>
  <c r="AM189" i="2"/>
  <c r="AM175" i="2"/>
  <c r="AM147" i="2"/>
  <c r="AM119" i="2"/>
  <c r="AM91" i="2"/>
  <c r="AM77" i="2"/>
  <c r="AM63" i="2"/>
  <c r="AM35" i="2"/>
  <c r="AM21" i="2"/>
  <c r="AN237" i="2"/>
  <c r="AN223" i="2"/>
  <c r="AN209" i="2"/>
  <c r="AN181" i="2"/>
  <c r="AO299" i="2"/>
  <c r="AO285" i="2"/>
  <c r="AO257" i="2"/>
  <c r="AO243" i="2"/>
  <c r="AO215" i="2"/>
  <c r="AO201" i="2"/>
  <c r="AO187" i="2"/>
  <c r="AO145" i="2"/>
  <c r="AO89" i="2"/>
  <c r="AO33" i="2"/>
  <c r="AO5" i="2"/>
  <c r="AP292" i="2"/>
  <c r="AP278" i="2"/>
  <c r="AP264" i="2"/>
  <c r="AP250" i="2"/>
  <c r="AP222" i="2"/>
  <c r="AP194" i="2"/>
  <c r="AP180" i="2"/>
  <c r="AP166" i="2"/>
  <c r="AP138" i="2"/>
  <c r="AP124" i="2"/>
  <c r="AP110" i="2"/>
  <c r="AP96" i="2"/>
  <c r="AP82" i="2"/>
  <c r="AP68" i="2"/>
  <c r="AP40" i="2"/>
  <c r="AP12" i="2"/>
  <c r="AQ241" i="2"/>
  <c r="AQ227" i="2"/>
  <c r="AQ199" i="2"/>
  <c r="AQ185" i="2"/>
  <c r="AQ171" i="2"/>
  <c r="AQ157" i="2"/>
  <c r="AQ143" i="2"/>
  <c r="AQ129" i="2"/>
  <c r="AQ115" i="2"/>
  <c r="AQ101" i="2"/>
  <c r="AQ87" i="2"/>
  <c r="AQ45" i="2"/>
  <c r="AQ3" i="2"/>
  <c r="AQ67" i="2"/>
  <c r="AQ53" i="2"/>
  <c r="AQ39" i="2"/>
  <c r="AQ25" i="2"/>
  <c r="AQ11" i="2"/>
  <c r="AN156" i="2"/>
  <c r="AN142" i="2"/>
  <c r="AN128" i="2"/>
  <c r="AN114" i="2"/>
  <c r="AN86" i="2"/>
  <c r="AN44" i="2"/>
  <c r="AN16" i="2"/>
  <c r="AP295" i="2"/>
  <c r="AP281" i="2"/>
  <c r="AP267" i="2"/>
  <c r="AP253" i="2"/>
  <c r="AP239" i="2"/>
  <c r="AP225" i="2"/>
  <c r="AP211" i="2"/>
  <c r="AP197" i="2"/>
  <c r="AP183" i="2"/>
  <c r="AP169" i="2"/>
  <c r="AP155" i="2"/>
  <c r="AP141" i="2"/>
  <c r="AP127" i="2"/>
  <c r="AP113" i="2"/>
  <c r="AP99" i="2"/>
  <c r="AP85" i="2"/>
  <c r="AP71" i="2"/>
  <c r="AP57" i="2"/>
  <c r="AP43" i="2"/>
  <c r="AP29" i="2"/>
  <c r="AP15" i="2"/>
  <c r="AQ300" i="2"/>
  <c r="AQ286" i="2"/>
  <c r="AQ272" i="2"/>
  <c r="AQ258" i="2"/>
  <c r="AQ244" i="2"/>
  <c r="AQ230" i="2"/>
  <c r="AQ216" i="2"/>
  <c r="AQ202" i="2"/>
  <c r="AQ188" i="2"/>
  <c r="AQ174" i="2"/>
  <c r="AQ160" i="2"/>
  <c r="AQ132" i="2"/>
  <c r="AQ118" i="2"/>
  <c r="AQ104" i="2"/>
  <c r="AQ90" i="2"/>
  <c r="AQ76" i="2"/>
  <c r="AQ62" i="2"/>
  <c r="AQ34" i="2"/>
  <c r="AM150" i="2" l="1"/>
  <c r="AN150" i="2"/>
  <c r="AP150" i="2"/>
  <c r="AQ150" i="2"/>
  <c r="AN23" i="2"/>
  <c r="AO23" i="2"/>
  <c r="AM167" i="2"/>
  <c r="AO167" i="2"/>
  <c r="AM92" i="2"/>
  <c r="AQ92" i="2"/>
  <c r="AN92" i="2"/>
  <c r="AO92" i="2"/>
  <c r="AQ111" i="2"/>
  <c r="AN50" i="2"/>
  <c r="AM282" i="2"/>
  <c r="AP282" i="2"/>
  <c r="AN161" i="2"/>
  <c r="AM161" i="2"/>
  <c r="AM177" i="2"/>
  <c r="AO204" i="2"/>
  <c r="AM242" i="2"/>
  <c r="AO242" i="2"/>
  <c r="AP242" i="2"/>
  <c r="AQ75" i="2"/>
  <c r="AO75" i="2"/>
  <c r="AP260" i="2"/>
  <c r="AM260" i="2"/>
  <c r="AQ48" i="2"/>
  <c r="AP48" i="2"/>
  <c r="AO48" i="2"/>
  <c r="AN107" i="2"/>
  <c r="AP107" i="2"/>
  <c r="AQ107" i="2"/>
  <c r="AN106" i="2"/>
  <c r="AP106" i="2"/>
  <c r="AO298" i="2"/>
  <c r="AP298" i="2"/>
  <c r="AM80" i="2"/>
  <c r="AP80" i="2"/>
  <c r="AN80" i="2"/>
  <c r="AO95" i="2"/>
  <c r="AN95" i="2"/>
  <c r="AO236" i="2"/>
  <c r="AN236" i="2"/>
  <c r="AN36" i="2"/>
  <c r="AM36" i="2"/>
  <c r="AQ36" i="2"/>
  <c r="AN26" i="2"/>
  <c r="AQ26" i="2"/>
  <c r="AM83" i="2"/>
  <c r="AP83" i="2"/>
  <c r="AQ210" i="2"/>
  <c r="AM210" i="2"/>
  <c r="AN207" i="2"/>
  <c r="AM207" i="2"/>
  <c r="AO154" i="2"/>
  <c r="AQ154" i="2"/>
  <c r="AQ33" i="2"/>
  <c r="AN33" i="2"/>
  <c r="AQ64" i="2"/>
  <c r="AM64" i="2"/>
  <c r="AN64" i="2"/>
  <c r="AQ51" i="2"/>
  <c r="AP111" i="2"/>
  <c r="AM111" i="2"/>
  <c r="AO111" i="2"/>
  <c r="AO64" i="2"/>
  <c r="AQ137" i="2"/>
  <c r="AQ97" i="2"/>
  <c r="AM41" i="2"/>
  <c r="AN165" i="2"/>
  <c r="AQ165" i="2"/>
  <c r="AM165" i="2"/>
  <c r="AQ296" i="2"/>
  <c r="AN296" i="2"/>
  <c r="AN61" i="2"/>
  <c r="AO61" i="2"/>
  <c r="AO50" i="2"/>
  <c r="AP296" i="2"/>
  <c r="AQ79" i="2"/>
  <c r="AP37" i="2"/>
  <c r="AM26" i="2"/>
  <c r="AP204" i="2"/>
  <c r="AO165" i="2"/>
  <c r="AM69" i="2"/>
  <c r="AP41" i="2"/>
  <c r="AM158" i="2"/>
  <c r="AN273" i="2"/>
  <c r="AO273" i="2"/>
  <c r="AP154" i="2"/>
  <c r="AM93" i="2"/>
  <c r="AN93" i="2"/>
  <c r="AQ173" i="2"/>
  <c r="AM173" i="2"/>
  <c r="AN173" i="2"/>
  <c r="AO39" i="2"/>
  <c r="AM39" i="2"/>
  <c r="AN39" i="2"/>
  <c r="AN104" i="2"/>
  <c r="AM104" i="2"/>
  <c r="AO104" i="2"/>
  <c r="AO162" i="2"/>
  <c r="AQ273" i="2"/>
  <c r="AO37" i="2"/>
  <c r="AQ121" i="2"/>
  <c r="AQ207" i="2"/>
  <c r="AO41" i="2"/>
  <c r="AO80" i="2"/>
  <c r="AM126" i="2"/>
  <c r="AM33" i="2"/>
  <c r="AM17" i="2"/>
  <c r="AQ17" i="2"/>
  <c r="AN153" i="2"/>
  <c r="AP168" i="2"/>
  <c r="AO133" i="2"/>
  <c r="AP165" i="2"/>
  <c r="AO117" i="2"/>
  <c r="AM117" i="2"/>
  <c r="AP117" i="2"/>
  <c r="AN123" i="2"/>
  <c r="AP123" i="2"/>
  <c r="AO123" i="2"/>
  <c r="AQ123" i="2"/>
  <c r="AO132" i="2"/>
  <c r="AN132" i="2"/>
  <c r="AM132" i="2"/>
  <c r="AN56" i="2"/>
  <c r="AM56" i="2"/>
  <c r="AP56" i="2"/>
  <c r="AN297" i="2"/>
  <c r="AP297" i="2"/>
  <c r="AQ203" i="2"/>
  <c r="AN203" i="2"/>
  <c r="AO109" i="2"/>
  <c r="AN109" i="2"/>
  <c r="AM251" i="2"/>
  <c r="AN251" i="2"/>
  <c r="AQ251" i="2"/>
  <c r="AO251" i="2"/>
  <c r="AO130" i="2"/>
  <c r="AM130" i="2"/>
  <c r="AQ130" i="2"/>
  <c r="AP163" i="2"/>
  <c r="AQ163" i="2"/>
  <c r="AM275" i="2"/>
  <c r="AP275" i="2"/>
  <c r="AP20" i="2"/>
  <c r="AO20" i="2"/>
  <c r="AM31" i="2"/>
  <c r="AQ31" i="2"/>
  <c r="AN31" i="2"/>
  <c r="AO31" i="2"/>
  <c r="AM148" i="2"/>
  <c r="AP131" i="2"/>
  <c r="AM131" i="2"/>
  <c r="AO131" i="2"/>
  <c r="AP52" i="2"/>
  <c r="AM52" i="2"/>
  <c r="AQ297" i="2"/>
  <c r="AM133" i="2"/>
  <c r="AO69" i="2"/>
  <c r="AN163" i="2"/>
  <c r="AP121" i="2"/>
  <c r="AM75" i="2"/>
  <c r="AN154" i="2"/>
  <c r="AN133" i="2"/>
  <c r="AM170" i="2"/>
  <c r="AN101" i="2"/>
  <c r="AO101" i="2"/>
  <c r="AN238" i="2"/>
  <c r="AQ61" i="2"/>
  <c r="AP196" i="2"/>
  <c r="AN82" i="2"/>
  <c r="AM82" i="2"/>
  <c r="AQ109" i="2"/>
  <c r="AN200" i="2"/>
  <c r="AO200" i="2"/>
  <c r="AP200" i="2"/>
  <c r="AM120" i="2"/>
  <c r="AN120" i="2"/>
  <c r="AO120" i="2"/>
  <c r="AQ167" i="2"/>
  <c r="AP182" i="2"/>
  <c r="AP210" i="2"/>
  <c r="AN59" i="2"/>
  <c r="AO59" i="2"/>
  <c r="AP149" i="2"/>
  <c r="AO149" i="2"/>
  <c r="AQ159" i="2"/>
  <c r="AO159" i="2"/>
  <c r="AM159" i="2"/>
  <c r="AP36" i="2"/>
  <c r="AP251" i="2"/>
  <c r="AO168" i="2"/>
  <c r="AQ168" i="2"/>
  <c r="AN137" i="2"/>
  <c r="AO137" i="2"/>
  <c r="AO22" i="2"/>
  <c r="AN22" i="2"/>
  <c r="AP136" i="2"/>
  <c r="AQ136" i="2"/>
  <c r="AP203" i="2"/>
  <c r="AQ164" i="2"/>
  <c r="AP164" i="2"/>
  <c r="AN164" i="2"/>
  <c r="AO164" i="2"/>
  <c r="AM51" i="2"/>
  <c r="AN51" i="2"/>
  <c r="AO26" i="2"/>
  <c r="AM297" i="2"/>
  <c r="AM136" i="2"/>
  <c r="AQ80" i="2"/>
  <c r="AM255" i="2"/>
  <c r="AQ255" i="2"/>
  <c r="AN255" i="2"/>
  <c r="AQ83" i="2"/>
  <c r="AM164" i="2"/>
  <c r="AQ49" i="2"/>
  <c r="AO49" i="2"/>
  <c r="AN49" i="2"/>
  <c r="AO97" i="2"/>
  <c r="AP97" i="2"/>
  <c r="AP192" i="2"/>
  <c r="AN192" i="2"/>
  <c r="AQ192" i="2"/>
  <c r="AO192" i="2"/>
  <c r="AQ212" i="2"/>
  <c r="AP212" i="2"/>
  <c r="AN47" i="2"/>
  <c r="AO47" i="2"/>
  <c r="AQ78" i="2"/>
  <c r="AN78" i="2"/>
  <c r="AM78" i="2"/>
  <c r="AO36" i="2"/>
  <c r="AN298" i="2"/>
  <c r="AN37" i="2"/>
  <c r="AP23" i="2"/>
  <c r="AO78" i="2"/>
  <c r="AM79" i="2"/>
  <c r="AN79" i="2"/>
  <c r="AP79" i="2"/>
  <c r="AQ95" i="2"/>
  <c r="AO51" i="2"/>
  <c r="AM154" i="2"/>
  <c r="AO207" i="2"/>
  <c r="AM47" i="2"/>
  <c r="AP69" i="2"/>
  <c r="AP49" i="2"/>
  <c r="AN167" i="2"/>
  <c r="AN126" i="2"/>
  <c r="AM140" i="2"/>
  <c r="AP140" i="2"/>
  <c r="AP207" i="2"/>
  <c r="AM289" i="2"/>
  <c r="AN289" i="2"/>
  <c r="AP58" i="2"/>
  <c r="AO93" i="2"/>
  <c r="AO83" i="2"/>
  <c r="AO136" i="2"/>
  <c r="AN177" i="2"/>
  <c r="AQ126" i="2"/>
  <c r="AM182" i="2"/>
  <c r="AM200" i="2"/>
  <c r="AN168" i="2"/>
  <c r="AQ89" i="2"/>
  <c r="AQ20" i="2"/>
  <c r="AQ59" i="2"/>
  <c r="AP26" i="2"/>
  <c r="AN83" i="2"/>
  <c r="AN170" i="2"/>
  <c r="AO107" i="2"/>
  <c r="AO150" i="2"/>
  <c r="AQ182" i="2"/>
  <c r="AP33" i="2"/>
  <c r="AM196" i="2"/>
  <c r="AP177" i="2"/>
  <c r="AO255" i="2"/>
  <c r="AP167" i="2"/>
  <c r="AM269" i="2"/>
  <c r="AP269" i="2"/>
  <c r="AO269" i="2"/>
  <c r="AM22" i="2"/>
  <c r="AO203" i="2"/>
  <c r="AN28" i="2"/>
  <c r="AP28" i="2"/>
  <c r="AO81" i="2"/>
  <c r="AP81" i="2"/>
  <c r="AN81" i="2"/>
  <c r="AQ81" i="2"/>
  <c r="AP208" i="2"/>
  <c r="AQ208" i="2"/>
  <c r="AQ46" i="2"/>
  <c r="AP134" i="2"/>
  <c r="AO219" i="2"/>
  <c r="AM232" i="2"/>
  <c r="AP179" i="2"/>
  <c r="AO220" i="2"/>
  <c r="AM249" i="2"/>
  <c r="AQ265" i="2"/>
  <c r="AO100" i="2"/>
  <c r="AN235" i="2"/>
  <c r="AQ27" i="2"/>
  <c r="AM72" i="2"/>
  <c r="AM243" i="2"/>
  <c r="AN84" i="2"/>
  <c r="AN30" i="2"/>
  <c r="AQ58" i="2"/>
  <c r="AP236" i="2"/>
  <c r="AM7" i="2"/>
  <c r="AN254" i="2"/>
  <c r="AP100" i="2"/>
  <c r="AP213" i="2"/>
  <c r="AP8" i="2"/>
  <c r="AO10" i="2"/>
  <c r="AM236" i="2"/>
  <c r="AQ236" i="2"/>
  <c r="AQ290" i="2"/>
  <c r="AN10" i="2"/>
  <c r="AO213" i="2"/>
  <c r="AO28" i="2"/>
  <c r="AM30" i="2"/>
  <c r="AM95" i="2"/>
  <c r="AN152" i="2"/>
  <c r="AQ72" i="2"/>
  <c r="AN58" i="2"/>
  <c r="AP54" i="2"/>
  <c r="AO195" i="2"/>
  <c r="AM54" i="2"/>
  <c r="AQ12" i="2"/>
  <c r="AO54" i="2"/>
  <c r="AM195" i="2"/>
  <c r="AP122" i="2"/>
  <c r="AO6" i="2"/>
  <c r="AN266" i="2"/>
  <c r="AN213" i="2"/>
  <c r="AM122" i="2"/>
  <c r="AQ38" i="2"/>
  <c r="AM38" i="2"/>
  <c r="AN72" i="2"/>
  <c r="AO148" i="2"/>
  <c r="AQ148" i="2"/>
  <c r="AO223" i="2"/>
  <c r="AO38" i="2"/>
  <c r="AP148" i="2"/>
  <c r="AM28" i="2"/>
  <c r="AN38" i="2"/>
  <c r="AP161" i="2"/>
  <c r="AO56" i="2"/>
  <c r="AM58" i="2"/>
  <c r="AN294" i="2"/>
  <c r="AP235" i="2"/>
  <c r="AQ254" i="2"/>
  <c r="AQ84" i="2"/>
  <c r="AN100" i="2"/>
  <c r="AQ7" i="2"/>
  <c r="AP73" i="2"/>
  <c r="AO66" i="2"/>
  <c r="AQ54" i="2"/>
  <c r="AN146" i="2"/>
  <c r="AM237" i="2"/>
  <c r="AN66" i="2"/>
  <c r="AM228" i="2"/>
  <c r="AO73" i="2"/>
  <c r="AO283" i="2"/>
  <c r="AQ256" i="2"/>
  <c r="AP153" i="2"/>
  <c r="AO84" i="2"/>
  <c r="AQ282" i="2"/>
  <c r="AQ146" i="2"/>
  <c r="AQ213" i="2"/>
  <c r="AO265" i="2"/>
  <c r="AN214" i="2"/>
  <c r="AP214" i="2"/>
  <c r="AM266" i="2"/>
  <c r="AM256" i="2"/>
  <c r="AO297" i="2"/>
  <c r="AP7" i="2"/>
  <c r="AO294" i="2"/>
  <c r="AM100" i="2"/>
  <c r="AN73" i="2"/>
  <c r="AN269" i="2"/>
  <c r="AM90" i="2"/>
  <c r="AQ8" i="2"/>
  <c r="AO293" i="2"/>
  <c r="AQ195" i="2"/>
  <c r="AO290" i="2"/>
  <c r="AN228" i="2"/>
  <c r="AP228" i="2"/>
  <c r="AO152" i="2"/>
  <c r="AM84" i="2"/>
  <c r="AN11" i="2"/>
  <c r="AQ284" i="2"/>
  <c r="AN8" i="2"/>
  <c r="AN220" i="2"/>
  <c r="AP266" i="2"/>
  <c r="AO161" i="2"/>
  <c r="AN283" i="2"/>
  <c r="AO228" i="2"/>
  <c r="AM146" i="2"/>
  <c r="AM290" i="2"/>
  <c r="AP95" i="2"/>
  <c r="AO237" i="2"/>
  <c r="AQ153" i="2"/>
  <c r="AM223" i="2"/>
  <c r="AM214" i="2"/>
  <c r="AO266" i="2"/>
  <c r="AM8" i="2"/>
  <c r="AM6" i="2"/>
  <c r="AN97" i="2"/>
  <c r="AP115" i="2"/>
  <c r="AP146" i="2"/>
  <c r="AQ140" i="2"/>
  <c r="AM294" i="2"/>
  <c r="AM284" i="2"/>
  <c r="AP220" i="2"/>
  <c r="AO115" i="2"/>
  <c r="AQ298" i="2"/>
  <c r="AP195" i="2"/>
  <c r="AO90" i="2"/>
  <c r="AO126" i="2"/>
  <c r="AO256" i="2"/>
  <c r="AM254" i="2"/>
  <c r="AP152" i="2"/>
  <c r="AQ223" i="2"/>
  <c r="AO122" i="2"/>
  <c r="AN256" i="2"/>
  <c r="AM152" i="2"/>
  <c r="AN122" i="2"/>
  <c r="AP10" i="2"/>
  <c r="AO153" i="2"/>
  <c r="AO140" i="2"/>
  <c r="AM11" i="2"/>
  <c r="AO284" i="2"/>
  <c r="AM268" i="2"/>
  <c r="AQ6" i="2"/>
  <c r="AO12" i="2"/>
  <c r="AQ73" i="2"/>
  <c r="AQ269" i="2"/>
  <c r="AQ214" i="2"/>
  <c r="AP254" i="2"/>
  <c r="AQ237" i="2"/>
  <c r="AN67" i="2"/>
  <c r="AO7" i="2"/>
  <c r="AP290" i="2"/>
  <c r="AQ283" i="2"/>
  <c r="AN284" i="2"/>
  <c r="AP38" i="2"/>
  <c r="AN2" i="2"/>
  <c r="AO2" i="2"/>
</calcChain>
</file>

<file path=xl/sharedStrings.xml><?xml version="1.0" encoding="utf-8"?>
<sst xmlns="http://schemas.openxmlformats.org/spreadsheetml/2006/main" count="2525" uniqueCount="202">
  <si>
    <t>Project</t>
  </si>
  <si>
    <t>Scenario</t>
  </si>
  <si>
    <t>Dollar_year</t>
  </si>
  <si>
    <t>Weather_year</t>
  </si>
  <si>
    <t>Start_day</t>
  </si>
  <si>
    <t>country</t>
  </si>
  <si>
    <t>Standard_scenarios_2021</t>
  </si>
  <si>
    <t>MidCase</t>
  </si>
  <si>
    <t>2020$</t>
  </si>
  <si>
    <t>Sunday</t>
  </si>
  <si>
    <t>usa</t>
  </si>
  <si>
    <t>Geography</t>
  </si>
  <si>
    <t>Time</t>
  </si>
  <si>
    <t>Load</t>
  </si>
  <si>
    <t>Operational</t>
  </si>
  <si>
    <t>Emissions</t>
  </si>
  <si>
    <t>Busbar costs</t>
  </si>
  <si>
    <t>End use cost</t>
  </si>
  <si>
    <t>Generation</t>
  </si>
  <si>
    <t>Capacity</t>
  </si>
  <si>
    <t>Energy Capacity</t>
  </si>
  <si>
    <t>Policy</t>
  </si>
  <si>
    <t>unitless</t>
  </si>
  <si>
    <t>MWh</t>
  </si>
  <si>
    <t>MWh/MWh</t>
  </si>
  <si>
    <t>MW/MW</t>
  </si>
  <si>
    <t>$/MW</t>
  </si>
  <si>
    <t>MW</t>
  </si>
  <si>
    <t>kg/MWh</t>
  </si>
  <si>
    <t>g/MWh</t>
  </si>
  <si>
    <t>metric tons</t>
  </si>
  <si>
    <t>$/MWh</t>
  </si>
  <si>
    <t>$/credit</t>
  </si>
  <si>
    <t>credit/sales</t>
  </si>
  <si>
    <t>$/ton</t>
  </si>
  <si>
    <t>gea</t>
  </si>
  <si>
    <t>t</t>
  </si>
  <si>
    <t>busbar_load</t>
  </si>
  <si>
    <t>busbar_load_for_enduse</t>
  </si>
  <si>
    <t>enduse_load</t>
  </si>
  <si>
    <t>dac_load</t>
  </si>
  <si>
    <t>storage_charging</t>
  </si>
  <si>
    <t>net_load_busbar</t>
  </si>
  <si>
    <t>battery_charging</t>
  </si>
  <si>
    <t>phs_charging</t>
  </si>
  <si>
    <t>trans_losses</t>
  </si>
  <si>
    <t>distloss_rate_avg</t>
  </si>
  <si>
    <t>distloss_rate_marg</t>
  </si>
  <si>
    <t>prm</t>
  </si>
  <si>
    <t>capacity_shadow_price</t>
  </si>
  <si>
    <t>planning_capacity_MW</t>
  </si>
  <si>
    <t>aer_gen_co2_c</t>
  </si>
  <si>
    <t>aer_gen_ch4_c</t>
  </si>
  <si>
    <t>aer_gen_n2o_c</t>
  </si>
  <si>
    <t>aer_gen_co2_p</t>
  </si>
  <si>
    <t>aer_gen_ch4_p</t>
  </si>
  <si>
    <t>aer_gen_n2o_p</t>
  </si>
  <si>
    <t>aer_gen_co2e_c</t>
  </si>
  <si>
    <t>aer_gen_co2e_p</t>
  </si>
  <si>
    <t>aer_gen_co2e</t>
  </si>
  <si>
    <t>aer_load_co2_c</t>
  </si>
  <si>
    <t>aer_load_ch4_c</t>
  </si>
  <si>
    <t>aer_load_n2o_c</t>
  </si>
  <si>
    <t>aer_load_co2_p</t>
  </si>
  <si>
    <t>aer_load_ch4_p</t>
  </si>
  <si>
    <t>aer_load_n2o_p</t>
  </si>
  <si>
    <t>aer_load_co2e_c</t>
  </si>
  <si>
    <t>aer_load_co2e_p</t>
  </si>
  <si>
    <t>aer_load_co2e</t>
  </si>
  <si>
    <t>lrmer_co2_c</t>
  </si>
  <si>
    <t>lrmer_ch4_c</t>
  </si>
  <si>
    <t>lrmer_n2o_c</t>
  </si>
  <si>
    <t>lrmer_co2_p</t>
  </si>
  <si>
    <t>lrmer_ch4_p</t>
  </si>
  <si>
    <t>lrmer_n2o_p</t>
  </si>
  <si>
    <t>lrmer_co2e_c</t>
  </si>
  <si>
    <t>lrmer_co2e_p</t>
  </si>
  <si>
    <t>lrmer_co2e</t>
  </si>
  <si>
    <t>srmer_co2_c</t>
  </si>
  <si>
    <t>srmer_ch4_c</t>
  </si>
  <si>
    <t>srmer_n2o_c</t>
  </si>
  <si>
    <t>srmer_co2_p</t>
  </si>
  <si>
    <t>srmer_ch4_p</t>
  </si>
  <si>
    <t>srmer_n2o_p</t>
  </si>
  <si>
    <t>srmer_co2e_c</t>
  </si>
  <si>
    <t>srmer_co2e_p</t>
  </si>
  <si>
    <t>srmer_co2e</t>
  </si>
  <si>
    <t>total_gen_co2_c</t>
  </si>
  <si>
    <t>total_gen_ch4_c</t>
  </si>
  <si>
    <t>total_gen_n2o_c</t>
  </si>
  <si>
    <t>total_gen_co2_p</t>
  </si>
  <si>
    <t>total_gen_ch4_p</t>
  </si>
  <si>
    <t>total_gen_n2o_p</t>
  </si>
  <si>
    <t>total_gen_co2e_c</t>
  </si>
  <si>
    <t>total_gen_co2e_p</t>
  </si>
  <si>
    <t>total_gen_co2e</t>
  </si>
  <si>
    <t>co2_captured_dac</t>
  </si>
  <si>
    <t>co2_captured_ccs</t>
  </si>
  <si>
    <t>total_net_co2_c</t>
  </si>
  <si>
    <t>total_net_co2</t>
  </si>
  <si>
    <t>total_net_co2e</t>
  </si>
  <si>
    <t>energy_cost_busbar</t>
  </si>
  <si>
    <t>capacity_cost_busbar</t>
  </si>
  <si>
    <t>portfolio_cost_busbar</t>
  </si>
  <si>
    <t>total_cost_busbar</t>
  </si>
  <si>
    <t>energy_cost_enduse</t>
  </si>
  <si>
    <t>capacity_cost_enduse</t>
  </si>
  <si>
    <t>portfolio_cost_enduse</t>
  </si>
  <si>
    <t>total_cost_enduse</t>
  </si>
  <si>
    <t>generation</t>
  </si>
  <si>
    <t>variable_generation</t>
  </si>
  <si>
    <t>nuclear_MWh</t>
  </si>
  <si>
    <t>coal_MWh</t>
  </si>
  <si>
    <t>coal-ccs_MWh</t>
  </si>
  <si>
    <t>o-g-s_MWh</t>
  </si>
  <si>
    <t>gas-cc_MWh</t>
  </si>
  <si>
    <t>gas-cc-ccs_MWh</t>
  </si>
  <si>
    <t>gas-ct_MWh</t>
  </si>
  <si>
    <t>hydro_MWh</t>
  </si>
  <si>
    <t>geothermal_MWh</t>
  </si>
  <si>
    <t>biomass_MWh</t>
  </si>
  <si>
    <t>beccs_MWh</t>
  </si>
  <si>
    <t>wind-ons_MWh</t>
  </si>
  <si>
    <t>wind-ofs_MWh</t>
  </si>
  <si>
    <t>csp_MWh</t>
  </si>
  <si>
    <t>upv_MWh</t>
  </si>
  <si>
    <t>distpv_MWh</t>
  </si>
  <si>
    <t>phs_MWh</t>
  </si>
  <si>
    <t>battery_MWh</t>
  </si>
  <si>
    <t>canada_MWh</t>
  </si>
  <si>
    <t>battery_MW</t>
  </si>
  <si>
    <t>beccs_MW</t>
  </si>
  <si>
    <t>biomass_MW</t>
  </si>
  <si>
    <t>coal_MW</t>
  </si>
  <si>
    <t>coal-ccs_MW</t>
  </si>
  <si>
    <t>csp_MW</t>
  </si>
  <si>
    <t>distpv_MW</t>
  </si>
  <si>
    <t>gas-cc_MW</t>
  </si>
  <si>
    <t>gas-cc-ccs_MW</t>
  </si>
  <si>
    <t>gas-ct_MW</t>
  </si>
  <si>
    <t>geothermal_MW</t>
  </si>
  <si>
    <t>hydro_MW</t>
  </si>
  <si>
    <t>nuclear_MW</t>
  </si>
  <si>
    <t>o-g-s_MW</t>
  </si>
  <si>
    <t>phs_MW</t>
  </si>
  <si>
    <t>upv_MW</t>
  </si>
  <si>
    <t>wind-ofs_MW</t>
  </si>
  <si>
    <t>wind-ons_MW</t>
  </si>
  <si>
    <t>dac_MW</t>
  </si>
  <si>
    <t>battery_energy_cap_MWh</t>
  </si>
  <si>
    <t>phs_energy_cap_MWh</t>
  </si>
  <si>
    <t>csp_energy_cap_MWh</t>
  </si>
  <si>
    <t>rps_shadow_price</t>
  </si>
  <si>
    <t>rps_f</t>
  </si>
  <si>
    <t>ces_shadow_price</t>
  </si>
  <si>
    <t>ces_f</t>
  </si>
  <si>
    <t>co2_shadow_price</t>
  </si>
  <si>
    <t>AZNMc</t>
  </si>
  <si>
    <t>CAMXc</t>
  </si>
  <si>
    <t>ERCTc</t>
  </si>
  <si>
    <t>FRCCc</t>
  </si>
  <si>
    <t>MROEc</t>
  </si>
  <si>
    <t>MROWc</t>
  </si>
  <si>
    <t>NEWEc</t>
  </si>
  <si>
    <t>NWPPc</t>
  </si>
  <si>
    <t>NYSTc</t>
  </si>
  <si>
    <t>RFCEc</t>
  </si>
  <si>
    <t>RFCMc</t>
  </si>
  <si>
    <t>RFCWc</t>
  </si>
  <si>
    <t>RMPAc</t>
  </si>
  <si>
    <t>SPNOc</t>
  </si>
  <si>
    <t>SPSOc</t>
  </si>
  <si>
    <t>SRMVc</t>
  </si>
  <si>
    <t>SRMWc</t>
  </si>
  <si>
    <t>SRSOc</t>
  </si>
  <si>
    <t>SRTVc</t>
  </si>
  <si>
    <t>SRVCc</t>
  </si>
  <si>
    <t>dataset</t>
  </si>
  <si>
    <t>scenario</t>
  </si>
  <si>
    <t>Cambium_2021</t>
  </si>
  <si>
    <t>total_generation</t>
  </si>
  <si>
    <t>canada_generation</t>
  </si>
  <si>
    <t>biomass</t>
  </si>
  <si>
    <t>total_generation_adjusted</t>
  </si>
  <si>
    <t>total_coal</t>
  </si>
  <si>
    <t>total_natural_gas</t>
  </si>
  <si>
    <t>total_oil</t>
  </si>
  <si>
    <t>total_nuclear</t>
  </si>
  <si>
    <t>total_renewable</t>
  </si>
  <si>
    <t>fraction_coal</t>
  </si>
  <si>
    <t>fraction_natural_gas</t>
  </si>
  <si>
    <t>fraction_oil</t>
  </si>
  <si>
    <t>fraction_nuclear</t>
  </si>
  <si>
    <t>fraction_renewable</t>
  </si>
  <si>
    <t>cef_gen</t>
  </si>
  <si>
    <t>NaN</t>
  </si>
  <si>
    <t>year</t>
  </si>
  <si>
    <t>gea_region</t>
  </si>
  <si>
    <t>lrmer_co2e_kg_per_MWh</t>
  </si>
  <si>
    <t>srmer_co2e_kg_per_MWh</t>
  </si>
  <si>
    <t>aer_co2e_kg_per_MWh</t>
  </si>
  <si>
    <t>data_source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</si>
</sst>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9" fontId="16" fillId="0" borderId="0" xfId="0" applyNumberFormat="1" applyFont="1" applyAlignment="1">
      <alignment wrapText="1"/>
    </xf>
    <xf numFmtId="49" fontId="16" fillId="33" borderId="0" xfId="0" applyNumberFormat="1" applyFont="1" applyFill="1" applyAlignment="1">
      <alignment wrapText="1"/>
    </xf>
    <xf numFmtId="164" fontId="0" fillId="33" borderId="0" xfId="1" applyNumberFormat="1" applyFont="1" applyFill="1"/>
    <xf numFmtId="0" fontId="16" fillId="0" borderId="0" xfId="0" applyFont="1"/>
    <xf numFmtId="0" fontId="16" fillId="33" borderId="0" xfId="0" applyFont="1" applyFill="1"/>
    <xf numFmtId="1" fontId="0" fillId="0" borderId="0" xfId="0" applyNumberFormat="1"/>
    <xf numFmtId="1" fontId="0" fillId="33" borderId="0" xfId="0" applyNumberFormat="1" applyFill="1"/>
    <xf numFmtId="49" fontId="16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5432-1EF5-4BA6-9B92-A051C8C76986}">
  <dimension ref="A1:E301"/>
  <sheetViews>
    <sheetView tabSelected="1" workbookViewId="0"/>
  </sheetViews>
  <sheetFormatPr defaultColWidth="15.77734375" defaultRowHeight="14.4" x14ac:dyDescent="0.3"/>
  <cols>
    <col min="5" max="5" width="19.88671875" customWidth="1"/>
  </cols>
  <sheetData>
    <row r="1" spans="1:5" x14ac:dyDescent="0.3">
      <c r="A1" s="8" t="s">
        <v>201</v>
      </c>
      <c r="B1" s="8" t="s">
        <v>178</v>
      </c>
      <c r="C1" s="1" t="s">
        <v>197</v>
      </c>
      <c r="D1" s="1" t="s">
        <v>196</v>
      </c>
      <c r="E1" s="1" t="s">
        <v>112</v>
      </c>
    </row>
    <row r="2" spans="1:5" x14ac:dyDescent="0.3">
      <c r="A2" t="s">
        <v>179</v>
      </c>
      <c r="B2" t="s">
        <v>7</v>
      </c>
      <c r="C2" t="str">
        <f>StdScen21_MidCase_annual_gea!A6</f>
        <v>AZNMc</v>
      </c>
      <c r="D2" s="6">
        <f>StdScen21_MidCase_annual_gea!B6</f>
        <v>2022</v>
      </c>
      <c r="E2" s="6">
        <f>StdScen21_MidCase_annual_gea!BZ6</f>
        <v>32912356</v>
      </c>
    </row>
    <row r="3" spans="1:5" x14ac:dyDescent="0.3">
      <c r="A3" t="s">
        <v>179</v>
      </c>
      <c r="B3" t="s">
        <v>7</v>
      </c>
      <c r="C3" t="str">
        <f>StdScen21_MidCase_annual_gea!A7</f>
        <v>AZNMc</v>
      </c>
      <c r="D3" s="6">
        <f>StdScen21_MidCase_annual_gea!B7</f>
        <v>2024</v>
      </c>
      <c r="E3" s="6">
        <f>StdScen21_MidCase_annual_gea!BZ7</f>
        <v>27460646</v>
      </c>
    </row>
    <row r="4" spans="1:5" x14ac:dyDescent="0.3">
      <c r="A4" t="s">
        <v>179</v>
      </c>
      <c r="B4" t="s">
        <v>7</v>
      </c>
      <c r="C4" t="str">
        <f>StdScen21_MidCase_annual_gea!A8</f>
        <v>AZNMc</v>
      </c>
      <c r="D4" s="6">
        <f>StdScen21_MidCase_annual_gea!B8</f>
        <v>2026</v>
      </c>
      <c r="E4" s="6">
        <f>StdScen21_MidCase_annual_gea!BZ8</f>
        <v>26772840</v>
      </c>
    </row>
    <row r="5" spans="1:5" x14ac:dyDescent="0.3">
      <c r="A5" t="s">
        <v>179</v>
      </c>
      <c r="B5" t="s">
        <v>7</v>
      </c>
      <c r="C5" t="str">
        <f>StdScen21_MidCase_annual_gea!A9</f>
        <v>AZNMc</v>
      </c>
      <c r="D5" s="6">
        <f>StdScen21_MidCase_annual_gea!B9</f>
        <v>2028</v>
      </c>
      <c r="E5" s="6">
        <f>StdScen21_MidCase_annual_gea!BZ9</f>
        <v>26693880</v>
      </c>
    </row>
    <row r="6" spans="1:5" x14ac:dyDescent="0.3">
      <c r="A6" t="s">
        <v>179</v>
      </c>
      <c r="B6" t="s">
        <v>7</v>
      </c>
      <c r="C6" t="str">
        <f>StdScen21_MidCase_annual_gea!A10</f>
        <v>AZNMc</v>
      </c>
      <c r="D6" s="6">
        <f>StdScen21_MidCase_annual_gea!B10</f>
        <v>2030</v>
      </c>
      <c r="E6" s="6">
        <f>StdScen21_MidCase_annual_gea!BZ10</f>
        <v>24898662</v>
      </c>
    </row>
    <row r="7" spans="1:5" x14ac:dyDescent="0.3">
      <c r="A7" t="s">
        <v>179</v>
      </c>
      <c r="B7" t="s">
        <v>7</v>
      </c>
      <c r="C7" t="str">
        <f>StdScen21_MidCase_annual_gea!A11</f>
        <v>AZNMc</v>
      </c>
      <c r="D7" s="6">
        <f>StdScen21_MidCase_annual_gea!B11</f>
        <v>2032</v>
      </c>
      <c r="E7" s="6">
        <f>StdScen21_MidCase_annual_gea!BZ11</f>
        <v>3124446.2</v>
      </c>
    </row>
    <row r="8" spans="1:5" x14ac:dyDescent="0.3">
      <c r="A8" t="s">
        <v>179</v>
      </c>
      <c r="B8" t="s">
        <v>7</v>
      </c>
      <c r="C8" t="str">
        <f>StdScen21_MidCase_annual_gea!A12</f>
        <v>AZNMc</v>
      </c>
      <c r="D8" s="6">
        <f>StdScen21_MidCase_annual_gea!B12</f>
        <v>2034</v>
      </c>
      <c r="E8" s="6">
        <f>StdScen21_MidCase_annual_gea!BZ12</f>
        <v>3222318.5</v>
      </c>
    </row>
    <row r="9" spans="1:5" x14ac:dyDescent="0.3">
      <c r="A9" t="s">
        <v>179</v>
      </c>
      <c r="B9" t="s">
        <v>7</v>
      </c>
      <c r="C9" t="str">
        <f>StdScen21_MidCase_annual_gea!A13</f>
        <v>AZNMc</v>
      </c>
      <c r="D9" s="6">
        <f>StdScen21_MidCase_annual_gea!B13</f>
        <v>2036</v>
      </c>
      <c r="E9" s="6">
        <f>StdScen21_MidCase_annual_gea!BZ13</f>
        <v>3232877.5</v>
      </c>
    </row>
    <row r="10" spans="1:5" x14ac:dyDescent="0.3">
      <c r="A10" t="s">
        <v>179</v>
      </c>
      <c r="B10" t="s">
        <v>7</v>
      </c>
      <c r="C10" t="str">
        <f>StdScen21_MidCase_annual_gea!A14</f>
        <v>AZNMc</v>
      </c>
      <c r="D10" s="6">
        <f>StdScen21_MidCase_annual_gea!B14</f>
        <v>2038</v>
      </c>
      <c r="E10" s="6">
        <f>StdScen21_MidCase_annual_gea!BZ14</f>
        <v>3080689</v>
      </c>
    </row>
    <row r="11" spans="1:5" x14ac:dyDescent="0.3">
      <c r="A11" t="s">
        <v>179</v>
      </c>
      <c r="B11" t="s">
        <v>7</v>
      </c>
      <c r="C11" t="str">
        <f>StdScen21_MidCase_annual_gea!A15</f>
        <v>AZNMc</v>
      </c>
      <c r="D11" s="6">
        <f>StdScen21_MidCase_annual_gea!B15</f>
        <v>2040</v>
      </c>
      <c r="E11" s="6">
        <f>StdScen21_MidCase_annual_gea!BZ15</f>
        <v>2992300</v>
      </c>
    </row>
    <row r="12" spans="1:5" x14ac:dyDescent="0.3">
      <c r="A12" t="s">
        <v>179</v>
      </c>
      <c r="B12" t="s">
        <v>7</v>
      </c>
      <c r="C12" t="str">
        <f>StdScen21_MidCase_annual_gea!A16</f>
        <v>AZNMc</v>
      </c>
      <c r="D12" s="6">
        <f>StdScen21_MidCase_annual_gea!B16</f>
        <v>2042</v>
      </c>
      <c r="E12" s="6">
        <f>StdScen21_MidCase_annual_gea!BZ16</f>
        <v>3001166.2</v>
      </c>
    </row>
    <row r="13" spans="1:5" x14ac:dyDescent="0.3">
      <c r="A13" t="s">
        <v>179</v>
      </c>
      <c r="B13" t="s">
        <v>7</v>
      </c>
      <c r="C13" t="str">
        <f>StdScen21_MidCase_annual_gea!A17</f>
        <v>AZNMc</v>
      </c>
      <c r="D13" s="6">
        <f>StdScen21_MidCase_annual_gea!B17</f>
        <v>2044</v>
      </c>
      <c r="E13" s="6">
        <f>StdScen21_MidCase_annual_gea!BZ17</f>
        <v>2969367.5</v>
      </c>
    </row>
    <row r="14" spans="1:5" x14ac:dyDescent="0.3">
      <c r="A14" t="s">
        <v>179</v>
      </c>
      <c r="B14" t="s">
        <v>7</v>
      </c>
      <c r="C14" t="str">
        <f>StdScen21_MidCase_annual_gea!A18</f>
        <v>AZNMc</v>
      </c>
      <c r="D14" s="6">
        <f>StdScen21_MidCase_annual_gea!B18</f>
        <v>2046</v>
      </c>
      <c r="E14" s="6">
        <f>StdScen21_MidCase_annual_gea!BZ18</f>
        <v>2960824.8</v>
      </c>
    </row>
    <row r="15" spans="1:5" x14ac:dyDescent="0.3">
      <c r="A15" t="s">
        <v>179</v>
      </c>
      <c r="B15" t="s">
        <v>7</v>
      </c>
      <c r="C15" t="str">
        <f>StdScen21_MidCase_annual_gea!A19</f>
        <v>AZNMc</v>
      </c>
      <c r="D15" s="6">
        <f>StdScen21_MidCase_annual_gea!B19</f>
        <v>2048</v>
      </c>
      <c r="E15" s="6">
        <f>StdScen21_MidCase_annual_gea!BZ19</f>
        <v>2971840</v>
      </c>
    </row>
    <row r="16" spans="1:5" x14ac:dyDescent="0.3">
      <c r="A16" t="s">
        <v>179</v>
      </c>
      <c r="B16" t="s">
        <v>7</v>
      </c>
      <c r="C16" t="str">
        <f>StdScen21_MidCase_annual_gea!A20</f>
        <v>AZNMc</v>
      </c>
      <c r="D16" s="6">
        <f>StdScen21_MidCase_annual_gea!B20</f>
        <v>2050</v>
      </c>
      <c r="E16" s="6">
        <f>StdScen21_MidCase_annual_gea!BZ20</f>
        <v>2904931.2</v>
      </c>
    </row>
    <row r="17" spans="1:5" x14ac:dyDescent="0.3">
      <c r="A17" t="s">
        <v>179</v>
      </c>
      <c r="B17" t="s">
        <v>7</v>
      </c>
      <c r="C17" t="str">
        <f>StdScen21_MidCase_annual_gea!A21</f>
        <v>CAMXc</v>
      </c>
      <c r="D17" s="6">
        <f>StdScen21_MidCase_annual_gea!B21</f>
        <v>2022</v>
      </c>
      <c r="E17" s="6">
        <f>StdScen21_MidCase_annual_gea!BZ21</f>
        <v>0</v>
      </c>
    </row>
    <row r="18" spans="1:5" x14ac:dyDescent="0.3">
      <c r="A18" t="s">
        <v>179</v>
      </c>
      <c r="B18" t="s">
        <v>7</v>
      </c>
      <c r="C18" t="str">
        <f>StdScen21_MidCase_annual_gea!A22</f>
        <v>CAMXc</v>
      </c>
      <c r="D18" s="6">
        <f>StdScen21_MidCase_annual_gea!B22</f>
        <v>2024</v>
      </c>
      <c r="E18" s="6">
        <f>StdScen21_MidCase_annual_gea!BZ22</f>
        <v>0</v>
      </c>
    </row>
    <row r="19" spans="1:5" x14ac:dyDescent="0.3">
      <c r="A19" t="s">
        <v>179</v>
      </c>
      <c r="B19" t="s">
        <v>7</v>
      </c>
      <c r="C19" t="str">
        <f>StdScen21_MidCase_annual_gea!A23</f>
        <v>CAMXc</v>
      </c>
      <c r="D19" s="6">
        <f>StdScen21_MidCase_annual_gea!B23</f>
        <v>2026</v>
      </c>
      <c r="E19" s="6">
        <f>StdScen21_MidCase_annual_gea!BZ23</f>
        <v>0</v>
      </c>
    </row>
    <row r="20" spans="1:5" x14ac:dyDescent="0.3">
      <c r="A20" t="s">
        <v>179</v>
      </c>
      <c r="B20" t="s">
        <v>7</v>
      </c>
      <c r="C20" t="str">
        <f>StdScen21_MidCase_annual_gea!A24</f>
        <v>CAMXc</v>
      </c>
      <c r="D20" s="6">
        <f>StdScen21_MidCase_annual_gea!B24</f>
        <v>2028</v>
      </c>
      <c r="E20" s="6">
        <f>StdScen21_MidCase_annual_gea!BZ24</f>
        <v>0</v>
      </c>
    </row>
    <row r="21" spans="1:5" x14ac:dyDescent="0.3">
      <c r="A21" t="s">
        <v>179</v>
      </c>
      <c r="B21" t="s">
        <v>7</v>
      </c>
      <c r="C21" t="str">
        <f>StdScen21_MidCase_annual_gea!A25</f>
        <v>CAMXc</v>
      </c>
      <c r="D21" s="6">
        <f>StdScen21_MidCase_annual_gea!B25</f>
        <v>2030</v>
      </c>
      <c r="E21" s="6">
        <f>StdScen21_MidCase_annual_gea!BZ25</f>
        <v>0</v>
      </c>
    </row>
    <row r="22" spans="1:5" x14ac:dyDescent="0.3">
      <c r="A22" t="s">
        <v>179</v>
      </c>
      <c r="B22" t="s">
        <v>7</v>
      </c>
      <c r="C22" t="str">
        <f>StdScen21_MidCase_annual_gea!A26</f>
        <v>CAMXc</v>
      </c>
      <c r="D22" s="6">
        <f>StdScen21_MidCase_annual_gea!B26</f>
        <v>2032</v>
      </c>
      <c r="E22" s="6">
        <f>StdScen21_MidCase_annual_gea!BZ26</f>
        <v>0</v>
      </c>
    </row>
    <row r="23" spans="1:5" x14ac:dyDescent="0.3">
      <c r="A23" t="s">
        <v>179</v>
      </c>
      <c r="B23" t="s">
        <v>7</v>
      </c>
      <c r="C23" t="str">
        <f>StdScen21_MidCase_annual_gea!A27</f>
        <v>CAMXc</v>
      </c>
      <c r="D23" s="6">
        <f>StdScen21_MidCase_annual_gea!B27</f>
        <v>2034</v>
      </c>
      <c r="E23" s="6">
        <f>StdScen21_MidCase_annual_gea!BZ27</f>
        <v>0</v>
      </c>
    </row>
    <row r="24" spans="1:5" x14ac:dyDescent="0.3">
      <c r="A24" t="s">
        <v>179</v>
      </c>
      <c r="B24" t="s">
        <v>7</v>
      </c>
      <c r="C24" t="str">
        <f>StdScen21_MidCase_annual_gea!A28</f>
        <v>CAMXc</v>
      </c>
      <c r="D24" s="6">
        <f>StdScen21_MidCase_annual_gea!B28</f>
        <v>2036</v>
      </c>
      <c r="E24" s="6">
        <f>StdScen21_MidCase_annual_gea!BZ28</f>
        <v>0</v>
      </c>
    </row>
    <row r="25" spans="1:5" x14ac:dyDescent="0.3">
      <c r="A25" t="s">
        <v>179</v>
      </c>
      <c r="B25" t="s">
        <v>7</v>
      </c>
      <c r="C25" t="str">
        <f>StdScen21_MidCase_annual_gea!A29</f>
        <v>CAMXc</v>
      </c>
      <c r="D25" s="6">
        <f>StdScen21_MidCase_annual_gea!B29</f>
        <v>2038</v>
      </c>
      <c r="E25" s="6">
        <f>StdScen21_MidCase_annual_gea!BZ29</f>
        <v>0</v>
      </c>
    </row>
    <row r="26" spans="1:5" x14ac:dyDescent="0.3">
      <c r="A26" t="s">
        <v>179</v>
      </c>
      <c r="B26" t="s">
        <v>7</v>
      </c>
      <c r="C26" t="str">
        <f>StdScen21_MidCase_annual_gea!A30</f>
        <v>CAMXc</v>
      </c>
      <c r="D26" s="6">
        <f>StdScen21_MidCase_annual_gea!B30</f>
        <v>2040</v>
      </c>
      <c r="E26" s="6">
        <f>StdScen21_MidCase_annual_gea!BZ30</f>
        <v>0</v>
      </c>
    </row>
    <row r="27" spans="1:5" x14ac:dyDescent="0.3">
      <c r="A27" t="s">
        <v>179</v>
      </c>
      <c r="B27" t="s">
        <v>7</v>
      </c>
      <c r="C27" t="str">
        <f>StdScen21_MidCase_annual_gea!A31</f>
        <v>CAMXc</v>
      </c>
      <c r="D27" s="6">
        <f>StdScen21_MidCase_annual_gea!B31</f>
        <v>2042</v>
      </c>
      <c r="E27" s="6">
        <f>StdScen21_MidCase_annual_gea!BZ31</f>
        <v>0</v>
      </c>
    </row>
    <row r="28" spans="1:5" x14ac:dyDescent="0.3">
      <c r="A28" t="s">
        <v>179</v>
      </c>
      <c r="B28" t="s">
        <v>7</v>
      </c>
      <c r="C28" t="str">
        <f>StdScen21_MidCase_annual_gea!A32</f>
        <v>CAMXc</v>
      </c>
      <c r="D28" s="6">
        <f>StdScen21_MidCase_annual_gea!B32</f>
        <v>2044</v>
      </c>
      <c r="E28" s="6">
        <f>StdScen21_MidCase_annual_gea!BZ32</f>
        <v>0</v>
      </c>
    </row>
    <row r="29" spans="1:5" x14ac:dyDescent="0.3">
      <c r="A29" t="s">
        <v>179</v>
      </c>
      <c r="B29" t="s">
        <v>7</v>
      </c>
      <c r="C29" t="str">
        <f>StdScen21_MidCase_annual_gea!A33</f>
        <v>CAMXc</v>
      </c>
      <c r="D29" s="6">
        <f>StdScen21_MidCase_annual_gea!B33</f>
        <v>2046</v>
      </c>
      <c r="E29" s="6">
        <f>StdScen21_MidCase_annual_gea!BZ33</f>
        <v>0</v>
      </c>
    </row>
    <row r="30" spans="1:5" x14ac:dyDescent="0.3">
      <c r="A30" t="s">
        <v>179</v>
      </c>
      <c r="B30" t="s">
        <v>7</v>
      </c>
      <c r="C30" t="str">
        <f>StdScen21_MidCase_annual_gea!A34</f>
        <v>CAMXc</v>
      </c>
      <c r="D30" s="6">
        <f>StdScen21_MidCase_annual_gea!B34</f>
        <v>2048</v>
      </c>
      <c r="E30" s="6">
        <f>StdScen21_MidCase_annual_gea!BZ34</f>
        <v>0</v>
      </c>
    </row>
    <row r="31" spans="1:5" x14ac:dyDescent="0.3">
      <c r="A31" t="s">
        <v>179</v>
      </c>
      <c r="B31" t="s">
        <v>7</v>
      </c>
      <c r="C31" t="str">
        <f>StdScen21_MidCase_annual_gea!A35</f>
        <v>CAMXc</v>
      </c>
      <c r="D31" s="6">
        <f>StdScen21_MidCase_annual_gea!B35</f>
        <v>2050</v>
      </c>
      <c r="E31" s="6">
        <f>StdScen21_MidCase_annual_gea!BZ35</f>
        <v>0</v>
      </c>
    </row>
    <row r="32" spans="1:5" x14ac:dyDescent="0.3">
      <c r="A32" t="s">
        <v>179</v>
      </c>
      <c r="B32" t="s">
        <v>7</v>
      </c>
      <c r="C32" t="str">
        <f>StdScen21_MidCase_annual_gea!A36</f>
        <v>ERCTc</v>
      </c>
      <c r="D32" s="6">
        <f>StdScen21_MidCase_annual_gea!B36</f>
        <v>2022</v>
      </c>
      <c r="E32" s="6">
        <f>StdScen21_MidCase_annual_gea!BZ36</f>
        <v>79320080</v>
      </c>
    </row>
    <row r="33" spans="1:5" x14ac:dyDescent="0.3">
      <c r="A33" t="s">
        <v>179</v>
      </c>
      <c r="B33" t="s">
        <v>7</v>
      </c>
      <c r="C33" t="str">
        <f>StdScen21_MidCase_annual_gea!A37</f>
        <v>ERCTc</v>
      </c>
      <c r="D33" s="6">
        <f>StdScen21_MidCase_annual_gea!B37</f>
        <v>2024</v>
      </c>
      <c r="E33" s="6">
        <f>StdScen21_MidCase_annual_gea!BZ37</f>
        <v>55262344</v>
      </c>
    </row>
    <row r="34" spans="1:5" x14ac:dyDescent="0.3">
      <c r="A34" t="s">
        <v>179</v>
      </c>
      <c r="B34" t="s">
        <v>7</v>
      </c>
      <c r="C34" t="str">
        <f>StdScen21_MidCase_annual_gea!A38</f>
        <v>ERCTc</v>
      </c>
      <c r="D34" s="6">
        <f>StdScen21_MidCase_annual_gea!B38</f>
        <v>2026</v>
      </c>
      <c r="E34" s="6">
        <f>StdScen21_MidCase_annual_gea!BZ38</f>
        <v>53203070</v>
      </c>
    </row>
    <row r="35" spans="1:5" x14ac:dyDescent="0.3">
      <c r="A35" t="s">
        <v>179</v>
      </c>
      <c r="B35" t="s">
        <v>7</v>
      </c>
      <c r="C35" t="str">
        <f>StdScen21_MidCase_annual_gea!A39</f>
        <v>ERCTc</v>
      </c>
      <c r="D35" s="6">
        <f>StdScen21_MidCase_annual_gea!B39</f>
        <v>2028</v>
      </c>
      <c r="E35" s="6">
        <f>StdScen21_MidCase_annual_gea!BZ39</f>
        <v>61985880</v>
      </c>
    </row>
    <row r="36" spans="1:5" x14ac:dyDescent="0.3">
      <c r="A36" t="s">
        <v>179</v>
      </c>
      <c r="B36" t="s">
        <v>7</v>
      </c>
      <c r="C36" t="str">
        <f>StdScen21_MidCase_annual_gea!A40</f>
        <v>ERCTc</v>
      </c>
      <c r="D36" s="6">
        <f>StdScen21_MidCase_annual_gea!B40</f>
        <v>2030</v>
      </c>
      <c r="E36" s="6">
        <f>StdScen21_MidCase_annual_gea!BZ40</f>
        <v>60084120</v>
      </c>
    </row>
    <row r="37" spans="1:5" x14ac:dyDescent="0.3">
      <c r="A37" t="s">
        <v>179</v>
      </c>
      <c r="B37" t="s">
        <v>7</v>
      </c>
      <c r="C37" t="str">
        <f>StdScen21_MidCase_annual_gea!A41</f>
        <v>ERCTc</v>
      </c>
      <c r="D37" s="6">
        <f>StdScen21_MidCase_annual_gea!B41</f>
        <v>2032</v>
      </c>
      <c r="E37" s="6">
        <f>StdScen21_MidCase_annual_gea!BZ41</f>
        <v>59584652</v>
      </c>
    </row>
    <row r="38" spans="1:5" x14ac:dyDescent="0.3">
      <c r="A38" t="s">
        <v>179</v>
      </c>
      <c r="B38" t="s">
        <v>7</v>
      </c>
      <c r="C38" t="str">
        <f>StdScen21_MidCase_annual_gea!A42</f>
        <v>ERCTc</v>
      </c>
      <c r="D38" s="6">
        <f>StdScen21_MidCase_annual_gea!B42</f>
        <v>2034</v>
      </c>
      <c r="E38" s="6">
        <f>StdScen21_MidCase_annual_gea!BZ42</f>
        <v>57648628</v>
      </c>
    </row>
    <row r="39" spans="1:5" x14ac:dyDescent="0.3">
      <c r="A39" t="s">
        <v>179</v>
      </c>
      <c r="B39" t="s">
        <v>7</v>
      </c>
      <c r="C39" t="str">
        <f>StdScen21_MidCase_annual_gea!A43</f>
        <v>ERCTc</v>
      </c>
      <c r="D39" s="6">
        <f>StdScen21_MidCase_annual_gea!B43</f>
        <v>2036</v>
      </c>
      <c r="E39" s="6">
        <f>StdScen21_MidCase_annual_gea!BZ43</f>
        <v>49256500</v>
      </c>
    </row>
    <row r="40" spans="1:5" x14ac:dyDescent="0.3">
      <c r="A40" t="s">
        <v>179</v>
      </c>
      <c r="B40" t="s">
        <v>7</v>
      </c>
      <c r="C40" t="str">
        <f>StdScen21_MidCase_annual_gea!A44</f>
        <v>ERCTc</v>
      </c>
      <c r="D40" s="6">
        <f>StdScen21_MidCase_annual_gea!B44</f>
        <v>2038</v>
      </c>
      <c r="E40" s="6">
        <f>StdScen21_MidCase_annual_gea!BZ44</f>
        <v>43460804</v>
      </c>
    </row>
    <row r="41" spans="1:5" x14ac:dyDescent="0.3">
      <c r="A41" t="s">
        <v>179</v>
      </c>
      <c r="B41" t="s">
        <v>7</v>
      </c>
      <c r="C41" t="str">
        <f>StdScen21_MidCase_annual_gea!A45</f>
        <v>ERCTc</v>
      </c>
      <c r="D41" s="6">
        <f>StdScen21_MidCase_annual_gea!B45</f>
        <v>2040</v>
      </c>
      <c r="E41" s="6">
        <f>StdScen21_MidCase_annual_gea!BZ45</f>
        <v>40297420</v>
      </c>
    </row>
    <row r="42" spans="1:5" x14ac:dyDescent="0.3">
      <c r="A42" t="s">
        <v>179</v>
      </c>
      <c r="B42" t="s">
        <v>7</v>
      </c>
      <c r="C42" t="str">
        <f>StdScen21_MidCase_annual_gea!A46</f>
        <v>ERCTc</v>
      </c>
      <c r="D42" s="6">
        <f>StdScen21_MidCase_annual_gea!B46</f>
        <v>2042</v>
      </c>
      <c r="E42" s="6">
        <f>StdScen21_MidCase_annual_gea!BZ46</f>
        <v>37000868</v>
      </c>
    </row>
    <row r="43" spans="1:5" x14ac:dyDescent="0.3">
      <c r="A43" t="s">
        <v>179</v>
      </c>
      <c r="B43" t="s">
        <v>7</v>
      </c>
      <c r="C43" t="str">
        <f>StdScen21_MidCase_annual_gea!A47</f>
        <v>ERCTc</v>
      </c>
      <c r="D43" s="6">
        <f>StdScen21_MidCase_annual_gea!B47</f>
        <v>2044</v>
      </c>
      <c r="E43" s="6">
        <f>StdScen21_MidCase_annual_gea!BZ47</f>
        <v>38368590</v>
      </c>
    </row>
    <row r="44" spans="1:5" x14ac:dyDescent="0.3">
      <c r="A44" t="s">
        <v>179</v>
      </c>
      <c r="B44" t="s">
        <v>7</v>
      </c>
      <c r="C44" t="str">
        <f>StdScen21_MidCase_annual_gea!A48</f>
        <v>ERCTc</v>
      </c>
      <c r="D44" s="6">
        <f>StdScen21_MidCase_annual_gea!B48</f>
        <v>2046</v>
      </c>
      <c r="E44" s="6">
        <f>StdScen21_MidCase_annual_gea!BZ48</f>
        <v>39229510</v>
      </c>
    </row>
    <row r="45" spans="1:5" x14ac:dyDescent="0.3">
      <c r="A45" t="s">
        <v>179</v>
      </c>
      <c r="B45" t="s">
        <v>7</v>
      </c>
      <c r="C45" t="str">
        <f>StdScen21_MidCase_annual_gea!A49</f>
        <v>ERCTc</v>
      </c>
      <c r="D45" s="6">
        <f>StdScen21_MidCase_annual_gea!B49</f>
        <v>2048</v>
      </c>
      <c r="E45" s="6">
        <f>StdScen21_MidCase_annual_gea!BZ49</f>
        <v>43550636</v>
      </c>
    </row>
    <row r="46" spans="1:5" x14ac:dyDescent="0.3">
      <c r="A46" t="s">
        <v>179</v>
      </c>
      <c r="B46" t="s">
        <v>7</v>
      </c>
      <c r="C46" t="str">
        <f>StdScen21_MidCase_annual_gea!A50</f>
        <v>ERCTc</v>
      </c>
      <c r="D46" s="6">
        <f>StdScen21_MidCase_annual_gea!B50</f>
        <v>2050</v>
      </c>
      <c r="E46" s="6">
        <f>StdScen21_MidCase_annual_gea!BZ50</f>
        <v>34846224</v>
      </c>
    </row>
    <row r="47" spans="1:5" x14ac:dyDescent="0.3">
      <c r="A47" t="s">
        <v>179</v>
      </c>
      <c r="B47" t="s">
        <v>7</v>
      </c>
      <c r="C47" t="str">
        <f>StdScen21_MidCase_annual_gea!A51</f>
        <v>FRCCc</v>
      </c>
      <c r="D47" s="6">
        <f>StdScen21_MidCase_annual_gea!B51</f>
        <v>2022</v>
      </c>
      <c r="E47" s="6">
        <f>StdScen21_MidCase_annual_gea!BZ51</f>
        <v>34912332</v>
      </c>
    </row>
    <row r="48" spans="1:5" x14ac:dyDescent="0.3">
      <c r="A48" t="s">
        <v>179</v>
      </c>
      <c r="B48" t="s">
        <v>7</v>
      </c>
      <c r="C48" t="str">
        <f>StdScen21_MidCase_annual_gea!A52</f>
        <v>FRCCc</v>
      </c>
      <c r="D48" s="6">
        <f>StdScen21_MidCase_annual_gea!B52</f>
        <v>2024</v>
      </c>
      <c r="E48" s="6">
        <f>StdScen21_MidCase_annual_gea!BZ52</f>
        <v>22732202</v>
      </c>
    </row>
    <row r="49" spans="1:5" x14ac:dyDescent="0.3">
      <c r="A49" t="s">
        <v>179</v>
      </c>
      <c r="B49" t="s">
        <v>7</v>
      </c>
      <c r="C49" t="str">
        <f>StdScen21_MidCase_annual_gea!A53</f>
        <v>FRCCc</v>
      </c>
      <c r="D49" s="6">
        <f>StdScen21_MidCase_annual_gea!B53</f>
        <v>2026</v>
      </c>
      <c r="E49" s="6">
        <f>StdScen21_MidCase_annual_gea!BZ53</f>
        <v>23658042</v>
      </c>
    </row>
    <row r="50" spans="1:5" x14ac:dyDescent="0.3">
      <c r="A50" t="s">
        <v>179</v>
      </c>
      <c r="B50" t="s">
        <v>7</v>
      </c>
      <c r="C50" t="str">
        <f>StdScen21_MidCase_annual_gea!A54</f>
        <v>FRCCc</v>
      </c>
      <c r="D50" s="6">
        <f>StdScen21_MidCase_annual_gea!B54</f>
        <v>2028</v>
      </c>
      <c r="E50" s="6">
        <f>StdScen21_MidCase_annual_gea!BZ54</f>
        <v>29075014</v>
      </c>
    </row>
    <row r="51" spans="1:5" x14ac:dyDescent="0.3">
      <c r="A51" t="s">
        <v>179</v>
      </c>
      <c r="B51" t="s">
        <v>7</v>
      </c>
      <c r="C51" t="str">
        <f>StdScen21_MidCase_annual_gea!A55</f>
        <v>FRCCc</v>
      </c>
      <c r="D51" s="6">
        <f>StdScen21_MidCase_annual_gea!B55</f>
        <v>2030</v>
      </c>
      <c r="E51" s="6">
        <f>StdScen21_MidCase_annual_gea!BZ55</f>
        <v>25239292</v>
      </c>
    </row>
    <row r="52" spans="1:5" x14ac:dyDescent="0.3">
      <c r="A52" t="s">
        <v>179</v>
      </c>
      <c r="B52" t="s">
        <v>7</v>
      </c>
      <c r="C52" t="str">
        <f>StdScen21_MidCase_annual_gea!A56</f>
        <v>FRCCc</v>
      </c>
      <c r="D52" s="6">
        <f>StdScen21_MidCase_annual_gea!B56</f>
        <v>2032</v>
      </c>
      <c r="E52" s="6">
        <f>StdScen21_MidCase_annual_gea!BZ56</f>
        <v>23811968</v>
      </c>
    </row>
    <row r="53" spans="1:5" x14ac:dyDescent="0.3">
      <c r="A53" t="s">
        <v>179</v>
      </c>
      <c r="B53" t="s">
        <v>7</v>
      </c>
      <c r="C53" t="str">
        <f>StdScen21_MidCase_annual_gea!A57</f>
        <v>FRCCc</v>
      </c>
      <c r="D53" s="6">
        <f>StdScen21_MidCase_annual_gea!B57</f>
        <v>2034</v>
      </c>
      <c r="E53" s="6">
        <f>StdScen21_MidCase_annual_gea!BZ57</f>
        <v>23525620</v>
      </c>
    </row>
    <row r="54" spans="1:5" x14ac:dyDescent="0.3">
      <c r="A54" t="s">
        <v>179</v>
      </c>
      <c r="B54" t="s">
        <v>7</v>
      </c>
      <c r="C54" t="str">
        <f>StdScen21_MidCase_annual_gea!A58</f>
        <v>FRCCc</v>
      </c>
      <c r="D54" s="6">
        <f>StdScen21_MidCase_annual_gea!B58</f>
        <v>2036</v>
      </c>
      <c r="E54" s="6">
        <f>StdScen21_MidCase_annual_gea!BZ58</f>
        <v>24947610</v>
      </c>
    </row>
    <row r="55" spans="1:5" x14ac:dyDescent="0.3">
      <c r="A55" t="s">
        <v>179</v>
      </c>
      <c r="B55" t="s">
        <v>7</v>
      </c>
      <c r="C55" t="str">
        <f>StdScen21_MidCase_annual_gea!A59</f>
        <v>FRCCc</v>
      </c>
      <c r="D55" s="6">
        <f>StdScen21_MidCase_annual_gea!B59</f>
        <v>2038</v>
      </c>
      <c r="E55" s="6">
        <f>StdScen21_MidCase_annual_gea!BZ59</f>
        <v>23995644</v>
      </c>
    </row>
    <row r="56" spans="1:5" x14ac:dyDescent="0.3">
      <c r="A56" t="s">
        <v>179</v>
      </c>
      <c r="B56" t="s">
        <v>7</v>
      </c>
      <c r="C56" t="str">
        <f>StdScen21_MidCase_annual_gea!A60</f>
        <v>FRCCc</v>
      </c>
      <c r="D56" s="6">
        <f>StdScen21_MidCase_annual_gea!B60</f>
        <v>2040</v>
      </c>
      <c r="E56" s="6">
        <f>StdScen21_MidCase_annual_gea!BZ60</f>
        <v>22733622</v>
      </c>
    </row>
    <row r="57" spans="1:5" x14ac:dyDescent="0.3">
      <c r="A57" t="s">
        <v>179</v>
      </c>
      <c r="B57" t="s">
        <v>7</v>
      </c>
      <c r="C57" t="str">
        <f>StdScen21_MidCase_annual_gea!A61</f>
        <v>FRCCc</v>
      </c>
      <c r="D57" s="6">
        <f>StdScen21_MidCase_annual_gea!B61</f>
        <v>2042</v>
      </c>
      <c r="E57" s="6">
        <f>StdScen21_MidCase_annual_gea!BZ61</f>
        <v>20750386</v>
      </c>
    </row>
    <row r="58" spans="1:5" x14ac:dyDescent="0.3">
      <c r="A58" t="s">
        <v>179</v>
      </c>
      <c r="B58" t="s">
        <v>7</v>
      </c>
      <c r="C58" t="str">
        <f>StdScen21_MidCase_annual_gea!A62</f>
        <v>FRCCc</v>
      </c>
      <c r="D58" s="6">
        <f>StdScen21_MidCase_annual_gea!B62</f>
        <v>2044</v>
      </c>
      <c r="E58" s="6">
        <f>StdScen21_MidCase_annual_gea!BZ62</f>
        <v>21325528</v>
      </c>
    </row>
    <row r="59" spans="1:5" x14ac:dyDescent="0.3">
      <c r="A59" t="s">
        <v>179</v>
      </c>
      <c r="B59" t="s">
        <v>7</v>
      </c>
      <c r="C59" t="str">
        <f>StdScen21_MidCase_annual_gea!A63</f>
        <v>FRCCc</v>
      </c>
      <c r="D59" s="6">
        <f>StdScen21_MidCase_annual_gea!B63</f>
        <v>2046</v>
      </c>
      <c r="E59" s="6">
        <f>StdScen21_MidCase_annual_gea!BZ63</f>
        <v>18724044</v>
      </c>
    </row>
    <row r="60" spans="1:5" x14ac:dyDescent="0.3">
      <c r="A60" t="s">
        <v>179</v>
      </c>
      <c r="B60" t="s">
        <v>7</v>
      </c>
      <c r="C60" t="str">
        <f>StdScen21_MidCase_annual_gea!A64</f>
        <v>FRCCc</v>
      </c>
      <c r="D60" s="6">
        <f>StdScen21_MidCase_annual_gea!B64</f>
        <v>2048</v>
      </c>
      <c r="E60" s="6">
        <f>StdScen21_MidCase_annual_gea!BZ64</f>
        <v>20203938</v>
      </c>
    </row>
    <row r="61" spans="1:5" x14ac:dyDescent="0.3">
      <c r="A61" t="s">
        <v>179</v>
      </c>
      <c r="B61" t="s">
        <v>7</v>
      </c>
      <c r="C61" t="str">
        <f>StdScen21_MidCase_annual_gea!A65</f>
        <v>FRCCc</v>
      </c>
      <c r="D61" s="6">
        <f>StdScen21_MidCase_annual_gea!B65</f>
        <v>2050</v>
      </c>
      <c r="E61" s="6">
        <f>StdScen21_MidCase_annual_gea!BZ65</f>
        <v>17790966</v>
      </c>
    </row>
    <row r="62" spans="1:5" x14ac:dyDescent="0.3">
      <c r="A62" t="s">
        <v>179</v>
      </c>
      <c r="B62" t="s">
        <v>7</v>
      </c>
      <c r="C62" t="str">
        <f>StdScen21_MidCase_annual_gea!A66</f>
        <v>MROEc</v>
      </c>
      <c r="D62" s="6">
        <f>StdScen21_MidCase_annual_gea!B66</f>
        <v>2022</v>
      </c>
      <c r="E62" s="6">
        <f>StdScen21_MidCase_annual_gea!BZ66</f>
        <v>10496618</v>
      </c>
    </row>
    <row r="63" spans="1:5" x14ac:dyDescent="0.3">
      <c r="A63" t="s">
        <v>179</v>
      </c>
      <c r="B63" t="s">
        <v>7</v>
      </c>
      <c r="C63" t="str">
        <f>StdScen21_MidCase_annual_gea!A67</f>
        <v>MROEc</v>
      </c>
      <c r="D63" s="6">
        <f>StdScen21_MidCase_annual_gea!B67</f>
        <v>2024</v>
      </c>
      <c r="E63" s="6">
        <f>StdScen21_MidCase_annual_gea!BZ67</f>
        <v>9377072</v>
      </c>
    </row>
    <row r="64" spans="1:5" x14ac:dyDescent="0.3">
      <c r="A64" t="s">
        <v>179</v>
      </c>
      <c r="B64" t="s">
        <v>7</v>
      </c>
      <c r="C64" t="str">
        <f>StdScen21_MidCase_annual_gea!A68</f>
        <v>MROEc</v>
      </c>
      <c r="D64" s="6">
        <f>StdScen21_MidCase_annual_gea!B68</f>
        <v>2026</v>
      </c>
      <c r="E64" s="6">
        <f>StdScen21_MidCase_annual_gea!BZ68</f>
        <v>8490673</v>
      </c>
    </row>
    <row r="65" spans="1:5" x14ac:dyDescent="0.3">
      <c r="A65" t="s">
        <v>179</v>
      </c>
      <c r="B65" t="s">
        <v>7</v>
      </c>
      <c r="C65" t="str">
        <f>StdScen21_MidCase_annual_gea!A69</f>
        <v>MROEc</v>
      </c>
      <c r="D65" s="6">
        <f>StdScen21_MidCase_annual_gea!B69</f>
        <v>2028</v>
      </c>
      <c r="E65" s="6">
        <f>StdScen21_MidCase_annual_gea!BZ69</f>
        <v>8551274</v>
      </c>
    </row>
    <row r="66" spans="1:5" x14ac:dyDescent="0.3">
      <c r="A66" t="s">
        <v>179</v>
      </c>
      <c r="B66" t="s">
        <v>7</v>
      </c>
      <c r="C66" t="str">
        <f>StdScen21_MidCase_annual_gea!A70</f>
        <v>MROEc</v>
      </c>
      <c r="D66" s="6">
        <f>StdScen21_MidCase_annual_gea!B70</f>
        <v>2030</v>
      </c>
      <c r="E66" s="6">
        <f>StdScen21_MidCase_annual_gea!BZ70</f>
        <v>9451337</v>
      </c>
    </row>
    <row r="67" spans="1:5" x14ac:dyDescent="0.3">
      <c r="A67" t="s">
        <v>179</v>
      </c>
      <c r="B67" t="s">
        <v>7</v>
      </c>
      <c r="C67" t="str">
        <f>StdScen21_MidCase_annual_gea!A71</f>
        <v>MROEc</v>
      </c>
      <c r="D67" s="6">
        <f>StdScen21_MidCase_annual_gea!B71</f>
        <v>2032</v>
      </c>
      <c r="E67" s="6">
        <f>StdScen21_MidCase_annual_gea!BZ71</f>
        <v>9490604</v>
      </c>
    </row>
    <row r="68" spans="1:5" x14ac:dyDescent="0.3">
      <c r="A68" t="s">
        <v>179</v>
      </c>
      <c r="B68" t="s">
        <v>7</v>
      </c>
      <c r="C68" t="str">
        <f>StdScen21_MidCase_annual_gea!A72</f>
        <v>MROEc</v>
      </c>
      <c r="D68" s="6">
        <f>StdScen21_MidCase_annual_gea!B72</f>
        <v>2034</v>
      </c>
      <c r="E68" s="6">
        <f>StdScen21_MidCase_annual_gea!BZ72</f>
        <v>9188636</v>
      </c>
    </row>
    <row r="69" spans="1:5" x14ac:dyDescent="0.3">
      <c r="A69" t="s">
        <v>179</v>
      </c>
      <c r="B69" t="s">
        <v>7</v>
      </c>
      <c r="C69" t="str">
        <f>StdScen21_MidCase_annual_gea!A73</f>
        <v>MROEc</v>
      </c>
      <c r="D69" s="6">
        <f>StdScen21_MidCase_annual_gea!B73</f>
        <v>2036</v>
      </c>
      <c r="E69" s="6">
        <f>StdScen21_MidCase_annual_gea!BZ73</f>
        <v>8864920</v>
      </c>
    </row>
    <row r="70" spans="1:5" x14ac:dyDescent="0.3">
      <c r="A70" t="s">
        <v>179</v>
      </c>
      <c r="B70" t="s">
        <v>7</v>
      </c>
      <c r="C70" t="str">
        <f>StdScen21_MidCase_annual_gea!A74</f>
        <v>MROEc</v>
      </c>
      <c r="D70" s="6">
        <f>StdScen21_MidCase_annual_gea!B74</f>
        <v>2038</v>
      </c>
      <c r="E70" s="6">
        <f>StdScen21_MidCase_annual_gea!BZ74</f>
        <v>7707649</v>
      </c>
    </row>
    <row r="71" spans="1:5" x14ac:dyDescent="0.3">
      <c r="A71" t="s">
        <v>179</v>
      </c>
      <c r="B71" t="s">
        <v>7</v>
      </c>
      <c r="C71" t="str">
        <f>StdScen21_MidCase_annual_gea!A75</f>
        <v>MROEc</v>
      </c>
      <c r="D71" s="6">
        <f>StdScen21_MidCase_annual_gea!B75</f>
        <v>2040</v>
      </c>
      <c r="E71" s="6">
        <f>StdScen21_MidCase_annual_gea!BZ75</f>
        <v>7274591</v>
      </c>
    </row>
    <row r="72" spans="1:5" x14ac:dyDescent="0.3">
      <c r="A72" t="s">
        <v>179</v>
      </c>
      <c r="B72" t="s">
        <v>7</v>
      </c>
      <c r="C72" t="str">
        <f>StdScen21_MidCase_annual_gea!A76</f>
        <v>MROEc</v>
      </c>
      <c r="D72" s="6">
        <f>StdScen21_MidCase_annual_gea!B76</f>
        <v>2042</v>
      </c>
      <c r="E72" s="6">
        <f>StdScen21_MidCase_annual_gea!BZ76</f>
        <v>6964901.5</v>
      </c>
    </row>
    <row r="73" spans="1:5" x14ac:dyDescent="0.3">
      <c r="A73" t="s">
        <v>179</v>
      </c>
      <c r="B73" t="s">
        <v>7</v>
      </c>
      <c r="C73" t="str">
        <f>StdScen21_MidCase_annual_gea!A77</f>
        <v>MROEc</v>
      </c>
      <c r="D73" s="6">
        <f>StdScen21_MidCase_annual_gea!B77</f>
        <v>2044</v>
      </c>
      <c r="E73" s="6">
        <f>StdScen21_MidCase_annual_gea!BZ77</f>
        <v>6807869</v>
      </c>
    </row>
    <row r="74" spans="1:5" x14ac:dyDescent="0.3">
      <c r="A74" t="s">
        <v>179</v>
      </c>
      <c r="B74" t="s">
        <v>7</v>
      </c>
      <c r="C74" t="str">
        <f>StdScen21_MidCase_annual_gea!A78</f>
        <v>MROEc</v>
      </c>
      <c r="D74" s="6">
        <f>StdScen21_MidCase_annual_gea!B78</f>
        <v>2046</v>
      </c>
      <c r="E74" s="6">
        <f>StdScen21_MidCase_annual_gea!BZ78</f>
        <v>7159297</v>
      </c>
    </row>
    <row r="75" spans="1:5" x14ac:dyDescent="0.3">
      <c r="A75" t="s">
        <v>179</v>
      </c>
      <c r="B75" t="s">
        <v>7</v>
      </c>
      <c r="C75" t="str">
        <f>StdScen21_MidCase_annual_gea!A79</f>
        <v>MROEc</v>
      </c>
      <c r="D75" s="6">
        <f>StdScen21_MidCase_annual_gea!B79</f>
        <v>2048</v>
      </c>
      <c r="E75" s="6">
        <f>StdScen21_MidCase_annual_gea!BZ79</f>
        <v>6966297</v>
      </c>
    </row>
    <row r="76" spans="1:5" x14ac:dyDescent="0.3">
      <c r="A76" t="s">
        <v>179</v>
      </c>
      <c r="B76" t="s">
        <v>7</v>
      </c>
      <c r="C76" t="str">
        <f>StdScen21_MidCase_annual_gea!A80</f>
        <v>MROEc</v>
      </c>
      <c r="D76" s="6">
        <f>StdScen21_MidCase_annual_gea!B80</f>
        <v>2050</v>
      </c>
      <c r="E76" s="6">
        <f>StdScen21_MidCase_annual_gea!BZ80</f>
        <v>6529871</v>
      </c>
    </row>
    <row r="77" spans="1:5" x14ac:dyDescent="0.3">
      <c r="A77" t="s">
        <v>179</v>
      </c>
      <c r="B77" t="s">
        <v>7</v>
      </c>
      <c r="C77" t="str">
        <f>StdScen21_MidCase_annual_gea!A81</f>
        <v>MROWc</v>
      </c>
      <c r="D77" s="6">
        <f>StdScen21_MidCase_annual_gea!B81</f>
        <v>2022</v>
      </c>
      <c r="E77" s="6">
        <f>StdScen21_MidCase_annual_gea!BZ81</f>
        <v>65942388</v>
      </c>
    </row>
    <row r="78" spans="1:5" x14ac:dyDescent="0.3">
      <c r="A78" t="s">
        <v>179</v>
      </c>
      <c r="B78" t="s">
        <v>7</v>
      </c>
      <c r="C78" t="str">
        <f>StdScen21_MidCase_annual_gea!A82</f>
        <v>MROWc</v>
      </c>
      <c r="D78" s="6">
        <f>StdScen21_MidCase_annual_gea!B82</f>
        <v>2024</v>
      </c>
      <c r="E78" s="6">
        <f>StdScen21_MidCase_annual_gea!BZ82</f>
        <v>60430324</v>
      </c>
    </row>
    <row r="79" spans="1:5" x14ac:dyDescent="0.3">
      <c r="A79" t="s">
        <v>179</v>
      </c>
      <c r="B79" t="s">
        <v>7</v>
      </c>
      <c r="C79" t="str">
        <f>StdScen21_MidCase_annual_gea!A83</f>
        <v>MROWc</v>
      </c>
      <c r="D79" s="6">
        <f>StdScen21_MidCase_annual_gea!B83</f>
        <v>2026</v>
      </c>
      <c r="E79" s="6">
        <f>StdScen21_MidCase_annual_gea!BZ83</f>
        <v>52032120</v>
      </c>
    </row>
    <row r="80" spans="1:5" x14ac:dyDescent="0.3">
      <c r="A80" t="s">
        <v>179</v>
      </c>
      <c r="B80" t="s">
        <v>7</v>
      </c>
      <c r="C80" t="str">
        <f>StdScen21_MidCase_annual_gea!A84</f>
        <v>MROWc</v>
      </c>
      <c r="D80" s="6">
        <f>StdScen21_MidCase_annual_gea!B84</f>
        <v>2028</v>
      </c>
      <c r="E80" s="6">
        <f>StdScen21_MidCase_annual_gea!BZ84</f>
        <v>53210452</v>
      </c>
    </row>
    <row r="81" spans="1:5" x14ac:dyDescent="0.3">
      <c r="A81" t="s">
        <v>179</v>
      </c>
      <c r="B81" t="s">
        <v>7</v>
      </c>
      <c r="C81" t="str">
        <f>StdScen21_MidCase_annual_gea!A85</f>
        <v>MROWc</v>
      </c>
      <c r="D81" s="6">
        <f>StdScen21_MidCase_annual_gea!B85</f>
        <v>2030</v>
      </c>
      <c r="E81" s="6">
        <f>StdScen21_MidCase_annual_gea!BZ85</f>
        <v>53194612</v>
      </c>
    </row>
    <row r="82" spans="1:5" x14ac:dyDescent="0.3">
      <c r="A82" t="s">
        <v>179</v>
      </c>
      <c r="B82" t="s">
        <v>7</v>
      </c>
      <c r="C82" t="str">
        <f>StdScen21_MidCase_annual_gea!A86</f>
        <v>MROWc</v>
      </c>
      <c r="D82" s="6">
        <f>StdScen21_MidCase_annual_gea!B86</f>
        <v>2032</v>
      </c>
      <c r="E82" s="6">
        <f>StdScen21_MidCase_annual_gea!BZ86</f>
        <v>54178530</v>
      </c>
    </row>
    <row r="83" spans="1:5" x14ac:dyDescent="0.3">
      <c r="A83" t="s">
        <v>179</v>
      </c>
      <c r="B83" t="s">
        <v>7</v>
      </c>
      <c r="C83" t="str">
        <f>StdScen21_MidCase_annual_gea!A87</f>
        <v>MROWc</v>
      </c>
      <c r="D83" s="6">
        <f>StdScen21_MidCase_annual_gea!B87</f>
        <v>2034</v>
      </c>
      <c r="E83" s="6">
        <f>StdScen21_MidCase_annual_gea!BZ87</f>
        <v>43454144</v>
      </c>
    </row>
    <row r="84" spans="1:5" x14ac:dyDescent="0.3">
      <c r="A84" t="s">
        <v>179</v>
      </c>
      <c r="B84" t="s">
        <v>7</v>
      </c>
      <c r="C84" t="str">
        <f>StdScen21_MidCase_annual_gea!A88</f>
        <v>MROWc</v>
      </c>
      <c r="D84" s="6">
        <f>StdScen21_MidCase_annual_gea!B88</f>
        <v>2036</v>
      </c>
      <c r="E84" s="6">
        <f>StdScen21_MidCase_annual_gea!BZ88</f>
        <v>41430056</v>
      </c>
    </row>
    <row r="85" spans="1:5" x14ac:dyDescent="0.3">
      <c r="A85" t="s">
        <v>179</v>
      </c>
      <c r="B85" t="s">
        <v>7</v>
      </c>
      <c r="C85" t="str">
        <f>StdScen21_MidCase_annual_gea!A89</f>
        <v>MROWc</v>
      </c>
      <c r="D85" s="6">
        <f>StdScen21_MidCase_annual_gea!B89</f>
        <v>2038</v>
      </c>
      <c r="E85" s="6">
        <f>StdScen21_MidCase_annual_gea!BZ89</f>
        <v>37398800</v>
      </c>
    </row>
    <row r="86" spans="1:5" x14ac:dyDescent="0.3">
      <c r="A86" t="s">
        <v>179</v>
      </c>
      <c r="B86" t="s">
        <v>7</v>
      </c>
      <c r="C86" t="str">
        <f>StdScen21_MidCase_annual_gea!A90</f>
        <v>MROWc</v>
      </c>
      <c r="D86" s="6">
        <f>StdScen21_MidCase_annual_gea!B90</f>
        <v>2040</v>
      </c>
      <c r="E86" s="6">
        <f>StdScen21_MidCase_annual_gea!BZ90</f>
        <v>37400844</v>
      </c>
    </row>
    <row r="87" spans="1:5" x14ac:dyDescent="0.3">
      <c r="A87" t="s">
        <v>179</v>
      </c>
      <c r="B87" t="s">
        <v>7</v>
      </c>
      <c r="C87" t="str">
        <f>StdScen21_MidCase_annual_gea!A91</f>
        <v>MROWc</v>
      </c>
      <c r="D87" s="6">
        <f>StdScen21_MidCase_annual_gea!B91</f>
        <v>2042</v>
      </c>
      <c r="E87" s="6">
        <f>StdScen21_MidCase_annual_gea!BZ91</f>
        <v>36909156</v>
      </c>
    </row>
    <row r="88" spans="1:5" x14ac:dyDescent="0.3">
      <c r="A88" t="s">
        <v>179</v>
      </c>
      <c r="B88" t="s">
        <v>7</v>
      </c>
      <c r="C88" t="str">
        <f>StdScen21_MidCase_annual_gea!A92</f>
        <v>MROWc</v>
      </c>
      <c r="D88" s="6">
        <f>StdScen21_MidCase_annual_gea!B92</f>
        <v>2044</v>
      </c>
      <c r="E88" s="6">
        <f>StdScen21_MidCase_annual_gea!BZ92</f>
        <v>32498342</v>
      </c>
    </row>
    <row r="89" spans="1:5" x14ac:dyDescent="0.3">
      <c r="A89" t="s">
        <v>179</v>
      </c>
      <c r="B89" t="s">
        <v>7</v>
      </c>
      <c r="C89" t="str">
        <f>StdScen21_MidCase_annual_gea!A93</f>
        <v>MROWc</v>
      </c>
      <c r="D89" s="6">
        <f>StdScen21_MidCase_annual_gea!B93</f>
        <v>2046</v>
      </c>
      <c r="E89" s="6">
        <f>StdScen21_MidCase_annual_gea!BZ93</f>
        <v>31319828</v>
      </c>
    </row>
    <row r="90" spans="1:5" x14ac:dyDescent="0.3">
      <c r="A90" t="s">
        <v>179</v>
      </c>
      <c r="B90" t="s">
        <v>7</v>
      </c>
      <c r="C90" t="str">
        <f>StdScen21_MidCase_annual_gea!A94</f>
        <v>MROWc</v>
      </c>
      <c r="D90" s="6">
        <f>StdScen21_MidCase_annual_gea!B94</f>
        <v>2048</v>
      </c>
      <c r="E90" s="6">
        <f>StdScen21_MidCase_annual_gea!BZ94</f>
        <v>29794778</v>
      </c>
    </row>
    <row r="91" spans="1:5" x14ac:dyDescent="0.3">
      <c r="A91" t="s">
        <v>179</v>
      </c>
      <c r="B91" t="s">
        <v>7</v>
      </c>
      <c r="C91" t="str">
        <f>StdScen21_MidCase_annual_gea!A95</f>
        <v>MROWc</v>
      </c>
      <c r="D91" s="6">
        <f>StdScen21_MidCase_annual_gea!B95</f>
        <v>2050</v>
      </c>
      <c r="E91" s="6">
        <f>StdScen21_MidCase_annual_gea!BZ95</f>
        <v>24527374</v>
      </c>
    </row>
    <row r="92" spans="1:5" x14ac:dyDescent="0.3">
      <c r="A92" t="s">
        <v>179</v>
      </c>
      <c r="B92" t="s">
        <v>7</v>
      </c>
      <c r="C92" t="str">
        <f>StdScen21_MidCase_annual_gea!A96</f>
        <v>NEWEc</v>
      </c>
      <c r="D92" s="6">
        <f>StdScen21_MidCase_annual_gea!B96</f>
        <v>2022</v>
      </c>
      <c r="E92" s="6">
        <f>StdScen21_MidCase_annual_gea!BZ96</f>
        <v>1097604.8</v>
      </c>
    </row>
    <row r="93" spans="1:5" x14ac:dyDescent="0.3">
      <c r="A93" t="s">
        <v>179</v>
      </c>
      <c r="B93" t="s">
        <v>7</v>
      </c>
      <c r="C93" t="str">
        <f>StdScen21_MidCase_annual_gea!A97</f>
        <v>NEWEc</v>
      </c>
      <c r="D93" s="6">
        <f>StdScen21_MidCase_annual_gea!B97</f>
        <v>2024</v>
      </c>
      <c r="E93" s="6">
        <f>StdScen21_MidCase_annual_gea!BZ97</f>
        <v>0</v>
      </c>
    </row>
    <row r="94" spans="1:5" x14ac:dyDescent="0.3">
      <c r="A94" t="s">
        <v>179</v>
      </c>
      <c r="B94" t="s">
        <v>7</v>
      </c>
      <c r="C94" t="str">
        <f>StdScen21_MidCase_annual_gea!A98</f>
        <v>NEWEc</v>
      </c>
      <c r="D94" s="6">
        <f>StdScen21_MidCase_annual_gea!B98</f>
        <v>2026</v>
      </c>
      <c r="E94" s="6">
        <f>StdScen21_MidCase_annual_gea!BZ98</f>
        <v>0</v>
      </c>
    </row>
    <row r="95" spans="1:5" x14ac:dyDescent="0.3">
      <c r="A95" t="s">
        <v>179</v>
      </c>
      <c r="B95" t="s">
        <v>7</v>
      </c>
      <c r="C95" t="str">
        <f>StdScen21_MidCase_annual_gea!A99</f>
        <v>NEWEc</v>
      </c>
      <c r="D95" s="6">
        <f>StdScen21_MidCase_annual_gea!B99</f>
        <v>2028</v>
      </c>
      <c r="E95" s="6">
        <f>StdScen21_MidCase_annual_gea!BZ99</f>
        <v>0</v>
      </c>
    </row>
    <row r="96" spans="1:5" x14ac:dyDescent="0.3">
      <c r="A96" t="s">
        <v>179</v>
      </c>
      <c r="B96" t="s">
        <v>7</v>
      </c>
      <c r="C96" t="str">
        <f>StdScen21_MidCase_annual_gea!A100</f>
        <v>NEWEc</v>
      </c>
      <c r="D96" s="6">
        <f>StdScen21_MidCase_annual_gea!B100</f>
        <v>2030</v>
      </c>
      <c r="E96" s="6">
        <f>StdScen21_MidCase_annual_gea!BZ100</f>
        <v>0</v>
      </c>
    </row>
    <row r="97" spans="1:5" x14ac:dyDescent="0.3">
      <c r="A97" t="s">
        <v>179</v>
      </c>
      <c r="B97" t="s">
        <v>7</v>
      </c>
      <c r="C97" t="str">
        <f>StdScen21_MidCase_annual_gea!A101</f>
        <v>NEWEc</v>
      </c>
      <c r="D97" s="6">
        <f>StdScen21_MidCase_annual_gea!B101</f>
        <v>2032</v>
      </c>
      <c r="E97" s="6">
        <f>StdScen21_MidCase_annual_gea!BZ101</f>
        <v>0</v>
      </c>
    </row>
    <row r="98" spans="1:5" x14ac:dyDescent="0.3">
      <c r="A98" t="s">
        <v>179</v>
      </c>
      <c r="B98" t="s">
        <v>7</v>
      </c>
      <c r="C98" t="str">
        <f>StdScen21_MidCase_annual_gea!A102</f>
        <v>NEWEc</v>
      </c>
      <c r="D98" s="6">
        <f>StdScen21_MidCase_annual_gea!B102</f>
        <v>2034</v>
      </c>
      <c r="E98" s="6">
        <f>StdScen21_MidCase_annual_gea!BZ102</f>
        <v>0</v>
      </c>
    </row>
    <row r="99" spans="1:5" x14ac:dyDescent="0.3">
      <c r="A99" t="s">
        <v>179</v>
      </c>
      <c r="B99" t="s">
        <v>7</v>
      </c>
      <c r="C99" t="str">
        <f>StdScen21_MidCase_annual_gea!A103</f>
        <v>NEWEc</v>
      </c>
      <c r="D99" s="6">
        <f>StdScen21_MidCase_annual_gea!B103</f>
        <v>2036</v>
      </c>
      <c r="E99" s="6">
        <f>StdScen21_MidCase_annual_gea!BZ103</f>
        <v>0</v>
      </c>
    </row>
    <row r="100" spans="1:5" x14ac:dyDescent="0.3">
      <c r="A100" t="s">
        <v>179</v>
      </c>
      <c r="B100" t="s">
        <v>7</v>
      </c>
      <c r="C100" t="str">
        <f>StdScen21_MidCase_annual_gea!A104</f>
        <v>NEWEc</v>
      </c>
      <c r="D100" s="6">
        <f>StdScen21_MidCase_annual_gea!B104</f>
        <v>2038</v>
      </c>
      <c r="E100" s="6">
        <f>StdScen21_MidCase_annual_gea!BZ104</f>
        <v>0</v>
      </c>
    </row>
    <row r="101" spans="1:5" x14ac:dyDescent="0.3">
      <c r="A101" t="s">
        <v>179</v>
      </c>
      <c r="B101" t="s">
        <v>7</v>
      </c>
      <c r="C101" t="str">
        <f>StdScen21_MidCase_annual_gea!A105</f>
        <v>NEWEc</v>
      </c>
      <c r="D101" s="6">
        <f>StdScen21_MidCase_annual_gea!B105</f>
        <v>2040</v>
      </c>
      <c r="E101" s="6">
        <f>StdScen21_MidCase_annual_gea!BZ105</f>
        <v>0</v>
      </c>
    </row>
    <row r="102" spans="1:5" x14ac:dyDescent="0.3">
      <c r="A102" t="s">
        <v>179</v>
      </c>
      <c r="B102" t="s">
        <v>7</v>
      </c>
      <c r="C102" t="str">
        <f>StdScen21_MidCase_annual_gea!A106</f>
        <v>NEWEc</v>
      </c>
      <c r="D102" s="6">
        <f>StdScen21_MidCase_annual_gea!B106</f>
        <v>2042</v>
      </c>
      <c r="E102" s="6">
        <f>StdScen21_MidCase_annual_gea!BZ106</f>
        <v>0</v>
      </c>
    </row>
    <row r="103" spans="1:5" x14ac:dyDescent="0.3">
      <c r="A103" t="s">
        <v>179</v>
      </c>
      <c r="B103" t="s">
        <v>7</v>
      </c>
      <c r="C103" t="str">
        <f>StdScen21_MidCase_annual_gea!A107</f>
        <v>NEWEc</v>
      </c>
      <c r="D103" s="6">
        <f>StdScen21_MidCase_annual_gea!B107</f>
        <v>2044</v>
      </c>
      <c r="E103" s="6">
        <f>StdScen21_MidCase_annual_gea!BZ107</f>
        <v>0</v>
      </c>
    </row>
    <row r="104" spans="1:5" x14ac:dyDescent="0.3">
      <c r="A104" t="s">
        <v>179</v>
      </c>
      <c r="B104" t="s">
        <v>7</v>
      </c>
      <c r="C104" t="str">
        <f>StdScen21_MidCase_annual_gea!A108</f>
        <v>NEWEc</v>
      </c>
      <c r="D104" s="6">
        <f>StdScen21_MidCase_annual_gea!B108</f>
        <v>2046</v>
      </c>
      <c r="E104" s="6">
        <f>StdScen21_MidCase_annual_gea!BZ108</f>
        <v>0</v>
      </c>
    </row>
    <row r="105" spans="1:5" x14ac:dyDescent="0.3">
      <c r="A105" t="s">
        <v>179</v>
      </c>
      <c r="B105" t="s">
        <v>7</v>
      </c>
      <c r="C105" t="str">
        <f>StdScen21_MidCase_annual_gea!A109</f>
        <v>NEWEc</v>
      </c>
      <c r="D105" s="6">
        <f>StdScen21_MidCase_annual_gea!B109</f>
        <v>2048</v>
      </c>
      <c r="E105" s="6">
        <f>StdScen21_MidCase_annual_gea!BZ109</f>
        <v>0</v>
      </c>
    </row>
    <row r="106" spans="1:5" x14ac:dyDescent="0.3">
      <c r="A106" t="s">
        <v>179</v>
      </c>
      <c r="B106" t="s">
        <v>7</v>
      </c>
      <c r="C106" t="str">
        <f>StdScen21_MidCase_annual_gea!A110</f>
        <v>NEWEc</v>
      </c>
      <c r="D106" s="6">
        <f>StdScen21_MidCase_annual_gea!B110</f>
        <v>2050</v>
      </c>
      <c r="E106" s="6">
        <f>StdScen21_MidCase_annual_gea!BZ110</f>
        <v>0</v>
      </c>
    </row>
    <row r="107" spans="1:5" x14ac:dyDescent="0.3">
      <c r="A107" t="s">
        <v>179</v>
      </c>
      <c r="B107" t="s">
        <v>7</v>
      </c>
      <c r="C107" t="str">
        <f>StdScen21_MidCase_annual_gea!A111</f>
        <v>NWPPc</v>
      </c>
      <c r="D107" s="6">
        <f>StdScen21_MidCase_annual_gea!B111</f>
        <v>2022</v>
      </c>
      <c r="E107" s="6">
        <f>StdScen21_MidCase_annual_gea!BZ111</f>
        <v>57196344</v>
      </c>
    </row>
    <row r="108" spans="1:5" x14ac:dyDescent="0.3">
      <c r="A108" t="s">
        <v>179</v>
      </c>
      <c r="B108" t="s">
        <v>7</v>
      </c>
      <c r="C108" t="str">
        <f>StdScen21_MidCase_annual_gea!A112</f>
        <v>NWPPc</v>
      </c>
      <c r="D108" s="6">
        <f>StdScen21_MidCase_annual_gea!B112</f>
        <v>2024</v>
      </c>
      <c r="E108" s="6">
        <f>StdScen21_MidCase_annual_gea!BZ112</f>
        <v>26043730</v>
      </c>
    </row>
    <row r="109" spans="1:5" x14ac:dyDescent="0.3">
      <c r="A109" t="s">
        <v>179</v>
      </c>
      <c r="B109" t="s">
        <v>7</v>
      </c>
      <c r="C109" t="str">
        <f>StdScen21_MidCase_annual_gea!A113</f>
        <v>NWPPc</v>
      </c>
      <c r="D109" s="6">
        <f>StdScen21_MidCase_annual_gea!B113</f>
        <v>2026</v>
      </c>
      <c r="E109" s="6">
        <f>StdScen21_MidCase_annual_gea!BZ113</f>
        <v>29388076</v>
      </c>
    </row>
    <row r="110" spans="1:5" x14ac:dyDescent="0.3">
      <c r="A110" t="s">
        <v>179</v>
      </c>
      <c r="B110" t="s">
        <v>7</v>
      </c>
      <c r="C110" t="str">
        <f>StdScen21_MidCase_annual_gea!A114</f>
        <v>NWPPc</v>
      </c>
      <c r="D110" s="6">
        <f>StdScen21_MidCase_annual_gea!B114</f>
        <v>2028</v>
      </c>
      <c r="E110" s="6">
        <f>StdScen21_MidCase_annual_gea!BZ114</f>
        <v>29972484</v>
      </c>
    </row>
    <row r="111" spans="1:5" x14ac:dyDescent="0.3">
      <c r="A111" t="s">
        <v>179</v>
      </c>
      <c r="B111" t="s">
        <v>7</v>
      </c>
      <c r="C111" t="str">
        <f>StdScen21_MidCase_annual_gea!A115</f>
        <v>NWPPc</v>
      </c>
      <c r="D111" s="6">
        <f>StdScen21_MidCase_annual_gea!B115</f>
        <v>2030</v>
      </c>
      <c r="E111" s="6">
        <f>StdScen21_MidCase_annual_gea!BZ115</f>
        <v>26015602</v>
      </c>
    </row>
    <row r="112" spans="1:5" x14ac:dyDescent="0.3">
      <c r="A112" t="s">
        <v>179</v>
      </c>
      <c r="B112" t="s">
        <v>7</v>
      </c>
      <c r="C112" t="str">
        <f>StdScen21_MidCase_annual_gea!A116</f>
        <v>NWPPc</v>
      </c>
      <c r="D112" s="6">
        <f>StdScen21_MidCase_annual_gea!B116</f>
        <v>2032</v>
      </c>
      <c r="E112" s="6">
        <f>StdScen21_MidCase_annual_gea!BZ116</f>
        <v>27383156</v>
      </c>
    </row>
    <row r="113" spans="1:5" x14ac:dyDescent="0.3">
      <c r="A113" t="s">
        <v>179</v>
      </c>
      <c r="B113" t="s">
        <v>7</v>
      </c>
      <c r="C113" t="str">
        <f>StdScen21_MidCase_annual_gea!A117</f>
        <v>NWPPc</v>
      </c>
      <c r="D113" s="6">
        <f>StdScen21_MidCase_annual_gea!B117</f>
        <v>2034</v>
      </c>
      <c r="E113" s="6">
        <f>StdScen21_MidCase_annual_gea!BZ117</f>
        <v>27880572</v>
      </c>
    </row>
    <row r="114" spans="1:5" x14ac:dyDescent="0.3">
      <c r="A114" t="s">
        <v>179</v>
      </c>
      <c r="B114" t="s">
        <v>7</v>
      </c>
      <c r="C114" t="str">
        <f>StdScen21_MidCase_annual_gea!A118</f>
        <v>NWPPc</v>
      </c>
      <c r="D114" s="6">
        <f>StdScen21_MidCase_annual_gea!B118</f>
        <v>2036</v>
      </c>
      <c r="E114" s="6">
        <f>StdScen21_MidCase_annual_gea!BZ118</f>
        <v>27847700</v>
      </c>
    </row>
    <row r="115" spans="1:5" x14ac:dyDescent="0.3">
      <c r="A115" t="s">
        <v>179</v>
      </c>
      <c r="B115" t="s">
        <v>7</v>
      </c>
      <c r="C115" t="str">
        <f>StdScen21_MidCase_annual_gea!A119</f>
        <v>NWPPc</v>
      </c>
      <c r="D115" s="6">
        <f>StdScen21_MidCase_annual_gea!B119</f>
        <v>2038</v>
      </c>
      <c r="E115" s="6">
        <f>StdScen21_MidCase_annual_gea!BZ119</f>
        <v>19950870</v>
      </c>
    </row>
    <row r="116" spans="1:5" x14ac:dyDescent="0.3">
      <c r="A116" t="s">
        <v>179</v>
      </c>
      <c r="B116" t="s">
        <v>7</v>
      </c>
      <c r="C116" t="str">
        <f>StdScen21_MidCase_annual_gea!A120</f>
        <v>NWPPc</v>
      </c>
      <c r="D116" s="6">
        <f>StdScen21_MidCase_annual_gea!B120</f>
        <v>2040</v>
      </c>
      <c r="E116" s="6">
        <f>StdScen21_MidCase_annual_gea!BZ120</f>
        <v>19262998</v>
      </c>
    </row>
    <row r="117" spans="1:5" x14ac:dyDescent="0.3">
      <c r="A117" t="s">
        <v>179</v>
      </c>
      <c r="B117" t="s">
        <v>7</v>
      </c>
      <c r="C117" t="str">
        <f>StdScen21_MidCase_annual_gea!A121</f>
        <v>NWPPc</v>
      </c>
      <c r="D117" s="6">
        <f>StdScen21_MidCase_annual_gea!B121</f>
        <v>2042</v>
      </c>
      <c r="E117" s="6">
        <f>StdScen21_MidCase_annual_gea!BZ121</f>
        <v>19291984</v>
      </c>
    </row>
    <row r="118" spans="1:5" x14ac:dyDescent="0.3">
      <c r="A118" t="s">
        <v>179</v>
      </c>
      <c r="B118" t="s">
        <v>7</v>
      </c>
      <c r="C118" t="str">
        <f>StdScen21_MidCase_annual_gea!A122</f>
        <v>NWPPc</v>
      </c>
      <c r="D118" s="6">
        <f>StdScen21_MidCase_annual_gea!B122</f>
        <v>2044</v>
      </c>
      <c r="E118" s="6">
        <f>StdScen21_MidCase_annual_gea!BZ122</f>
        <v>17384876</v>
      </c>
    </row>
    <row r="119" spans="1:5" x14ac:dyDescent="0.3">
      <c r="A119" t="s">
        <v>179</v>
      </c>
      <c r="B119" t="s">
        <v>7</v>
      </c>
      <c r="C119" t="str">
        <f>StdScen21_MidCase_annual_gea!A123</f>
        <v>NWPPc</v>
      </c>
      <c r="D119" s="6">
        <f>StdScen21_MidCase_annual_gea!B123</f>
        <v>2046</v>
      </c>
      <c r="E119" s="6">
        <f>StdScen21_MidCase_annual_gea!BZ123</f>
        <v>15607125</v>
      </c>
    </row>
    <row r="120" spans="1:5" x14ac:dyDescent="0.3">
      <c r="A120" t="s">
        <v>179</v>
      </c>
      <c r="B120" t="s">
        <v>7</v>
      </c>
      <c r="C120" t="str">
        <f>StdScen21_MidCase_annual_gea!A124</f>
        <v>NWPPc</v>
      </c>
      <c r="D120" s="6">
        <f>StdScen21_MidCase_annual_gea!B124</f>
        <v>2048</v>
      </c>
      <c r="E120" s="6">
        <f>StdScen21_MidCase_annual_gea!BZ124</f>
        <v>15612162</v>
      </c>
    </row>
    <row r="121" spans="1:5" x14ac:dyDescent="0.3">
      <c r="A121" t="s">
        <v>179</v>
      </c>
      <c r="B121" t="s">
        <v>7</v>
      </c>
      <c r="C121" t="str">
        <f>StdScen21_MidCase_annual_gea!A125</f>
        <v>NWPPc</v>
      </c>
      <c r="D121" s="6">
        <f>StdScen21_MidCase_annual_gea!B125</f>
        <v>2050</v>
      </c>
      <c r="E121" s="6">
        <f>StdScen21_MidCase_annual_gea!BZ125</f>
        <v>12706690</v>
      </c>
    </row>
    <row r="122" spans="1:5" x14ac:dyDescent="0.3">
      <c r="A122" t="s">
        <v>179</v>
      </c>
      <c r="B122" t="s">
        <v>7</v>
      </c>
      <c r="C122" t="str">
        <f>StdScen21_MidCase_annual_gea!A126</f>
        <v>NYSTc</v>
      </c>
      <c r="D122" s="6">
        <f>StdScen21_MidCase_annual_gea!B126</f>
        <v>2022</v>
      </c>
      <c r="E122" s="6">
        <f>StdScen21_MidCase_annual_gea!BZ126</f>
        <v>973114.4</v>
      </c>
    </row>
    <row r="123" spans="1:5" x14ac:dyDescent="0.3">
      <c r="A123" t="s">
        <v>179</v>
      </c>
      <c r="B123" t="s">
        <v>7</v>
      </c>
      <c r="C123" t="str">
        <f>StdScen21_MidCase_annual_gea!A127</f>
        <v>NYSTc</v>
      </c>
      <c r="D123" s="6">
        <f>StdScen21_MidCase_annual_gea!B127</f>
        <v>2024</v>
      </c>
      <c r="E123" s="6">
        <f>StdScen21_MidCase_annual_gea!BZ127</f>
        <v>360830.2</v>
      </c>
    </row>
    <row r="124" spans="1:5" x14ac:dyDescent="0.3">
      <c r="A124" t="s">
        <v>179</v>
      </c>
      <c r="B124" t="s">
        <v>7</v>
      </c>
      <c r="C124" t="str">
        <f>StdScen21_MidCase_annual_gea!A128</f>
        <v>NYSTc</v>
      </c>
      <c r="D124" s="6">
        <f>StdScen21_MidCase_annual_gea!B128</f>
        <v>2026</v>
      </c>
      <c r="E124" s="6">
        <f>StdScen21_MidCase_annual_gea!BZ128</f>
        <v>351794</v>
      </c>
    </row>
    <row r="125" spans="1:5" x14ac:dyDescent="0.3">
      <c r="A125" t="s">
        <v>179</v>
      </c>
      <c r="B125" t="s">
        <v>7</v>
      </c>
      <c r="C125" t="str">
        <f>StdScen21_MidCase_annual_gea!A129</f>
        <v>NYSTc</v>
      </c>
      <c r="D125" s="6">
        <f>StdScen21_MidCase_annual_gea!B129</f>
        <v>2028</v>
      </c>
      <c r="E125" s="6">
        <f>StdScen21_MidCase_annual_gea!BZ129</f>
        <v>316766.2</v>
      </c>
    </row>
    <row r="126" spans="1:5" x14ac:dyDescent="0.3">
      <c r="A126" t="s">
        <v>179</v>
      </c>
      <c r="B126" t="s">
        <v>7</v>
      </c>
      <c r="C126" t="str">
        <f>StdScen21_MidCase_annual_gea!A130</f>
        <v>NYSTc</v>
      </c>
      <c r="D126" s="6">
        <f>StdScen21_MidCase_annual_gea!B130</f>
        <v>2030</v>
      </c>
      <c r="E126" s="6">
        <f>StdScen21_MidCase_annual_gea!BZ130</f>
        <v>173704</v>
      </c>
    </row>
    <row r="127" spans="1:5" x14ac:dyDescent="0.3">
      <c r="A127" t="s">
        <v>179</v>
      </c>
      <c r="B127" t="s">
        <v>7</v>
      </c>
      <c r="C127" t="str">
        <f>StdScen21_MidCase_annual_gea!A131</f>
        <v>NYSTc</v>
      </c>
      <c r="D127" s="6">
        <f>StdScen21_MidCase_annual_gea!B131</f>
        <v>2032</v>
      </c>
      <c r="E127" s="6">
        <f>StdScen21_MidCase_annual_gea!BZ131</f>
        <v>98770.4</v>
      </c>
    </row>
    <row r="128" spans="1:5" x14ac:dyDescent="0.3">
      <c r="A128" t="s">
        <v>179</v>
      </c>
      <c r="B128" t="s">
        <v>7</v>
      </c>
      <c r="C128" t="str">
        <f>StdScen21_MidCase_annual_gea!A132</f>
        <v>NYSTc</v>
      </c>
      <c r="D128" s="6">
        <f>StdScen21_MidCase_annual_gea!B132</f>
        <v>2034</v>
      </c>
      <c r="E128" s="6">
        <f>StdScen21_MidCase_annual_gea!BZ132</f>
        <v>0</v>
      </c>
    </row>
    <row r="129" spans="1:5" x14ac:dyDescent="0.3">
      <c r="A129" t="s">
        <v>179</v>
      </c>
      <c r="B129" t="s">
        <v>7</v>
      </c>
      <c r="C129" t="str">
        <f>StdScen21_MidCase_annual_gea!A133</f>
        <v>NYSTc</v>
      </c>
      <c r="D129" s="6">
        <f>StdScen21_MidCase_annual_gea!B133</f>
        <v>2036</v>
      </c>
      <c r="E129" s="6">
        <f>StdScen21_MidCase_annual_gea!BZ133</f>
        <v>0</v>
      </c>
    </row>
    <row r="130" spans="1:5" x14ac:dyDescent="0.3">
      <c r="A130" t="s">
        <v>179</v>
      </c>
      <c r="B130" t="s">
        <v>7</v>
      </c>
      <c r="C130" t="str">
        <f>StdScen21_MidCase_annual_gea!A134</f>
        <v>NYSTc</v>
      </c>
      <c r="D130" s="6">
        <f>StdScen21_MidCase_annual_gea!B134</f>
        <v>2038</v>
      </c>
      <c r="E130" s="6">
        <f>StdScen21_MidCase_annual_gea!BZ134</f>
        <v>0</v>
      </c>
    </row>
    <row r="131" spans="1:5" x14ac:dyDescent="0.3">
      <c r="A131" t="s">
        <v>179</v>
      </c>
      <c r="B131" t="s">
        <v>7</v>
      </c>
      <c r="C131" t="str">
        <f>StdScen21_MidCase_annual_gea!A135</f>
        <v>NYSTc</v>
      </c>
      <c r="D131" s="6">
        <f>StdScen21_MidCase_annual_gea!B135</f>
        <v>2040</v>
      </c>
      <c r="E131" s="6">
        <f>StdScen21_MidCase_annual_gea!BZ135</f>
        <v>0</v>
      </c>
    </row>
    <row r="132" spans="1:5" x14ac:dyDescent="0.3">
      <c r="A132" t="s">
        <v>179</v>
      </c>
      <c r="B132" t="s">
        <v>7</v>
      </c>
      <c r="C132" t="str">
        <f>StdScen21_MidCase_annual_gea!A136</f>
        <v>NYSTc</v>
      </c>
      <c r="D132" s="6">
        <f>StdScen21_MidCase_annual_gea!B136</f>
        <v>2042</v>
      </c>
      <c r="E132" s="6">
        <f>StdScen21_MidCase_annual_gea!BZ136</f>
        <v>0</v>
      </c>
    </row>
    <row r="133" spans="1:5" x14ac:dyDescent="0.3">
      <c r="A133" t="s">
        <v>179</v>
      </c>
      <c r="B133" t="s">
        <v>7</v>
      </c>
      <c r="C133" t="str">
        <f>StdScen21_MidCase_annual_gea!A137</f>
        <v>NYSTc</v>
      </c>
      <c r="D133" s="6">
        <f>StdScen21_MidCase_annual_gea!B137</f>
        <v>2044</v>
      </c>
      <c r="E133" s="6">
        <f>StdScen21_MidCase_annual_gea!BZ137</f>
        <v>0</v>
      </c>
    </row>
    <row r="134" spans="1:5" x14ac:dyDescent="0.3">
      <c r="A134" t="s">
        <v>179</v>
      </c>
      <c r="B134" t="s">
        <v>7</v>
      </c>
      <c r="C134" t="str">
        <f>StdScen21_MidCase_annual_gea!A138</f>
        <v>NYSTc</v>
      </c>
      <c r="D134" s="6">
        <f>StdScen21_MidCase_annual_gea!B138</f>
        <v>2046</v>
      </c>
      <c r="E134" s="6">
        <f>StdScen21_MidCase_annual_gea!BZ138</f>
        <v>0</v>
      </c>
    </row>
    <row r="135" spans="1:5" x14ac:dyDescent="0.3">
      <c r="A135" t="s">
        <v>179</v>
      </c>
      <c r="B135" t="s">
        <v>7</v>
      </c>
      <c r="C135" t="str">
        <f>StdScen21_MidCase_annual_gea!A139</f>
        <v>NYSTc</v>
      </c>
      <c r="D135" s="6">
        <f>StdScen21_MidCase_annual_gea!B139</f>
        <v>2048</v>
      </c>
      <c r="E135" s="6">
        <f>StdScen21_MidCase_annual_gea!BZ139</f>
        <v>0</v>
      </c>
    </row>
    <row r="136" spans="1:5" x14ac:dyDescent="0.3">
      <c r="A136" t="s">
        <v>179</v>
      </c>
      <c r="B136" t="s">
        <v>7</v>
      </c>
      <c r="C136" t="str">
        <f>StdScen21_MidCase_annual_gea!A140</f>
        <v>NYSTc</v>
      </c>
      <c r="D136" s="6">
        <f>StdScen21_MidCase_annual_gea!B140</f>
        <v>2050</v>
      </c>
      <c r="E136" s="6">
        <f>StdScen21_MidCase_annual_gea!BZ140</f>
        <v>0</v>
      </c>
    </row>
    <row r="137" spans="1:5" x14ac:dyDescent="0.3">
      <c r="A137" t="s">
        <v>179</v>
      </c>
      <c r="B137" t="s">
        <v>7</v>
      </c>
      <c r="C137" t="str">
        <f>StdScen21_MidCase_annual_gea!A141</f>
        <v>RFCEc</v>
      </c>
      <c r="D137" s="6">
        <f>StdScen21_MidCase_annual_gea!B141</f>
        <v>2022</v>
      </c>
      <c r="E137" s="6">
        <f>StdScen21_MidCase_annual_gea!BZ141</f>
        <v>32824048</v>
      </c>
    </row>
    <row r="138" spans="1:5" x14ac:dyDescent="0.3">
      <c r="A138" t="s">
        <v>179</v>
      </c>
      <c r="B138" t="s">
        <v>7</v>
      </c>
      <c r="C138" t="str">
        <f>StdScen21_MidCase_annual_gea!A142</f>
        <v>RFCEc</v>
      </c>
      <c r="D138" s="6">
        <f>StdScen21_MidCase_annual_gea!B142</f>
        <v>2024</v>
      </c>
      <c r="E138" s="6">
        <f>StdScen21_MidCase_annual_gea!BZ142</f>
        <v>9345581</v>
      </c>
    </row>
    <row r="139" spans="1:5" x14ac:dyDescent="0.3">
      <c r="A139" t="s">
        <v>179</v>
      </c>
      <c r="B139" t="s">
        <v>7</v>
      </c>
      <c r="C139" t="str">
        <f>StdScen21_MidCase_annual_gea!A143</f>
        <v>RFCEc</v>
      </c>
      <c r="D139" s="6">
        <f>StdScen21_MidCase_annual_gea!B143</f>
        <v>2026</v>
      </c>
      <c r="E139" s="6">
        <f>StdScen21_MidCase_annual_gea!BZ143</f>
        <v>10712904</v>
      </c>
    </row>
    <row r="140" spans="1:5" x14ac:dyDescent="0.3">
      <c r="A140" t="s">
        <v>179</v>
      </c>
      <c r="B140" t="s">
        <v>7</v>
      </c>
      <c r="C140" t="str">
        <f>StdScen21_MidCase_annual_gea!A144</f>
        <v>RFCEc</v>
      </c>
      <c r="D140" s="6">
        <f>StdScen21_MidCase_annual_gea!B144</f>
        <v>2028</v>
      </c>
      <c r="E140" s="6">
        <f>StdScen21_MidCase_annual_gea!BZ144</f>
        <v>11834962</v>
      </c>
    </row>
    <row r="141" spans="1:5" x14ac:dyDescent="0.3">
      <c r="A141" t="s">
        <v>179</v>
      </c>
      <c r="B141" t="s">
        <v>7</v>
      </c>
      <c r="C141" t="str">
        <f>StdScen21_MidCase_annual_gea!A145</f>
        <v>RFCEc</v>
      </c>
      <c r="D141" s="6">
        <f>StdScen21_MidCase_annual_gea!B145</f>
        <v>2030</v>
      </c>
      <c r="E141" s="6">
        <f>StdScen21_MidCase_annual_gea!BZ145</f>
        <v>11117669</v>
      </c>
    </row>
    <row r="142" spans="1:5" x14ac:dyDescent="0.3">
      <c r="A142" t="s">
        <v>179</v>
      </c>
      <c r="B142" t="s">
        <v>7</v>
      </c>
      <c r="C142" t="str">
        <f>StdScen21_MidCase_annual_gea!A146</f>
        <v>RFCEc</v>
      </c>
      <c r="D142" s="6">
        <f>StdScen21_MidCase_annual_gea!B146</f>
        <v>2032</v>
      </c>
      <c r="E142" s="6">
        <f>StdScen21_MidCase_annual_gea!BZ146</f>
        <v>8836262</v>
      </c>
    </row>
    <row r="143" spans="1:5" x14ac:dyDescent="0.3">
      <c r="A143" t="s">
        <v>179</v>
      </c>
      <c r="B143" t="s">
        <v>7</v>
      </c>
      <c r="C143" t="str">
        <f>StdScen21_MidCase_annual_gea!A147</f>
        <v>RFCEc</v>
      </c>
      <c r="D143" s="6">
        <f>StdScen21_MidCase_annual_gea!B147</f>
        <v>2034</v>
      </c>
      <c r="E143" s="6">
        <f>StdScen21_MidCase_annual_gea!BZ147</f>
        <v>8210273</v>
      </c>
    </row>
    <row r="144" spans="1:5" x14ac:dyDescent="0.3">
      <c r="A144" t="s">
        <v>179</v>
      </c>
      <c r="B144" t="s">
        <v>7</v>
      </c>
      <c r="C144" t="str">
        <f>StdScen21_MidCase_annual_gea!A148</f>
        <v>RFCEc</v>
      </c>
      <c r="D144" s="6">
        <f>StdScen21_MidCase_annual_gea!B148</f>
        <v>2036</v>
      </c>
      <c r="E144" s="6">
        <f>StdScen21_MidCase_annual_gea!BZ148</f>
        <v>10321719</v>
      </c>
    </row>
    <row r="145" spans="1:5" x14ac:dyDescent="0.3">
      <c r="A145" t="s">
        <v>179</v>
      </c>
      <c r="B145" t="s">
        <v>7</v>
      </c>
      <c r="C145" t="str">
        <f>StdScen21_MidCase_annual_gea!A149</f>
        <v>RFCEc</v>
      </c>
      <c r="D145" s="6">
        <f>StdScen21_MidCase_annual_gea!B149</f>
        <v>2038</v>
      </c>
      <c r="E145" s="6">
        <f>StdScen21_MidCase_annual_gea!BZ149</f>
        <v>9044023</v>
      </c>
    </row>
    <row r="146" spans="1:5" x14ac:dyDescent="0.3">
      <c r="A146" t="s">
        <v>179</v>
      </c>
      <c r="B146" t="s">
        <v>7</v>
      </c>
      <c r="C146" t="str">
        <f>StdScen21_MidCase_annual_gea!A150</f>
        <v>RFCEc</v>
      </c>
      <c r="D146" s="6">
        <f>StdScen21_MidCase_annual_gea!B150</f>
        <v>2040</v>
      </c>
      <c r="E146" s="6">
        <f>StdScen21_MidCase_annual_gea!BZ150</f>
        <v>12523301</v>
      </c>
    </row>
    <row r="147" spans="1:5" x14ac:dyDescent="0.3">
      <c r="A147" t="s">
        <v>179</v>
      </c>
      <c r="B147" t="s">
        <v>7</v>
      </c>
      <c r="C147" t="str">
        <f>StdScen21_MidCase_annual_gea!A151</f>
        <v>RFCEc</v>
      </c>
      <c r="D147" s="6">
        <f>StdScen21_MidCase_annual_gea!B151</f>
        <v>2042</v>
      </c>
      <c r="E147" s="6">
        <f>StdScen21_MidCase_annual_gea!BZ151</f>
        <v>11778700</v>
      </c>
    </row>
    <row r="148" spans="1:5" x14ac:dyDescent="0.3">
      <c r="A148" t="s">
        <v>179</v>
      </c>
      <c r="B148" t="s">
        <v>7</v>
      </c>
      <c r="C148" t="str">
        <f>StdScen21_MidCase_annual_gea!A152</f>
        <v>RFCEc</v>
      </c>
      <c r="D148" s="6">
        <f>StdScen21_MidCase_annual_gea!B152</f>
        <v>2044</v>
      </c>
      <c r="E148" s="6">
        <f>StdScen21_MidCase_annual_gea!BZ152</f>
        <v>10473605</v>
      </c>
    </row>
    <row r="149" spans="1:5" x14ac:dyDescent="0.3">
      <c r="A149" t="s">
        <v>179</v>
      </c>
      <c r="B149" t="s">
        <v>7</v>
      </c>
      <c r="C149" t="str">
        <f>StdScen21_MidCase_annual_gea!A153</f>
        <v>RFCEc</v>
      </c>
      <c r="D149" s="6">
        <f>StdScen21_MidCase_annual_gea!B153</f>
        <v>2046</v>
      </c>
      <c r="E149" s="6">
        <f>StdScen21_MidCase_annual_gea!BZ153</f>
        <v>9501481</v>
      </c>
    </row>
    <row r="150" spans="1:5" x14ac:dyDescent="0.3">
      <c r="A150" t="s">
        <v>179</v>
      </c>
      <c r="B150" t="s">
        <v>7</v>
      </c>
      <c r="C150" t="str">
        <f>StdScen21_MidCase_annual_gea!A154</f>
        <v>RFCEc</v>
      </c>
      <c r="D150" s="6">
        <f>StdScen21_MidCase_annual_gea!B154</f>
        <v>2048</v>
      </c>
      <c r="E150" s="6">
        <f>StdScen21_MidCase_annual_gea!BZ154</f>
        <v>4558846.5</v>
      </c>
    </row>
    <row r="151" spans="1:5" x14ac:dyDescent="0.3">
      <c r="A151" t="s">
        <v>179</v>
      </c>
      <c r="B151" t="s">
        <v>7</v>
      </c>
      <c r="C151" t="str">
        <f>StdScen21_MidCase_annual_gea!A155</f>
        <v>RFCEc</v>
      </c>
      <c r="D151" s="6">
        <f>StdScen21_MidCase_annual_gea!B155</f>
        <v>2050</v>
      </c>
      <c r="E151" s="6">
        <f>StdScen21_MidCase_annual_gea!BZ155</f>
        <v>4219111.5</v>
      </c>
    </row>
    <row r="152" spans="1:5" x14ac:dyDescent="0.3">
      <c r="A152" t="s">
        <v>179</v>
      </c>
      <c r="B152" t="s">
        <v>7</v>
      </c>
      <c r="C152" t="str">
        <f>StdScen21_MidCase_annual_gea!A156</f>
        <v>RFCMc</v>
      </c>
      <c r="D152" s="6">
        <f>StdScen21_MidCase_annual_gea!B156</f>
        <v>2022</v>
      </c>
      <c r="E152" s="6">
        <f>StdScen21_MidCase_annual_gea!BZ156</f>
        <v>42983708</v>
      </c>
    </row>
    <row r="153" spans="1:5" x14ac:dyDescent="0.3">
      <c r="A153" t="s">
        <v>179</v>
      </c>
      <c r="B153" t="s">
        <v>7</v>
      </c>
      <c r="C153" t="str">
        <f>StdScen21_MidCase_annual_gea!A157</f>
        <v>RFCMc</v>
      </c>
      <c r="D153" s="6">
        <f>StdScen21_MidCase_annual_gea!B157</f>
        <v>2024</v>
      </c>
      <c r="E153" s="6">
        <f>StdScen21_MidCase_annual_gea!BZ157</f>
        <v>36556276</v>
      </c>
    </row>
    <row r="154" spans="1:5" x14ac:dyDescent="0.3">
      <c r="A154" t="s">
        <v>179</v>
      </c>
      <c r="B154" t="s">
        <v>7</v>
      </c>
      <c r="C154" t="str">
        <f>StdScen21_MidCase_annual_gea!A158</f>
        <v>RFCMc</v>
      </c>
      <c r="D154" s="6">
        <f>StdScen21_MidCase_annual_gea!B158</f>
        <v>2026</v>
      </c>
      <c r="E154" s="6">
        <f>StdScen21_MidCase_annual_gea!BZ158</f>
        <v>35754056</v>
      </c>
    </row>
    <row r="155" spans="1:5" x14ac:dyDescent="0.3">
      <c r="A155" t="s">
        <v>179</v>
      </c>
      <c r="B155" t="s">
        <v>7</v>
      </c>
      <c r="C155" t="str">
        <f>StdScen21_MidCase_annual_gea!A159</f>
        <v>RFCMc</v>
      </c>
      <c r="D155" s="6">
        <f>StdScen21_MidCase_annual_gea!B159</f>
        <v>2028</v>
      </c>
      <c r="E155" s="6">
        <f>StdScen21_MidCase_annual_gea!BZ159</f>
        <v>36527040</v>
      </c>
    </row>
    <row r="156" spans="1:5" x14ac:dyDescent="0.3">
      <c r="A156" t="s">
        <v>179</v>
      </c>
      <c r="B156" t="s">
        <v>7</v>
      </c>
      <c r="C156" t="str">
        <f>StdScen21_MidCase_annual_gea!A160</f>
        <v>RFCMc</v>
      </c>
      <c r="D156" s="6">
        <f>StdScen21_MidCase_annual_gea!B160</f>
        <v>2030</v>
      </c>
      <c r="E156" s="6">
        <f>StdScen21_MidCase_annual_gea!BZ160</f>
        <v>30051012</v>
      </c>
    </row>
    <row r="157" spans="1:5" x14ac:dyDescent="0.3">
      <c r="A157" t="s">
        <v>179</v>
      </c>
      <c r="B157" t="s">
        <v>7</v>
      </c>
      <c r="C157" t="str">
        <f>StdScen21_MidCase_annual_gea!A161</f>
        <v>RFCMc</v>
      </c>
      <c r="D157" s="6">
        <f>StdScen21_MidCase_annual_gea!B161</f>
        <v>2032</v>
      </c>
      <c r="E157" s="6">
        <f>StdScen21_MidCase_annual_gea!BZ161</f>
        <v>29422928</v>
      </c>
    </row>
    <row r="158" spans="1:5" x14ac:dyDescent="0.3">
      <c r="A158" t="s">
        <v>179</v>
      </c>
      <c r="B158" t="s">
        <v>7</v>
      </c>
      <c r="C158" t="str">
        <f>StdScen21_MidCase_annual_gea!A162</f>
        <v>RFCMc</v>
      </c>
      <c r="D158" s="6">
        <f>StdScen21_MidCase_annual_gea!B162</f>
        <v>2034</v>
      </c>
      <c r="E158" s="6">
        <f>StdScen21_MidCase_annual_gea!BZ162</f>
        <v>29082698</v>
      </c>
    </row>
    <row r="159" spans="1:5" x14ac:dyDescent="0.3">
      <c r="A159" t="s">
        <v>179</v>
      </c>
      <c r="B159" t="s">
        <v>7</v>
      </c>
      <c r="C159" t="str">
        <f>StdScen21_MidCase_annual_gea!A163</f>
        <v>RFCMc</v>
      </c>
      <c r="D159" s="6">
        <f>StdScen21_MidCase_annual_gea!B163</f>
        <v>2036</v>
      </c>
      <c r="E159" s="6">
        <f>StdScen21_MidCase_annual_gea!BZ163</f>
        <v>28294774</v>
      </c>
    </row>
    <row r="160" spans="1:5" x14ac:dyDescent="0.3">
      <c r="A160" t="s">
        <v>179</v>
      </c>
      <c r="B160" t="s">
        <v>7</v>
      </c>
      <c r="C160" t="str">
        <f>StdScen21_MidCase_annual_gea!A164</f>
        <v>RFCMc</v>
      </c>
      <c r="D160" s="6">
        <f>StdScen21_MidCase_annual_gea!B164</f>
        <v>2038</v>
      </c>
      <c r="E160" s="6">
        <f>StdScen21_MidCase_annual_gea!BZ164</f>
        <v>24955684</v>
      </c>
    </row>
    <row r="161" spans="1:5" x14ac:dyDescent="0.3">
      <c r="A161" t="s">
        <v>179</v>
      </c>
      <c r="B161" t="s">
        <v>7</v>
      </c>
      <c r="C161" t="str">
        <f>StdScen21_MidCase_annual_gea!A165</f>
        <v>RFCMc</v>
      </c>
      <c r="D161" s="6">
        <f>StdScen21_MidCase_annual_gea!B165</f>
        <v>2040</v>
      </c>
      <c r="E161" s="6">
        <f>StdScen21_MidCase_annual_gea!BZ165</f>
        <v>24425418</v>
      </c>
    </row>
    <row r="162" spans="1:5" x14ac:dyDescent="0.3">
      <c r="A162" t="s">
        <v>179</v>
      </c>
      <c r="B162" t="s">
        <v>7</v>
      </c>
      <c r="C162" t="str">
        <f>StdScen21_MidCase_annual_gea!A166</f>
        <v>RFCMc</v>
      </c>
      <c r="D162" s="6">
        <f>StdScen21_MidCase_annual_gea!B166</f>
        <v>2042</v>
      </c>
      <c r="E162" s="6">
        <f>StdScen21_MidCase_annual_gea!BZ166</f>
        <v>22457510</v>
      </c>
    </row>
    <row r="163" spans="1:5" x14ac:dyDescent="0.3">
      <c r="A163" t="s">
        <v>179</v>
      </c>
      <c r="B163" t="s">
        <v>7</v>
      </c>
      <c r="C163" t="str">
        <f>StdScen21_MidCase_annual_gea!A167</f>
        <v>RFCMc</v>
      </c>
      <c r="D163" s="6">
        <f>StdScen21_MidCase_annual_gea!B167</f>
        <v>2044</v>
      </c>
      <c r="E163" s="6">
        <f>StdScen21_MidCase_annual_gea!BZ167</f>
        <v>22485318</v>
      </c>
    </row>
    <row r="164" spans="1:5" x14ac:dyDescent="0.3">
      <c r="A164" t="s">
        <v>179</v>
      </c>
      <c r="B164" t="s">
        <v>7</v>
      </c>
      <c r="C164" t="str">
        <f>StdScen21_MidCase_annual_gea!A168</f>
        <v>RFCMc</v>
      </c>
      <c r="D164" s="6">
        <f>StdScen21_MidCase_annual_gea!B168</f>
        <v>2046</v>
      </c>
      <c r="E164" s="6">
        <f>StdScen21_MidCase_annual_gea!BZ168</f>
        <v>18350758</v>
      </c>
    </row>
    <row r="165" spans="1:5" x14ac:dyDescent="0.3">
      <c r="A165" t="s">
        <v>179</v>
      </c>
      <c r="B165" t="s">
        <v>7</v>
      </c>
      <c r="C165" t="str">
        <f>StdScen21_MidCase_annual_gea!A169</f>
        <v>RFCMc</v>
      </c>
      <c r="D165" s="6">
        <f>StdScen21_MidCase_annual_gea!B169</f>
        <v>2048</v>
      </c>
      <c r="E165" s="6">
        <f>StdScen21_MidCase_annual_gea!BZ169</f>
        <v>9368601</v>
      </c>
    </row>
    <row r="166" spans="1:5" x14ac:dyDescent="0.3">
      <c r="A166" t="s">
        <v>179</v>
      </c>
      <c r="B166" t="s">
        <v>7</v>
      </c>
      <c r="C166" t="str">
        <f>StdScen21_MidCase_annual_gea!A170</f>
        <v>RFCMc</v>
      </c>
      <c r="D166" s="6">
        <f>StdScen21_MidCase_annual_gea!B170</f>
        <v>2050</v>
      </c>
      <c r="E166" s="6">
        <f>StdScen21_MidCase_annual_gea!BZ170</f>
        <v>2913097.2</v>
      </c>
    </row>
    <row r="167" spans="1:5" x14ac:dyDescent="0.3">
      <c r="A167" t="s">
        <v>179</v>
      </c>
      <c r="B167" t="s">
        <v>7</v>
      </c>
      <c r="C167" t="str">
        <f>StdScen21_MidCase_annual_gea!A171</f>
        <v>RFCWc</v>
      </c>
      <c r="D167" s="6">
        <f>StdScen21_MidCase_annual_gea!B171</f>
        <v>2022</v>
      </c>
      <c r="E167" s="6">
        <f>StdScen21_MidCase_annual_gea!BZ171</f>
        <v>179891170</v>
      </c>
    </row>
    <row r="168" spans="1:5" x14ac:dyDescent="0.3">
      <c r="A168" t="s">
        <v>179</v>
      </c>
      <c r="B168" t="s">
        <v>7</v>
      </c>
      <c r="C168" t="str">
        <f>StdScen21_MidCase_annual_gea!A172</f>
        <v>RFCWc</v>
      </c>
      <c r="D168" s="6">
        <f>StdScen21_MidCase_annual_gea!B172</f>
        <v>2024</v>
      </c>
      <c r="E168" s="6">
        <f>StdScen21_MidCase_annual_gea!BZ172</f>
        <v>132272280</v>
      </c>
    </row>
    <row r="169" spans="1:5" x14ac:dyDescent="0.3">
      <c r="A169" t="s">
        <v>179</v>
      </c>
      <c r="B169" t="s">
        <v>7</v>
      </c>
      <c r="C169" t="str">
        <f>StdScen21_MidCase_annual_gea!A173</f>
        <v>RFCWc</v>
      </c>
      <c r="D169" s="6">
        <f>StdScen21_MidCase_annual_gea!B173</f>
        <v>2026</v>
      </c>
      <c r="E169" s="6">
        <f>StdScen21_MidCase_annual_gea!BZ173</f>
        <v>117053400</v>
      </c>
    </row>
    <row r="170" spans="1:5" x14ac:dyDescent="0.3">
      <c r="A170" t="s">
        <v>179</v>
      </c>
      <c r="B170" t="s">
        <v>7</v>
      </c>
      <c r="C170" t="str">
        <f>StdScen21_MidCase_annual_gea!A174</f>
        <v>RFCWc</v>
      </c>
      <c r="D170" s="6">
        <f>StdScen21_MidCase_annual_gea!B174</f>
        <v>2028</v>
      </c>
      <c r="E170" s="6">
        <f>StdScen21_MidCase_annual_gea!BZ174</f>
        <v>116869580</v>
      </c>
    </row>
    <row r="171" spans="1:5" x14ac:dyDescent="0.3">
      <c r="A171" t="s">
        <v>179</v>
      </c>
      <c r="B171" t="s">
        <v>7</v>
      </c>
      <c r="C171" t="str">
        <f>StdScen21_MidCase_annual_gea!A175</f>
        <v>RFCWc</v>
      </c>
      <c r="D171" s="6">
        <f>StdScen21_MidCase_annual_gea!B175</f>
        <v>2030</v>
      </c>
      <c r="E171" s="6">
        <f>StdScen21_MidCase_annual_gea!BZ175</f>
        <v>110166720</v>
      </c>
    </row>
    <row r="172" spans="1:5" x14ac:dyDescent="0.3">
      <c r="A172" t="s">
        <v>179</v>
      </c>
      <c r="B172" t="s">
        <v>7</v>
      </c>
      <c r="C172" t="str">
        <f>StdScen21_MidCase_annual_gea!A176</f>
        <v>RFCWc</v>
      </c>
      <c r="D172" s="6">
        <f>StdScen21_MidCase_annual_gea!B176</f>
        <v>2032</v>
      </c>
      <c r="E172" s="6">
        <f>StdScen21_MidCase_annual_gea!BZ176</f>
        <v>102723740</v>
      </c>
    </row>
    <row r="173" spans="1:5" x14ac:dyDescent="0.3">
      <c r="A173" t="s">
        <v>179</v>
      </c>
      <c r="B173" t="s">
        <v>7</v>
      </c>
      <c r="C173" t="str">
        <f>StdScen21_MidCase_annual_gea!A177</f>
        <v>RFCWc</v>
      </c>
      <c r="D173" s="6">
        <f>StdScen21_MidCase_annual_gea!B177</f>
        <v>2034</v>
      </c>
      <c r="E173" s="6">
        <f>StdScen21_MidCase_annual_gea!BZ177</f>
        <v>96703544</v>
      </c>
    </row>
    <row r="174" spans="1:5" x14ac:dyDescent="0.3">
      <c r="A174" t="s">
        <v>179</v>
      </c>
      <c r="B174" t="s">
        <v>7</v>
      </c>
      <c r="C174" t="str">
        <f>StdScen21_MidCase_annual_gea!A178</f>
        <v>RFCWc</v>
      </c>
      <c r="D174" s="6">
        <f>StdScen21_MidCase_annual_gea!B178</f>
        <v>2036</v>
      </c>
      <c r="E174" s="6">
        <f>StdScen21_MidCase_annual_gea!BZ178</f>
        <v>90736150</v>
      </c>
    </row>
    <row r="175" spans="1:5" x14ac:dyDescent="0.3">
      <c r="A175" t="s">
        <v>179</v>
      </c>
      <c r="B175" t="s">
        <v>7</v>
      </c>
      <c r="C175" t="str">
        <f>StdScen21_MidCase_annual_gea!A179</f>
        <v>RFCWc</v>
      </c>
      <c r="D175" s="6">
        <f>StdScen21_MidCase_annual_gea!B179</f>
        <v>2038</v>
      </c>
      <c r="E175" s="6">
        <f>StdScen21_MidCase_annual_gea!BZ179</f>
        <v>79928080</v>
      </c>
    </row>
    <row r="176" spans="1:5" x14ac:dyDescent="0.3">
      <c r="A176" t="s">
        <v>179</v>
      </c>
      <c r="B176" t="s">
        <v>7</v>
      </c>
      <c r="C176" t="str">
        <f>StdScen21_MidCase_annual_gea!A180</f>
        <v>RFCWc</v>
      </c>
      <c r="D176" s="6">
        <f>StdScen21_MidCase_annual_gea!B180</f>
        <v>2040</v>
      </c>
      <c r="E176" s="6">
        <f>StdScen21_MidCase_annual_gea!BZ180</f>
        <v>73937540</v>
      </c>
    </row>
    <row r="177" spans="1:5" x14ac:dyDescent="0.3">
      <c r="A177" t="s">
        <v>179</v>
      </c>
      <c r="B177" t="s">
        <v>7</v>
      </c>
      <c r="C177" t="str">
        <f>StdScen21_MidCase_annual_gea!A181</f>
        <v>RFCWc</v>
      </c>
      <c r="D177" s="6">
        <f>StdScen21_MidCase_annual_gea!B181</f>
        <v>2042</v>
      </c>
      <c r="E177" s="6">
        <f>StdScen21_MidCase_annual_gea!BZ181</f>
        <v>66023468</v>
      </c>
    </row>
    <row r="178" spans="1:5" x14ac:dyDescent="0.3">
      <c r="A178" t="s">
        <v>179</v>
      </c>
      <c r="B178" t="s">
        <v>7</v>
      </c>
      <c r="C178" t="str">
        <f>StdScen21_MidCase_annual_gea!A182</f>
        <v>RFCWc</v>
      </c>
      <c r="D178" s="6">
        <f>StdScen21_MidCase_annual_gea!B182</f>
        <v>2044</v>
      </c>
      <c r="E178" s="6">
        <f>StdScen21_MidCase_annual_gea!BZ182</f>
        <v>64504696</v>
      </c>
    </row>
    <row r="179" spans="1:5" x14ac:dyDescent="0.3">
      <c r="A179" t="s">
        <v>179</v>
      </c>
      <c r="B179" t="s">
        <v>7</v>
      </c>
      <c r="C179" t="str">
        <f>StdScen21_MidCase_annual_gea!A183</f>
        <v>RFCWc</v>
      </c>
      <c r="D179" s="6">
        <f>StdScen21_MidCase_annual_gea!B183</f>
        <v>2046</v>
      </c>
      <c r="E179" s="6">
        <f>StdScen21_MidCase_annual_gea!BZ183</f>
        <v>57873524</v>
      </c>
    </row>
    <row r="180" spans="1:5" x14ac:dyDescent="0.3">
      <c r="A180" t="s">
        <v>179</v>
      </c>
      <c r="B180" t="s">
        <v>7</v>
      </c>
      <c r="C180" t="str">
        <f>StdScen21_MidCase_annual_gea!A184</f>
        <v>RFCWc</v>
      </c>
      <c r="D180" s="6">
        <f>StdScen21_MidCase_annual_gea!B184</f>
        <v>2048</v>
      </c>
      <c r="E180" s="6">
        <f>StdScen21_MidCase_annual_gea!BZ184</f>
        <v>53055064</v>
      </c>
    </row>
    <row r="181" spans="1:5" x14ac:dyDescent="0.3">
      <c r="A181" t="s">
        <v>179</v>
      </c>
      <c r="B181" t="s">
        <v>7</v>
      </c>
      <c r="C181" t="str">
        <f>StdScen21_MidCase_annual_gea!A185</f>
        <v>RFCWc</v>
      </c>
      <c r="D181" s="6">
        <f>StdScen21_MidCase_annual_gea!B185</f>
        <v>2050</v>
      </c>
      <c r="E181" s="6">
        <f>StdScen21_MidCase_annual_gea!BZ185</f>
        <v>34210776</v>
      </c>
    </row>
    <row r="182" spans="1:5" x14ac:dyDescent="0.3">
      <c r="A182" t="s">
        <v>179</v>
      </c>
      <c r="B182" t="s">
        <v>7</v>
      </c>
      <c r="C182" t="str">
        <f>StdScen21_MidCase_annual_gea!A186</f>
        <v>RMPAc</v>
      </c>
      <c r="D182" s="6">
        <f>StdScen21_MidCase_annual_gea!B186</f>
        <v>2022</v>
      </c>
      <c r="E182" s="6">
        <f>StdScen21_MidCase_annual_gea!BZ186</f>
        <v>36247000</v>
      </c>
    </row>
    <row r="183" spans="1:5" x14ac:dyDescent="0.3">
      <c r="A183" t="s">
        <v>179</v>
      </c>
      <c r="B183" t="s">
        <v>7</v>
      </c>
      <c r="C183" t="str">
        <f>StdScen21_MidCase_annual_gea!A187</f>
        <v>RMPAc</v>
      </c>
      <c r="D183" s="6">
        <f>StdScen21_MidCase_annual_gea!B187</f>
        <v>2024</v>
      </c>
      <c r="E183" s="6">
        <f>StdScen21_MidCase_annual_gea!BZ187</f>
        <v>29934378</v>
      </c>
    </row>
    <row r="184" spans="1:5" x14ac:dyDescent="0.3">
      <c r="A184" t="s">
        <v>179</v>
      </c>
      <c r="B184" t="s">
        <v>7</v>
      </c>
      <c r="C184" t="str">
        <f>StdScen21_MidCase_annual_gea!A188</f>
        <v>RMPAc</v>
      </c>
      <c r="D184" s="6">
        <f>StdScen21_MidCase_annual_gea!B188</f>
        <v>2026</v>
      </c>
      <c r="E184" s="6">
        <f>StdScen21_MidCase_annual_gea!BZ188</f>
        <v>33016806</v>
      </c>
    </row>
    <row r="185" spans="1:5" x14ac:dyDescent="0.3">
      <c r="A185" t="s">
        <v>179</v>
      </c>
      <c r="B185" t="s">
        <v>7</v>
      </c>
      <c r="C185" t="str">
        <f>StdScen21_MidCase_annual_gea!A189</f>
        <v>RMPAc</v>
      </c>
      <c r="D185" s="6">
        <f>StdScen21_MidCase_annual_gea!B189</f>
        <v>2028</v>
      </c>
      <c r="E185" s="6">
        <f>StdScen21_MidCase_annual_gea!BZ189</f>
        <v>32065574</v>
      </c>
    </row>
    <row r="186" spans="1:5" x14ac:dyDescent="0.3">
      <c r="A186" t="s">
        <v>179</v>
      </c>
      <c r="B186" t="s">
        <v>7</v>
      </c>
      <c r="C186" t="str">
        <f>StdScen21_MidCase_annual_gea!A190</f>
        <v>RMPAc</v>
      </c>
      <c r="D186" s="6">
        <f>StdScen21_MidCase_annual_gea!B190</f>
        <v>2030</v>
      </c>
      <c r="E186" s="6">
        <f>StdScen21_MidCase_annual_gea!BZ190</f>
        <v>27510588</v>
      </c>
    </row>
    <row r="187" spans="1:5" x14ac:dyDescent="0.3">
      <c r="A187" t="s">
        <v>179</v>
      </c>
      <c r="B187" t="s">
        <v>7</v>
      </c>
      <c r="C187" t="str">
        <f>StdScen21_MidCase_annual_gea!A191</f>
        <v>RMPAc</v>
      </c>
      <c r="D187" s="6">
        <f>StdScen21_MidCase_annual_gea!B191</f>
        <v>2032</v>
      </c>
      <c r="E187" s="6">
        <f>StdScen21_MidCase_annual_gea!BZ191</f>
        <v>28681190</v>
      </c>
    </row>
    <row r="188" spans="1:5" x14ac:dyDescent="0.3">
      <c r="A188" t="s">
        <v>179</v>
      </c>
      <c r="B188" t="s">
        <v>7</v>
      </c>
      <c r="C188" t="str">
        <f>StdScen21_MidCase_annual_gea!A192</f>
        <v>RMPAc</v>
      </c>
      <c r="D188" s="6">
        <f>StdScen21_MidCase_annual_gea!B192</f>
        <v>2034</v>
      </c>
      <c r="E188" s="6">
        <f>StdScen21_MidCase_annual_gea!BZ192</f>
        <v>28748294</v>
      </c>
    </row>
    <row r="189" spans="1:5" x14ac:dyDescent="0.3">
      <c r="A189" t="s">
        <v>179</v>
      </c>
      <c r="B189" t="s">
        <v>7</v>
      </c>
      <c r="C189" t="str">
        <f>StdScen21_MidCase_annual_gea!A193</f>
        <v>RMPAc</v>
      </c>
      <c r="D189" s="6">
        <f>StdScen21_MidCase_annual_gea!B193</f>
        <v>2036</v>
      </c>
      <c r="E189" s="6">
        <f>StdScen21_MidCase_annual_gea!BZ193</f>
        <v>28376092</v>
      </c>
    </row>
    <row r="190" spans="1:5" x14ac:dyDescent="0.3">
      <c r="A190" t="s">
        <v>179</v>
      </c>
      <c r="B190" t="s">
        <v>7</v>
      </c>
      <c r="C190" t="str">
        <f>StdScen21_MidCase_annual_gea!A194</f>
        <v>RMPAc</v>
      </c>
      <c r="D190" s="6">
        <f>StdScen21_MidCase_annual_gea!B194</f>
        <v>2038</v>
      </c>
      <c r="E190" s="6">
        <f>StdScen21_MidCase_annual_gea!BZ194</f>
        <v>27500298</v>
      </c>
    </row>
    <row r="191" spans="1:5" x14ac:dyDescent="0.3">
      <c r="A191" t="s">
        <v>179</v>
      </c>
      <c r="B191" t="s">
        <v>7</v>
      </c>
      <c r="C191" t="str">
        <f>StdScen21_MidCase_annual_gea!A195</f>
        <v>RMPAc</v>
      </c>
      <c r="D191" s="6">
        <f>StdScen21_MidCase_annual_gea!B195</f>
        <v>2040</v>
      </c>
      <c r="E191" s="6">
        <f>StdScen21_MidCase_annual_gea!BZ195</f>
        <v>24688630</v>
      </c>
    </row>
    <row r="192" spans="1:5" x14ac:dyDescent="0.3">
      <c r="A192" t="s">
        <v>179</v>
      </c>
      <c r="B192" t="s">
        <v>7</v>
      </c>
      <c r="C192" t="str">
        <f>StdScen21_MidCase_annual_gea!A196</f>
        <v>RMPAc</v>
      </c>
      <c r="D192" s="6">
        <f>StdScen21_MidCase_annual_gea!B196</f>
        <v>2042</v>
      </c>
      <c r="E192" s="6">
        <f>StdScen21_MidCase_annual_gea!BZ196</f>
        <v>24157726</v>
      </c>
    </row>
    <row r="193" spans="1:5" x14ac:dyDescent="0.3">
      <c r="A193" t="s">
        <v>179</v>
      </c>
      <c r="B193" t="s">
        <v>7</v>
      </c>
      <c r="C193" t="str">
        <f>StdScen21_MidCase_annual_gea!A197</f>
        <v>RMPAc</v>
      </c>
      <c r="D193" s="6">
        <f>StdScen21_MidCase_annual_gea!B197</f>
        <v>2044</v>
      </c>
      <c r="E193" s="6">
        <f>StdScen21_MidCase_annual_gea!BZ197</f>
        <v>23896794</v>
      </c>
    </row>
    <row r="194" spans="1:5" x14ac:dyDescent="0.3">
      <c r="A194" t="s">
        <v>179</v>
      </c>
      <c r="B194" t="s">
        <v>7</v>
      </c>
      <c r="C194" t="str">
        <f>StdScen21_MidCase_annual_gea!A198</f>
        <v>RMPAc</v>
      </c>
      <c r="D194" s="6">
        <f>StdScen21_MidCase_annual_gea!B198</f>
        <v>2046</v>
      </c>
      <c r="E194" s="6">
        <f>StdScen21_MidCase_annual_gea!BZ198</f>
        <v>20899926</v>
      </c>
    </row>
    <row r="195" spans="1:5" x14ac:dyDescent="0.3">
      <c r="A195" t="s">
        <v>179</v>
      </c>
      <c r="B195" t="s">
        <v>7</v>
      </c>
      <c r="C195" t="str">
        <f>StdScen21_MidCase_annual_gea!A199</f>
        <v>RMPAc</v>
      </c>
      <c r="D195" s="6">
        <f>StdScen21_MidCase_annual_gea!B199</f>
        <v>2048</v>
      </c>
      <c r="E195" s="6">
        <f>StdScen21_MidCase_annual_gea!BZ199</f>
        <v>21130746</v>
      </c>
    </row>
    <row r="196" spans="1:5" x14ac:dyDescent="0.3">
      <c r="A196" t="s">
        <v>179</v>
      </c>
      <c r="B196" t="s">
        <v>7</v>
      </c>
      <c r="C196" t="str">
        <f>StdScen21_MidCase_annual_gea!A200</f>
        <v>RMPAc</v>
      </c>
      <c r="D196" s="6">
        <f>StdScen21_MidCase_annual_gea!B200</f>
        <v>2050</v>
      </c>
      <c r="E196" s="6">
        <f>StdScen21_MidCase_annual_gea!BZ200</f>
        <v>20105356</v>
      </c>
    </row>
    <row r="197" spans="1:5" x14ac:dyDescent="0.3">
      <c r="A197" t="s">
        <v>179</v>
      </c>
      <c r="B197" t="s">
        <v>7</v>
      </c>
      <c r="C197" t="str">
        <f>StdScen21_MidCase_annual_gea!A201</f>
        <v>SPNOc</v>
      </c>
      <c r="D197" s="6">
        <f>StdScen21_MidCase_annual_gea!B201</f>
        <v>2022</v>
      </c>
      <c r="E197" s="6">
        <f>StdScen21_MidCase_annual_gea!BZ201</f>
        <v>37738330</v>
      </c>
    </row>
    <row r="198" spans="1:5" x14ac:dyDescent="0.3">
      <c r="A198" t="s">
        <v>179</v>
      </c>
      <c r="B198" t="s">
        <v>7</v>
      </c>
      <c r="C198" t="str">
        <f>StdScen21_MidCase_annual_gea!A202</f>
        <v>SPNOc</v>
      </c>
      <c r="D198" s="6">
        <f>StdScen21_MidCase_annual_gea!B202</f>
        <v>2024</v>
      </c>
      <c r="E198" s="6">
        <f>StdScen21_MidCase_annual_gea!BZ202</f>
        <v>33920100</v>
      </c>
    </row>
    <row r="199" spans="1:5" x14ac:dyDescent="0.3">
      <c r="A199" t="s">
        <v>179</v>
      </c>
      <c r="B199" t="s">
        <v>7</v>
      </c>
      <c r="C199" t="str">
        <f>StdScen21_MidCase_annual_gea!A203</f>
        <v>SPNOc</v>
      </c>
      <c r="D199" s="6">
        <f>StdScen21_MidCase_annual_gea!B203</f>
        <v>2026</v>
      </c>
      <c r="E199" s="6">
        <f>StdScen21_MidCase_annual_gea!BZ203</f>
        <v>34835028</v>
      </c>
    </row>
    <row r="200" spans="1:5" x14ac:dyDescent="0.3">
      <c r="A200" t="s">
        <v>179</v>
      </c>
      <c r="B200" t="s">
        <v>7</v>
      </c>
      <c r="C200" t="str">
        <f>StdScen21_MidCase_annual_gea!A204</f>
        <v>SPNOc</v>
      </c>
      <c r="D200" s="6">
        <f>StdScen21_MidCase_annual_gea!B204</f>
        <v>2028</v>
      </c>
      <c r="E200" s="6">
        <f>StdScen21_MidCase_annual_gea!BZ204</f>
        <v>37487708</v>
      </c>
    </row>
    <row r="201" spans="1:5" x14ac:dyDescent="0.3">
      <c r="A201" t="s">
        <v>179</v>
      </c>
      <c r="B201" t="s">
        <v>7</v>
      </c>
      <c r="C201" t="str">
        <f>StdScen21_MidCase_annual_gea!A205</f>
        <v>SPNOc</v>
      </c>
      <c r="D201" s="6">
        <f>StdScen21_MidCase_annual_gea!B205</f>
        <v>2030</v>
      </c>
      <c r="E201" s="6">
        <f>StdScen21_MidCase_annual_gea!BZ205</f>
        <v>33682136</v>
      </c>
    </row>
    <row r="202" spans="1:5" x14ac:dyDescent="0.3">
      <c r="A202" t="s">
        <v>179</v>
      </c>
      <c r="B202" t="s">
        <v>7</v>
      </c>
      <c r="C202" t="str">
        <f>StdScen21_MidCase_annual_gea!A206</f>
        <v>SPNOc</v>
      </c>
      <c r="D202" s="6">
        <f>StdScen21_MidCase_annual_gea!B206</f>
        <v>2032</v>
      </c>
      <c r="E202" s="6">
        <f>StdScen21_MidCase_annual_gea!BZ206</f>
        <v>34714492</v>
      </c>
    </row>
    <row r="203" spans="1:5" x14ac:dyDescent="0.3">
      <c r="A203" t="s">
        <v>179</v>
      </c>
      <c r="B203" t="s">
        <v>7</v>
      </c>
      <c r="C203" t="str">
        <f>StdScen21_MidCase_annual_gea!A207</f>
        <v>SPNOc</v>
      </c>
      <c r="D203" s="6">
        <f>StdScen21_MidCase_annual_gea!B207</f>
        <v>2034</v>
      </c>
      <c r="E203" s="6">
        <f>StdScen21_MidCase_annual_gea!BZ207</f>
        <v>29030054</v>
      </c>
    </row>
    <row r="204" spans="1:5" x14ac:dyDescent="0.3">
      <c r="A204" t="s">
        <v>179</v>
      </c>
      <c r="B204" t="s">
        <v>7</v>
      </c>
      <c r="C204" t="str">
        <f>StdScen21_MidCase_annual_gea!A208</f>
        <v>SPNOc</v>
      </c>
      <c r="D204" s="6">
        <f>StdScen21_MidCase_annual_gea!B208</f>
        <v>2036</v>
      </c>
      <c r="E204" s="6">
        <f>StdScen21_MidCase_annual_gea!BZ208</f>
        <v>29267226</v>
      </c>
    </row>
    <row r="205" spans="1:5" x14ac:dyDescent="0.3">
      <c r="A205" t="s">
        <v>179</v>
      </c>
      <c r="B205" t="s">
        <v>7</v>
      </c>
      <c r="C205" t="str">
        <f>StdScen21_MidCase_annual_gea!A209</f>
        <v>SPNOc</v>
      </c>
      <c r="D205" s="6">
        <f>StdScen21_MidCase_annual_gea!B209</f>
        <v>2038</v>
      </c>
      <c r="E205" s="6">
        <f>StdScen21_MidCase_annual_gea!BZ209</f>
        <v>27546260</v>
      </c>
    </row>
    <row r="206" spans="1:5" x14ac:dyDescent="0.3">
      <c r="A206" t="s">
        <v>179</v>
      </c>
      <c r="B206" t="s">
        <v>7</v>
      </c>
      <c r="C206" t="str">
        <f>StdScen21_MidCase_annual_gea!A210</f>
        <v>SPNOc</v>
      </c>
      <c r="D206" s="6">
        <f>StdScen21_MidCase_annual_gea!B210</f>
        <v>2040</v>
      </c>
      <c r="E206" s="6">
        <f>StdScen21_MidCase_annual_gea!BZ210</f>
        <v>27139162</v>
      </c>
    </row>
    <row r="207" spans="1:5" x14ac:dyDescent="0.3">
      <c r="A207" t="s">
        <v>179</v>
      </c>
      <c r="B207" t="s">
        <v>7</v>
      </c>
      <c r="C207" t="str">
        <f>StdScen21_MidCase_annual_gea!A211</f>
        <v>SPNOc</v>
      </c>
      <c r="D207" s="6">
        <f>StdScen21_MidCase_annual_gea!B211</f>
        <v>2042</v>
      </c>
      <c r="E207" s="6">
        <f>StdScen21_MidCase_annual_gea!BZ211</f>
        <v>26218782</v>
      </c>
    </row>
    <row r="208" spans="1:5" x14ac:dyDescent="0.3">
      <c r="A208" t="s">
        <v>179</v>
      </c>
      <c r="B208" t="s">
        <v>7</v>
      </c>
      <c r="C208" t="str">
        <f>StdScen21_MidCase_annual_gea!A212</f>
        <v>SPNOc</v>
      </c>
      <c r="D208" s="6">
        <f>StdScen21_MidCase_annual_gea!B212</f>
        <v>2044</v>
      </c>
      <c r="E208" s="6">
        <f>StdScen21_MidCase_annual_gea!BZ212</f>
        <v>22980550</v>
      </c>
    </row>
    <row r="209" spans="1:5" x14ac:dyDescent="0.3">
      <c r="A209" t="s">
        <v>179</v>
      </c>
      <c r="B209" t="s">
        <v>7</v>
      </c>
      <c r="C209" t="str">
        <f>StdScen21_MidCase_annual_gea!A213</f>
        <v>SPNOc</v>
      </c>
      <c r="D209" s="6">
        <f>StdScen21_MidCase_annual_gea!B213</f>
        <v>2046</v>
      </c>
      <c r="E209" s="6">
        <f>StdScen21_MidCase_annual_gea!BZ213</f>
        <v>19867194</v>
      </c>
    </row>
    <row r="210" spans="1:5" x14ac:dyDescent="0.3">
      <c r="A210" t="s">
        <v>179</v>
      </c>
      <c r="B210" t="s">
        <v>7</v>
      </c>
      <c r="C210" t="str">
        <f>StdScen21_MidCase_annual_gea!A214</f>
        <v>SPNOc</v>
      </c>
      <c r="D210" s="6">
        <f>StdScen21_MidCase_annual_gea!B214</f>
        <v>2048</v>
      </c>
      <c r="E210" s="6">
        <f>StdScen21_MidCase_annual_gea!BZ214</f>
        <v>18313986</v>
      </c>
    </row>
    <row r="211" spans="1:5" x14ac:dyDescent="0.3">
      <c r="A211" t="s">
        <v>179</v>
      </c>
      <c r="B211" t="s">
        <v>7</v>
      </c>
      <c r="C211" t="str">
        <f>StdScen21_MidCase_annual_gea!A215</f>
        <v>SPNOc</v>
      </c>
      <c r="D211" s="6">
        <f>StdScen21_MidCase_annual_gea!B215</f>
        <v>2050</v>
      </c>
      <c r="E211" s="6">
        <f>StdScen21_MidCase_annual_gea!BZ215</f>
        <v>16560645</v>
      </c>
    </row>
    <row r="212" spans="1:5" x14ac:dyDescent="0.3">
      <c r="A212" t="s">
        <v>179</v>
      </c>
      <c r="B212" t="s">
        <v>7</v>
      </c>
      <c r="C212" t="str">
        <f>StdScen21_MidCase_annual_gea!A216</f>
        <v>SPSOc</v>
      </c>
      <c r="D212" s="6">
        <f>StdScen21_MidCase_annual_gea!B216</f>
        <v>2022</v>
      </c>
      <c r="E212" s="6">
        <f>StdScen21_MidCase_annual_gea!BZ216</f>
        <v>27708588</v>
      </c>
    </row>
    <row r="213" spans="1:5" x14ac:dyDescent="0.3">
      <c r="A213" t="s">
        <v>179</v>
      </c>
      <c r="B213" t="s">
        <v>7</v>
      </c>
      <c r="C213" t="str">
        <f>StdScen21_MidCase_annual_gea!A217</f>
        <v>SPSOc</v>
      </c>
      <c r="D213" s="6">
        <f>StdScen21_MidCase_annual_gea!B217</f>
        <v>2024</v>
      </c>
      <c r="E213" s="6">
        <f>StdScen21_MidCase_annual_gea!BZ217</f>
        <v>22400080</v>
      </c>
    </row>
    <row r="214" spans="1:5" x14ac:dyDescent="0.3">
      <c r="A214" t="s">
        <v>179</v>
      </c>
      <c r="B214" t="s">
        <v>7</v>
      </c>
      <c r="C214" t="str">
        <f>StdScen21_MidCase_annual_gea!A218</f>
        <v>SPSOc</v>
      </c>
      <c r="D214" s="6">
        <f>StdScen21_MidCase_annual_gea!B218</f>
        <v>2026</v>
      </c>
      <c r="E214" s="6">
        <f>StdScen21_MidCase_annual_gea!BZ218</f>
        <v>15224035</v>
      </c>
    </row>
    <row r="215" spans="1:5" x14ac:dyDescent="0.3">
      <c r="A215" t="s">
        <v>179</v>
      </c>
      <c r="B215" t="s">
        <v>7</v>
      </c>
      <c r="C215" t="str">
        <f>StdScen21_MidCase_annual_gea!A219</f>
        <v>SPSOc</v>
      </c>
      <c r="D215" s="6">
        <f>StdScen21_MidCase_annual_gea!B219</f>
        <v>2028</v>
      </c>
      <c r="E215" s="6">
        <f>StdScen21_MidCase_annual_gea!BZ219</f>
        <v>19404530</v>
      </c>
    </row>
    <row r="216" spans="1:5" x14ac:dyDescent="0.3">
      <c r="A216" t="s">
        <v>179</v>
      </c>
      <c r="B216" t="s">
        <v>7</v>
      </c>
      <c r="C216" t="str">
        <f>StdScen21_MidCase_annual_gea!A220</f>
        <v>SPSOc</v>
      </c>
      <c r="D216" s="6">
        <f>StdScen21_MidCase_annual_gea!B220</f>
        <v>2030</v>
      </c>
      <c r="E216" s="6">
        <f>StdScen21_MidCase_annual_gea!BZ220</f>
        <v>19094064</v>
      </c>
    </row>
    <row r="217" spans="1:5" x14ac:dyDescent="0.3">
      <c r="A217" t="s">
        <v>179</v>
      </c>
      <c r="B217" t="s">
        <v>7</v>
      </c>
      <c r="C217" t="str">
        <f>StdScen21_MidCase_annual_gea!A221</f>
        <v>SPSOc</v>
      </c>
      <c r="D217" s="6">
        <f>StdScen21_MidCase_annual_gea!B221</f>
        <v>2032</v>
      </c>
      <c r="E217" s="6">
        <f>StdScen21_MidCase_annual_gea!BZ221</f>
        <v>19912736</v>
      </c>
    </row>
    <row r="218" spans="1:5" x14ac:dyDescent="0.3">
      <c r="A218" t="s">
        <v>179</v>
      </c>
      <c r="B218" t="s">
        <v>7</v>
      </c>
      <c r="C218" t="str">
        <f>StdScen21_MidCase_annual_gea!A222</f>
        <v>SPSOc</v>
      </c>
      <c r="D218" s="6">
        <f>StdScen21_MidCase_annual_gea!B222</f>
        <v>2034</v>
      </c>
      <c r="E218" s="6">
        <f>StdScen21_MidCase_annual_gea!BZ222</f>
        <v>17452354</v>
      </c>
    </row>
    <row r="219" spans="1:5" x14ac:dyDescent="0.3">
      <c r="A219" t="s">
        <v>179</v>
      </c>
      <c r="B219" t="s">
        <v>7</v>
      </c>
      <c r="C219" t="str">
        <f>StdScen21_MidCase_annual_gea!A223</f>
        <v>SPSOc</v>
      </c>
      <c r="D219" s="6">
        <f>StdScen21_MidCase_annual_gea!B223</f>
        <v>2036</v>
      </c>
      <c r="E219" s="6">
        <f>StdScen21_MidCase_annual_gea!BZ223</f>
        <v>17838866</v>
      </c>
    </row>
    <row r="220" spans="1:5" x14ac:dyDescent="0.3">
      <c r="A220" t="s">
        <v>179</v>
      </c>
      <c r="B220" t="s">
        <v>7</v>
      </c>
      <c r="C220" t="str">
        <f>StdScen21_MidCase_annual_gea!A224</f>
        <v>SPSOc</v>
      </c>
      <c r="D220" s="6">
        <f>StdScen21_MidCase_annual_gea!B224</f>
        <v>2038</v>
      </c>
      <c r="E220" s="6">
        <f>StdScen21_MidCase_annual_gea!BZ224</f>
        <v>15751418</v>
      </c>
    </row>
    <row r="221" spans="1:5" x14ac:dyDescent="0.3">
      <c r="A221" t="s">
        <v>179</v>
      </c>
      <c r="B221" t="s">
        <v>7</v>
      </c>
      <c r="C221" t="str">
        <f>StdScen21_MidCase_annual_gea!A225</f>
        <v>SPSOc</v>
      </c>
      <c r="D221" s="6">
        <f>StdScen21_MidCase_annual_gea!B225</f>
        <v>2040</v>
      </c>
      <c r="E221" s="6">
        <f>StdScen21_MidCase_annual_gea!BZ225</f>
        <v>15249315</v>
      </c>
    </row>
    <row r="222" spans="1:5" x14ac:dyDescent="0.3">
      <c r="A222" t="s">
        <v>179</v>
      </c>
      <c r="B222" t="s">
        <v>7</v>
      </c>
      <c r="C222" t="str">
        <f>StdScen21_MidCase_annual_gea!A226</f>
        <v>SPSOc</v>
      </c>
      <c r="D222" s="6">
        <f>StdScen21_MidCase_annual_gea!B226</f>
        <v>2042</v>
      </c>
      <c r="E222" s="6">
        <f>StdScen21_MidCase_annual_gea!BZ226</f>
        <v>15269243</v>
      </c>
    </row>
    <row r="223" spans="1:5" x14ac:dyDescent="0.3">
      <c r="A223" t="s">
        <v>179</v>
      </c>
      <c r="B223" t="s">
        <v>7</v>
      </c>
      <c r="C223" t="str">
        <f>StdScen21_MidCase_annual_gea!A227</f>
        <v>SPSOc</v>
      </c>
      <c r="D223" s="6">
        <f>StdScen21_MidCase_annual_gea!B227</f>
        <v>2044</v>
      </c>
      <c r="E223" s="6">
        <f>StdScen21_MidCase_annual_gea!BZ227</f>
        <v>15437898</v>
      </c>
    </row>
    <row r="224" spans="1:5" x14ac:dyDescent="0.3">
      <c r="A224" t="s">
        <v>179</v>
      </c>
      <c r="B224" t="s">
        <v>7</v>
      </c>
      <c r="C224" t="str">
        <f>StdScen21_MidCase_annual_gea!A228</f>
        <v>SPSOc</v>
      </c>
      <c r="D224" s="6">
        <f>StdScen21_MidCase_annual_gea!B228</f>
        <v>2046</v>
      </c>
      <c r="E224" s="6">
        <f>StdScen21_MidCase_annual_gea!BZ228</f>
        <v>15181267</v>
      </c>
    </row>
    <row r="225" spans="1:5" x14ac:dyDescent="0.3">
      <c r="A225" t="s">
        <v>179</v>
      </c>
      <c r="B225" t="s">
        <v>7</v>
      </c>
      <c r="C225" t="str">
        <f>StdScen21_MidCase_annual_gea!A229</f>
        <v>SPSOc</v>
      </c>
      <c r="D225" s="6">
        <f>StdScen21_MidCase_annual_gea!B229</f>
        <v>2048</v>
      </c>
      <c r="E225" s="6">
        <f>StdScen21_MidCase_annual_gea!BZ229</f>
        <v>16477906</v>
      </c>
    </row>
    <row r="226" spans="1:5" x14ac:dyDescent="0.3">
      <c r="A226" t="s">
        <v>179</v>
      </c>
      <c r="B226" t="s">
        <v>7</v>
      </c>
      <c r="C226" t="str">
        <f>StdScen21_MidCase_annual_gea!A230</f>
        <v>SPSOc</v>
      </c>
      <c r="D226" s="6">
        <f>StdScen21_MidCase_annual_gea!B230</f>
        <v>2050</v>
      </c>
      <c r="E226" s="6">
        <f>StdScen21_MidCase_annual_gea!BZ230</f>
        <v>15164621</v>
      </c>
    </row>
    <row r="227" spans="1:5" x14ac:dyDescent="0.3">
      <c r="A227" t="s">
        <v>179</v>
      </c>
      <c r="B227" t="s">
        <v>7</v>
      </c>
      <c r="C227" t="str">
        <f>StdScen21_MidCase_annual_gea!A231</f>
        <v>SRMVc</v>
      </c>
      <c r="D227" s="6">
        <f>StdScen21_MidCase_annual_gea!B231</f>
        <v>2022</v>
      </c>
      <c r="E227" s="6">
        <f>StdScen21_MidCase_annual_gea!BZ231</f>
        <v>30715248</v>
      </c>
    </row>
    <row r="228" spans="1:5" x14ac:dyDescent="0.3">
      <c r="A228" t="s">
        <v>179</v>
      </c>
      <c r="B228" t="s">
        <v>7</v>
      </c>
      <c r="C228" t="str">
        <f>StdScen21_MidCase_annual_gea!A232</f>
        <v>SRMVc</v>
      </c>
      <c r="D228" s="6">
        <f>StdScen21_MidCase_annual_gea!B232</f>
        <v>2024</v>
      </c>
      <c r="E228" s="6">
        <f>StdScen21_MidCase_annual_gea!BZ232</f>
        <v>17353060</v>
      </c>
    </row>
    <row r="229" spans="1:5" x14ac:dyDescent="0.3">
      <c r="A229" t="s">
        <v>179</v>
      </c>
      <c r="B229" t="s">
        <v>7</v>
      </c>
      <c r="C229" t="str">
        <f>StdScen21_MidCase_annual_gea!A233</f>
        <v>SRMVc</v>
      </c>
      <c r="D229" s="6">
        <f>StdScen21_MidCase_annual_gea!B233</f>
        <v>2026</v>
      </c>
      <c r="E229" s="6">
        <f>StdScen21_MidCase_annual_gea!BZ233</f>
        <v>17537536</v>
      </c>
    </row>
    <row r="230" spans="1:5" x14ac:dyDescent="0.3">
      <c r="A230" t="s">
        <v>179</v>
      </c>
      <c r="B230" t="s">
        <v>7</v>
      </c>
      <c r="C230" t="str">
        <f>StdScen21_MidCase_annual_gea!A234</f>
        <v>SRMVc</v>
      </c>
      <c r="D230" s="6">
        <f>StdScen21_MidCase_annual_gea!B234</f>
        <v>2028</v>
      </c>
      <c r="E230" s="6">
        <f>StdScen21_MidCase_annual_gea!BZ234</f>
        <v>18645572</v>
      </c>
    </row>
    <row r="231" spans="1:5" x14ac:dyDescent="0.3">
      <c r="A231" t="s">
        <v>179</v>
      </c>
      <c r="B231" t="s">
        <v>7</v>
      </c>
      <c r="C231" t="str">
        <f>StdScen21_MidCase_annual_gea!A235</f>
        <v>SRMVc</v>
      </c>
      <c r="D231" s="6">
        <f>StdScen21_MidCase_annual_gea!B235</f>
        <v>2030</v>
      </c>
      <c r="E231" s="6">
        <f>StdScen21_MidCase_annual_gea!BZ235</f>
        <v>18241458</v>
      </c>
    </row>
    <row r="232" spans="1:5" x14ac:dyDescent="0.3">
      <c r="A232" t="s">
        <v>179</v>
      </c>
      <c r="B232" t="s">
        <v>7</v>
      </c>
      <c r="C232" t="str">
        <f>StdScen21_MidCase_annual_gea!A236</f>
        <v>SRMVc</v>
      </c>
      <c r="D232" s="6">
        <f>StdScen21_MidCase_annual_gea!B236</f>
        <v>2032</v>
      </c>
      <c r="E232" s="6">
        <f>StdScen21_MidCase_annual_gea!BZ236</f>
        <v>17178884</v>
      </c>
    </row>
    <row r="233" spans="1:5" x14ac:dyDescent="0.3">
      <c r="A233" t="s">
        <v>179</v>
      </c>
      <c r="B233" t="s">
        <v>7</v>
      </c>
      <c r="C233" t="str">
        <f>StdScen21_MidCase_annual_gea!A237</f>
        <v>SRMVc</v>
      </c>
      <c r="D233" s="6">
        <f>StdScen21_MidCase_annual_gea!B237</f>
        <v>2034</v>
      </c>
      <c r="E233" s="6">
        <f>StdScen21_MidCase_annual_gea!BZ237</f>
        <v>16854494</v>
      </c>
    </row>
    <row r="234" spans="1:5" x14ac:dyDescent="0.3">
      <c r="A234" t="s">
        <v>179</v>
      </c>
      <c r="B234" t="s">
        <v>7</v>
      </c>
      <c r="C234" t="str">
        <f>StdScen21_MidCase_annual_gea!A238</f>
        <v>SRMVc</v>
      </c>
      <c r="D234" s="6">
        <f>StdScen21_MidCase_annual_gea!B238</f>
        <v>2036</v>
      </c>
      <c r="E234" s="6">
        <f>StdScen21_MidCase_annual_gea!BZ238</f>
        <v>15986626</v>
      </c>
    </row>
    <row r="235" spans="1:5" x14ac:dyDescent="0.3">
      <c r="A235" t="s">
        <v>179</v>
      </c>
      <c r="B235" t="s">
        <v>7</v>
      </c>
      <c r="C235" t="str">
        <f>StdScen21_MidCase_annual_gea!A239</f>
        <v>SRMVc</v>
      </c>
      <c r="D235" s="6">
        <f>StdScen21_MidCase_annual_gea!B239</f>
        <v>2038</v>
      </c>
      <c r="E235" s="6">
        <f>StdScen21_MidCase_annual_gea!BZ239</f>
        <v>14774283</v>
      </c>
    </row>
    <row r="236" spans="1:5" x14ac:dyDescent="0.3">
      <c r="A236" t="s">
        <v>179</v>
      </c>
      <c r="B236" t="s">
        <v>7</v>
      </c>
      <c r="C236" t="str">
        <f>StdScen21_MidCase_annual_gea!A240</f>
        <v>SRMVc</v>
      </c>
      <c r="D236" s="6">
        <f>StdScen21_MidCase_annual_gea!B240</f>
        <v>2040</v>
      </c>
      <c r="E236" s="6">
        <f>StdScen21_MidCase_annual_gea!BZ240</f>
        <v>13568467</v>
      </c>
    </row>
    <row r="237" spans="1:5" x14ac:dyDescent="0.3">
      <c r="A237" t="s">
        <v>179</v>
      </c>
      <c r="B237" t="s">
        <v>7</v>
      </c>
      <c r="C237" t="str">
        <f>StdScen21_MidCase_annual_gea!A241</f>
        <v>SRMVc</v>
      </c>
      <c r="D237" s="6">
        <f>StdScen21_MidCase_annual_gea!B241</f>
        <v>2042</v>
      </c>
      <c r="E237" s="6">
        <f>StdScen21_MidCase_annual_gea!BZ241</f>
        <v>13277418</v>
      </c>
    </row>
    <row r="238" spans="1:5" x14ac:dyDescent="0.3">
      <c r="A238" t="s">
        <v>179</v>
      </c>
      <c r="B238" t="s">
        <v>7</v>
      </c>
      <c r="C238" t="str">
        <f>StdScen21_MidCase_annual_gea!A242</f>
        <v>SRMVc</v>
      </c>
      <c r="D238" s="6">
        <f>StdScen21_MidCase_annual_gea!B242</f>
        <v>2044</v>
      </c>
      <c r="E238" s="6">
        <f>StdScen21_MidCase_annual_gea!BZ242</f>
        <v>12991147</v>
      </c>
    </row>
    <row r="239" spans="1:5" x14ac:dyDescent="0.3">
      <c r="A239" t="s">
        <v>179</v>
      </c>
      <c r="B239" t="s">
        <v>7</v>
      </c>
      <c r="C239" t="str">
        <f>StdScen21_MidCase_annual_gea!A243</f>
        <v>SRMVc</v>
      </c>
      <c r="D239" s="6">
        <f>StdScen21_MidCase_annual_gea!B243</f>
        <v>2046</v>
      </c>
      <c r="E239" s="6">
        <f>StdScen21_MidCase_annual_gea!BZ243</f>
        <v>13180774</v>
      </c>
    </row>
    <row r="240" spans="1:5" x14ac:dyDescent="0.3">
      <c r="A240" t="s">
        <v>179</v>
      </c>
      <c r="B240" t="s">
        <v>7</v>
      </c>
      <c r="C240" t="str">
        <f>StdScen21_MidCase_annual_gea!A244</f>
        <v>SRMVc</v>
      </c>
      <c r="D240" s="6">
        <f>StdScen21_MidCase_annual_gea!B244</f>
        <v>2048</v>
      </c>
      <c r="E240" s="6">
        <f>StdScen21_MidCase_annual_gea!BZ244</f>
        <v>14986690</v>
      </c>
    </row>
    <row r="241" spans="1:5" x14ac:dyDescent="0.3">
      <c r="A241" t="s">
        <v>179</v>
      </c>
      <c r="B241" t="s">
        <v>7</v>
      </c>
      <c r="C241" t="str">
        <f>StdScen21_MidCase_annual_gea!A245</f>
        <v>SRMVc</v>
      </c>
      <c r="D241" s="6">
        <f>StdScen21_MidCase_annual_gea!B245</f>
        <v>2050</v>
      </c>
      <c r="E241" s="6">
        <f>StdScen21_MidCase_annual_gea!BZ245</f>
        <v>13490846</v>
      </c>
    </row>
    <row r="242" spans="1:5" x14ac:dyDescent="0.3">
      <c r="A242" t="s">
        <v>179</v>
      </c>
      <c r="B242" t="s">
        <v>7</v>
      </c>
      <c r="C242" t="str">
        <f>StdScen21_MidCase_annual_gea!A246</f>
        <v>SRMWc</v>
      </c>
      <c r="D242" s="6">
        <f>StdScen21_MidCase_annual_gea!B246</f>
        <v>2022</v>
      </c>
      <c r="E242" s="6">
        <f>StdScen21_MidCase_annual_gea!BZ246</f>
        <v>83236730</v>
      </c>
    </row>
    <row r="243" spans="1:5" x14ac:dyDescent="0.3">
      <c r="A243" t="s">
        <v>179</v>
      </c>
      <c r="B243" t="s">
        <v>7</v>
      </c>
      <c r="C243" t="str">
        <f>StdScen21_MidCase_annual_gea!A247</f>
        <v>SRMWc</v>
      </c>
      <c r="D243" s="6">
        <f>StdScen21_MidCase_annual_gea!B247</f>
        <v>2024</v>
      </c>
      <c r="E243" s="6">
        <f>StdScen21_MidCase_annual_gea!BZ247</f>
        <v>62399610</v>
      </c>
    </row>
    <row r="244" spans="1:5" x14ac:dyDescent="0.3">
      <c r="A244" t="s">
        <v>179</v>
      </c>
      <c r="B244" t="s">
        <v>7</v>
      </c>
      <c r="C244" t="str">
        <f>StdScen21_MidCase_annual_gea!A248</f>
        <v>SRMWc</v>
      </c>
      <c r="D244" s="6">
        <f>StdScen21_MidCase_annual_gea!B248</f>
        <v>2026</v>
      </c>
      <c r="E244" s="6">
        <f>StdScen21_MidCase_annual_gea!BZ248</f>
        <v>54416250</v>
      </c>
    </row>
    <row r="245" spans="1:5" x14ac:dyDescent="0.3">
      <c r="A245" t="s">
        <v>179</v>
      </c>
      <c r="B245" t="s">
        <v>7</v>
      </c>
      <c r="C245" t="str">
        <f>StdScen21_MidCase_annual_gea!A249</f>
        <v>SRMWc</v>
      </c>
      <c r="D245" s="6">
        <f>StdScen21_MidCase_annual_gea!B249</f>
        <v>2028</v>
      </c>
      <c r="E245" s="6">
        <f>StdScen21_MidCase_annual_gea!BZ249</f>
        <v>54024824</v>
      </c>
    </row>
    <row r="246" spans="1:5" x14ac:dyDescent="0.3">
      <c r="A246" t="s">
        <v>179</v>
      </c>
      <c r="B246" t="s">
        <v>7</v>
      </c>
      <c r="C246" t="str">
        <f>StdScen21_MidCase_annual_gea!A250</f>
        <v>SRMWc</v>
      </c>
      <c r="D246" s="6">
        <f>StdScen21_MidCase_annual_gea!B250</f>
        <v>2030</v>
      </c>
      <c r="E246" s="6">
        <f>StdScen21_MidCase_annual_gea!BZ250</f>
        <v>54867770</v>
      </c>
    </row>
    <row r="247" spans="1:5" x14ac:dyDescent="0.3">
      <c r="A247" t="s">
        <v>179</v>
      </c>
      <c r="B247" t="s">
        <v>7</v>
      </c>
      <c r="C247" t="str">
        <f>StdScen21_MidCase_annual_gea!A251</f>
        <v>SRMWc</v>
      </c>
      <c r="D247" s="6">
        <f>StdScen21_MidCase_annual_gea!B251</f>
        <v>2032</v>
      </c>
      <c r="E247" s="6">
        <f>StdScen21_MidCase_annual_gea!BZ251</f>
        <v>53643812</v>
      </c>
    </row>
    <row r="248" spans="1:5" x14ac:dyDescent="0.3">
      <c r="A248" t="s">
        <v>179</v>
      </c>
      <c r="B248" t="s">
        <v>7</v>
      </c>
      <c r="C248" t="str">
        <f>StdScen21_MidCase_annual_gea!A252</f>
        <v>SRMWc</v>
      </c>
      <c r="D248" s="6">
        <f>StdScen21_MidCase_annual_gea!B252</f>
        <v>2034</v>
      </c>
      <c r="E248" s="6">
        <f>StdScen21_MidCase_annual_gea!BZ252</f>
        <v>51183560</v>
      </c>
    </row>
    <row r="249" spans="1:5" x14ac:dyDescent="0.3">
      <c r="A249" t="s">
        <v>179</v>
      </c>
      <c r="B249" t="s">
        <v>7</v>
      </c>
      <c r="C249" t="str">
        <f>StdScen21_MidCase_annual_gea!A253</f>
        <v>SRMWc</v>
      </c>
      <c r="D249" s="6">
        <f>StdScen21_MidCase_annual_gea!B253</f>
        <v>2036</v>
      </c>
      <c r="E249" s="6">
        <f>StdScen21_MidCase_annual_gea!BZ253</f>
        <v>49406116</v>
      </c>
    </row>
    <row r="250" spans="1:5" x14ac:dyDescent="0.3">
      <c r="A250" t="s">
        <v>179</v>
      </c>
      <c r="B250" t="s">
        <v>7</v>
      </c>
      <c r="C250" t="str">
        <f>StdScen21_MidCase_annual_gea!A254</f>
        <v>SRMWc</v>
      </c>
      <c r="D250" s="6">
        <f>StdScen21_MidCase_annual_gea!B254</f>
        <v>2038</v>
      </c>
      <c r="E250" s="6">
        <f>StdScen21_MidCase_annual_gea!BZ254</f>
        <v>47037628</v>
      </c>
    </row>
    <row r="251" spans="1:5" x14ac:dyDescent="0.3">
      <c r="A251" t="s">
        <v>179</v>
      </c>
      <c r="B251" t="s">
        <v>7</v>
      </c>
      <c r="C251" t="str">
        <f>StdScen21_MidCase_annual_gea!A255</f>
        <v>SRMWc</v>
      </c>
      <c r="D251" s="6">
        <f>StdScen21_MidCase_annual_gea!B255</f>
        <v>2040</v>
      </c>
      <c r="E251" s="6">
        <f>StdScen21_MidCase_annual_gea!BZ255</f>
        <v>42571196</v>
      </c>
    </row>
    <row r="252" spans="1:5" x14ac:dyDescent="0.3">
      <c r="A252" t="s">
        <v>179</v>
      </c>
      <c r="B252" t="s">
        <v>7</v>
      </c>
      <c r="C252" t="str">
        <f>StdScen21_MidCase_annual_gea!A256</f>
        <v>SRMWc</v>
      </c>
      <c r="D252" s="6">
        <f>StdScen21_MidCase_annual_gea!B256</f>
        <v>2042</v>
      </c>
      <c r="E252" s="6">
        <f>StdScen21_MidCase_annual_gea!BZ256</f>
        <v>38377240</v>
      </c>
    </row>
    <row r="253" spans="1:5" x14ac:dyDescent="0.3">
      <c r="A253" t="s">
        <v>179</v>
      </c>
      <c r="B253" t="s">
        <v>7</v>
      </c>
      <c r="C253" t="str">
        <f>StdScen21_MidCase_annual_gea!A257</f>
        <v>SRMWc</v>
      </c>
      <c r="D253" s="6">
        <f>StdScen21_MidCase_annual_gea!B257</f>
        <v>2044</v>
      </c>
      <c r="E253" s="6">
        <f>StdScen21_MidCase_annual_gea!BZ257</f>
        <v>32993184</v>
      </c>
    </row>
    <row r="254" spans="1:5" x14ac:dyDescent="0.3">
      <c r="A254" t="s">
        <v>179</v>
      </c>
      <c r="B254" t="s">
        <v>7</v>
      </c>
      <c r="C254" t="str">
        <f>StdScen21_MidCase_annual_gea!A258</f>
        <v>SRMWc</v>
      </c>
      <c r="D254" s="6">
        <f>StdScen21_MidCase_annual_gea!B258</f>
        <v>2046</v>
      </c>
      <c r="E254" s="6">
        <f>StdScen21_MidCase_annual_gea!BZ258</f>
        <v>27615332</v>
      </c>
    </row>
    <row r="255" spans="1:5" x14ac:dyDescent="0.3">
      <c r="A255" t="s">
        <v>179</v>
      </c>
      <c r="B255" t="s">
        <v>7</v>
      </c>
      <c r="C255" t="str">
        <f>StdScen21_MidCase_annual_gea!A259</f>
        <v>SRMWc</v>
      </c>
      <c r="D255" s="6">
        <f>StdScen21_MidCase_annual_gea!B259</f>
        <v>2048</v>
      </c>
      <c r="E255" s="6">
        <f>StdScen21_MidCase_annual_gea!BZ259</f>
        <v>18458216</v>
      </c>
    </row>
    <row r="256" spans="1:5" x14ac:dyDescent="0.3">
      <c r="A256" t="s">
        <v>179</v>
      </c>
      <c r="B256" t="s">
        <v>7</v>
      </c>
      <c r="C256" t="str">
        <f>StdScen21_MidCase_annual_gea!A260</f>
        <v>SRMWc</v>
      </c>
      <c r="D256" s="6">
        <f>StdScen21_MidCase_annual_gea!B260</f>
        <v>2050</v>
      </c>
      <c r="E256" s="6">
        <f>StdScen21_MidCase_annual_gea!BZ260</f>
        <v>15778998</v>
      </c>
    </row>
    <row r="257" spans="1:5" x14ac:dyDescent="0.3">
      <c r="A257" t="s">
        <v>179</v>
      </c>
      <c r="B257" t="s">
        <v>7</v>
      </c>
      <c r="C257" t="str">
        <f>StdScen21_MidCase_annual_gea!A261</f>
        <v>SRSOc</v>
      </c>
      <c r="D257" s="6">
        <f>StdScen21_MidCase_annual_gea!B261</f>
        <v>2022</v>
      </c>
      <c r="E257" s="6">
        <f>StdScen21_MidCase_annual_gea!BZ261</f>
        <v>72233224</v>
      </c>
    </row>
    <row r="258" spans="1:5" x14ac:dyDescent="0.3">
      <c r="A258" t="s">
        <v>179</v>
      </c>
      <c r="B258" t="s">
        <v>7</v>
      </c>
      <c r="C258" t="str">
        <f>StdScen21_MidCase_annual_gea!A262</f>
        <v>SRSOc</v>
      </c>
      <c r="D258" s="6">
        <f>StdScen21_MidCase_annual_gea!B262</f>
        <v>2024</v>
      </c>
      <c r="E258" s="6">
        <f>StdScen21_MidCase_annual_gea!BZ262</f>
        <v>48246124</v>
      </c>
    </row>
    <row r="259" spans="1:5" x14ac:dyDescent="0.3">
      <c r="A259" t="s">
        <v>179</v>
      </c>
      <c r="B259" t="s">
        <v>7</v>
      </c>
      <c r="C259" t="str">
        <f>StdScen21_MidCase_annual_gea!A263</f>
        <v>SRSOc</v>
      </c>
      <c r="D259" s="6">
        <f>StdScen21_MidCase_annual_gea!B263</f>
        <v>2026</v>
      </c>
      <c r="E259" s="6">
        <f>StdScen21_MidCase_annual_gea!BZ263</f>
        <v>50677628</v>
      </c>
    </row>
    <row r="260" spans="1:5" x14ac:dyDescent="0.3">
      <c r="A260" t="s">
        <v>179</v>
      </c>
      <c r="B260" t="s">
        <v>7</v>
      </c>
      <c r="C260" t="str">
        <f>StdScen21_MidCase_annual_gea!A264</f>
        <v>SRSOc</v>
      </c>
      <c r="D260" s="6">
        <f>StdScen21_MidCase_annual_gea!B264</f>
        <v>2028</v>
      </c>
      <c r="E260" s="6">
        <f>StdScen21_MidCase_annual_gea!BZ264</f>
        <v>64130388</v>
      </c>
    </row>
    <row r="261" spans="1:5" x14ac:dyDescent="0.3">
      <c r="A261" t="s">
        <v>179</v>
      </c>
      <c r="B261" t="s">
        <v>7</v>
      </c>
      <c r="C261" t="str">
        <f>StdScen21_MidCase_annual_gea!A265</f>
        <v>SRSOc</v>
      </c>
      <c r="D261" s="6">
        <f>StdScen21_MidCase_annual_gea!B265</f>
        <v>2030</v>
      </c>
      <c r="E261" s="6">
        <f>StdScen21_MidCase_annual_gea!BZ265</f>
        <v>63087988</v>
      </c>
    </row>
    <row r="262" spans="1:5" x14ac:dyDescent="0.3">
      <c r="A262" t="s">
        <v>179</v>
      </c>
      <c r="B262" t="s">
        <v>7</v>
      </c>
      <c r="C262" t="str">
        <f>StdScen21_MidCase_annual_gea!A266</f>
        <v>SRSOc</v>
      </c>
      <c r="D262" s="6">
        <f>StdScen21_MidCase_annual_gea!B266</f>
        <v>2032</v>
      </c>
      <c r="E262" s="6">
        <f>StdScen21_MidCase_annual_gea!BZ266</f>
        <v>60017228</v>
      </c>
    </row>
    <row r="263" spans="1:5" x14ac:dyDescent="0.3">
      <c r="A263" t="s">
        <v>179</v>
      </c>
      <c r="B263" t="s">
        <v>7</v>
      </c>
      <c r="C263" t="str">
        <f>StdScen21_MidCase_annual_gea!A267</f>
        <v>SRSOc</v>
      </c>
      <c r="D263" s="6">
        <f>StdScen21_MidCase_annual_gea!B267</f>
        <v>2034</v>
      </c>
      <c r="E263" s="6">
        <f>StdScen21_MidCase_annual_gea!BZ267</f>
        <v>59650680</v>
      </c>
    </row>
    <row r="264" spans="1:5" x14ac:dyDescent="0.3">
      <c r="A264" t="s">
        <v>179</v>
      </c>
      <c r="B264" t="s">
        <v>7</v>
      </c>
      <c r="C264" t="str">
        <f>StdScen21_MidCase_annual_gea!A268</f>
        <v>SRSOc</v>
      </c>
      <c r="D264" s="6">
        <f>StdScen21_MidCase_annual_gea!B268</f>
        <v>2036</v>
      </c>
      <c r="E264" s="6">
        <f>StdScen21_MidCase_annual_gea!BZ268</f>
        <v>60077160</v>
      </c>
    </row>
    <row r="265" spans="1:5" x14ac:dyDescent="0.3">
      <c r="A265" t="s">
        <v>179</v>
      </c>
      <c r="B265" t="s">
        <v>7</v>
      </c>
      <c r="C265" t="str">
        <f>StdScen21_MidCase_annual_gea!A269</f>
        <v>SRSOc</v>
      </c>
      <c r="D265" s="6">
        <f>StdScen21_MidCase_annual_gea!B269</f>
        <v>2038</v>
      </c>
      <c r="E265" s="6">
        <f>StdScen21_MidCase_annual_gea!BZ269</f>
        <v>55488300</v>
      </c>
    </row>
    <row r="266" spans="1:5" x14ac:dyDescent="0.3">
      <c r="A266" t="s">
        <v>179</v>
      </c>
      <c r="B266" t="s">
        <v>7</v>
      </c>
      <c r="C266" t="str">
        <f>StdScen21_MidCase_annual_gea!A270</f>
        <v>SRSOc</v>
      </c>
      <c r="D266" s="6">
        <f>StdScen21_MidCase_annual_gea!B270</f>
        <v>2040</v>
      </c>
      <c r="E266" s="6">
        <f>StdScen21_MidCase_annual_gea!BZ270</f>
        <v>51426864</v>
      </c>
    </row>
    <row r="267" spans="1:5" x14ac:dyDescent="0.3">
      <c r="A267" t="s">
        <v>179</v>
      </c>
      <c r="B267" t="s">
        <v>7</v>
      </c>
      <c r="C267" t="str">
        <f>StdScen21_MidCase_annual_gea!A271</f>
        <v>SRSOc</v>
      </c>
      <c r="D267" s="6">
        <f>StdScen21_MidCase_annual_gea!B271</f>
        <v>2042</v>
      </c>
      <c r="E267" s="6">
        <f>StdScen21_MidCase_annual_gea!BZ271</f>
        <v>48873090</v>
      </c>
    </row>
    <row r="268" spans="1:5" x14ac:dyDescent="0.3">
      <c r="A268" t="s">
        <v>179</v>
      </c>
      <c r="B268" t="s">
        <v>7</v>
      </c>
      <c r="C268" t="str">
        <f>StdScen21_MidCase_annual_gea!A272</f>
        <v>SRSOc</v>
      </c>
      <c r="D268" s="6">
        <f>StdScen21_MidCase_annual_gea!B272</f>
        <v>2044</v>
      </c>
      <c r="E268" s="6">
        <f>StdScen21_MidCase_annual_gea!BZ272</f>
        <v>48838764</v>
      </c>
    </row>
    <row r="269" spans="1:5" x14ac:dyDescent="0.3">
      <c r="A269" t="s">
        <v>179</v>
      </c>
      <c r="B269" t="s">
        <v>7</v>
      </c>
      <c r="C269" t="str">
        <f>StdScen21_MidCase_annual_gea!A273</f>
        <v>SRSOc</v>
      </c>
      <c r="D269" s="6">
        <f>StdScen21_MidCase_annual_gea!B273</f>
        <v>2046</v>
      </c>
      <c r="E269" s="6">
        <f>StdScen21_MidCase_annual_gea!BZ273</f>
        <v>42601236</v>
      </c>
    </row>
    <row r="270" spans="1:5" x14ac:dyDescent="0.3">
      <c r="A270" t="s">
        <v>179</v>
      </c>
      <c r="B270" t="s">
        <v>7</v>
      </c>
      <c r="C270" t="str">
        <f>StdScen21_MidCase_annual_gea!A274</f>
        <v>SRSOc</v>
      </c>
      <c r="D270" s="6">
        <f>StdScen21_MidCase_annual_gea!B274</f>
        <v>2048</v>
      </c>
      <c r="E270" s="6">
        <f>StdScen21_MidCase_annual_gea!BZ274</f>
        <v>45520270</v>
      </c>
    </row>
    <row r="271" spans="1:5" x14ac:dyDescent="0.3">
      <c r="A271" t="s">
        <v>179</v>
      </c>
      <c r="B271" t="s">
        <v>7</v>
      </c>
      <c r="C271" t="str">
        <f>StdScen21_MidCase_annual_gea!A275</f>
        <v>SRSOc</v>
      </c>
      <c r="D271" s="6">
        <f>StdScen21_MidCase_annual_gea!B275</f>
        <v>2050</v>
      </c>
      <c r="E271" s="6">
        <f>StdScen21_MidCase_annual_gea!BZ275</f>
        <v>31912150</v>
      </c>
    </row>
    <row r="272" spans="1:5" x14ac:dyDescent="0.3">
      <c r="A272" t="s">
        <v>179</v>
      </c>
      <c r="B272" t="s">
        <v>7</v>
      </c>
      <c r="C272" t="str">
        <f>StdScen21_MidCase_annual_gea!A276</f>
        <v>SRTVc</v>
      </c>
      <c r="D272" s="6">
        <f>StdScen21_MidCase_annual_gea!B276</f>
        <v>2022</v>
      </c>
      <c r="E272" s="6">
        <f>StdScen21_MidCase_annual_gea!BZ276</f>
        <v>102914456</v>
      </c>
    </row>
    <row r="273" spans="1:5" x14ac:dyDescent="0.3">
      <c r="A273" t="s">
        <v>179</v>
      </c>
      <c r="B273" t="s">
        <v>7</v>
      </c>
      <c r="C273" t="str">
        <f>StdScen21_MidCase_annual_gea!A277</f>
        <v>SRTVc</v>
      </c>
      <c r="D273" s="6">
        <f>StdScen21_MidCase_annual_gea!B277</f>
        <v>2024</v>
      </c>
      <c r="E273" s="6">
        <f>StdScen21_MidCase_annual_gea!BZ277</f>
        <v>78731520</v>
      </c>
    </row>
    <row r="274" spans="1:5" x14ac:dyDescent="0.3">
      <c r="A274" t="s">
        <v>179</v>
      </c>
      <c r="B274" t="s">
        <v>7</v>
      </c>
      <c r="C274" t="str">
        <f>StdScen21_MidCase_annual_gea!A278</f>
        <v>SRTVc</v>
      </c>
      <c r="D274" s="6">
        <f>StdScen21_MidCase_annual_gea!B278</f>
        <v>2026</v>
      </c>
      <c r="E274" s="6">
        <f>StdScen21_MidCase_annual_gea!BZ278</f>
        <v>80901310</v>
      </c>
    </row>
    <row r="275" spans="1:5" x14ac:dyDescent="0.3">
      <c r="A275" t="s">
        <v>179</v>
      </c>
      <c r="B275" t="s">
        <v>7</v>
      </c>
      <c r="C275" t="str">
        <f>StdScen21_MidCase_annual_gea!A279</f>
        <v>SRTVc</v>
      </c>
      <c r="D275" s="6">
        <f>StdScen21_MidCase_annual_gea!B279</f>
        <v>2028</v>
      </c>
      <c r="E275" s="6">
        <f>StdScen21_MidCase_annual_gea!BZ279</f>
        <v>84828380</v>
      </c>
    </row>
    <row r="276" spans="1:5" x14ac:dyDescent="0.3">
      <c r="A276" t="s">
        <v>179</v>
      </c>
      <c r="B276" t="s">
        <v>7</v>
      </c>
      <c r="C276" t="str">
        <f>StdScen21_MidCase_annual_gea!A280</f>
        <v>SRTVc</v>
      </c>
      <c r="D276" s="6">
        <f>StdScen21_MidCase_annual_gea!B280</f>
        <v>2030</v>
      </c>
      <c r="E276" s="6">
        <f>StdScen21_MidCase_annual_gea!BZ280</f>
        <v>73200100</v>
      </c>
    </row>
    <row r="277" spans="1:5" x14ac:dyDescent="0.3">
      <c r="A277" t="s">
        <v>179</v>
      </c>
      <c r="B277" t="s">
        <v>7</v>
      </c>
      <c r="C277" t="str">
        <f>StdScen21_MidCase_annual_gea!A281</f>
        <v>SRTVc</v>
      </c>
      <c r="D277" s="6">
        <f>StdScen21_MidCase_annual_gea!B281</f>
        <v>2032</v>
      </c>
      <c r="E277" s="6">
        <f>StdScen21_MidCase_annual_gea!BZ281</f>
        <v>70621144</v>
      </c>
    </row>
    <row r="278" spans="1:5" x14ac:dyDescent="0.3">
      <c r="A278" t="s">
        <v>179</v>
      </c>
      <c r="B278" t="s">
        <v>7</v>
      </c>
      <c r="C278" t="str">
        <f>StdScen21_MidCase_annual_gea!A282</f>
        <v>SRTVc</v>
      </c>
      <c r="D278" s="6">
        <f>StdScen21_MidCase_annual_gea!B282</f>
        <v>2034</v>
      </c>
      <c r="E278" s="6">
        <f>StdScen21_MidCase_annual_gea!BZ282</f>
        <v>68966760</v>
      </c>
    </row>
    <row r="279" spans="1:5" x14ac:dyDescent="0.3">
      <c r="A279" t="s">
        <v>179</v>
      </c>
      <c r="B279" t="s">
        <v>7</v>
      </c>
      <c r="C279" t="str">
        <f>StdScen21_MidCase_annual_gea!A283</f>
        <v>SRTVc</v>
      </c>
      <c r="D279" s="6">
        <f>StdScen21_MidCase_annual_gea!B283</f>
        <v>2036</v>
      </c>
      <c r="E279" s="6">
        <f>StdScen21_MidCase_annual_gea!BZ283</f>
        <v>67927960</v>
      </c>
    </row>
    <row r="280" spans="1:5" x14ac:dyDescent="0.3">
      <c r="A280" t="s">
        <v>179</v>
      </c>
      <c r="B280" t="s">
        <v>7</v>
      </c>
      <c r="C280" t="str">
        <f>StdScen21_MidCase_annual_gea!A284</f>
        <v>SRTVc</v>
      </c>
      <c r="D280" s="6">
        <f>StdScen21_MidCase_annual_gea!B284</f>
        <v>2038</v>
      </c>
      <c r="E280" s="6">
        <f>StdScen21_MidCase_annual_gea!BZ284</f>
        <v>65933560</v>
      </c>
    </row>
    <row r="281" spans="1:5" x14ac:dyDescent="0.3">
      <c r="A281" t="s">
        <v>179</v>
      </c>
      <c r="B281" t="s">
        <v>7</v>
      </c>
      <c r="C281" t="str">
        <f>StdScen21_MidCase_annual_gea!A285</f>
        <v>SRTVc</v>
      </c>
      <c r="D281" s="6">
        <f>StdScen21_MidCase_annual_gea!B285</f>
        <v>2040</v>
      </c>
      <c r="E281" s="6">
        <f>StdScen21_MidCase_annual_gea!BZ285</f>
        <v>64043160</v>
      </c>
    </row>
    <row r="282" spans="1:5" x14ac:dyDescent="0.3">
      <c r="A282" t="s">
        <v>179</v>
      </c>
      <c r="B282" t="s">
        <v>7</v>
      </c>
      <c r="C282" t="str">
        <f>StdScen21_MidCase_annual_gea!A286</f>
        <v>SRTVc</v>
      </c>
      <c r="D282" s="6">
        <f>StdScen21_MidCase_annual_gea!B286</f>
        <v>2042</v>
      </c>
      <c r="E282" s="6">
        <f>StdScen21_MidCase_annual_gea!BZ286</f>
        <v>63955340</v>
      </c>
    </row>
    <row r="283" spans="1:5" x14ac:dyDescent="0.3">
      <c r="A283" t="s">
        <v>179</v>
      </c>
      <c r="B283" t="s">
        <v>7</v>
      </c>
      <c r="C283" t="str">
        <f>StdScen21_MidCase_annual_gea!A287</f>
        <v>SRTVc</v>
      </c>
      <c r="D283" s="6">
        <f>StdScen21_MidCase_annual_gea!B287</f>
        <v>2044</v>
      </c>
      <c r="E283" s="6">
        <f>StdScen21_MidCase_annual_gea!BZ287</f>
        <v>62973130</v>
      </c>
    </row>
    <row r="284" spans="1:5" x14ac:dyDescent="0.3">
      <c r="A284" t="s">
        <v>179</v>
      </c>
      <c r="B284" t="s">
        <v>7</v>
      </c>
      <c r="C284" t="str">
        <f>StdScen21_MidCase_annual_gea!A288</f>
        <v>SRTVc</v>
      </c>
      <c r="D284" s="6">
        <f>StdScen21_MidCase_annual_gea!B288</f>
        <v>2046</v>
      </c>
      <c r="E284" s="6">
        <f>StdScen21_MidCase_annual_gea!BZ288</f>
        <v>59245132</v>
      </c>
    </row>
    <row r="285" spans="1:5" x14ac:dyDescent="0.3">
      <c r="A285" t="s">
        <v>179</v>
      </c>
      <c r="B285" t="s">
        <v>7</v>
      </c>
      <c r="C285" t="str">
        <f>StdScen21_MidCase_annual_gea!A289</f>
        <v>SRTVc</v>
      </c>
      <c r="D285" s="6">
        <f>StdScen21_MidCase_annual_gea!B289</f>
        <v>2048</v>
      </c>
      <c r="E285" s="6">
        <f>StdScen21_MidCase_annual_gea!BZ289</f>
        <v>44635950</v>
      </c>
    </row>
    <row r="286" spans="1:5" x14ac:dyDescent="0.3">
      <c r="A286" t="s">
        <v>179</v>
      </c>
      <c r="B286" t="s">
        <v>7</v>
      </c>
      <c r="C286" t="str">
        <f>StdScen21_MidCase_annual_gea!A290</f>
        <v>SRTVc</v>
      </c>
      <c r="D286" s="6">
        <f>StdScen21_MidCase_annual_gea!B290</f>
        <v>2050</v>
      </c>
      <c r="E286" s="6">
        <f>StdScen21_MidCase_annual_gea!BZ290</f>
        <v>40160572</v>
      </c>
    </row>
    <row r="287" spans="1:5" x14ac:dyDescent="0.3">
      <c r="A287" t="s">
        <v>179</v>
      </c>
      <c r="B287" t="s">
        <v>7</v>
      </c>
      <c r="C287" t="str">
        <f>StdScen21_MidCase_annual_gea!A291</f>
        <v>SRVCc</v>
      </c>
      <c r="D287" s="6">
        <f>StdScen21_MidCase_annual_gea!B291</f>
        <v>2022</v>
      </c>
      <c r="E287" s="6">
        <f>StdScen21_MidCase_annual_gea!BZ291</f>
        <v>74266000</v>
      </c>
    </row>
    <row r="288" spans="1:5" x14ac:dyDescent="0.3">
      <c r="A288" t="s">
        <v>179</v>
      </c>
      <c r="B288" t="s">
        <v>7</v>
      </c>
      <c r="C288" t="str">
        <f>StdScen21_MidCase_annual_gea!A292</f>
        <v>SRVCc</v>
      </c>
      <c r="D288" s="6">
        <f>StdScen21_MidCase_annual_gea!B292</f>
        <v>2024</v>
      </c>
      <c r="E288" s="6">
        <f>StdScen21_MidCase_annual_gea!BZ292</f>
        <v>54007052</v>
      </c>
    </row>
    <row r="289" spans="1:5" x14ac:dyDescent="0.3">
      <c r="A289" t="s">
        <v>179</v>
      </c>
      <c r="B289" t="s">
        <v>7</v>
      </c>
      <c r="C289" t="str">
        <f>StdScen21_MidCase_annual_gea!A293</f>
        <v>SRVCc</v>
      </c>
      <c r="D289" s="6">
        <f>StdScen21_MidCase_annual_gea!B293</f>
        <v>2026</v>
      </c>
      <c r="E289" s="6">
        <f>StdScen21_MidCase_annual_gea!BZ293</f>
        <v>49763556</v>
      </c>
    </row>
    <row r="290" spans="1:5" x14ac:dyDescent="0.3">
      <c r="A290" t="s">
        <v>179</v>
      </c>
      <c r="B290" t="s">
        <v>7</v>
      </c>
      <c r="C290" t="str">
        <f>StdScen21_MidCase_annual_gea!A294</f>
        <v>SRVCc</v>
      </c>
      <c r="D290" s="6">
        <f>StdScen21_MidCase_annual_gea!B294</f>
        <v>2028</v>
      </c>
      <c r="E290" s="6">
        <f>StdScen21_MidCase_annual_gea!BZ294</f>
        <v>57736790</v>
      </c>
    </row>
    <row r="291" spans="1:5" x14ac:dyDescent="0.3">
      <c r="A291" t="s">
        <v>179</v>
      </c>
      <c r="B291" t="s">
        <v>7</v>
      </c>
      <c r="C291" t="str">
        <f>StdScen21_MidCase_annual_gea!A295</f>
        <v>SRVCc</v>
      </c>
      <c r="D291" s="6">
        <f>StdScen21_MidCase_annual_gea!B295</f>
        <v>2030</v>
      </c>
      <c r="E291" s="6">
        <f>StdScen21_MidCase_annual_gea!BZ295</f>
        <v>54814092</v>
      </c>
    </row>
    <row r="292" spans="1:5" x14ac:dyDescent="0.3">
      <c r="A292" t="s">
        <v>179</v>
      </c>
      <c r="B292" t="s">
        <v>7</v>
      </c>
      <c r="C292" t="str">
        <f>StdScen21_MidCase_annual_gea!A296</f>
        <v>SRVCc</v>
      </c>
      <c r="D292" s="6">
        <f>StdScen21_MidCase_annual_gea!B296</f>
        <v>2032</v>
      </c>
      <c r="E292" s="6">
        <f>StdScen21_MidCase_annual_gea!BZ296</f>
        <v>52225060</v>
      </c>
    </row>
    <row r="293" spans="1:5" x14ac:dyDescent="0.3">
      <c r="A293" t="s">
        <v>179</v>
      </c>
      <c r="B293" t="s">
        <v>7</v>
      </c>
      <c r="C293" t="str">
        <f>StdScen21_MidCase_annual_gea!A297</f>
        <v>SRVCc</v>
      </c>
      <c r="D293" s="6">
        <f>StdScen21_MidCase_annual_gea!B297</f>
        <v>2034</v>
      </c>
      <c r="E293" s="6">
        <f>StdScen21_MidCase_annual_gea!BZ297</f>
        <v>46083116</v>
      </c>
    </row>
    <row r="294" spans="1:5" x14ac:dyDescent="0.3">
      <c r="A294" t="s">
        <v>179</v>
      </c>
      <c r="B294" t="s">
        <v>7</v>
      </c>
      <c r="C294" t="str">
        <f>StdScen21_MidCase_annual_gea!A298</f>
        <v>SRVCc</v>
      </c>
      <c r="D294" s="6">
        <f>StdScen21_MidCase_annual_gea!B298</f>
        <v>2036</v>
      </c>
      <c r="E294" s="6">
        <f>StdScen21_MidCase_annual_gea!BZ298</f>
        <v>45001236</v>
      </c>
    </row>
    <row r="295" spans="1:5" x14ac:dyDescent="0.3">
      <c r="A295" t="s">
        <v>179</v>
      </c>
      <c r="B295" t="s">
        <v>7</v>
      </c>
      <c r="C295" t="str">
        <f>StdScen21_MidCase_annual_gea!A299</f>
        <v>SRVCc</v>
      </c>
      <c r="D295" s="6">
        <f>StdScen21_MidCase_annual_gea!B299</f>
        <v>2038</v>
      </c>
      <c r="E295" s="6">
        <f>StdScen21_MidCase_annual_gea!BZ299</f>
        <v>41898110</v>
      </c>
    </row>
    <row r="296" spans="1:5" x14ac:dyDescent="0.3">
      <c r="A296" t="s">
        <v>179</v>
      </c>
      <c r="B296" t="s">
        <v>7</v>
      </c>
      <c r="C296" t="str">
        <f>StdScen21_MidCase_annual_gea!A300</f>
        <v>SRVCc</v>
      </c>
      <c r="D296" s="6">
        <f>StdScen21_MidCase_annual_gea!B300</f>
        <v>2040</v>
      </c>
      <c r="E296" s="6">
        <f>StdScen21_MidCase_annual_gea!BZ300</f>
        <v>37624564</v>
      </c>
    </row>
    <row r="297" spans="1:5" x14ac:dyDescent="0.3">
      <c r="A297" t="s">
        <v>179</v>
      </c>
      <c r="B297" t="s">
        <v>7</v>
      </c>
      <c r="C297" t="str">
        <f>StdScen21_MidCase_annual_gea!A301</f>
        <v>SRVCc</v>
      </c>
      <c r="D297" s="6">
        <f>StdScen21_MidCase_annual_gea!B301</f>
        <v>2042</v>
      </c>
      <c r="E297" s="6">
        <f>StdScen21_MidCase_annual_gea!BZ301</f>
        <v>37576316</v>
      </c>
    </row>
    <row r="298" spans="1:5" x14ac:dyDescent="0.3">
      <c r="A298" t="s">
        <v>179</v>
      </c>
      <c r="B298" t="s">
        <v>7</v>
      </c>
      <c r="C298" t="str">
        <f>StdScen21_MidCase_annual_gea!A302</f>
        <v>SRVCc</v>
      </c>
      <c r="D298" s="6">
        <f>StdScen21_MidCase_annual_gea!B302</f>
        <v>2044</v>
      </c>
      <c r="E298" s="6">
        <f>StdScen21_MidCase_annual_gea!BZ302</f>
        <v>33240228</v>
      </c>
    </row>
    <row r="299" spans="1:5" x14ac:dyDescent="0.3">
      <c r="A299" t="s">
        <v>179</v>
      </c>
      <c r="B299" t="s">
        <v>7</v>
      </c>
      <c r="C299" t="str">
        <f>StdScen21_MidCase_annual_gea!A303</f>
        <v>SRVCc</v>
      </c>
      <c r="D299" s="6">
        <f>StdScen21_MidCase_annual_gea!B303</f>
        <v>2046</v>
      </c>
      <c r="E299" s="6">
        <f>StdScen21_MidCase_annual_gea!BZ303</f>
        <v>27152428</v>
      </c>
    </row>
    <row r="300" spans="1:5" x14ac:dyDescent="0.3">
      <c r="A300" t="s">
        <v>179</v>
      </c>
      <c r="B300" t="s">
        <v>7</v>
      </c>
      <c r="C300" t="str">
        <f>StdScen21_MidCase_annual_gea!A304</f>
        <v>SRVCc</v>
      </c>
      <c r="D300" s="6">
        <f>StdScen21_MidCase_annual_gea!B304</f>
        <v>2048</v>
      </c>
      <c r="E300" s="6">
        <f>StdScen21_MidCase_annual_gea!BZ304</f>
        <v>27861414</v>
      </c>
    </row>
    <row r="301" spans="1:5" x14ac:dyDescent="0.3">
      <c r="A301" t="s">
        <v>179</v>
      </c>
      <c r="B301" t="s">
        <v>7</v>
      </c>
      <c r="C301" t="str">
        <f>StdScen21_MidCase_annual_gea!A305</f>
        <v>SRVCc</v>
      </c>
      <c r="D301" s="6">
        <f>StdScen21_MidCase_annual_gea!B305</f>
        <v>2050</v>
      </c>
      <c r="E301" s="6">
        <f>StdScen21_MidCase_annual_gea!BZ305</f>
        <v>14777366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DCC3A-7CFA-49AA-8CD7-0281835916F0}">
  <dimension ref="A1:AQ301"/>
  <sheetViews>
    <sheetView topLeftCell="A280" workbookViewId="0">
      <selection activeCell="B1" sqref="B1:B301"/>
    </sheetView>
  </sheetViews>
  <sheetFormatPr defaultRowHeight="14.4" x14ac:dyDescent="0.3"/>
  <cols>
    <col min="1" max="30" width="15.77734375" customWidth="1"/>
    <col min="31" max="31" width="17.44140625" customWidth="1"/>
    <col min="32" max="32" width="15.77734375" customWidth="1"/>
    <col min="33" max="33" width="24" customWidth="1"/>
    <col min="34" max="39" width="15.77734375" customWidth="1"/>
    <col min="40" max="40" width="18" customWidth="1"/>
    <col min="41" max="42" width="15.77734375" customWidth="1"/>
    <col min="43" max="43" width="17.33203125" customWidth="1"/>
  </cols>
  <sheetData>
    <row r="1" spans="1:43" x14ac:dyDescent="0.3">
      <c r="A1" s="4" t="s">
        <v>177</v>
      </c>
      <c r="B1" s="4" t="s">
        <v>178</v>
      </c>
      <c r="C1" s="4" t="s">
        <v>197</v>
      </c>
      <c r="D1" s="4" t="s">
        <v>196</v>
      </c>
      <c r="E1" s="4" t="s">
        <v>194</v>
      </c>
      <c r="F1" s="4" t="s">
        <v>200</v>
      </c>
      <c r="G1" s="5" t="s">
        <v>198</v>
      </c>
      <c r="H1" s="5" t="s">
        <v>199</v>
      </c>
      <c r="I1" s="4" t="s">
        <v>109</v>
      </c>
      <c r="J1" s="4" t="s">
        <v>110</v>
      </c>
      <c r="K1" s="4" t="s">
        <v>111</v>
      </c>
      <c r="L1" s="4" t="s">
        <v>112</v>
      </c>
      <c r="M1" s="4" t="s">
        <v>113</v>
      </c>
      <c r="N1" s="4" t="s">
        <v>114</v>
      </c>
      <c r="O1" s="4" t="s">
        <v>115</v>
      </c>
      <c r="P1" s="4" t="s">
        <v>116</v>
      </c>
      <c r="Q1" s="4" t="s">
        <v>117</v>
      </c>
      <c r="R1" s="4" t="s">
        <v>118</v>
      </c>
      <c r="S1" s="4" t="s">
        <v>119</v>
      </c>
      <c r="T1" s="4" t="s">
        <v>120</v>
      </c>
      <c r="U1" s="4" t="s">
        <v>121</v>
      </c>
      <c r="V1" s="4" t="s">
        <v>122</v>
      </c>
      <c r="W1" s="4" t="s">
        <v>123</v>
      </c>
      <c r="X1" s="4" t="s">
        <v>124</v>
      </c>
      <c r="Y1" s="4" t="s">
        <v>125</v>
      </c>
      <c r="Z1" s="4" t="s">
        <v>126</v>
      </c>
      <c r="AA1" s="4" t="s">
        <v>127</v>
      </c>
      <c r="AB1" s="4" t="s">
        <v>128</v>
      </c>
      <c r="AC1" s="4" t="s">
        <v>129</v>
      </c>
      <c r="AD1" s="1" t="s">
        <v>180</v>
      </c>
      <c r="AE1" s="1" t="s">
        <v>181</v>
      </c>
      <c r="AF1" s="1" t="s">
        <v>182</v>
      </c>
      <c r="AG1" s="1" t="s">
        <v>183</v>
      </c>
      <c r="AH1" s="1" t="s">
        <v>184</v>
      </c>
      <c r="AI1" s="1" t="s">
        <v>185</v>
      </c>
      <c r="AJ1" s="1" t="s">
        <v>186</v>
      </c>
      <c r="AK1" s="1" t="s">
        <v>187</v>
      </c>
      <c r="AL1" s="1" t="s">
        <v>188</v>
      </c>
      <c r="AM1" s="2" t="s">
        <v>189</v>
      </c>
      <c r="AN1" s="2" t="s">
        <v>190</v>
      </c>
      <c r="AO1" s="2" t="s">
        <v>191</v>
      </c>
      <c r="AP1" s="2" t="s">
        <v>192</v>
      </c>
      <c r="AQ1" s="2" t="s">
        <v>193</v>
      </c>
    </row>
    <row r="2" spans="1:43" x14ac:dyDescent="0.3">
      <c r="A2" t="s">
        <v>179</v>
      </c>
      <c r="B2" t="s">
        <v>7</v>
      </c>
      <c r="C2" t="s">
        <v>157</v>
      </c>
      <c r="D2" s="6">
        <v>2022</v>
      </c>
      <c r="E2" t="s">
        <v>195</v>
      </c>
      <c r="F2" s="6">
        <v>423.2</v>
      </c>
      <c r="G2" s="7">
        <v>525.6</v>
      </c>
      <c r="H2" s="7">
        <v>811.8</v>
      </c>
      <c r="I2" s="6">
        <v>143037980</v>
      </c>
      <c r="J2" s="6">
        <v>27345228</v>
      </c>
      <c r="K2" s="6">
        <v>31446266</v>
      </c>
      <c r="L2" s="6">
        <v>32912356</v>
      </c>
      <c r="M2" s="6">
        <v>0</v>
      </c>
      <c r="N2" s="6">
        <v>29364</v>
      </c>
      <c r="O2" s="6">
        <v>40118030</v>
      </c>
      <c r="P2" s="6">
        <v>0</v>
      </c>
      <c r="Q2" s="6">
        <v>273084.7</v>
      </c>
      <c r="R2" s="6">
        <v>9069476</v>
      </c>
      <c r="S2" s="6">
        <v>64024.1</v>
      </c>
      <c r="T2" s="6">
        <v>589478.80000000005</v>
      </c>
      <c r="U2" s="6">
        <v>0</v>
      </c>
      <c r="V2" s="6">
        <v>5703750.5</v>
      </c>
      <c r="W2" s="6">
        <v>0</v>
      </c>
      <c r="X2" s="6">
        <v>16353.9</v>
      </c>
      <c r="Y2" s="6">
        <v>18049950</v>
      </c>
      <c r="Z2" s="6">
        <v>3575172.8</v>
      </c>
      <c r="AA2" s="6">
        <v>153923.20000000001</v>
      </c>
      <c r="AB2" s="6">
        <v>1036754</v>
      </c>
      <c r="AC2" s="6">
        <v>0</v>
      </c>
      <c r="AD2" s="6">
        <f>I2</f>
        <v>143037980</v>
      </c>
      <c r="AE2" s="6">
        <f>AC2</f>
        <v>0</v>
      </c>
      <c r="AF2" s="6">
        <f>SUM(T2,U2)</f>
        <v>589478.80000000005</v>
      </c>
      <c r="AG2" s="6">
        <f>AD2-AE2-AF2</f>
        <v>142448501.19999999</v>
      </c>
      <c r="AH2" s="6">
        <f>L2</f>
        <v>32912356</v>
      </c>
      <c r="AI2" s="6">
        <f>SUM(O2,P2,Q2)</f>
        <v>40391114.700000003</v>
      </c>
      <c r="AJ2" s="6">
        <f>N2</f>
        <v>29364</v>
      </c>
      <c r="AK2" s="6">
        <f>K2</f>
        <v>31446266</v>
      </c>
      <c r="AL2" s="6">
        <f>SUM(R2,S2,V2,W2,X2,Y2,Z2,AA2,AB2)</f>
        <v>37669404.5</v>
      </c>
      <c r="AM2" s="3">
        <f>AH2/AG2</f>
        <v>0.23104740115019198</v>
      </c>
      <c r="AN2" s="3">
        <f>AI2/AG2</f>
        <v>0.28354889212411039</v>
      </c>
      <c r="AO2" s="3">
        <f>AJ2/AG2</f>
        <v>2.0613765503065893E-4</v>
      </c>
      <c r="AP2" s="3">
        <f>AK2/AG2</f>
        <v>0.22075533076932088</v>
      </c>
      <c r="AQ2" s="3">
        <f>AL2/AG2</f>
        <v>0.26444226638166973</v>
      </c>
    </row>
    <row r="3" spans="1:43" x14ac:dyDescent="0.3">
      <c r="A3" t="s">
        <v>179</v>
      </c>
      <c r="B3" t="s">
        <v>7</v>
      </c>
      <c r="C3" t="s">
        <v>157</v>
      </c>
      <c r="D3" s="6">
        <v>2024</v>
      </c>
      <c r="E3" t="s">
        <v>195</v>
      </c>
      <c r="F3" s="6">
        <v>389.5</v>
      </c>
      <c r="G3" s="7">
        <v>488.4</v>
      </c>
      <c r="H3" s="7">
        <v>808.4</v>
      </c>
      <c r="I3" s="6">
        <v>151806820</v>
      </c>
      <c r="J3" s="6">
        <v>29423460</v>
      </c>
      <c r="K3" s="6">
        <v>31446266</v>
      </c>
      <c r="L3" s="6">
        <v>27460646</v>
      </c>
      <c r="M3" s="6">
        <v>0</v>
      </c>
      <c r="N3" s="6">
        <v>14086.3</v>
      </c>
      <c r="O3" s="6">
        <v>51872436</v>
      </c>
      <c r="P3" s="6">
        <v>0</v>
      </c>
      <c r="Q3" s="6">
        <v>349355.8</v>
      </c>
      <c r="R3" s="6">
        <v>9065539</v>
      </c>
      <c r="S3" s="6">
        <v>64035.3</v>
      </c>
      <c r="T3" s="6">
        <v>589478.80000000005</v>
      </c>
      <c r="U3" s="6">
        <v>0</v>
      </c>
      <c r="V3" s="6">
        <v>5715414</v>
      </c>
      <c r="W3" s="6">
        <v>0</v>
      </c>
      <c r="X3" s="6">
        <v>16398.400000000001</v>
      </c>
      <c r="Y3" s="6">
        <v>19795988</v>
      </c>
      <c r="Z3" s="6">
        <v>3895658</v>
      </c>
      <c r="AA3" s="6">
        <v>144013.29999999999</v>
      </c>
      <c r="AB3" s="6">
        <v>1377501.2</v>
      </c>
      <c r="AC3" s="6">
        <v>0</v>
      </c>
      <c r="AD3" s="6">
        <f t="shared" ref="AD3:AD66" si="0">I3</f>
        <v>151806820</v>
      </c>
      <c r="AE3" s="6">
        <f t="shared" ref="AE3:AE66" si="1">AC3</f>
        <v>0</v>
      </c>
      <c r="AF3" s="6">
        <f t="shared" ref="AF3:AF66" si="2">SUM(T3,U3)</f>
        <v>589478.80000000005</v>
      </c>
      <c r="AG3" s="6">
        <f t="shared" ref="AG3:AG66" si="3">AD3-AE3-AF3</f>
        <v>151217341.19999999</v>
      </c>
      <c r="AH3" s="6">
        <f t="shared" ref="AH3:AH66" si="4">L3</f>
        <v>27460646</v>
      </c>
      <c r="AI3" s="6">
        <f t="shared" ref="AI3:AI66" si="5">SUM(O3,P3,Q3)</f>
        <v>52221791.799999997</v>
      </c>
      <c r="AJ3" s="6">
        <f t="shared" ref="AJ3:AJ66" si="6">N3</f>
        <v>14086.3</v>
      </c>
      <c r="AK3" s="6">
        <f t="shared" ref="AK3:AK66" si="7">K3</f>
        <v>31446266</v>
      </c>
      <c r="AL3" s="6">
        <f t="shared" ref="AL3:AL66" si="8">SUM(R3,S3,V3,W3,X3,Y3,Z3,AA3,AB3)</f>
        <v>40074547.200000003</v>
      </c>
      <c r="AM3" s="3">
        <f t="shared" ref="AM3:AM66" si="9">AH3/AG3</f>
        <v>0.18159720163099921</v>
      </c>
      <c r="AN3" s="3">
        <f t="shared" ref="AN3:AN66" si="10">AI3/AG3</f>
        <v>0.34534261339069228</v>
      </c>
      <c r="AO3" s="3">
        <f t="shared" ref="AO3:AO66" si="11">AJ3/AG3</f>
        <v>9.3152676063583647E-5</v>
      </c>
      <c r="AP3" s="3">
        <f t="shared" ref="AP3:AP66" si="12">AK3/AG3</f>
        <v>0.20795409938076601</v>
      </c>
      <c r="AQ3" s="3">
        <f t="shared" ref="AQ3:AQ66" si="13">AL3/AG3</f>
        <v>0.26501290713078618</v>
      </c>
    </row>
    <row r="4" spans="1:43" x14ac:dyDescent="0.3">
      <c r="A4" t="s">
        <v>179</v>
      </c>
      <c r="B4" t="s">
        <v>7</v>
      </c>
      <c r="C4" t="s">
        <v>157</v>
      </c>
      <c r="D4" s="6">
        <v>2026</v>
      </c>
      <c r="E4" t="s">
        <v>195</v>
      </c>
      <c r="F4" s="6">
        <v>374.7</v>
      </c>
      <c r="G4" s="7">
        <v>423.1</v>
      </c>
      <c r="H4" s="7">
        <v>816</v>
      </c>
      <c r="I4" s="6">
        <v>154638340</v>
      </c>
      <c r="J4" s="6">
        <v>29648762</v>
      </c>
      <c r="K4" s="6">
        <v>31446266</v>
      </c>
      <c r="L4" s="6">
        <v>26772840</v>
      </c>
      <c r="M4" s="6">
        <v>0</v>
      </c>
      <c r="N4" s="6">
        <v>8814.2000000000007</v>
      </c>
      <c r="O4" s="6">
        <v>53576132</v>
      </c>
      <c r="P4" s="6">
        <v>0</v>
      </c>
      <c r="Q4" s="6">
        <v>256914.4</v>
      </c>
      <c r="R4" s="6">
        <v>10647589</v>
      </c>
      <c r="S4" s="6">
        <v>64032.1</v>
      </c>
      <c r="T4" s="6">
        <v>587047.5</v>
      </c>
      <c r="U4" s="6">
        <v>0</v>
      </c>
      <c r="V4" s="6">
        <v>5684591</v>
      </c>
      <c r="W4" s="6">
        <v>0</v>
      </c>
      <c r="X4" s="6">
        <v>16331.6</v>
      </c>
      <c r="Y4" s="6">
        <v>19519816</v>
      </c>
      <c r="Z4" s="6">
        <v>4428022.5</v>
      </c>
      <c r="AA4" s="6">
        <v>188513.1</v>
      </c>
      <c r="AB4" s="6">
        <v>1441431.9</v>
      </c>
      <c r="AC4" s="6">
        <v>0</v>
      </c>
      <c r="AD4" s="6">
        <f t="shared" si="0"/>
        <v>154638340</v>
      </c>
      <c r="AE4" s="6">
        <f t="shared" si="1"/>
        <v>0</v>
      </c>
      <c r="AF4" s="6">
        <f t="shared" si="2"/>
        <v>587047.5</v>
      </c>
      <c r="AG4" s="6">
        <f t="shared" si="3"/>
        <v>154051292.5</v>
      </c>
      <c r="AH4" s="6">
        <f t="shared" si="4"/>
        <v>26772840</v>
      </c>
      <c r="AI4" s="6">
        <f t="shared" si="5"/>
        <v>53833046.399999999</v>
      </c>
      <c r="AJ4" s="6">
        <f t="shared" si="6"/>
        <v>8814.2000000000007</v>
      </c>
      <c r="AK4" s="6">
        <f t="shared" si="7"/>
        <v>31446266</v>
      </c>
      <c r="AL4" s="6">
        <f t="shared" si="8"/>
        <v>41990327.200000003</v>
      </c>
      <c r="AM4" s="3">
        <f t="shared" si="9"/>
        <v>0.17379172589545136</v>
      </c>
      <c r="AN4" s="3">
        <f t="shared" si="10"/>
        <v>0.34944884607183674</v>
      </c>
      <c r="AO4" s="3">
        <f t="shared" si="11"/>
        <v>5.7216008103275086E-5</v>
      </c>
      <c r="AP4" s="3">
        <f t="shared" si="12"/>
        <v>0.20412854374461026</v>
      </c>
      <c r="AQ4" s="3">
        <f t="shared" si="13"/>
        <v>0.27257367671874616</v>
      </c>
    </row>
    <row r="5" spans="1:43" x14ac:dyDescent="0.3">
      <c r="A5" t="s">
        <v>179</v>
      </c>
      <c r="B5" t="s">
        <v>7</v>
      </c>
      <c r="C5" t="s">
        <v>157</v>
      </c>
      <c r="D5" s="6">
        <v>2028</v>
      </c>
      <c r="E5" t="s">
        <v>195</v>
      </c>
      <c r="F5" s="6">
        <v>364.8</v>
      </c>
      <c r="G5" s="7">
        <v>315.8</v>
      </c>
      <c r="H5" s="7">
        <v>784.7</v>
      </c>
      <c r="I5" s="6">
        <v>159426910</v>
      </c>
      <c r="J5" s="6">
        <v>32619604</v>
      </c>
      <c r="K5" s="6">
        <v>31446266</v>
      </c>
      <c r="L5" s="6">
        <v>26693880</v>
      </c>
      <c r="M5" s="6">
        <v>0</v>
      </c>
      <c r="N5" s="6">
        <v>10161.299999999999</v>
      </c>
      <c r="O5" s="6">
        <v>55334880</v>
      </c>
      <c r="P5" s="6">
        <v>0</v>
      </c>
      <c r="Q5" s="6">
        <v>254666.7</v>
      </c>
      <c r="R5" s="6">
        <v>10623686</v>
      </c>
      <c r="S5" s="6">
        <v>64024.3</v>
      </c>
      <c r="T5" s="6">
        <v>585685</v>
      </c>
      <c r="U5" s="6">
        <v>0</v>
      </c>
      <c r="V5" s="6">
        <v>8144944</v>
      </c>
      <c r="W5" s="6">
        <v>0</v>
      </c>
      <c r="X5" s="6">
        <v>16408.8</v>
      </c>
      <c r="Y5" s="6">
        <v>19247496</v>
      </c>
      <c r="Z5" s="6">
        <v>5210756</v>
      </c>
      <c r="AA5" s="6">
        <v>221265.8</v>
      </c>
      <c r="AB5" s="6">
        <v>1572784.6</v>
      </c>
      <c r="AC5" s="6">
        <v>0</v>
      </c>
      <c r="AD5" s="6">
        <f t="shared" si="0"/>
        <v>159426910</v>
      </c>
      <c r="AE5" s="6">
        <f t="shared" si="1"/>
        <v>0</v>
      </c>
      <c r="AF5" s="6">
        <f t="shared" si="2"/>
        <v>585685</v>
      </c>
      <c r="AG5" s="6">
        <f t="shared" si="3"/>
        <v>158841225</v>
      </c>
      <c r="AH5" s="6">
        <f t="shared" si="4"/>
        <v>26693880</v>
      </c>
      <c r="AI5" s="6">
        <f t="shared" si="5"/>
        <v>55589546.700000003</v>
      </c>
      <c r="AJ5" s="6">
        <f t="shared" si="6"/>
        <v>10161.299999999999</v>
      </c>
      <c r="AK5" s="6">
        <f t="shared" si="7"/>
        <v>31446266</v>
      </c>
      <c r="AL5" s="6">
        <f t="shared" si="8"/>
        <v>45101365.5</v>
      </c>
      <c r="AM5" s="3">
        <f t="shared" si="9"/>
        <v>0.1680538537775694</v>
      </c>
      <c r="AN5" s="3">
        <f t="shared" si="10"/>
        <v>0.3499692645911035</v>
      </c>
      <c r="AO5" s="3">
        <f t="shared" si="11"/>
        <v>6.3971428072277835E-5</v>
      </c>
      <c r="AP5" s="3">
        <f t="shared" si="12"/>
        <v>0.19797295066189524</v>
      </c>
      <c r="AQ5" s="3">
        <f t="shared" si="13"/>
        <v>0.28393992491558789</v>
      </c>
    </row>
    <row r="6" spans="1:43" x14ac:dyDescent="0.3">
      <c r="A6" t="s">
        <v>179</v>
      </c>
      <c r="B6" t="s">
        <v>7</v>
      </c>
      <c r="C6" t="s">
        <v>157</v>
      </c>
      <c r="D6" s="6">
        <v>2030</v>
      </c>
      <c r="E6" t="s">
        <v>195</v>
      </c>
      <c r="F6" s="6">
        <v>315.8</v>
      </c>
      <c r="G6" s="7">
        <v>313.60000000000002</v>
      </c>
      <c r="H6" s="7">
        <v>749.8</v>
      </c>
      <c r="I6" s="6">
        <v>175350740</v>
      </c>
      <c r="J6" s="6">
        <v>50951904</v>
      </c>
      <c r="K6" s="6">
        <v>31446266</v>
      </c>
      <c r="L6" s="6">
        <v>24898662</v>
      </c>
      <c r="M6" s="6">
        <v>0</v>
      </c>
      <c r="N6" s="6">
        <v>13228.5</v>
      </c>
      <c r="O6" s="6">
        <v>53809160</v>
      </c>
      <c r="P6" s="6">
        <v>0</v>
      </c>
      <c r="Q6" s="6">
        <v>312913.2</v>
      </c>
      <c r="R6" s="6">
        <v>10473232</v>
      </c>
      <c r="S6" s="6">
        <v>64024.3</v>
      </c>
      <c r="T6" s="6">
        <v>576082.19999999995</v>
      </c>
      <c r="U6" s="6">
        <v>0</v>
      </c>
      <c r="V6" s="6">
        <v>9324061</v>
      </c>
      <c r="W6" s="6">
        <v>0</v>
      </c>
      <c r="X6" s="6">
        <v>16453.599999999999</v>
      </c>
      <c r="Y6" s="6">
        <v>35506100</v>
      </c>
      <c r="Z6" s="6">
        <v>6105289</v>
      </c>
      <c r="AA6" s="6">
        <v>340679.5</v>
      </c>
      <c r="AB6" s="6">
        <v>2464595.7999999998</v>
      </c>
      <c r="AC6" s="6">
        <v>0</v>
      </c>
      <c r="AD6" s="6">
        <f t="shared" si="0"/>
        <v>175350740</v>
      </c>
      <c r="AE6" s="6">
        <f t="shared" si="1"/>
        <v>0</v>
      </c>
      <c r="AF6" s="6">
        <f t="shared" si="2"/>
        <v>576082.19999999995</v>
      </c>
      <c r="AG6" s="6">
        <f t="shared" si="3"/>
        <v>174774657.80000001</v>
      </c>
      <c r="AH6" s="6">
        <f t="shared" si="4"/>
        <v>24898662</v>
      </c>
      <c r="AI6" s="6">
        <f t="shared" si="5"/>
        <v>54122073.200000003</v>
      </c>
      <c r="AJ6" s="6">
        <f t="shared" si="6"/>
        <v>13228.5</v>
      </c>
      <c r="AK6" s="6">
        <f t="shared" si="7"/>
        <v>31446266</v>
      </c>
      <c r="AL6" s="6">
        <f t="shared" si="8"/>
        <v>64294435.200000003</v>
      </c>
      <c r="AM6" s="3">
        <f t="shared" si="9"/>
        <v>0.14246151194581252</v>
      </c>
      <c r="AN6" s="3">
        <f t="shared" si="10"/>
        <v>0.30966773948391046</v>
      </c>
      <c r="AO6" s="3">
        <f t="shared" si="11"/>
        <v>7.5688890863901892E-5</v>
      </c>
      <c r="AP6" s="3">
        <f t="shared" si="12"/>
        <v>0.17992463207100037</v>
      </c>
      <c r="AQ6" s="3">
        <f t="shared" si="13"/>
        <v>0.36787046823215119</v>
      </c>
    </row>
    <row r="7" spans="1:43" x14ac:dyDescent="0.3">
      <c r="A7" t="s">
        <v>179</v>
      </c>
      <c r="B7" t="s">
        <v>7</v>
      </c>
      <c r="C7" t="s">
        <v>157</v>
      </c>
      <c r="D7" s="6">
        <v>2032</v>
      </c>
      <c r="E7" t="s">
        <v>195</v>
      </c>
      <c r="F7" s="6">
        <v>217.8</v>
      </c>
      <c r="G7" s="7">
        <v>278.5</v>
      </c>
      <c r="H7" s="7">
        <v>726.5</v>
      </c>
      <c r="I7" s="6">
        <v>171926610</v>
      </c>
      <c r="J7" s="6">
        <v>51305304</v>
      </c>
      <c r="K7" s="6">
        <v>31446266</v>
      </c>
      <c r="L7" s="6">
        <v>3124446.2</v>
      </c>
      <c r="M7" s="6">
        <v>0</v>
      </c>
      <c r="N7" s="6">
        <v>6715.9</v>
      </c>
      <c r="O7" s="6">
        <v>69384440</v>
      </c>
      <c r="P7" s="6">
        <v>0</v>
      </c>
      <c r="Q7" s="6">
        <v>258384.6</v>
      </c>
      <c r="R7" s="6">
        <v>10531906</v>
      </c>
      <c r="S7" s="6">
        <v>64013.4</v>
      </c>
      <c r="T7" s="6">
        <v>579893.30000000005</v>
      </c>
      <c r="U7" s="6">
        <v>0</v>
      </c>
      <c r="V7" s="6">
        <v>9273381</v>
      </c>
      <c r="W7" s="6">
        <v>0</v>
      </c>
      <c r="X7" s="6">
        <v>16496.900000000001</v>
      </c>
      <c r="Y7" s="6">
        <v>35152188</v>
      </c>
      <c r="Z7" s="6">
        <v>6863241</v>
      </c>
      <c r="AA7" s="6">
        <v>330238.3</v>
      </c>
      <c r="AB7" s="6">
        <v>4894993.5</v>
      </c>
      <c r="AC7" s="6">
        <v>0</v>
      </c>
      <c r="AD7" s="6">
        <f t="shared" si="0"/>
        <v>171926610</v>
      </c>
      <c r="AE7" s="6">
        <f t="shared" si="1"/>
        <v>0</v>
      </c>
      <c r="AF7" s="6">
        <f t="shared" si="2"/>
        <v>579893.30000000005</v>
      </c>
      <c r="AG7" s="6">
        <f t="shared" si="3"/>
        <v>171346716.69999999</v>
      </c>
      <c r="AH7" s="6">
        <f t="shared" si="4"/>
        <v>3124446.2</v>
      </c>
      <c r="AI7" s="6">
        <f t="shared" si="5"/>
        <v>69642824.599999994</v>
      </c>
      <c r="AJ7" s="6">
        <f t="shared" si="6"/>
        <v>6715.9</v>
      </c>
      <c r="AK7" s="6">
        <f t="shared" si="7"/>
        <v>31446266</v>
      </c>
      <c r="AL7" s="6">
        <f t="shared" si="8"/>
        <v>67126458.099999994</v>
      </c>
      <c r="AM7" s="3">
        <f t="shared" si="9"/>
        <v>1.8234642951871632E-2</v>
      </c>
      <c r="AN7" s="3">
        <f t="shared" si="10"/>
        <v>0.40644388139594856</v>
      </c>
      <c r="AO7" s="3">
        <f t="shared" si="11"/>
        <v>3.9194798297526991E-5</v>
      </c>
      <c r="AP7" s="3">
        <f t="shared" si="12"/>
        <v>0.18352418187888161</v>
      </c>
      <c r="AQ7" s="3">
        <f t="shared" si="13"/>
        <v>0.39175806454189266</v>
      </c>
    </row>
    <row r="8" spans="1:43" x14ac:dyDescent="0.3">
      <c r="A8" t="s">
        <v>179</v>
      </c>
      <c r="B8" t="s">
        <v>7</v>
      </c>
      <c r="C8" t="s">
        <v>157</v>
      </c>
      <c r="D8" s="6">
        <v>2034</v>
      </c>
      <c r="E8" t="s">
        <v>195</v>
      </c>
      <c r="F8" s="6">
        <v>218.6</v>
      </c>
      <c r="G8" s="7">
        <v>321.39999999999998</v>
      </c>
      <c r="H8" s="7">
        <v>734.6</v>
      </c>
      <c r="I8" s="6">
        <v>174187600</v>
      </c>
      <c r="J8" s="6">
        <v>51373330</v>
      </c>
      <c r="K8" s="6">
        <v>31446266</v>
      </c>
      <c r="L8" s="6">
        <v>3222318.5</v>
      </c>
      <c r="M8" s="6">
        <v>0</v>
      </c>
      <c r="N8" s="6">
        <v>6538.8</v>
      </c>
      <c r="O8" s="6">
        <v>71193030</v>
      </c>
      <c r="P8" s="6">
        <v>0</v>
      </c>
      <c r="Q8" s="6">
        <v>279161.5</v>
      </c>
      <c r="R8" s="6">
        <v>10506470</v>
      </c>
      <c r="S8" s="6">
        <v>64006.1</v>
      </c>
      <c r="T8" s="6">
        <v>577929.4</v>
      </c>
      <c r="U8" s="6">
        <v>0</v>
      </c>
      <c r="V8" s="6">
        <v>9222883</v>
      </c>
      <c r="W8" s="6">
        <v>0</v>
      </c>
      <c r="X8" s="6">
        <v>16382.8</v>
      </c>
      <c r="Y8" s="6">
        <v>34829070</v>
      </c>
      <c r="Z8" s="6">
        <v>7304989</v>
      </c>
      <c r="AA8" s="6">
        <v>546204.4</v>
      </c>
      <c r="AB8" s="6">
        <v>4972340</v>
      </c>
      <c r="AC8" s="6">
        <v>0</v>
      </c>
      <c r="AD8" s="6">
        <f t="shared" si="0"/>
        <v>174187600</v>
      </c>
      <c r="AE8" s="6">
        <f t="shared" si="1"/>
        <v>0</v>
      </c>
      <c r="AF8" s="6">
        <f t="shared" si="2"/>
        <v>577929.4</v>
      </c>
      <c r="AG8" s="6">
        <f t="shared" si="3"/>
        <v>173609670.59999999</v>
      </c>
      <c r="AH8" s="6">
        <f t="shared" si="4"/>
        <v>3222318.5</v>
      </c>
      <c r="AI8" s="6">
        <f t="shared" si="5"/>
        <v>71472191.5</v>
      </c>
      <c r="AJ8" s="6">
        <f t="shared" si="6"/>
        <v>6538.8</v>
      </c>
      <c r="AK8" s="6">
        <f t="shared" si="7"/>
        <v>31446266</v>
      </c>
      <c r="AL8" s="6">
        <f t="shared" si="8"/>
        <v>67462345.300000012</v>
      </c>
      <c r="AM8" s="3">
        <f t="shared" si="9"/>
        <v>1.8560708564583844E-2</v>
      </c>
      <c r="AN8" s="3">
        <f t="shared" si="10"/>
        <v>0.41168323891745234</v>
      </c>
      <c r="AO8" s="3">
        <f t="shared" si="11"/>
        <v>3.766380050950918E-5</v>
      </c>
      <c r="AP8" s="3">
        <f t="shared" si="12"/>
        <v>0.18113199507447256</v>
      </c>
      <c r="AQ8" s="3">
        <f t="shared" si="13"/>
        <v>0.38858633316248004</v>
      </c>
    </row>
    <row r="9" spans="1:43" x14ac:dyDescent="0.3">
      <c r="A9" t="s">
        <v>179</v>
      </c>
      <c r="B9" t="s">
        <v>7</v>
      </c>
      <c r="C9" t="s">
        <v>157</v>
      </c>
      <c r="D9" s="6">
        <v>2036</v>
      </c>
      <c r="E9" t="s">
        <v>195</v>
      </c>
      <c r="F9" s="6">
        <v>215.9</v>
      </c>
      <c r="G9" s="7">
        <v>266.10000000000002</v>
      </c>
      <c r="H9" s="7">
        <v>702</v>
      </c>
      <c r="I9" s="6">
        <v>176126130</v>
      </c>
      <c r="J9" s="6">
        <v>52480012</v>
      </c>
      <c r="K9" s="6">
        <v>31446266</v>
      </c>
      <c r="L9" s="6">
        <v>3232877.5</v>
      </c>
      <c r="M9" s="6">
        <v>0</v>
      </c>
      <c r="N9" s="6">
        <v>2398.6</v>
      </c>
      <c r="O9" s="6">
        <v>71135330</v>
      </c>
      <c r="P9" s="6">
        <v>0</v>
      </c>
      <c r="Q9" s="6">
        <v>235560.8</v>
      </c>
      <c r="R9" s="6">
        <v>10507947</v>
      </c>
      <c r="S9" s="6">
        <v>64020.7</v>
      </c>
      <c r="T9" s="6">
        <v>578728.5</v>
      </c>
      <c r="U9" s="6">
        <v>0</v>
      </c>
      <c r="V9" s="6">
        <v>9699765</v>
      </c>
      <c r="W9" s="6">
        <v>0</v>
      </c>
      <c r="X9" s="6">
        <v>16315.2</v>
      </c>
      <c r="Y9" s="6">
        <v>35079760</v>
      </c>
      <c r="Z9" s="6">
        <v>7684170.5</v>
      </c>
      <c r="AA9" s="6">
        <v>876954.1</v>
      </c>
      <c r="AB9" s="6">
        <v>5566029.5</v>
      </c>
      <c r="AC9" s="6">
        <v>0</v>
      </c>
      <c r="AD9" s="6">
        <f t="shared" si="0"/>
        <v>176126130</v>
      </c>
      <c r="AE9" s="6">
        <f t="shared" si="1"/>
        <v>0</v>
      </c>
      <c r="AF9" s="6">
        <f t="shared" si="2"/>
        <v>578728.5</v>
      </c>
      <c r="AG9" s="6">
        <f t="shared" si="3"/>
        <v>175547401.5</v>
      </c>
      <c r="AH9" s="6">
        <f t="shared" si="4"/>
        <v>3232877.5</v>
      </c>
      <c r="AI9" s="6">
        <f t="shared" si="5"/>
        <v>71370890.799999997</v>
      </c>
      <c r="AJ9" s="6">
        <f t="shared" si="6"/>
        <v>2398.6</v>
      </c>
      <c r="AK9" s="6">
        <f t="shared" si="7"/>
        <v>31446266</v>
      </c>
      <c r="AL9" s="6">
        <f t="shared" si="8"/>
        <v>69494962</v>
      </c>
      <c r="AM9" s="3">
        <f t="shared" si="9"/>
        <v>1.8415980369837603E-2</v>
      </c>
      <c r="AN9" s="3">
        <f t="shared" si="10"/>
        <v>0.40656193250459477</v>
      </c>
      <c r="AO9" s="3">
        <f t="shared" si="11"/>
        <v>1.366354602520277E-5</v>
      </c>
      <c r="AP9" s="3">
        <f t="shared" si="12"/>
        <v>0.17913262020002044</v>
      </c>
      <c r="AQ9" s="3">
        <f t="shared" si="13"/>
        <v>0.39587576578283901</v>
      </c>
    </row>
    <row r="10" spans="1:43" x14ac:dyDescent="0.3">
      <c r="A10" t="s">
        <v>179</v>
      </c>
      <c r="B10" t="s">
        <v>7</v>
      </c>
      <c r="C10" t="s">
        <v>157</v>
      </c>
      <c r="D10" s="6">
        <v>2038</v>
      </c>
      <c r="E10" t="s">
        <v>195</v>
      </c>
      <c r="F10" s="6">
        <v>199.6</v>
      </c>
      <c r="G10" s="7">
        <v>272.39999999999998</v>
      </c>
      <c r="H10" s="7">
        <v>681.1</v>
      </c>
      <c r="I10" s="6">
        <v>186501740</v>
      </c>
      <c r="J10" s="6">
        <v>59069496</v>
      </c>
      <c r="K10" s="6">
        <v>31446266</v>
      </c>
      <c r="L10" s="6">
        <v>3080689</v>
      </c>
      <c r="M10" s="6">
        <v>0</v>
      </c>
      <c r="N10" s="6">
        <v>2024.2</v>
      </c>
      <c r="O10" s="6">
        <v>70595150</v>
      </c>
      <c r="P10" s="6">
        <v>0</v>
      </c>
      <c r="Q10" s="6">
        <v>168596.8</v>
      </c>
      <c r="R10" s="6">
        <v>10518199</v>
      </c>
      <c r="S10" s="6">
        <v>64009.8</v>
      </c>
      <c r="T10" s="6">
        <v>581427</v>
      </c>
      <c r="U10" s="6">
        <v>0</v>
      </c>
      <c r="V10" s="6">
        <v>10525525</v>
      </c>
      <c r="W10" s="6">
        <v>0</v>
      </c>
      <c r="X10" s="6">
        <v>16394.400000000001</v>
      </c>
      <c r="Y10" s="6">
        <v>40547964</v>
      </c>
      <c r="Z10" s="6">
        <v>7979610.5</v>
      </c>
      <c r="AA10" s="6">
        <v>844912.8</v>
      </c>
      <c r="AB10" s="6">
        <v>10130967</v>
      </c>
      <c r="AC10" s="6">
        <v>0</v>
      </c>
      <c r="AD10" s="6">
        <f t="shared" si="0"/>
        <v>186501740</v>
      </c>
      <c r="AE10" s="6">
        <f t="shared" si="1"/>
        <v>0</v>
      </c>
      <c r="AF10" s="6">
        <f t="shared" si="2"/>
        <v>581427</v>
      </c>
      <c r="AG10" s="6">
        <f t="shared" si="3"/>
        <v>185920313</v>
      </c>
      <c r="AH10" s="6">
        <f t="shared" si="4"/>
        <v>3080689</v>
      </c>
      <c r="AI10" s="6">
        <f t="shared" si="5"/>
        <v>70763746.799999997</v>
      </c>
      <c r="AJ10" s="6">
        <f t="shared" si="6"/>
        <v>2024.2</v>
      </c>
      <c r="AK10" s="6">
        <f t="shared" si="7"/>
        <v>31446266</v>
      </c>
      <c r="AL10" s="6">
        <f t="shared" si="8"/>
        <v>80627582.5</v>
      </c>
      <c r="AM10" s="3">
        <f t="shared" si="9"/>
        <v>1.6569943059422453E-2</v>
      </c>
      <c r="AN10" s="3">
        <f t="shared" si="10"/>
        <v>0.38061331577039675</v>
      </c>
      <c r="AO10" s="3">
        <f t="shared" si="11"/>
        <v>1.0887460156115378E-5</v>
      </c>
      <c r="AP10" s="3">
        <f t="shared" si="12"/>
        <v>0.16913840931410221</v>
      </c>
      <c r="AQ10" s="3">
        <f t="shared" si="13"/>
        <v>0.43366742019200449</v>
      </c>
    </row>
    <row r="11" spans="1:43" x14ac:dyDescent="0.3">
      <c r="A11" t="s">
        <v>179</v>
      </c>
      <c r="B11" t="s">
        <v>7</v>
      </c>
      <c r="C11" t="s">
        <v>157</v>
      </c>
      <c r="D11" s="6">
        <v>2040</v>
      </c>
      <c r="E11" t="s">
        <v>195</v>
      </c>
      <c r="F11" s="6">
        <v>193.9</v>
      </c>
      <c r="G11" s="7">
        <v>232.6</v>
      </c>
      <c r="H11" s="7">
        <v>673.5</v>
      </c>
      <c r="I11" s="6">
        <v>189740960</v>
      </c>
      <c r="J11" s="6">
        <v>61391030</v>
      </c>
      <c r="K11" s="6">
        <v>31446266</v>
      </c>
      <c r="L11" s="6">
        <v>2992300</v>
      </c>
      <c r="M11" s="6">
        <v>0</v>
      </c>
      <c r="N11" s="6">
        <v>1328.6</v>
      </c>
      <c r="O11" s="6">
        <v>69951750</v>
      </c>
      <c r="P11" s="6">
        <v>0</v>
      </c>
      <c r="Q11" s="6">
        <v>107456.2</v>
      </c>
      <c r="R11" s="6">
        <v>10531520</v>
      </c>
      <c r="S11" s="6">
        <v>64035.3</v>
      </c>
      <c r="T11" s="6">
        <v>580743.19999999995</v>
      </c>
      <c r="U11" s="6">
        <v>0</v>
      </c>
      <c r="V11" s="6">
        <v>11478735</v>
      </c>
      <c r="W11" s="6">
        <v>0</v>
      </c>
      <c r="X11" s="6">
        <v>16462.8</v>
      </c>
      <c r="Y11" s="6">
        <v>41644628</v>
      </c>
      <c r="Z11" s="6">
        <v>8251209</v>
      </c>
      <c r="AA11" s="6">
        <v>1036050.8</v>
      </c>
      <c r="AB11" s="6">
        <v>11638482</v>
      </c>
      <c r="AC11" s="6">
        <v>0</v>
      </c>
      <c r="AD11" s="6">
        <f t="shared" si="0"/>
        <v>189740960</v>
      </c>
      <c r="AE11" s="6">
        <f t="shared" si="1"/>
        <v>0</v>
      </c>
      <c r="AF11" s="6">
        <f t="shared" si="2"/>
        <v>580743.19999999995</v>
      </c>
      <c r="AG11" s="6">
        <f t="shared" si="3"/>
        <v>189160216.80000001</v>
      </c>
      <c r="AH11" s="6">
        <f t="shared" si="4"/>
        <v>2992300</v>
      </c>
      <c r="AI11" s="6">
        <f t="shared" si="5"/>
        <v>70059206.200000003</v>
      </c>
      <c r="AJ11" s="6">
        <f t="shared" si="6"/>
        <v>1328.6</v>
      </c>
      <c r="AK11" s="6">
        <f t="shared" si="7"/>
        <v>31446266</v>
      </c>
      <c r="AL11" s="6">
        <f t="shared" si="8"/>
        <v>84661122.899999991</v>
      </c>
      <c r="AM11" s="3">
        <f t="shared" si="9"/>
        <v>1.5818865354567516E-2</v>
      </c>
      <c r="AN11" s="3">
        <f t="shared" si="10"/>
        <v>0.37036966538304367</v>
      </c>
      <c r="AO11" s="3">
        <f t="shared" si="11"/>
        <v>7.0236756040765957E-6</v>
      </c>
      <c r="AP11" s="3">
        <f t="shared" si="12"/>
        <v>0.16624143560402177</v>
      </c>
      <c r="AQ11" s="3">
        <f t="shared" si="13"/>
        <v>0.44756304645977751</v>
      </c>
    </row>
    <row r="12" spans="1:43" x14ac:dyDescent="0.3">
      <c r="A12" t="s">
        <v>179</v>
      </c>
      <c r="B12" t="s">
        <v>7</v>
      </c>
      <c r="C12" t="s">
        <v>157</v>
      </c>
      <c r="D12" s="6">
        <v>2042</v>
      </c>
      <c r="E12" t="s">
        <v>195</v>
      </c>
      <c r="F12" s="6">
        <v>194.1</v>
      </c>
      <c r="G12" s="7">
        <v>211.7</v>
      </c>
      <c r="H12" s="7">
        <v>675.9</v>
      </c>
      <c r="I12" s="6">
        <v>191520370</v>
      </c>
      <c r="J12" s="6">
        <v>62067028</v>
      </c>
      <c r="K12" s="6">
        <v>31446266</v>
      </c>
      <c r="L12" s="6">
        <v>3001166.2</v>
      </c>
      <c r="M12" s="6">
        <v>0</v>
      </c>
      <c r="N12" s="6">
        <v>786.9</v>
      </c>
      <c r="O12" s="6">
        <v>70774310</v>
      </c>
      <c r="P12" s="6">
        <v>0</v>
      </c>
      <c r="Q12" s="6">
        <v>70778.399999999994</v>
      </c>
      <c r="R12" s="6">
        <v>10560278</v>
      </c>
      <c r="S12" s="6">
        <v>64031.6</v>
      </c>
      <c r="T12" s="6">
        <v>581546.19999999995</v>
      </c>
      <c r="U12" s="6">
        <v>0</v>
      </c>
      <c r="V12" s="6">
        <v>13669846</v>
      </c>
      <c r="W12" s="6">
        <v>0</v>
      </c>
      <c r="X12" s="6">
        <v>4087.4</v>
      </c>
      <c r="Y12" s="6">
        <v>39913736</v>
      </c>
      <c r="Z12" s="6">
        <v>8479360</v>
      </c>
      <c r="AA12" s="6">
        <v>941477.2</v>
      </c>
      <c r="AB12" s="6">
        <v>12012694</v>
      </c>
      <c r="AC12" s="6">
        <v>0</v>
      </c>
      <c r="AD12" s="6">
        <f t="shared" si="0"/>
        <v>191520370</v>
      </c>
      <c r="AE12" s="6">
        <f t="shared" si="1"/>
        <v>0</v>
      </c>
      <c r="AF12" s="6">
        <f t="shared" si="2"/>
        <v>581546.19999999995</v>
      </c>
      <c r="AG12" s="6">
        <f t="shared" si="3"/>
        <v>190938823.80000001</v>
      </c>
      <c r="AH12" s="6">
        <f t="shared" si="4"/>
        <v>3001166.2</v>
      </c>
      <c r="AI12" s="6">
        <f t="shared" si="5"/>
        <v>70845088.400000006</v>
      </c>
      <c r="AJ12" s="6">
        <f t="shared" si="6"/>
        <v>786.9</v>
      </c>
      <c r="AK12" s="6">
        <f t="shared" si="7"/>
        <v>31446266</v>
      </c>
      <c r="AL12" s="6">
        <f t="shared" si="8"/>
        <v>85645510.200000003</v>
      </c>
      <c r="AM12" s="3">
        <f t="shared" si="9"/>
        <v>1.5717946409597606E-2</v>
      </c>
      <c r="AN12" s="3">
        <f t="shared" si="10"/>
        <v>0.37103553373831982</v>
      </c>
      <c r="AO12" s="3">
        <f t="shared" si="11"/>
        <v>4.1212152894805873E-6</v>
      </c>
      <c r="AP12" s="3">
        <f t="shared" si="12"/>
        <v>0.16469288630864604</v>
      </c>
      <c r="AQ12" s="3">
        <f t="shared" si="13"/>
        <v>0.44854948038074172</v>
      </c>
    </row>
    <row r="13" spans="1:43" x14ac:dyDescent="0.3">
      <c r="A13" t="s">
        <v>179</v>
      </c>
      <c r="B13" t="s">
        <v>7</v>
      </c>
      <c r="C13" t="s">
        <v>157</v>
      </c>
      <c r="D13" s="6">
        <v>2044</v>
      </c>
      <c r="E13" t="s">
        <v>195</v>
      </c>
      <c r="F13" s="6">
        <v>177.2</v>
      </c>
      <c r="G13" s="7">
        <v>176.5</v>
      </c>
      <c r="H13" s="7">
        <v>665.8</v>
      </c>
      <c r="I13" s="6">
        <v>195567060</v>
      </c>
      <c r="J13" s="6">
        <v>70044020</v>
      </c>
      <c r="K13" s="6">
        <v>31446266</v>
      </c>
      <c r="L13" s="6">
        <v>2969367.5</v>
      </c>
      <c r="M13" s="6">
        <v>0</v>
      </c>
      <c r="N13" s="6">
        <v>372.2</v>
      </c>
      <c r="O13" s="6">
        <v>65506452</v>
      </c>
      <c r="P13" s="6">
        <v>0</v>
      </c>
      <c r="Q13" s="6">
        <v>34600.699999999997</v>
      </c>
      <c r="R13" s="6">
        <v>10572940</v>
      </c>
      <c r="S13" s="6">
        <v>52122.2</v>
      </c>
      <c r="T13" s="6">
        <v>580385.80000000005</v>
      </c>
      <c r="U13" s="6">
        <v>0</v>
      </c>
      <c r="V13" s="6">
        <v>16574269</v>
      </c>
      <c r="W13" s="6">
        <v>0</v>
      </c>
      <c r="X13" s="6">
        <v>0</v>
      </c>
      <c r="Y13" s="6">
        <v>44803720</v>
      </c>
      <c r="Z13" s="6">
        <v>8666030</v>
      </c>
      <c r="AA13" s="6">
        <v>1037590</v>
      </c>
      <c r="AB13" s="6">
        <v>13322934</v>
      </c>
      <c r="AC13" s="6">
        <v>0</v>
      </c>
      <c r="AD13" s="6">
        <f t="shared" si="0"/>
        <v>195567060</v>
      </c>
      <c r="AE13" s="6">
        <f t="shared" si="1"/>
        <v>0</v>
      </c>
      <c r="AF13" s="6">
        <f t="shared" si="2"/>
        <v>580385.80000000005</v>
      </c>
      <c r="AG13" s="6">
        <f t="shared" si="3"/>
        <v>194986674.19999999</v>
      </c>
      <c r="AH13" s="6">
        <f t="shared" si="4"/>
        <v>2969367.5</v>
      </c>
      <c r="AI13" s="6">
        <f t="shared" si="5"/>
        <v>65541052.700000003</v>
      </c>
      <c r="AJ13" s="6">
        <f t="shared" si="6"/>
        <v>372.2</v>
      </c>
      <c r="AK13" s="6">
        <f t="shared" si="7"/>
        <v>31446266</v>
      </c>
      <c r="AL13" s="6">
        <f t="shared" si="8"/>
        <v>95029605.200000003</v>
      </c>
      <c r="AM13" s="3">
        <f t="shared" si="9"/>
        <v>1.5228566322200494E-2</v>
      </c>
      <c r="AN13" s="3">
        <f t="shared" si="10"/>
        <v>0.33613093289018214</v>
      </c>
      <c r="AO13" s="3">
        <f t="shared" si="11"/>
        <v>1.9088483945227475E-6</v>
      </c>
      <c r="AP13" s="3">
        <f t="shared" si="12"/>
        <v>0.16127392361051923</v>
      </c>
      <c r="AQ13" s="3">
        <f t="shared" si="13"/>
        <v>0.48736461396601433</v>
      </c>
    </row>
    <row r="14" spans="1:43" x14ac:dyDescent="0.3">
      <c r="A14" t="s">
        <v>179</v>
      </c>
      <c r="B14" t="s">
        <v>7</v>
      </c>
      <c r="C14" t="s">
        <v>157</v>
      </c>
      <c r="D14" s="6">
        <v>2046</v>
      </c>
      <c r="E14" t="s">
        <v>195</v>
      </c>
      <c r="F14" s="6">
        <v>164</v>
      </c>
      <c r="G14" s="7">
        <v>150.80000000000001</v>
      </c>
      <c r="H14" s="7">
        <v>639.1</v>
      </c>
      <c r="I14" s="6">
        <v>199474780</v>
      </c>
      <c r="J14" s="6">
        <v>76532500</v>
      </c>
      <c r="K14" s="6">
        <v>31446266</v>
      </c>
      <c r="L14" s="6">
        <v>2960824.8</v>
      </c>
      <c r="M14" s="6">
        <v>0</v>
      </c>
      <c r="N14" s="6">
        <v>291.39999999999998</v>
      </c>
      <c r="O14" s="6">
        <v>61569736</v>
      </c>
      <c r="P14" s="6">
        <v>0</v>
      </c>
      <c r="Q14" s="6">
        <v>23994.400000000001</v>
      </c>
      <c r="R14" s="6">
        <v>10560955</v>
      </c>
      <c r="S14" s="6">
        <v>52128.1</v>
      </c>
      <c r="T14" s="6">
        <v>578145.6</v>
      </c>
      <c r="U14" s="6">
        <v>0</v>
      </c>
      <c r="V14" s="6">
        <v>20998410</v>
      </c>
      <c r="W14" s="6">
        <v>0</v>
      </c>
      <c r="X14" s="6">
        <v>0</v>
      </c>
      <c r="Y14" s="6">
        <v>46753060</v>
      </c>
      <c r="Z14" s="6">
        <v>8781025</v>
      </c>
      <c r="AA14" s="6">
        <v>1204988.8999999999</v>
      </c>
      <c r="AB14" s="6">
        <v>14544954</v>
      </c>
      <c r="AC14" s="6">
        <v>0</v>
      </c>
      <c r="AD14" s="6">
        <f t="shared" si="0"/>
        <v>199474780</v>
      </c>
      <c r="AE14" s="6">
        <f t="shared" si="1"/>
        <v>0</v>
      </c>
      <c r="AF14" s="6">
        <f t="shared" si="2"/>
        <v>578145.6</v>
      </c>
      <c r="AG14" s="6">
        <f t="shared" si="3"/>
        <v>198896634.40000001</v>
      </c>
      <c r="AH14" s="6">
        <f t="shared" si="4"/>
        <v>2960824.8</v>
      </c>
      <c r="AI14" s="6">
        <f t="shared" si="5"/>
        <v>61593730.399999999</v>
      </c>
      <c r="AJ14" s="6">
        <f t="shared" si="6"/>
        <v>291.39999999999998</v>
      </c>
      <c r="AK14" s="6">
        <f t="shared" si="7"/>
        <v>31446266</v>
      </c>
      <c r="AL14" s="6">
        <f t="shared" si="8"/>
        <v>102895521</v>
      </c>
      <c r="AM14" s="3">
        <f t="shared" si="9"/>
        <v>1.4886248874606395E-2</v>
      </c>
      <c r="AN14" s="3">
        <f t="shared" si="10"/>
        <v>0.30967708722576553</v>
      </c>
      <c r="AO14" s="3">
        <f t="shared" si="11"/>
        <v>1.4650826087583107E-6</v>
      </c>
      <c r="AP14" s="3">
        <f t="shared" si="12"/>
        <v>0.15810356014752153</v>
      </c>
      <c r="AQ14" s="3">
        <f t="shared" si="13"/>
        <v>0.51733163464730803</v>
      </c>
    </row>
    <row r="15" spans="1:43" x14ac:dyDescent="0.3">
      <c r="A15" t="s">
        <v>179</v>
      </c>
      <c r="B15" t="s">
        <v>7</v>
      </c>
      <c r="C15" t="s">
        <v>157</v>
      </c>
      <c r="D15" s="6">
        <v>2048</v>
      </c>
      <c r="E15" t="s">
        <v>195</v>
      </c>
      <c r="F15" s="6">
        <v>149.69999999999999</v>
      </c>
      <c r="G15" s="7">
        <v>158.30000000000001</v>
      </c>
      <c r="H15" s="7">
        <v>630.70000000000005</v>
      </c>
      <c r="I15" s="6">
        <v>214893820</v>
      </c>
      <c r="J15" s="6">
        <v>91568424</v>
      </c>
      <c r="K15" s="6">
        <v>31446266</v>
      </c>
      <c r="L15" s="6">
        <v>2971840</v>
      </c>
      <c r="M15" s="6">
        <v>0</v>
      </c>
      <c r="N15" s="6">
        <v>311.60000000000002</v>
      </c>
      <c r="O15" s="6">
        <v>60070600</v>
      </c>
      <c r="P15" s="6">
        <v>0</v>
      </c>
      <c r="Q15" s="6">
        <v>46283.9</v>
      </c>
      <c r="R15" s="6">
        <v>10525875</v>
      </c>
      <c r="S15" s="6">
        <v>0</v>
      </c>
      <c r="T15" s="6">
        <v>577183.9</v>
      </c>
      <c r="U15" s="6">
        <v>0</v>
      </c>
      <c r="V15" s="6">
        <v>23478682</v>
      </c>
      <c r="W15" s="6">
        <v>0</v>
      </c>
      <c r="X15" s="6">
        <v>0</v>
      </c>
      <c r="Y15" s="6">
        <v>59098976</v>
      </c>
      <c r="Z15" s="6">
        <v>8990767</v>
      </c>
      <c r="AA15" s="6">
        <v>1669747</v>
      </c>
      <c r="AB15" s="6">
        <v>16017298</v>
      </c>
      <c r="AC15" s="6">
        <v>0</v>
      </c>
      <c r="AD15" s="6">
        <f t="shared" si="0"/>
        <v>214893820</v>
      </c>
      <c r="AE15" s="6">
        <f t="shared" si="1"/>
        <v>0</v>
      </c>
      <c r="AF15" s="6">
        <f t="shared" si="2"/>
        <v>577183.9</v>
      </c>
      <c r="AG15" s="6">
        <f t="shared" si="3"/>
        <v>214316636.09999999</v>
      </c>
      <c r="AH15" s="6">
        <f t="shared" si="4"/>
        <v>2971840</v>
      </c>
      <c r="AI15" s="6">
        <f t="shared" si="5"/>
        <v>60116883.899999999</v>
      </c>
      <c r="AJ15" s="6">
        <f t="shared" si="6"/>
        <v>311.60000000000002</v>
      </c>
      <c r="AK15" s="6">
        <f t="shared" si="7"/>
        <v>31446266</v>
      </c>
      <c r="AL15" s="6">
        <f t="shared" si="8"/>
        <v>119781345</v>
      </c>
      <c r="AM15" s="3">
        <f t="shared" si="9"/>
        <v>1.3866585693391257E-2</v>
      </c>
      <c r="AN15" s="3">
        <f t="shared" si="10"/>
        <v>0.28050498082635777</v>
      </c>
      <c r="AO15" s="3">
        <f t="shared" si="11"/>
        <v>1.4539235295509569E-6</v>
      </c>
      <c r="AP15" s="3">
        <f t="shared" si="12"/>
        <v>0.14672806820898027</v>
      </c>
      <c r="AQ15" s="3">
        <f t="shared" si="13"/>
        <v>0.55889895987407201</v>
      </c>
    </row>
    <row r="16" spans="1:43" x14ac:dyDescent="0.3">
      <c r="A16" t="s">
        <v>179</v>
      </c>
      <c r="B16" t="s">
        <v>7</v>
      </c>
      <c r="C16" t="s">
        <v>157</v>
      </c>
      <c r="D16" s="6">
        <v>2050</v>
      </c>
      <c r="E16" t="s">
        <v>195</v>
      </c>
      <c r="F16" s="6">
        <v>139.1</v>
      </c>
      <c r="G16" s="7">
        <v>142.30000000000001</v>
      </c>
      <c r="H16" s="7">
        <v>629.1</v>
      </c>
      <c r="I16" s="6">
        <v>222651950</v>
      </c>
      <c r="J16" s="6">
        <v>99231880</v>
      </c>
      <c r="K16" s="6">
        <v>31446266</v>
      </c>
      <c r="L16" s="6">
        <v>2904931.2</v>
      </c>
      <c r="M16" s="6">
        <v>0</v>
      </c>
      <c r="N16" s="6">
        <v>80.7</v>
      </c>
      <c r="O16" s="6">
        <v>57849716</v>
      </c>
      <c r="P16" s="6">
        <v>0</v>
      </c>
      <c r="Q16" s="6">
        <v>24320.6</v>
      </c>
      <c r="R16" s="6">
        <v>10503205</v>
      </c>
      <c r="S16" s="6">
        <v>0</v>
      </c>
      <c r="T16" s="6">
        <v>572920.5</v>
      </c>
      <c r="U16" s="6">
        <v>0</v>
      </c>
      <c r="V16" s="6">
        <v>27421328</v>
      </c>
      <c r="W16" s="6">
        <v>0</v>
      </c>
      <c r="X16" s="6">
        <v>0</v>
      </c>
      <c r="Y16" s="6">
        <v>62610280</v>
      </c>
      <c r="Z16" s="6">
        <v>9200278</v>
      </c>
      <c r="AA16" s="6">
        <v>1500211.6</v>
      </c>
      <c r="AB16" s="6">
        <v>18618418</v>
      </c>
      <c r="AC16" s="6">
        <v>0</v>
      </c>
      <c r="AD16" s="6">
        <f t="shared" si="0"/>
        <v>222651950</v>
      </c>
      <c r="AE16" s="6">
        <f t="shared" si="1"/>
        <v>0</v>
      </c>
      <c r="AF16" s="6">
        <f t="shared" si="2"/>
        <v>572920.5</v>
      </c>
      <c r="AG16" s="6">
        <f t="shared" si="3"/>
        <v>222079029.5</v>
      </c>
      <c r="AH16" s="6">
        <f t="shared" si="4"/>
        <v>2904931.2</v>
      </c>
      <c r="AI16" s="6">
        <f t="shared" si="5"/>
        <v>57874036.600000001</v>
      </c>
      <c r="AJ16" s="6">
        <f t="shared" si="6"/>
        <v>80.7</v>
      </c>
      <c r="AK16" s="6">
        <f t="shared" si="7"/>
        <v>31446266</v>
      </c>
      <c r="AL16" s="6">
        <f t="shared" si="8"/>
        <v>129853720.59999999</v>
      </c>
      <c r="AM16" s="3">
        <f t="shared" si="9"/>
        <v>1.308061912257231E-2</v>
      </c>
      <c r="AN16" s="3">
        <f t="shared" si="10"/>
        <v>0.26060108750610333</v>
      </c>
      <c r="AO16" s="3">
        <f t="shared" si="11"/>
        <v>3.6338415284726381E-7</v>
      </c>
      <c r="AP16" s="3">
        <f t="shared" si="12"/>
        <v>0.14159943904113648</v>
      </c>
      <c r="AQ16" s="3">
        <f t="shared" si="13"/>
        <v>0.58471851616228354</v>
      </c>
    </row>
    <row r="17" spans="1:43" x14ac:dyDescent="0.3">
      <c r="A17" t="s">
        <v>179</v>
      </c>
      <c r="B17" t="s">
        <v>7</v>
      </c>
      <c r="C17" t="s">
        <v>158</v>
      </c>
      <c r="D17" s="6">
        <v>2022</v>
      </c>
      <c r="E17" t="s">
        <v>195</v>
      </c>
      <c r="F17" s="6">
        <v>188.1</v>
      </c>
      <c r="G17" s="7">
        <v>351.4</v>
      </c>
      <c r="H17" s="7">
        <v>770.4</v>
      </c>
      <c r="I17" s="6">
        <v>244736770</v>
      </c>
      <c r="J17" s="6">
        <v>78298330</v>
      </c>
      <c r="K17" s="6">
        <v>17891704</v>
      </c>
      <c r="L17" s="6">
        <v>0</v>
      </c>
      <c r="M17" s="6">
        <v>0</v>
      </c>
      <c r="N17" s="6">
        <v>10486.3</v>
      </c>
      <c r="O17" s="6">
        <v>91102590</v>
      </c>
      <c r="P17" s="6">
        <v>0</v>
      </c>
      <c r="Q17" s="6">
        <v>186175.1</v>
      </c>
      <c r="R17" s="6">
        <v>31245956</v>
      </c>
      <c r="S17" s="6">
        <v>15790258</v>
      </c>
      <c r="T17" s="6">
        <v>5741580</v>
      </c>
      <c r="U17" s="6">
        <v>0</v>
      </c>
      <c r="V17" s="6">
        <v>14840315</v>
      </c>
      <c r="W17" s="6">
        <v>0</v>
      </c>
      <c r="X17" s="6">
        <v>1990710.6</v>
      </c>
      <c r="Y17" s="6">
        <v>41663596</v>
      </c>
      <c r="Z17" s="6">
        <v>19803708</v>
      </c>
      <c r="AA17" s="6">
        <v>1602268.4</v>
      </c>
      <c r="AB17" s="6">
        <v>2867415.8</v>
      </c>
      <c r="AC17" s="6">
        <v>0</v>
      </c>
      <c r="AD17" s="6">
        <f t="shared" si="0"/>
        <v>244736770</v>
      </c>
      <c r="AE17" s="6">
        <f t="shared" si="1"/>
        <v>0</v>
      </c>
      <c r="AF17" s="6">
        <f t="shared" si="2"/>
        <v>5741580</v>
      </c>
      <c r="AG17" s="6">
        <f t="shared" si="3"/>
        <v>238995190</v>
      </c>
      <c r="AH17" s="6">
        <f t="shared" si="4"/>
        <v>0</v>
      </c>
      <c r="AI17" s="6">
        <f t="shared" si="5"/>
        <v>91288765.099999994</v>
      </c>
      <c r="AJ17" s="6">
        <f t="shared" si="6"/>
        <v>10486.3</v>
      </c>
      <c r="AK17" s="6">
        <f t="shared" si="7"/>
        <v>17891704</v>
      </c>
      <c r="AL17" s="6">
        <f t="shared" si="8"/>
        <v>129804227.8</v>
      </c>
      <c r="AM17" s="3">
        <f t="shared" si="9"/>
        <v>0</v>
      </c>
      <c r="AN17" s="3">
        <f t="shared" si="10"/>
        <v>0.38196904757790312</v>
      </c>
      <c r="AO17" s="3">
        <f t="shared" si="11"/>
        <v>4.3876615257403298E-5</v>
      </c>
      <c r="AP17" s="3">
        <f t="shared" si="12"/>
        <v>7.4862192833253252E-2</v>
      </c>
      <c r="AQ17" s="3">
        <f t="shared" si="13"/>
        <v>0.54312485452113068</v>
      </c>
    </row>
    <row r="18" spans="1:43" x14ac:dyDescent="0.3">
      <c r="A18" t="s">
        <v>179</v>
      </c>
      <c r="B18" t="s">
        <v>7</v>
      </c>
      <c r="C18" t="s">
        <v>158</v>
      </c>
      <c r="D18" s="6">
        <v>2024</v>
      </c>
      <c r="E18" t="s">
        <v>195</v>
      </c>
      <c r="F18" s="6">
        <v>231.5</v>
      </c>
      <c r="G18" s="7">
        <v>280.8</v>
      </c>
      <c r="H18" s="7">
        <v>784.8</v>
      </c>
      <c r="I18" s="6">
        <v>249610540</v>
      </c>
      <c r="J18" s="6">
        <v>78872500</v>
      </c>
      <c r="K18" s="6">
        <v>0</v>
      </c>
      <c r="L18" s="6">
        <v>0</v>
      </c>
      <c r="M18" s="6">
        <v>0</v>
      </c>
      <c r="N18" s="6">
        <v>16478.900000000001</v>
      </c>
      <c r="O18" s="6">
        <v>112761330</v>
      </c>
      <c r="P18" s="6">
        <v>0</v>
      </c>
      <c r="Q18" s="6">
        <v>559334.9</v>
      </c>
      <c r="R18" s="6">
        <v>31258988</v>
      </c>
      <c r="S18" s="6">
        <v>15790258</v>
      </c>
      <c r="T18" s="6">
        <v>5741053.5</v>
      </c>
      <c r="U18" s="6">
        <v>0</v>
      </c>
      <c r="V18" s="6">
        <v>14892938</v>
      </c>
      <c r="W18" s="6">
        <v>0</v>
      </c>
      <c r="X18" s="6">
        <v>2008018.4</v>
      </c>
      <c r="Y18" s="6">
        <v>41856350</v>
      </c>
      <c r="Z18" s="6">
        <v>20115192</v>
      </c>
      <c r="AA18" s="6">
        <v>1789084.6</v>
      </c>
      <c r="AB18" s="6">
        <v>2821516.2</v>
      </c>
      <c r="AC18" s="6">
        <v>0</v>
      </c>
      <c r="AD18" s="6">
        <f t="shared" si="0"/>
        <v>249610540</v>
      </c>
      <c r="AE18" s="6">
        <f t="shared" si="1"/>
        <v>0</v>
      </c>
      <c r="AF18" s="6">
        <f t="shared" si="2"/>
        <v>5741053.5</v>
      </c>
      <c r="AG18" s="6">
        <f t="shared" si="3"/>
        <v>243869486.5</v>
      </c>
      <c r="AH18" s="6">
        <f t="shared" si="4"/>
        <v>0</v>
      </c>
      <c r="AI18" s="6">
        <f t="shared" si="5"/>
        <v>113320664.90000001</v>
      </c>
      <c r="AJ18" s="6">
        <f t="shared" si="6"/>
        <v>16478.900000000001</v>
      </c>
      <c r="AK18" s="6">
        <f t="shared" si="7"/>
        <v>0</v>
      </c>
      <c r="AL18" s="6">
        <f t="shared" si="8"/>
        <v>130532345.2</v>
      </c>
      <c r="AM18" s="3">
        <f t="shared" si="9"/>
        <v>0</v>
      </c>
      <c r="AN18" s="3">
        <f t="shared" si="10"/>
        <v>0.46467750650715378</v>
      </c>
      <c r="AO18" s="3">
        <f t="shared" si="11"/>
        <v>6.7572619422397485E-5</v>
      </c>
      <c r="AP18" s="3">
        <f t="shared" si="12"/>
        <v>0</v>
      </c>
      <c r="AQ18" s="3">
        <f t="shared" si="13"/>
        <v>0.53525493112480882</v>
      </c>
    </row>
    <row r="19" spans="1:43" x14ac:dyDescent="0.3">
      <c r="A19" t="s">
        <v>179</v>
      </c>
      <c r="B19" t="s">
        <v>7</v>
      </c>
      <c r="C19" t="s">
        <v>158</v>
      </c>
      <c r="D19" s="6">
        <v>2026</v>
      </c>
      <c r="E19" t="s">
        <v>195</v>
      </c>
      <c r="F19" s="6">
        <v>195.4</v>
      </c>
      <c r="G19" s="7">
        <v>195.9</v>
      </c>
      <c r="H19" s="7">
        <v>800</v>
      </c>
      <c r="I19" s="6">
        <v>248749800</v>
      </c>
      <c r="J19" s="6">
        <v>86413750</v>
      </c>
      <c r="K19" s="6">
        <v>0</v>
      </c>
      <c r="L19" s="6">
        <v>0</v>
      </c>
      <c r="M19" s="6">
        <v>0</v>
      </c>
      <c r="N19" s="6">
        <v>14339.1</v>
      </c>
      <c r="O19" s="6">
        <v>95626550</v>
      </c>
      <c r="P19" s="6">
        <v>0</v>
      </c>
      <c r="Q19" s="6">
        <v>474677.8</v>
      </c>
      <c r="R19" s="6">
        <v>33363066</v>
      </c>
      <c r="S19" s="6">
        <v>21306304</v>
      </c>
      <c r="T19" s="6">
        <v>5731443</v>
      </c>
      <c r="U19" s="6">
        <v>0</v>
      </c>
      <c r="V19" s="6">
        <v>14784544</v>
      </c>
      <c r="W19" s="6">
        <v>0</v>
      </c>
      <c r="X19" s="6">
        <v>1990698.8</v>
      </c>
      <c r="Y19" s="6">
        <v>48824560</v>
      </c>
      <c r="Z19" s="6">
        <v>20813952</v>
      </c>
      <c r="AA19" s="6">
        <v>2488392.7999999998</v>
      </c>
      <c r="AB19" s="6">
        <v>3331263.5</v>
      </c>
      <c r="AC19" s="6">
        <v>0</v>
      </c>
      <c r="AD19" s="6">
        <f t="shared" si="0"/>
        <v>248749800</v>
      </c>
      <c r="AE19" s="6">
        <f t="shared" si="1"/>
        <v>0</v>
      </c>
      <c r="AF19" s="6">
        <f t="shared" si="2"/>
        <v>5731443</v>
      </c>
      <c r="AG19" s="6">
        <f t="shared" si="3"/>
        <v>243018357</v>
      </c>
      <c r="AH19" s="6">
        <f t="shared" si="4"/>
        <v>0</v>
      </c>
      <c r="AI19" s="6">
        <f t="shared" si="5"/>
        <v>96101227.799999997</v>
      </c>
      <c r="AJ19" s="6">
        <f t="shared" si="6"/>
        <v>14339.1</v>
      </c>
      <c r="AK19" s="6">
        <f t="shared" si="7"/>
        <v>0</v>
      </c>
      <c r="AL19" s="6">
        <f t="shared" si="8"/>
        <v>146902781.10000002</v>
      </c>
      <c r="AM19" s="3">
        <f t="shared" si="9"/>
        <v>0</v>
      </c>
      <c r="AN19" s="3">
        <f t="shared" si="10"/>
        <v>0.3954484302599412</v>
      </c>
      <c r="AO19" s="3">
        <f t="shared" si="11"/>
        <v>5.9004184609807069E-5</v>
      </c>
      <c r="AP19" s="3">
        <f t="shared" si="12"/>
        <v>0</v>
      </c>
      <c r="AQ19" s="3">
        <f t="shared" si="13"/>
        <v>0.60449252852120972</v>
      </c>
    </row>
    <row r="20" spans="1:43" x14ac:dyDescent="0.3">
      <c r="A20" t="s">
        <v>179</v>
      </c>
      <c r="B20" t="s">
        <v>7</v>
      </c>
      <c r="C20" t="s">
        <v>158</v>
      </c>
      <c r="D20" s="6">
        <v>2028</v>
      </c>
      <c r="E20" t="s">
        <v>195</v>
      </c>
      <c r="F20" s="6">
        <v>163.1</v>
      </c>
      <c r="G20" s="7">
        <v>130.1</v>
      </c>
      <c r="H20" s="7">
        <v>785.3</v>
      </c>
      <c r="I20" s="6">
        <v>248729340</v>
      </c>
      <c r="J20" s="6">
        <v>98914330</v>
      </c>
      <c r="K20" s="6">
        <v>0</v>
      </c>
      <c r="L20" s="6">
        <v>0</v>
      </c>
      <c r="M20" s="6">
        <v>0</v>
      </c>
      <c r="N20" s="6">
        <v>6974.1</v>
      </c>
      <c r="O20" s="6">
        <v>79945256</v>
      </c>
      <c r="P20" s="6">
        <v>0</v>
      </c>
      <c r="Q20" s="6">
        <v>488271</v>
      </c>
      <c r="R20" s="6">
        <v>33307980</v>
      </c>
      <c r="S20" s="6">
        <v>21599188</v>
      </c>
      <c r="T20" s="6">
        <v>5725231.5</v>
      </c>
      <c r="U20" s="6">
        <v>0</v>
      </c>
      <c r="V20" s="6">
        <v>14955914</v>
      </c>
      <c r="W20" s="6">
        <v>0</v>
      </c>
      <c r="X20" s="6">
        <v>1994355.6</v>
      </c>
      <c r="Y20" s="6">
        <v>59937690</v>
      </c>
      <c r="Z20" s="6">
        <v>22026364</v>
      </c>
      <c r="AA20" s="6">
        <v>3228568.8</v>
      </c>
      <c r="AB20" s="6">
        <v>5513543.5</v>
      </c>
      <c r="AC20" s="6">
        <v>0</v>
      </c>
      <c r="AD20" s="6">
        <f t="shared" si="0"/>
        <v>248729340</v>
      </c>
      <c r="AE20" s="6">
        <f t="shared" si="1"/>
        <v>0</v>
      </c>
      <c r="AF20" s="6">
        <f t="shared" si="2"/>
        <v>5725231.5</v>
      </c>
      <c r="AG20" s="6">
        <f t="shared" si="3"/>
        <v>243004108.5</v>
      </c>
      <c r="AH20" s="6">
        <f t="shared" si="4"/>
        <v>0</v>
      </c>
      <c r="AI20" s="6">
        <f t="shared" si="5"/>
        <v>80433527</v>
      </c>
      <c r="AJ20" s="6">
        <f t="shared" si="6"/>
        <v>6974.1</v>
      </c>
      <c r="AK20" s="6">
        <f t="shared" si="7"/>
        <v>0</v>
      </c>
      <c r="AL20" s="6">
        <f t="shared" si="8"/>
        <v>162563603.90000001</v>
      </c>
      <c r="AM20" s="3">
        <f t="shared" si="9"/>
        <v>0</v>
      </c>
      <c r="AN20" s="3">
        <f t="shared" si="10"/>
        <v>0.33099657243037928</v>
      </c>
      <c r="AO20" s="3">
        <f t="shared" si="11"/>
        <v>2.8699514765611465E-5</v>
      </c>
      <c r="AP20" s="3">
        <f t="shared" si="12"/>
        <v>0</v>
      </c>
      <c r="AQ20" s="3">
        <f t="shared" si="13"/>
        <v>0.6689747136518065</v>
      </c>
    </row>
    <row r="21" spans="1:43" x14ac:dyDescent="0.3">
      <c r="A21" t="s">
        <v>179</v>
      </c>
      <c r="B21" t="s">
        <v>7</v>
      </c>
      <c r="C21" t="s">
        <v>158</v>
      </c>
      <c r="D21" s="6">
        <v>2030</v>
      </c>
      <c r="E21" t="s">
        <v>195</v>
      </c>
      <c r="F21" s="6">
        <v>134.4</v>
      </c>
      <c r="G21" s="7">
        <v>179.3</v>
      </c>
      <c r="H21" s="7">
        <v>746.6</v>
      </c>
      <c r="I21" s="6">
        <v>257774260</v>
      </c>
      <c r="J21" s="6">
        <v>114768770</v>
      </c>
      <c r="K21" s="6">
        <v>0</v>
      </c>
      <c r="L21" s="6">
        <v>0</v>
      </c>
      <c r="M21" s="6">
        <v>0</v>
      </c>
      <c r="N21" s="6">
        <v>8606.7999999999993</v>
      </c>
      <c r="O21" s="6">
        <v>68406296</v>
      </c>
      <c r="P21" s="6">
        <v>0</v>
      </c>
      <c r="Q21" s="6">
        <v>613037.19999999995</v>
      </c>
      <c r="R21" s="6">
        <v>33183462</v>
      </c>
      <c r="S21" s="6">
        <v>21892070</v>
      </c>
      <c r="T21" s="6">
        <v>5626208</v>
      </c>
      <c r="U21" s="6">
        <v>0</v>
      </c>
      <c r="V21" s="6">
        <v>15368589</v>
      </c>
      <c r="W21" s="6">
        <v>0</v>
      </c>
      <c r="X21" s="6">
        <v>1984344.4</v>
      </c>
      <c r="Y21" s="6">
        <v>73570810</v>
      </c>
      <c r="Z21" s="6">
        <v>23845024</v>
      </c>
      <c r="AA21" s="6">
        <v>7069250.5</v>
      </c>
      <c r="AB21" s="6">
        <v>6206567.5</v>
      </c>
      <c r="AC21" s="6">
        <v>0</v>
      </c>
      <c r="AD21" s="6">
        <f t="shared" si="0"/>
        <v>257774260</v>
      </c>
      <c r="AE21" s="6">
        <f t="shared" si="1"/>
        <v>0</v>
      </c>
      <c r="AF21" s="6">
        <f t="shared" si="2"/>
        <v>5626208</v>
      </c>
      <c r="AG21" s="6">
        <f t="shared" si="3"/>
        <v>252148052</v>
      </c>
      <c r="AH21" s="6">
        <f t="shared" si="4"/>
        <v>0</v>
      </c>
      <c r="AI21" s="6">
        <f t="shared" si="5"/>
        <v>69019333.200000003</v>
      </c>
      <c r="AJ21" s="6">
        <f t="shared" si="6"/>
        <v>8606.7999999999993</v>
      </c>
      <c r="AK21" s="6">
        <f t="shared" si="7"/>
        <v>0</v>
      </c>
      <c r="AL21" s="6">
        <f t="shared" si="8"/>
        <v>183120117.40000001</v>
      </c>
      <c r="AM21" s="3">
        <f t="shared" si="9"/>
        <v>0</v>
      </c>
      <c r="AN21" s="3">
        <f t="shared" si="10"/>
        <v>0.27372542699635849</v>
      </c>
      <c r="AO21" s="3">
        <f t="shared" si="11"/>
        <v>3.4133914308407983E-5</v>
      </c>
      <c r="AP21" s="3">
        <f t="shared" si="12"/>
        <v>0</v>
      </c>
      <c r="AQ21" s="3">
        <f t="shared" si="13"/>
        <v>0.72624046050532254</v>
      </c>
    </row>
    <row r="22" spans="1:43" x14ac:dyDescent="0.3">
      <c r="A22" t="s">
        <v>179</v>
      </c>
      <c r="B22" t="s">
        <v>7</v>
      </c>
      <c r="C22" t="s">
        <v>158</v>
      </c>
      <c r="D22" s="6">
        <v>2032</v>
      </c>
      <c r="E22" t="s">
        <v>195</v>
      </c>
      <c r="F22" s="6">
        <v>125.3</v>
      </c>
      <c r="G22" s="7">
        <v>176.3</v>
      </c>
      <c r="H22" s="7">
        <v>714.8</v>
      </c>
      <c r="I22" s="6">
        <v>274178430</v>
      </c>
      <c r="J22" s="6">
        <v>127610350</v>
      </c>
      <c r="K22" s="6">
        <v>0</v>
      </c>
      <c r="L22" s="6">
        <v>0</v>
      </c>
      <c r="M22" s="6">
        <v>0</v>
      </c>
      <c r="N22" s="6">
        <v>4564.8</v>
      </c>
      <c r="O22" s="6">
        <v>68140480</v>
      </c>
      <c r="P22" s="6">
        <v>0</v>
      </c>
      <c r="Q22" s="6">
        <v>487412.4</v>
      </c>
      <c r="R22" s="6">
        <v>33354886</v>
      </c>
      <c r="S22" s="6">
        <v>22184950</v>
      </c>
      <c r="T22" s="6">
        <v>5625369</v>
      </c>
      <c r="U22" s="6">
        <v>0</v>
      </c>
      <c r="V22" s="6">
        <v>14834326</v>
      </c>
      <c r="W22" s="6">
        <v>0</v>
      </c>
      <c r="X22" s="6">
        <v>1982862.2</v>
      </c>
      <c r="Y22" s="6">
        <v>85502250</v>
      </c>
      <c r="Z22" s="6">
        <v>25290912</v>
      </c>
      <c r="AA22" s="6">
        <v>10264133</v>
      </c>
      <c r="AB22" s="6">
        <v>6506283.5</v>
      </c>
      <c r="AC22" s="6">
        <v>0</v>
      </c>
      <c r="AD22" s="6">
        <f t="shared" si="0"/>
        <v>274178430</v>
      </c>
      <c r="AE22" s="6">
        <f t="shared" si="1"/>
        <v>0</v>
      </c>
      <c r="AF22" s="6">
        <f t="shared" si="2"/>
        <v>5625369</v>
      </c>
      <c r="AG22" s="6">
        <f t="shared" si="3"/>
        <v>268553061</v>
      </c>
      <c r="AH22" s="6">
        <f t="shared" si="4"/>
        <v>0</v>
      </c>
      <c r="AI22" s="6">
        <f t="shared" si="5"/>
        <v>68627892.400000006</v>
      </c>
      <c r="AJ22" s="6">
        <f t="shared" si="6"/>
        <v>4564.8</v>
      </c>
      <c r="AK22" s="6">
        <f t="shared" si="7"/>
        <v>0</v>
      </c>
      <c r="AL22" s="6">
        <f t="shared" si="8"/>
        <v>199920602.69999999</v>
      </c>
      <c r="AM22" s="3">
        <f t="shared" si="9"/>
        <v>0</v>
      </c>
      <c r="AN22" s="3">
        <f t="shared" si="10"/>
        <v>0.25554686341854804</v>
      </c>
      <c r="AO22" s="3">
        <f t="shared" si="11"/>
        <v>1.6997758219557215E-5</v>
      </c>
      <c r="AP22" s="3">
        <f t="shared" si="12"/>
        <v>0</v>
      </c>
      <c r="AQ22" s="3">
        <f t="shared" si="13"/>
        <v>0.7444361347272076</v>
      </c>
    </row>
    <row r="23" spans="1:43" x14ac:dyDescent="0.3">
      <c r="A23" t="s">
        <v>179</v>
      </c>
      <c r="B23" t="s">
        <v>7</v>
      </c>
      <c r="C23" t="s">
        <v>158</v>
      </c>
      <c r="D23" s="6">
        <v>2034</v>
      </c>
      <c r="E23" t="s">
        <v>195</v>
      </c>
      <c r="F23" s="6">
        <v>108.6</v>
      </c>
      <c r="G23" s="7">
        <v>197.2</v>
      </c>
      <c r="H23" s="7">
        <v>728.8</v>
      </c>
      <c r="I23" s="6">
        <v>288276200</v>
      </c>
      <c r="J23" s="6">
        <v>143356880</v>
      </c>
      <c r="K23" s="6">
        <v>0</v>
      </c>
      <c r="L23" s="6">
        <v>0</v>
      </c>
      <c r="M23" s="6">
        <v>0</v>
      </c>
      <c r="N23" s="6">
        <v>5796.9</v>
      </c>
      <c r="O23" s="6">
        <v>62325908</v>
      </c>
      <c r="P23" s="6">
        <v>0</v>
      </c>
      <c r="Q23" s="6">
        <v>460143.3</v>
      </c>
      <c r="R23" s="6">
        <v>33270874</v>
      </c>
      <c r="S23" s="6">
        <v>22477238</v>
      </c>
      <c r="T23" s="6">
        <v>5618400</v>
      </c>
      <c r="U23" s="6">
        <v>0</v>
      </c>
      <c r="V23" s="6">
        <v>18453130</v>
      </c>
      <c r="W23" s="6">
        <v>0</v>
      </c>
      <c r="X23" s="6">
        <v>1994959.8</v>
      </c>
      <c r="Y23" s="6">
        <v>96473410</v>
      </c>
      <c r="Z23" s="6">
        <v>26435378</v>
      </c>
      <c r="AA23" s="6">
        <v>13520118</v>
      </c>
      <c r="AB23" s="6">
        <v>7240852</v>
      </c>
      <c r="AC23" s="6">
        <v>0</v>
      </c>
      <c r="AD23" s="6">
        <f t="shared" si="0"/>
        <v>288276200</v>
      </c>
      <c r="AE23" s="6">
        <f t="shared" si="1"/>
        <v>0</v>
      </c>
      <c r="AF23" s="6">
        <f t="shared" si="2"/>
        <v>5618400</v>
      </c>
      <c r="AG23" s="6">
        <f t="shared" si="3"/>
        <v>282657800</v>
      </c>
      <c r="AH23" s="6">
        <f t="shared" si="4"/>
        <v>0</v>
      </c>
      <c r="AI23" s="6">
        <f t="shared" si="5"/>
        <v>62786051.299999997</v>
      </c>
      <c r="AJ23" s="6">
        <f t="shared" si="6"/>
        <v>5796.9</v>
      </c>
      <c r="AK23" s="6">
        <f t="shared" si="7"/>
        <v>0</v>
      </c>
      <c r="AL23" s="6">
        <f t="shared" si="8"/>
        <v>219865959.80000001</v>
      </c>
      <c r="AM23" s="3">
        <f t="shared" si="9"/>
        <v>0</v>
      </c>
      <c r="AN23" s="3">
        <f t="shared" si="10"/>
        <v>0.22212743218124531</v>
      </c>
      <c r="AO23" s="3">
        <f t="shared" si="11"/>
        <v>2.0508544253864565E-5</v>
      </c>
      <c r="AP23" s="3">
        <f t="shared" si="12"/>
        <v>0</v>
      </c>
      <c r="AQ23" s="3">
        <f t="shared" si="13"/>
        <v>0.77785208757727542</v>
      </c>
    </row>
    <row r="24" spans="1:43" x14ac:dyDescent="0.3">
      <c r="A24" t="s">
        <v>179</v>
      </c>
      <c r="B24" t="s">
        <v>7</v>
      </c>
      <c r="C24" t="s">
        <v>158</v>
      </c>
      <c r="D24" s="6">
        <v>2036</v>
      </c>
      <c r="E24" t="s">
        <v>195</v>
      </c>
      <c r="F24" s="6">
        <v>96.3</v>
      </c>
      <c r="G24" s="7">
        <v>145.19999999999999</v>
      </c>
      <c r="H24" s="7">
        <v>683.1</v>
      </c>
      <c r="I24" s="6">
        <v>306547070</v>
      </c>
      <c r="J24" s="6">
        <v>160787330</v>
      </c>
      <c r="K24" s="6">
        <v>0</v>
      </c>
      <c r="L24" s="6">
        <v>0</v>
      </c>
      <c r="M24" s="6">
        <v>0</v>
      </c>
      <c r="N24" s="6">
        <v>7147.7</v>
      </c>
      <c r="O24" s="6">
        <v>58666410</v>
      </c>
      <c r="P24" s="6">
        <v>0</v>
      </c>
      <c r="Q24" s="6">
        <v>403650</v>
      </c>
      <c r="R24" s="6">
        <v>33238736</v>
      </c>
      <c r="S24" s="6">
        <v>22766322</v>
      </c>
      <c r="T24" s="6">
        <v>5620425.5</v>
      </c>
      <c r="U24" s="6">
        <v>0</v>
      </c>
      <c r="V24" s="6">
        <v>21624778</v>
      </c>
      <c r="W24" s="6">
        <v>0</v>
      </c>
      <c r="X24" s="6">
        <v>1982184.2</v>
      </c>
      <c r="Y24" s="6">
        <v>109823870</v>
      </c>
      <c r="Z24" s="6">
        <v>27356492</v>
      </c>
      <c r="AA24" s="6">
        <v>17367138</v>
      </c>
      <c r="AB24" s="6">
        <v>7689907</v>
      </c>
      <c r="AC24" s="6">
        <v>0</v>
      </c>
      <c r="AD24" s="6">
        <f t="shared" si="0"/>
        <v>306547070</v>
      </c>
      <c r="AE24" s="6">
        <f t="shared" si="1"/>
        <v>0</v>
      </c>
      <c r="AF24" s="6">
        <f t="shared" si="2"/>
        <v>5620425.5</v>
      </c>
      <c r="AG24" s="6">
        <f t="shared" si="3"/>
        <v>300926644.5</v>
      </c>
      <c r="AH24" s="6">
        <f t="shared" si="4"/>
        <v>0</v>
      </c>
      <c r="AI24" s="6">
        <f t="shared" si="5"/>
        <v>59070060</v>
      </c>
      <c r="AJ24" s="6">
        <f t="shared" si="6"/>
        <v>7147.7</v>
      </c>
      <c r="AK24" s="6">
        <f t="shared" si="7"/>
        <v>0</v>
      </c>
      <c r="AL24" s="6">
        <f t="shared" si="8"/>
        <v>241849427.19999999</v>
      </c>
      <c r="AM24" s="3">
        <f t="shared" si="9"/>
        <v>0</v>
      </c>
      <c r="AN24" s="3">
        <f t="shared" si="10"/>
        <v>0.19629388450513227</v>
      </c>
      <c r="AO24" s="3">
        <f t="shared" si="11"/>
        <v>2.3752300205507391E-5</v>
      </c>
      <c r="AP24" s="3">
        <f t="shared" si="12"/>
        <v>0</v>
      </c>
      <c r="AQ24" s="3">
        <f t="shared" si="13"/>
        <v>0.80368233129319988</v>
      </c>
    </row>
    <row r="25" spans="1:43" x14ac:dyDescent="0.3">
      <c r="A25" t="s">
        <v>179</v>
      </c>
      <c r="B25" t="s">
        <v>7</v>
      </c>
      <c r="C25" t="s">
        <v>158</v>
      </c>
      <c r="D25" s="6">
        <v>2038</v>
      </c>
      <c r="E25" t="s">
        <v>195</v>
      </c>
      <c r="F25" s="6">
        <v>88.4</v>
      </c>
      <c r="G25" s="7">
        <v>151.1</v>
      </c>
      <c r="H25" s="7">
        <v>681.7</v>
      </c>
      <c r="I25" s="6">
        <v>319219400</v>
      </c>
      <c r="J25" s="6">
        <v>175537020</v>
      </c>
      <c r="K25" s="6">
        <v>0</v>
      </c>
      <c r="L25" s="6">
        <v>0</v>
      </c>
      <c r="M25" s="6">
        <v>0</v>
      </c>
      <c r="N25" s="6">
        <v>1217.7</v>
      </c>
      <c r="O25" s="6">
        <v>56561270</v>
      </c>
      <c r="P25" s="6">
        <v>0</v>
      </c>
      <c r="Q25" s="6">
        <v>252871.1</v>
      </c>
      <c r="R25" s="6">
        <v>33267740</v>
      </c>
      <c r="S25" s="6">
        <v>23051096</v>
      </c>
      <c r="T25" s="6">
        <v>3908664.8</v>
      </c>
      <c r="U25" s="6">
        <v>0</v>
      </c>
      <c r="V25" s="6">
        <v>29928486</v>
      </c>
      <c r="W25" s="6">
        <v>0</v>
      </c>
      <c r="X25" s="6">
        <v>1984238.2</v>
      </c>
      <c r="Y25" s="6">
        <v>115465520</v>
      </c>
      <c r="Z25" s="6">
        <v>28158772</v>
      </c>
      <c r="AA25" s="6">
        <v>15326474</v>
      </c>
      <c r="AB25" s="6">
        <v>11313050</v>
      </c>
      <c r="AC25" s="6">
        <v>0</v>
      </c>
      <c r="AD25" s="6">
        <f t="shared" si="0"/>
        <v>319219400</v>
      </c>
      <c r="AE25" s="6">
        <f t="shared" si="1"/>
        <v>0</v>
      </c>
      <c r="AF25" s="6">
        <f t="shared" si="2"/>
        <v>3908664.8</v>
      </c>
      <c r="AG25" s="6">
        <f t="shared" si="3"/>
        <v>315310735.19999999</v>
      </c>
      <c r="AH25" s="6">
        <f t="shared" si="4"/>
        <v>0</v>
      </c>
      <c r="AI25" s="6">
        <f t="shared" si="5"/>
        <v>56814141.100000001</v>
      </c>
      <c r="AJ25" s="6">
        <f t="shared" si="6"/>
        <v>1217.7</v>
      </c>
      <c r="AK25" s="6">
        <f t="shared" si="7"/>
        <v>0</v>
      </c>
      <c r="AL25" s="6">
        <f t="shared" si="8"/>
        <v>258495376.19999999</v>
      </c>
      <c r="AM25" s="3">
        <f t="shared" si="9"/>
        <v>0</v>
      </c>
      <c r="AN25" s="3">
        <f t="shared" si="10"/>
        <v>0.18018460761877669</v>
      </c>
      <c r="AO25" s="3">
        <f t="shared" si="11"/>
        <v>3.8619046675579223E-6</v>
      </c>
      <c r="AP25" s="3">
        <f t="shared" si="12"/>
        <v>0</v>
      </c>
      <c r="AQ25" s="3">
        <f t="shared" si="13"/>
        <v>0.8198115298422608</v>
      </c>
    </row>
    <row r="26" spans="1:43" x14ac:dyDescent="0.3">
      <c r="A26" t="s">
        <v>179</v>
      </c>
      <c r="B26" t="s">
        <v>7</v>
      </c>
      <c r="C26" t="s">
        <v>158</v>
      </c>
      <c r="D26" s="6">
        <v>2040</v>
      </c>
      <c r="E26" t="s">
        <v>195</v>
      </c>
      <c r="F26" s="6">
        <v>77.599999999999994</v>
      </c>
      <c r="G26" s="7">
        <v>118</v>
      </c>
      <c r="H26" s="7">
        <v>664.3</v>
      </c>
      <c r="I26" s="6">
        <v>336841950</v>
      </c>
      <c r="J26" s="6">
        <v>188526530</v>
      </c>
      <c r="K26" s="6">
        <v>0</v>
      </c>
      <c r="L26" s="6">
        <v>0</v>
      </c>
      <c r="M26" s="6">
        <v>0</v>
      </c>
      <c r="N26" s="6">
        <v>473.7</v>
      </c>
      <c r="O26" s="6">
        <v>53002732</v>
      </c>
      <c r="P26" s="6">
        <v>0</v>
      </c>
      <c r="Q26" s="6">
        <v>136733.9</v>
      </c>
      <c r="R26" s="6">
        <v>33313372</v>
      </c>
      <c r="S26" s="6">
        <v>31447114</v>
      </c>
      <c r="T26" s="6">
        <v>2285149.5</v>
      </c>
      <c r="U26" s="6">
        <v>0</v>
      </c>
      <c r="V26" s="6">
        <v>38642108</v>
      </c>
      <c r="W26" s="6">
        <v>0</v>
      </c>
      <c r="X26" s="6">
        <v>1997938.4</v>
      </c>
      <c r="Y26" s="6">
        <v>119125620</v>
      </c>
      <c r="Z26" s="6">
        <v>28760864</v>
      </c>
      <c r="AA26" s="6">
        <v>14536099</v>
      </c>
      <c r="AB26" s="6">
        <v>13593763</v>
      </c>
      <c r="AC26" s="6">
        <v>0</v>
      </c>
      <c r="AD26" s="6">
        <f t="shared" si="0"/>
        <v>336841950</v>
      </c>
      <c r="AE26" s="6">
        <f t="shared" si="1"/>
        <v>0</v>
      </c>
      <c r="AF26" s="6">
        <f t="shared" si="2"/>
        <v>2285149.5</v>
      </c>
      <c r="AG26" s="6">
        <f t="shared" si="3"/>
        <v>334556800.5</v>
      </c>
      <c r="AH26" s="6">
        <f t="shared" si="4"/>
        <v>0</v>
      </c>
      <c r="AI26" s="6">
        <f t="shared" si="5"/>
        <v>53139465.899999999</v>
      </c>
      <c r="AJ26" s="6">
        <f t="shared" si="6"/>
        <v>473.7</v>
      </c>
      <c r="AK26" s="6">
        <f t="shared" si="7"/>
        <v>0</v>
      </c>
      <c r="AL26" s="6">
        <f t="shared" si="8"/>
        <v>281416878.39999998</v>
      </c>
      <c r="AM26" s="3">
        <f t="shared" si="9"/>
        <v>0</v>
      </c>
      <c r="AN26" s="3">
        <f t="shared" si="10"/>
        <v>0.158835407980296</v>
      </c>
      <c r="AO26" s="3">
        <f t="shared" si="11"/>
        <v>1.4159030672580813E-6</v>
      </c>
      <c r="AP26" s="3">
        <f t="shared" si="12"/>
        <v>0</v>
      </c>
      <c r="AQ26" s="3">
        <f t="shared" si="13"/>
        <v>0.8411632284246453</v>
      </c>
    </row>
    <row r="27" spans="1:43" x14ac:dyDescent="0.3">
      <c r="A27" t="s">
        <v>179</v>
      </c>
      <c r="B27" t="s">
        <v>7</v>
      </c>
      <c r="C27" t="s">
        <v>158</v>
      </c>
      <c r="D27" s="6">
        <v>2042</v>
      </c>
      <c r="E27" t="s">
        <v>195</v>
      </c>
      <c r="F27" s="6">
        <v>68.8</v>
      </c>
      <c r="G27" s="7">
        <v>88.8</v>
      </c>
      <c r="H27" s="7">
        <v>671.5</v>
      </c>
      <c r="I27" s="6">
        <v>353695680</v>
      </c>
      <c r="J27" s="6">
        <v>194125340</v>
      </c>
      <c r="K27" s="6">
        <v>0</v>
      </c>
      <c r="L27" s="6">
        <v>0</v>
      </c>
      <c r="M27" s="6">
        <v>0</v>
      </c>
      <c r="N27" s="6">
        <v>304.5</v>
      </c>
      <c r="O27" s="6">
        <v>49495910</v>
      </c>
      <c r="P27" s="6">
        <v>0</v>
      </c>
      <c r="Q27" s="6">
        <v>59468</v>
      </c>
      <c r="R27" s="6">
        <v>33373940</v>
      </c>
      <c r="S27" s="6">
        <v>46775536</v>
      </c>
      <c r="T27" s="6">
        <v>1941246.8</v>
      </c>
      <c r="U27" s="6">
        <v>0</v>
      </c>
      <c r="V27" s="6">
        <v>41938596</v>
      </c>
      <c r="W27" s="6">
        <v>0</v>
      </c>
      <c r="X27" s="6">
        <v>1944325.6</v>
      </c>
      <c r="Y27" s="6">
        <v>120978430</v>
      </c>
      <c r="Z27" s="6">
        <v>29263996</v>
      </c>
      <c r="AA27" s="6">
        <v>12646067</v>
      </c>
      <c r="AB27" s="6">
        <v>15277856</v>
      </c>
      <c r="AC27" s="6">
        <v>0</v>
      </c>
      <c r="AD27" s="6">
        <f t="shared" si="0"/>
        <v>353695680</v>
      </c>
      <c r="AE27" s="6">
        <f t="shared" si="1"/>
        <v>0</v>
      </c>
      <c r="AF27" s="6">
        <f t="shared" si="2"/>
        <v>1941246.8</v>
      </c>
      <c r="AG27" s="6">
        <f t="shared" si="3"/>
        <v>351754433.19999999</v>
      </c>
      <c r="AH27" s="6">
        <f t="shared" si="4"/>
        <v>0</v>
      </c>
      <c r="AI27" s="6">
        <f t="shared" si="5"/>
        <v>49555378</v>
      </c>
      <c r="AJ27" s="6">
        <f t="shared" si="6"/>
        <v>304.5</v>
      </c>
      <c r="AK27" s="6">
        <f t="shared" si="7"/>
        <v>0</v>
      </c>
      <c r="AL27" s="6">
        <f t="shared" si="8"/>
        <v>302198746.60000002</v>
      </c>
      <c r="AM27" s="3">
        <f t="shared" si="9"/>
        <v>0</v>
      </c>
      <c r="AN27" s="3">
        <f t="shared" si="10"/>
        <v>0.14088060681760869</v>
      </c>
      <c r="AO27" s="3">
        <f t="shared" si="11"/>
        <v>8.6566073163566317E-7</v>
      </c>
      <c r="AP27" s="3">
        <f t="shared" si="12"/>
        <v>0</v>
      </c>
      <c r="AQ27" s="3">
        <f t="shared" si="13"/>
        <v>0.85911851586580101</v>
      </c>
    </row>
    <row r="28" spans="1:43" x14ac:dyDescent="0.3">
      <c r="A28" t="s">
        <v>179</v>
      </c>
      <c r="B28" t="s">
        <v>7</v>
      </c>
      <c r="C28" t="s">
        <v>158</v>
      </c>
      <c r="D28" s="6">
        <v>2044</v>
      </c>
      <c r="E28" t="s">
        <v>195</v>
      </c>
      <c r="F28" s="6">
        <v>54.7</v>
      </c>
      <c r="G28" s="7">
        <v>59.9</v>
      </c>
      <c r="H28" s="7">
        <v>656.1</v>
      </c>
      <c r="I28" s="6">
        <v>365881250</v>
      </c>
      <c r="J28" s="6">
        <v>213652030</v>
      </c>
      <c r="K28" s="6">
        <v>0</v>
      </c>
      <c r="L28" s="6">
        <v>0</v>
      </c>
      <c r="M28" s="6">
        <v>0</v>
      </c>
      <c r="N28" s="6">
        <v>171.6</v>
      </c>
      <c r="O28" s="6">
        <v>40972572</v>
      </c>
      <c r="P28" s="6">
        <v>0</v>
      </c>
      <c r="Q28" s="6">
        <v>33934.1</v>
      </c>
      <c r="R28" s="6">
        <v>33345804</v>
      </c>
      <c r="S28" s="6">
        <v>48017564</v>
      </c>
      <c r="T28" s="6">
        <v>1598441.9</v>
      </c>
      <c r="U28" s="6">
        <v>0</v>
      </c>
      <c r="V28" s="6">
        <v>62914764</v>
      </c>
      <c r="W28" s="6">
        <v>0</v>
      </c>
      <c r="X28" s="6">
        <v>0</v>
      </c>
      <c r="Y28" s="6">
        <v>119570620</v>
      </c>
      <c r="Z28" s="6">
        <v>31166650</v>
      </c>
      <c r="AA28" s="6">
        <v>10411195</v>
      </c>
      <c r="AB28" s="6">
        <v>17849520</v>
      </c>
      <c r="AC28" s="6">
        <v>0</v>
      </c>
      <c r="AD28" s="6">
        <f t="shared" si="0"/>
        <v>365881250</v>
      </c>
      <c r="AE28" s="6">
        <f t="shared" si="1"/>
        <v>0</v>
      </c>
      <c r="AF28" s="6">
        <f t="shared" si="2"/>
        <v>1598441.9</v>
      </c>
      <c r="AG28" s="6">
        <f t="shared" si="3"/>
        <v>364282808.10000002</v>
      </c>
      <c r="AH28" s="6">
        <f t="shared" si="4"/>
        <v>0</v>
      </c>
      <c r="AI28" s="6">
        <f t="shared" si="5"/>
        <v>41006506.100000001</v>
      </c>
      <c r="AJ28" s="6">
        <f t="shared" si="6"/>
        <v>171.6</v>
      </c>
      <c r="AK28" s="6">
        <f t="shared" si="7"/>
        <v>0</v>
      </c>
      <c r="AL28" s="6">
        <f t="shared" si="8"/>
        <v>323276117</v>
      </c>
      <c r="AM28" s="3">
        <f t="shared" si="9"/>
        <v>0</v>
      </c>
      <c r="AN28" s="3">
        <f t="shared" si="10"/>
        <v>0.11256777752943867</v>
      </c>
      <c r="AO28" s="3">
        <f t="shared" si="11"/>
        <v>4.710625815558491E-7</v>
      </c>
      <c r="AP28" s="3">
        <f t="shared" si="12"/>
        <v>0</v>
      </c>
      <c r="AQ28" s="3">
        <f t="shared" si="13"/>
        <v>0.88743171462337256</v>
      </c>
    </row>
    <row r="29" spans="1:43" x14ac:dyDescent="0.3">
      <c r="A29" t="s">
        <v>179</v>
      </c>
      <c r="B29" t="s">
        <v>7</v>
      </c>
      <c r="C29" t="s">
        <v>158</v>
      </c>
      <c r="D29" s="6">
        <v>2046</v>
      </c>
      <c r="E29" t="s">
        <v>195</v>
      </c>
      <c r="F29" s="6">
        <v>51.7</v>
      </c>
      <c r="G29" s="7">
        <v>44.4</v>
      </c>
      <c r="H29" s="7">
        <v>628</v>
      </c>
      <c r="I29" s="6">
        <v>380223740</v>
      </c>
      <c r="J29" s="6">
        <v>226602620</v>
      </c>
      <c r="K29" s="6">
        <v>0</v>
      </c>
      <c r="L29" s="6">
        <v>0</v>
      </c>
      <c r="M29" s="6">
        <v>0</v>
      </c>
      <c r="N29" s="6">
        <v>193.5</v>
      </c>
      <c r="O29" s="6">
        <v>40565440</v>
      </c>
      <c r="P29" s="6">
        <v>0</v>
      </c>
      <c r="Q29" s="6">
        <v>24378.9</v>
      </c>
      <c r="R29" s="6">
        <v>33319932</v>
      </c>
      <c r="S29" s="6">
        <v>49277660</v>
      </c>
      <c r="T29" s="6">
        <v>1592127.2</v>
      </c>
      <c r="U29" s="6">
        <v>0</v>
      </c>
      <c r="V29" s="6">
        <v>75903464</v>
      </c>
      <c r="W29" s="6">
        <v>0</v>
      </c>
      <c r="X29" s="6">
        <v>0</v>
      </c>
      <c r="Y29" s="6">
        <v>119554264</v>
      </c>
      <c r="Z29" s="6">
        <v>31144902</v>
      </c>
      <c r="AA29" s="6">
        <v>8035449.5</v>
      </c>
      <c r="AB29" s="6">
        <v>20805954</v>
      </c>
      <c r="AC29" s="6">
        <v>0</v>
      </c>
      <c r="AD29" s="6">
        <f t="shared" si="0"/>
        <v>380223740</v>
      </c>
      <c r="AE29" s="6">
        <f t="shared" si="1"/>
        <v>0</v>
      </c>
      <c r="AF29" s="6">
        <f t="shared" si="2"/>
        <v>1592127.2</v>
      </c>
      <c r="AG29" s="6">
        <f t="shared" si="3"/>
        <v>378631612.80000001</v>
      </c>
      <c r="AH29" s="6">
        <f t="shared" si="4"/>
        <v>0</v>
      </c>
      <c r="AI29" s="6">
        <f t="shared" si="5"/>
        <v>40589818.899999999</v>
      </c>
      <c r="AJ29" s="6">
        <f t="shared" si="6"/>
        <v>193.5</v>
      </c>
      <c r="AK29" s="6">
        <f t="shared" si="7"/>
        <v>0</v>
      </c>
      <c r="AL29" s="6">
        <f t="shared" si="8"/>
        <v>338041625.5</v>
      </c>
      <c r="AM29" s="3">
        <f t="shared" si="9"/>
        <v>0</v>
      </c>
      <c r="AN29" s="3">
        <f t="shared" si="10"/>
        <v>0.1072013469763822</v>
      </c>
      <c r="AO29" s="3">
        <f t="shared" si="11"/>
        <v>5.1105083003782405E-7</v>
      </c>
      <c r="AP29" s="3">
        <f t="shared" si="12"/>
        <v>0</v>
      </c>
      <c r="AQ29" s="3">
        <f t="shared" si="13"/>
        <v>0.8927982082641357</v>
      </c>
    </row>
    <row r="30" spans="1:43" x14ac:dyDescent="0.3">
      <c r="A30" t="s">
        <v>179</v>
      </c>
      <c r="B30" t="s">
        <v>7</v>
      </c>
      <c r="C30" t="s">
        <v>158</v>
      </c>
      <c r="D30" s="6">
        <v>2048</v>
      </c>
      <c r="E30" t="s">
        <v>195</v>
      </c>
      <c r="F30" s="6">
        <v>45.2</v>
      </c>
      <c r="G30" s="7">
        <v>44.7</v>
      </c>
      <c r="H30" s="7">
        <v>615.20000000000005</v>
      </c>
      <c r="I30" s="6">
        <v>390247140</v>
      </c>
      <c r="J30" s="6">
        <v>235488770</v>
      </c>
      <c r="K30" s="6">
        <v>0</v>
      </c>
      <c r="L30" s="6">
        <v>0</v>
      </c>
      <c r="M30" s="6">
        <v>0</v>
      </c>
      <c r="N30" s="6">
        <v>162.80000000000001</v>
      </c>
      <c r="O30" s="6">
        <v>36209740</v>
      </c>
      <c r="P30" s="6">
        <v>0</v>
      </c>
      <c r="Q30" s="6">
        <v>30543</v>
      </c>
      <c r="R30" s="6">
        <v>33464058</v>
      </c>
      <c r="S30" s="6">
        <v>50684736</v>
      </c>
      <c r="T30" s="6">
        <v>1564048</v>
      </c>
      <c r="U30" s="6">
        <v>0</v>
      </c>
      <c r="V30" s="6">
        <v>78769200</v>
      </c>
      <c r="W30" s="6">
        <v>0</v>
      </c>
      <c r="X30" s="6">
        <v>0</v>
      </c>
      <c r="Y30" s="6">
        <v>124472856</v>
      </c>
      <c r="Z30" s="6">
        <v>32246708</v>
      </c>
      <c r="AA30" s="6">
        <v>9523821</v>
      </c>
      <c r="AB30" s="6">
        <v>23281262</v>
      </c>
      <c r="AC30" s="6">
        <v>0</v>
      </c>
      <c r="AD30" s="6">
        <f t="shared" si="0"/>
        <v>390247140</v>
      </c>
      <c r="AE30" s="6">
        <f t="shared" si="1"/>
        <v>0</v>
      </c>
      <c r="AF30" s="6">
        <f t="shared" si="2"/>
        <v>1564048</v>
      </c>
      <c r="AG30" s="6">
        <f t="shared" si="3"/>
        <v>388683092</v>
      </c>
      <c r="AH30" s="6">
        <f t="shared" si="4"/>
        <v>0</v>
      </c>
      <c r="AI30" s="6">
        <f t="shared" si="5"/>
        <v>36240283</v>
      </c>
      <c r="AJ30" s="6">
        <f t="shared" si="6"/>
        <v>162.80000000000001</v>
      </c>
      <c r="AK30" s="6">
        <f t="shared" si="7"/>
        <v>0</v>
      </c>
      <c r="AL30" s="6">
        <f t="shared" si="8"/>
        <v>352442641</v>
      </c>
      <c r="AM30" s="3">
        <f t="shared" si="9"/>
        <v>0</v>
      </c>
      <c r="AN30" s="3">
        <f t="shared" si="10"/>
        <v>9.3238640285387045E-2</v>
      </c>
      <c r="AO30" s="3">
        <f t="shared" si="11"/>
        <v>4.1885022361610729E-7</v>
      </c>
      <c r="AP30" s="3">
        <f t="shared" si="12"/>
        <v>0</v>
      </c>
      <c r="AQ30" s="3">
        <f t="shared" si="13"/>
        <v>0.906760927485881</v>
      </c>
    </row>
    <row r="31" spans="1:43" x14ac:dyDescent="0.3">
      <c r="A31" t="s">
        <v>179</v>
      </c>
      <c r="B31" t="s">
        <v>7</v>
      </c>
      <c r="C31" t="s">
        <v>158</v>
      </c>
      <c r="D31" s="6">
        <v>2050</v>
      </c>
      <c r="E31" t="s">
        <v>195</v>
      </c>
      <c r="F31" s="6">
        <v>42.8</v>
      </c>
      <c r="G31" s="7">
        <v>36.1</v>
      </c>
      <c r="H31" s="7">
        <v>617.1</v>
      </c>
      <c r="I31" s="6">
        <v>396435550</v>
      </c>
      <c r="J31" s="6">
        <v>241973220</v>
      </c>
      <c r="K31" s="6">
        <v>0</v>
      </c>
      <c r="L31" s="6">
        <v>0</v>
      </c>
      <c r="M31" s="6">
        <v>0</v>
      </c>
      <c r="N31" s="6">
        <v>111.4</v>
      </c>
      <c r="O31" s="6">
        <v>34887052</v>
      </c>
      <c r="P31" s="6">
        <v>0</v>
      </c>
      <c r="Q31" s="6">
        <v>15840.9</v>
      </c>
      <c r="R31" s="6">
        <v>33409926</v>
      </c>
      <c r="S31" s="6">
        <v>52418372</v>
      </c>
      <c r="T31" s="6">
        <v>1514882.2</v>
      </c>
      <c r="U31" s="6">
        <v>0</v>
      </c>
      <c r="V31" s="6">
        <v>86716130</v>
      </c>
      <c r="W31" s="6">
        <v>0</v>
      </c>
      <c r="X31" s="6">
        <v>0</v>
      </c>
      <c r="Y31" s="6">
        <v>121657190</v>
      </c>
      <c r="Z31" s="6">
        <v>33599904</v>
      </c>
      <c r="AA31" s="6">
        <v>8181520</v>
      </c>
      <c r="AB31" s="6">
        <v>24034610</v>
      </c>
      <c r="AC31" s="6">
        <v>0</v>
      </c>
      <c r="AD31" s="6">
        <f t="shared" si="0"/>
        <v>396435550</v>
      </c>
      <c r="AE31" s="6">
        <f t="shared" si="1"/>
        <v>0</v>
      </c>
      <c r="AF31" s="6">
        <f t="shared" si="2"/>
        <v>1514882.2</v>
      </c>
      <c r="AG31" s="6">
        <f t="shared" si="3"/>
        <v>394920667.80000001</v>
      </c>
      <c r="AH31" s="6">
        <f t="shared" si="4"/>
        <v>0</v>
      </c>
      <c r="AI31" s="6">
        <f t="shared" si="5"/>
        <v>34902892.899999999</v>
      </c>
      <c r="AJ31" s="6">
        <f t="shared" si="6"/>
        <v>111.4</v>
      </c>
      <c r="AK31" s="6">
        <f t="shared" si="7"/>
        <v>0</v>
      </c>
      <c r="AL31" s="6">
        <f t="shared" si="8"/>
        <v>360017652</v>
      </c>
      <c r="AM31" s="3">
        <f t="shared" si="9"/>
        <v>0</v>
      </c>
      <c r="AN31" s="3">
        <f t="shared" si="10"/>
        <v>8.8379504406378387E-2</v>
      </c>
      <c r="AO31" s="3">
        <f t="shared" si="11"/>
        <v>2.8208197008422053E-7</v>
      </c>
      <c r="AP31" s="3">
        <f t="shared" si="12"/>
        <v>0</v>
      </c>
      <c r="AQ31" s="3">
        <f t="shared" si="13"/>
        <v>0.91162018439187897</v>
      </c>
    </row>
    <row r="32" spans="1:43" x14ac:dyDescent="0.3">
      <c r="A32" t="s">
        <v>179</v>
      </c>
      <c r="B32" t="s">
        <v>7</v>
      </c>
      <c r="C32" t="s">
        <v>159</v>
      </c>
      <c r="D32" s="6">
        <v>2022</v>
      </c>
      <c r="E32" t="s">
        <v>195</v>
      </c>
      <c r="F32" s="6">
        <v>427.3</v>
      </c>
      <c r="G32" s="7">
        <v>577.1</v>
      </c>
      <c r="H32" s="7">
        <v>808.9</v>
      </c>
      <c r="I32" s="6">
        <v>378265760</v>
      </c>
      <c r="J32" s="6">
        <v>123656400</v>
      </c>
      <c r="K32" s="6">
        <v>39617348</v>
      </c>
      <c r="L32" s="6">
        <v>79320080</v>
      </c>
      <c r="M32" s="6">
        <v>0</v>
      </c>
      <c r="N32" s="6">
        <v>1881877.8</v>
      </c>
      <c r="O32" s="6">
        <v>125271940</v>
      </c>
      <c r="P32" s="6">
        <v>0</v>
      </c>
      <c r="Q32" s="6">
        <v>6419574.5</v>
      </c>
      <c r="R32" s="6">
        <v>580099.80000000005</v>
      </c>
      <c r="S32" s="6">
        <v>0</v>
      </c>
      <c r="T32" s="6">
        <v>275522.2</v>
      </c>
      <c r="U32" s="6">
        <v>0</v>
      </c>
      <c r="V32" s="6">
        <v>94555460</v>
      </c>
      <c r="W32" s="6">
        <v>0</v>
      </c>
      <c r="X32" s="6">
        <v>0</v>
      </c>
      <c r="Y32" s="6">
        <v>27082330</v>
      </c>
      <c r="Z32" s="6">
        <v>2018609</v>
      </c>
      <c r="AA32" s="6">
        <v>0</v>
      </c>
      <c r="AB32" s="6">
        <v>1242928.1000000001</v>
      </c>
      <c r="AC32" s="6">
        <v>0</v>
      </c>
      <c r="AD32" s="6">
        <f t="shared" si="0"/>
        <v>378265760</v>
      </c>
      <c r="AE32" s="6">
        <f t="shared" si="1"/>
        <v>0</v>
      </c>
      <c r="AF32" s="6">
        <f t="shared" si="2"/>
        <v>275522.2</v>
      </c>
      <c r="AG32" s="6">
        <f t="shared" si="3"/>
        <v>377990237.80000001</v>
      </c>
      <c r="AH32" s="6">
        <f t="shared" si="4"/>
        <v>79320080</v>
      </c>
      <c r="AI32" s="6">
        <f t="shared" si="5"/>
        <v>131691514.5</v>
      </c>
      <c r="AJ32" s="6">
        <f t="shared" si="6"/>
        <v>1881877.8</v>
      </c>
      <c r="AK32" s="6">
        <f t="shared" si="7"/>
        <v>39617348</v>
      </c>
      <c r="AL32" s="6">
        <f t="shared" si="8"/>
        <v>125479426.89999999</v>
      </c>
      <c r="AM32" s="3">
        <f t="shared" si="9"/>
        <v>0.20984690097200176</v>
      </c>
      <c r="AN32" s="3">
        <f t="shared" si="10"/>
        <v>0.34839924773316461</v>
      </c>
      <c r="AO32" s="3">
        <f t="shared" si="11"/>
        <v>4.9786412764335156E-3</v>
      </c>
      <c r="AP32" s="3">
        <f t="shared" si="12"/>
        <v>0.10481050577015721</v>
      </c>
      <c r="AQ32" s="3">
        <f t="shared" si="13"/>
        <v>0.33196472911660996</v>
      </c>
    </row>
    <row r="33" spans="1:43" x14ac:dyDescent="0.3">
      <c r="A33" t="s">
        <v>179</v>
      </c>
      <c r="B33" t="s">
        <v>7</v>
      </c>
      <c r="C33" t="s">
        <v>159</v>
      </c>
      <c r="D33" s="6">
        <v>2024</v>
      </c>
      <c r="E33" t="s">
        <v>195</v>
      </c>
      <c r="F33" s="6">
        <v>383.1</v>
      </c>
      <c r="G33" s="7">
        <v>491.2</v>
      </c>
      <c r="H33" s="7">
        <v>778.2</v>
      </c>
      <c r="I33" s="6">
        <v>389611550</v>
      </c>
      <c r="J33" s="6">
        <v>126308010</v>
      </c>
      <c r="K33" s="6">
        <v>39617348</v>
      </c>
      <c r="L33" s="6">
        <v>55262344</v>
      </c>
      <c r="M33" s="6">
        <v>0</v>
      </c>
      <c r="N33" s="6">
        <v>2400974.2000000002</v>
      </c>
      <c r="O33" s="6">
        <v>157119020</v>
      </c>
      <c r="P33" s="6">
        <v>0</v>
      </c>
      <c r="Q33" s="6">
        <v>6794073.5</v>
      </c>
      <c r="R33" s="6">
        <v>581079.4</v>
      </c>
      <c r="S33" s="6">
        <v>0</v>
      </c>
      <c r="T33" s="6">
        <v>271025.7</v>
      </c>
      <c r="U33" s="6">
        <v>0</v>
      </c>
      <c r="V33" s="6">
        <v>94467960</v>
      </c>
      <c r="W33" s="6">
        <v>0</v>
      </c>
      <c r="X33" s="6">
        <v>0</v>
      </c>
      <c r="Y33" s="6">
        <v>28721876</v>
      </c>
      <c r="Z33" s="6">
        <v>3118170.8</v>
      </c>
      <c r="AA33" s="6">
        <v>0</v>
      </c>
      <c r="AB33" s="6">
        <v>1257673.8</v>
      </c>
      <c r="AC33" s="6">
        <v>0</v>
      </c>
      <c r="AD33" s="6">
        <f t="shared" si="0"/>
        <v>389611550</v>
      </c>
      <c r="AE33" s="6">
        <f t="shared" si="1"/>
        <v>0</v>
      </c>
      <c r="AF33" s="6">
        <f t="shared" si="2"/>
        <v>271025.7</v>
      </c>
      <c r="AG33" s="6">
        <f t="shared" si="3"/>
        <v>389340524.30000001</v>
      </c>
      <c r="AH33" s="6">
        <f t="shared" si="4"/>
        <v>55262344</v>
      </c>
      <c r="AI33" s="6">
        <f t="shared" si="5"/>
        <v>163913093.5</v>
      </c>
      <c r="AJ33" s="6">
        <f t="shared" si="6"/>
        <v>2400974.2000000002</v>
      </c>
      <c r="AK33" s="6">
        <f t="shared" si="7"/>
        <v>39617348</v>
      </c>
      <c r="AL33" s="6">
        <f t="shared" si="8"/>
        <v>128146760</v>
      </c>
      <c r="AM33" s="3">
        <f t="shared" si="9"/>
        <v>0.14193833046112225</v>
      </c>
      <c r="AN33" s="3">
        <f t="shared" si="10"/>
        <v>0.42100188207919353</v>
      </c>
      <c r="AO33" s="3">
        <f t="shared" si="11"/>
        <v>6.1667718877112532E-3</v>
      </c>
      <c r="AP33" s="3">
        <f t="shared" si="12"/>
        <v>0.10175500757653858</v>
      </c>
      <c r="AQ33" s="3">
        <f t="shared" si="13"/>
        <v>0.32913799618058404</v>
      </c>
    </row>
    <row r="34" spans="1:43" x14ac:dyDescent="0.3">
      <c r="A34" t="s">
        <v>179</v>
      </c>
      <c r="B34" t="s">
        <v>7</v>
      </c>
      <c r="C34" t="s">
        <v>159</v>
      </c>
      <c r="D34" s="6">
        <v>2026</v>
      </c>
      <c r="E34" t="s">
        <v>195</v>
      </c>
      <c r="F34" s="6">
        <v>351.8</v>
      </c>
      <c r="G34" s="7">
        <v>448.7</v>
      </c>
      <c r="H34" s="7">
        <v>750.3</v>
      </c>
      <c r="I34" s="6">
        <v>398895000</v>
      </c>
      <c r="J34" s="6">
        <v>147129100</v>
      </c>
      <c r="K34" s="6">
        <v>39617348</v>
      </c>
      <c r="L34" s="6">
        <v>53203070</v>
      </c>
      <c r="M34" s="6">
        <v>0</v>
      </c>
      <c r="N34" s="6">
        <v>1205814</v>
      </c>
      <c r="O34" s="6">
        <v>149030930</v>
      </c>
      <c r="P34" s="6">
        <v>0</v>
      </c>
      <c r="Q34" s="6">
        <v>6564792</v>
      </c>
      <c r="R34" s="6">
        <v>588408.69999999995</v>
      </c>
      <c r="S34" s="6">
        <v>0</v>
      </c>
      <c r="T34" s="6">
        <v>264184.3</v>
      </c>
      <c r="U34" s="6">
        <v>0</v>
      </c>
      <c r="V34" s="6">
        <v>106077870</v>
      </c>
      <c r="W34" s="6">
        <v>0</v>
      </c>
      <c r="X34" s="6">
        <v>0</v>
      </c>
      <c r="Y34" s="6">
        <v>36264340</v>
      </c>
      <c r="Z34" s="6">
        <v>4786893.5</v>
      </c>
      <c r="AA34" s="6">
        <v>0</v>
      </c>
      <c r="AB34" s="6">
        <v>1291359.8999999999</v>
      </c>
      <c r="AC34" s="6">
        <v>0</v>
      </c>
      <c r="AD34" s="6">
        <f t="shared" si="0"/>
        <v>398895000</v>
      </c>
      <c r="AE34" s="6">
        <f t="shared" si="1"/>
        <v>0</v>
      </c>
      <c r="AF34" s="6">
        <f t="shared" si="2"/>
        <v>264184.3</v>
      </c>
      <c r="AG34" s="6">
        <f t="shared" si="3"/>
        <v>398630815.69999999</v>
      </c>
      <c r="AH34" s="6">
        <f t="shared" si="4"/>
        <v>53203070</v>
      </c>
      <c r="AI34" s="6">
        <f t="shared" si="5"/>
        <v>155595722</v>
      </c>
      <c r="AJ34" s="6">
        <f t="shared" si="6"/>
        <v>1205814</v>
      </c>
      <c r="AK34" s="6">
        <f t="shared" si="7"/>
        <v>39617348</v>
      </c>
      <c r="AL34" s="6">
        <f t="shared" si="8"/>
        <v>149008872.09999999</v>
      </c>
      <c r="AM34" s="3">
        <f t="shared" si="9"/>
        <v>0.13346451880940222</v>
      </c>
      <c r="AN34" s="3">
        <f t="shared" si="10"/>
        <v>0.39032537343299023</v>
      </c>
      <c r="AO34" s="3">
        <f t="shared" si="11"/>
        <v>3.0248890765822447E-3</v>
      </c>
      <c r="AP34" s="3">
        <f t="shared" si="12"/>
        <v>9.9383556011422527E-2</v>
      </c>
      <c r="AQ34" s="3">
        <f t="shared" si="13"/>
        <v>0.37380168875890546</v>
      </c>
    </row>
    <row r="35" spans="1:43" x14ac:dyDescent="0.3">
      <c r="A35" t="s">
        <v>179</v>
      </c>
      <c r="B35" t="s">
        <v>7</v>
      </c>
      <c r="C35" t="s">
        <v>159</v>
      </c>
      <c r="D35" s="6">
        <v>2028</v>
      </c>
      <c r="E35" t="s">
        <v>195</v>
      </c>
      <c r="F35" s="6">
        <v>358.8</v>
      </c>
      <c r="G35" s="7">
        <v>386.4</v>
      </c>
      <c r="H35" s="7">
        <v>754.6</v>
      </c>
      <c r="I35" s="6">
        <v>404729570</v>
      </c>
      <c r="J35" s="6">
        <v>151747500</v>
      </c>
      <c r="K35" s="6">
        <v>39617348</v>
      </c>
      <c r="L35" s="6">
        <v>61985880</v>
      </c>
      <c r="M35" s="6">
        <v>0</v>
      </c>
      <c r="N35" s="6">
        <v>952456.9</v>
      </c>
      <c r="O35" s="6">
        <v>142290750</v>
      </c>
      <c r="P35" s="6">
        <v>0</v>
      </c>
      <c r="Q35" s="6">
        <v>5785701</v>
      </c>
      <c r="R35" s="6">
        <v>605726.80000000005</v>
      </c>
      <c r="S35" s="6">
        <v>0</v>
      </c>
      <c r="T35" s="6">
        <v>263836.2</v>
      </c>
      <c r="U35" s="6">
        <v>0</v>
      </c>
      <c r="V35" s="6">
        <v>108400400</v>
      </c>
      <c r="W35" s="6">
        <v>0</v>
      </c>
      <c r="X35" s="6">
        <v>0</v>
      </c>
      <c r="Y35" s="6">
        <v>36279972</v>
      </c>
      <c r="Z35" s="6">
        <v>7067137</v>
      </c>
      <c r="AA35" s="6">
        <v>0</v>
      </c>
      <c r="AB35" s="6">
        <v>1480350.6</v>
      </c>
      <c r="AC35" s="6">
        <v>0</v>
      </c>
      <c r="AD35" s="6">
        <f t="shared" si="0"/>
        <v>404729570</v>
      </c>
      <c r="AE35" s="6">
        <f t="shared" si="1"/>
        <v>0</v>
      </c>
      <c r="AF35" s="6">
        <f t="shared" si="2"/>
        <v>263836.2</v>
      </c>
      <c r="AG35" s="6">
        <f t="shared" si="3"/>
        <v>404465733.80000001</v>
      </c>
      <c r="AH35" s="6">
        <f t="shared" si="4"/>
        <v>61985880</v>
      </c>
      <c r="AI35" s="6">
        <f t="shared" si="5"/>
        <v>148076451</v>
      </c>
      <c r="AJ35" s="6">
        <f t="shared" si="6"/>
        <v>952456.9</v>
      </c>
      <c r="AK35" s="6">
        <f t="shared" si="7"/>
        <v>39617348</v>
      </c>
      <c r="AL35" s="6">
        <f t="shared" si="8"/>
        <v>153833586.40000001</v>
      </c>
      <c r="AM35" s="3">
        <f t="shared" si="9"/>
        <v>0.15325372416010585</v>
      </c>
      <c r="AN35" s="3">
        <f t="shared" si="10"/>
        <v>0.36610382196980068</v>
      </c>
      <c r="AO35" s="3">
        <f t="shared" si="11"/>
        <v>2.3548518957380218E-3</v>
      </c>
      <c r="AP35" s="3">
        <f t="shared" si="12"/>
        <v>9.7949825385183223E-2</v>
      </c>
      <c r="AQ35" s="3">
        <f t="shared" si="13"/>
        <v>0.38033774815660293</v>
      </c>
    </row>
    <row r="36" spans="1:43" x14ac:dyDescent="0.3">
      <c r="A36" t="s">
        <v>179</v>
      </c>
      <c r="B36" t="s">
        <v>7</v>
      </c>
      <c r="C36" t="s">
        <v>159</v>
      </c>
      <c r="D36" s="6">
        <v>2030</v>
      </c>
      <c r="E36" t="s">
        <v>195</v>
      </c>
      <c r="F36" s="6">
        <v>332.6</v>
      </c>
      <c r="G36" s="7">
        <v>406.4</v>
      </c>
      <c r="H36" s="7">
        <v>762.7</v>
      </c>
      <c r="I36" s="6">
        <v>413372350</v>
      </c>
      <c r="J36" s="6">
        <v>168510290</v>
      </c>
      <c r="K36" s="6">
        <v>39617348</v>
      </c>
      <c r="L36" s="6">
        <v>60084120</v>
      </c>
      <c r="M36" s="6">
        <v>0</v>
      </c>
      <c r="N36" s="6">
        <v>624922</v>
      </c>
      <c r="O36" s="6">
        <v>135969840</v>
      </c>
      <c r="P36" s="6">
        <v>0</v>
      </c>
      <c r="Q36" s="6">
        <v>4628710.5</v>
      </c>
      <c r="R36" s="6">
        <v>623605.80000000005</v>
      </c>
      <c r="S36" s="6">
        <v>0</v>
      </c>
      <c r="T36" s="6">
        <v>269775.09999999998</v>
      </c>
      <c r="U36" s="6">
        <v>0</v>
      </c>
      <c r="V36" s="6">
        <v>111610240</v>
      </c>
      <c r="W36" s="6">
        <v>0</v>
      </c>
      <c r="X36" s="6">
        <v>0</v>
      </c>
      <c r="Y36" s="6">
        <v>46452140</v>
      </c>
      <c r="Z36" s="6">
        <v>10447914</v>
      </c>
      <c r="AA36" s="6">
        <v>0</v>
      </c>
      <c r="AB36" s="6">
        <v>3043720.5</v>
      </c>
      <c r="AC36" s="6">
        <v>0</v>
      </c>
      <c r="AD36" s="6">
        <f t="shared" si="0"/>
        <v>413372350</v>
      </c>
      <c r="AE36" s="6">
        <f t="shared" si="1"/>
        <v>0</v>
      </c>
      <c r="AF36" s="6">
        <f t="shared" si="2"/>
        <v>269775.09999999998</v>
      </c>
      <c r="AG36" s="6">
        <f t="shared" si="3"/>
        <v>413102574.89999998</v>
      </c>
      <c r="AH36" s="6">
        <f t="shared" si="4"/>
        <v>60084120</v>
      </c>
      <c r="AI36" s="6">
        <f t="shared" si="5"/>
        <v>140598550.5</v>
      </c>
      <c r="AJ36" s="6">
        <f t="shared" si="6"/>
        <v>624922</v>
      </c>
      <c r="AK36" s="6">
        <f t="shared" si="7"/>
        <v>39617348</v>
      </c>
      <c r="AL36" s="6">
        <f t="shared" si="8"/>
        <v>172177620.30000001</v>
      </c>
      <c r="AM36" s="3">
        <f t="shared" si="9"/>
        <v>0.14544600699849089</v>
      </c>
      <c r="AN36" s="3">
        <f t="shared" si="10"/>
        <v>0.34034779505800655</v>
      </c>
      <c r="AO36" s="3">
        <f t="shared" si="11"/>
        <v>1.5127526139271229E-3</v>
      </c>
      <c r="AP36" s="3">
        <f t="shared" si="12"/>
        <v>9.5901963355203484E-2</v>
      </c>
      <c r="AQ36" s="3">
        <f t="shared" si="13"/>
        <v>0.4167914478424134</v>
      </c>
    </row>
    <row r="37" spans="1:43" x14ac:dyDescent="0.3">
      <c r="A37" t="s">
        <v>179</v>
      </c>
      <c r="B37" t="s">
        <v>7</v>
      </c>
      <c r="C37" t="s">
        <v>159</v>
      </c>
      <c r="D37" s="6">
        <v>2032</v>
      </c>
      <c r="E37" t="s">
        <v>195</v>
      </c>
      <c r="F37" s="6">
        <v>313.2</v>
      </c>
      <c r="G37" s="7">
        <v>321.60000000000002</v>
      </c>
      <c r="H37" s="7">
        <v>782.2</v>
      </c>
      <c r="I37" s="6">
        <v>424901120</v>
      </c>
      <c r="J37" s="6">
        <v>182689010</v>
      </c>
      <c r="K37" s="6">
        <v>39617348</v>
      </c>
      <c r="L37" s="6">
        <v>59584652</v>
      </c>
      <c r="M37" s="6">
        <v>0</v>
      </c>
      <c r="N37" s="6">
        <v>331080.7</v>
      </c>
      <c r="O37" s="6">
        <v>131358740</v>
      </c>
      <c r="P37" s="6">
        <v>0</v>
      </c>
      <c r="Q37" s="6">
        <v>3359860.8</v>
      </c>
      <c r="R37" s="6">
        <v>640373.80000000005</v>
      </c>
      <c r="S37" s="6">
        <v>0</v>
      </c>
      <c r="T37" s="6">
        <v>274761</v>
      </c>
      <c r="U37" s="6">
        <v>0</v>
      </c>
      <c r="V37" s="6">
        <v>119047630</v>
      </c>
      <c r="W37" s="6">
        <v>0</v>
      </c>
      <c r="X37" s="6">
        <v>0</v>
      </c>
      <c r="Y37" s="6">
        <v>49701900</v>
      </c>
      <c r="Z37" s="6">
        <v>13939485</v>
      </c>
      <c r="AA37" s="6">
        <v>0</v>
      </c>
      <c r="AB37" s="6">
        <v>7045297</v>
      </c>
      <c r="AC37" s="6">
        <v>0</v>
      </c>
      <c r="AD37" s="6">
        <f t="shared" si="0"/>
        <v>424901120</v>
      </c>
      <c r="AE37" s="6">
        <f t="shared" si="1"/>
        <v>0</v>
      </c>
      <c r="AF37" s="6">
        <f t="shared" si="2"/>
        <v>274761</v>
      </c>
      <c r="AG37" s="6">
        <f t="shared" si="3"/>
        <v>424626359</v>
      </c>
      <c r="AH37" s="6">
        <f t="shared" si="4"/>
        <v>59584652</v>
      </c>
      <c r="AI37" s="6">
        <f t="shared" si="5"/>
        <v>134718600.80000001</v>
      </c>
      <c r="AJ37" s="6">
        <f t="shared" si="6"/>
        <v>331080.7</v>
      </c>
      <c r="AK37" s="6">
        <f t="shared" si="7"/>
        <v>39617348</v>
      </c>
      <c r="AL37" s="6">
        <f t="shared" si="8"/>
        <v>190374685.80000001</v>
      </c>
      <c r="AM37" s="3">
        <f t="shared" si="9"/>
        <v>0.1403225464860979</v>
      </c>
      <c r="AN37" s="3">
        <f t="shared" si="10"/>
        <v>0.31726386726736389</v>
      </c>
      <c r="AO37" s="3">
        <f t="shared" si="11"/>
        <v>7.7969888817005823E-4</v>
      </c>
      <c r="AP37" s="3">
        <f t="shared" si="12"/>
        <v>9.3299313997603245E-2</v>
      </c>
      <c r="AQ37" s="3">
        <f t="shared" si="13"/>
        <v>0.44833459290736122</v>
      </c>
    </row>
    <row r="38" spans="1:43" x14ac:dyDescent="0.3">
      <c r="A38" t="s">
        <v>179</v>
      </c>
      <c r="B38" t="s">
        <v>7</v>
      </c>
      <c r="C38" t="s">
        <v>159</v>
      </c>
      <c r="D38" s="6">
        <v>2034</v>
      </c>
      <c r="E38" t="s">
        <v>195</v>
      </c>
      <c r="F38" s="6">
        <v>295.8</v>
      </c>
      <c r="G38" s="7">
        <v>274.10000000000002</v>
      </c>
      <c r="H38" s="7">
        <v>776.1</v>
      </c>
      <c r="I38" s="6">
        <v>433344320</v>
      </c>
      <c r="J38" s="6">
        <v>197887300</v>
      </c>
      <c r="K38" s="6">
        <v>39617348</v>
      </c>
      <c r="L38" s="6">
        <v>57648628</v>
      </c>
      <c r="M38" s="6">
        <v>0</v>
      </c>
      <c r="N38" s="6">
        <v>305821.2</v>
      </c>
      <c r="O38" s="6">
        <v>125632040</v>
      </c>
      <c r="P38" s="6">
        <v>0</v>
      </c>
      <c r="Q38" s="6">
        <v>3164393.2</v>
      </c>
      <c r="R38" s="6">
        <v>637313.69999999995</v>
      </c>
      <c r="S38" s="6">
        <v>0</v>
      </c>
      <c r="T38" s="6">
        <v>273424.5</v>
      </c>
      <c r="U38" s="6">
        <v>0</v>
      </c>
      <c r="V38" s="6">
        <v>133259930</v>
      </c>
      <c r="W38" s="6">
        <v>0</v>
      </c>
      <c r="X38" s="6">
        <v>0</v>
      </c>
      <c r="Y38" s="6">
        <v>49777064</v>
      </c>
      <c r="Z38" s="6">
        <v>14850306</v>
      </c>
      <c r="AA38" s="6">
        <v>0</v>
      </c>
      <c r="AB38" s="6">
        <v>8178065.5</v>
      </c>
      <c r="AC38" s="6">
        <v>0</v>
      </c>
      <c r="AD38" s="6">
        <f t="shared" si="0"/>
        <v>433344320</v>
      </c>
      <c r="AE38" s="6">
        <f t="shared" si="1"/>
        <v>0</v>
      </c>
      <c r="AF38" s="6">
        <f t="shared" si="2"/>
        <v>273424.5</v>
      </c>
      <c r="AG38" s="6">
        <f t="shared" si="3"/>
        <v>433070895.5</v>
      </c>
      <c r="AH38" s="6">
        <f t="shared" si="4"/>
        <v>57648628</v>
      </c>
      <c r="AI38" s="6">
        <f t="shared" si="5"/>
        <v>128796433.2</v>
      </c>
      <c r="AJ38" s="6">
        <f t="shared" si="6"/>
        <v>305821.2</v>
      </c>
      <c r="AK38" s="6">
        <f t="shared" si="7"/>
        <v>39617348</v>
      </c>
      <c r="AL38" s="6">
        <f t="shared" si="8"/>
        <v>206702679.19999999</v>
      </c>
      <c r="AM38" s="3">
        <f t="shared" si="9"/>
        <v>0.13311591381231483</v>
      </c>
      <c r="AN38" s="3">
        <f t="shared" si="10"/>
        <v>0.29740265286425832</v>
      </c>
      <c r="AO38" s="3">
        <f t="shared" si="11"/>
        <v>7.0616890485544076E-4</v>
      </c>
      <c r="AP38" s="3">
        <f t="shared" si="12"/>
        <v>9.1480051907575022E-2</v>
      </c>
      <c r="AQ38" s="3">
        <f t="shared" si="13"/>
        <v>0.47729524506917598</v>
      </c>
    </row>
    <row r="39" spans="1:43" x14ac:dyDescent="0.3">
      <c r="A39" t="s">
        <v>179</v>
      </c>
      <c r="B39" t="s">
        <v>7</v>
      </c>
      <c r="C39" t="s">
        <v>159</v>
      </c>
      <c r="D39" s="6">
        <v>2036</v>
      </c>
      <c r="E39" t="s">
        <v>195</v>
      </c>
      <c r="F39" s="6">
        <v>247.7</v>
      </c>
      <c r="G39" s="7">
        <v>216.9</v>
      </c>
      <c r="H39" s="7">
        <v>721.4</v>
      </c>
      <c r="I39" s="6">
        <v>444147040</v>
      </c>
      <c r="J39" s="6">
        <v>233785180</v>
      </c>
      <c r="K39" s="6">
        <v>39617348</v>
      </c>
      <c r="L39" s="6">
        <v>49256500</v>
      </c>
      <c r="M39" s="6">
        <v>0</v>
      </c>
      <c r="N39" s="6">
        <v>361562.4</v>
      </c>
      <c r="O39" s="6">
        <v>107460290</v>
      </c>
      <c r="P39" s="6">
        <v>0</v>
      </c>
      <c r="Q39" s="6">
        <v>3346417.8</v>
      </c>
      <c r="R39" s="6">
        <v>601321</v>
      </c>
      <c r="S39" s="6">
        <v>0</v>
      </c>
      <c r="T39" s="6">
        <v>250542</v>
      </c>
      <c r="U39" s="6">
        <v>0</v>
      </c>
      <c r="V39" s="6">
        <v>165742600</v>
      </c>
      <c r="W39" s="6">
        <v>0</v>
      </c>
      <c r="X39" s="6">
        <v>0</v>
      </c>
      <c r="Y39" s="6">
        <v>52431524</v>
      </c>
      <c r="Z39" s="6">
        <v>15611098</v>
      </c>
      <c r="AA39" s="6">
        <v>0</v>
      </c>
      <c r="AB39" s="6">
        <v>9467846</v>
      </c>
      <c r="AC39" s="6">
        <v>0</v>
      </c>
      <c r="AD39" s="6">
        <f t="shared" si="0"/>
        <v>444147040</v>
      </c>
      <c r="AE39" s="6">
        <f t="shared" si="1"/>
        <v>0</v>
      </c>
      <c r="AF39" s="6">
        <f t="shared" si="2"/>
        <v>250542</v>
      </c>
      <c r="AG39" s="6">
        <f t="shared" si="3"/>
        <v>443896498</v>
      </c>
      <c r="AH39" s="6">
        <f t="shared" si="4"/>
        <v>49256500</v>
      </c>
      <c r="AI39" s="6">
        <f t="shared" si="5"/>
        <v>110806707.8</v>
      </c>
      <c r="AJ39" s="6">
        <f t="shared" si="6"/>
        <v>361562.4</v>
      </c>
      <c r="AK39" s="6">
        <f t="shared" si="7"/>
        <v>39617348</v>
      </c>
      <c r="AL39" s="6">
        <f t="shared" si="8"/>
        <v>243854389</v>
      </c>
      <c r="AM39" s="3">
        <f t="shared" si="9"/>
        <v>0.11096393015472719</v>
      </c>
      <c r="AN39" s="3">
        <f t="shared" si="10"/>
        <v>0.24962284744134206</v>
      </c>
      <c r="AO39" s="3">
        <f t="shared" si="11"/>
        <v>8.145196045227643E-4</v>
      </c>
      <c r="AP39" s="3">
        <f t="shared" si="12"/>
        <v>8.9249066344290015E-2</v>
      </c>
      <c r="AQ39" s="3">
        <f t="shared" si="13"/>
        <v>0.54934965718067008</v>
      </c>
    </row>
    <row r="40" spans="1:43" x14ac:dyDescent="0.3">
      <c r="A40" t="s">
        <v>179</v>
      </c>
      <c r="B40" t="s">
        <v>7</v>
      </c>
      <c r="C40" t="s">
        <v>159</v>
      </c>
      <c r="D40" s="6">
        <v>2038</v>
      </c>
      <c r="E40" t="s">
        <v>195</v>
      </c>
      <c r="F40" s="6">
        <v>225.1</v>
      </c>
      <c r="G40" s="7">
        <v>242.1</v>
      </c>
      <c r="H40" s="7">
        <v>680.7</v>
      </c>
      <c r="I40" s="6">
        <v>453379260</v>
      </c>
      <c r="J40" s="6">
        <v>251323170</v>
      </c>
      <c r="K40" s="6">
        <v>39617348</v>
      </c>
      <c r="L40" s="6">
        <v>43460804</v>
      </c>
      <c r="M40" s="6">
        <v>0</v>
      </c>
      <c r="N40" s="6">
        <v>415803.8</v>
      </c>
      <c r="O40" s="6">
        <v>104803620</v>
      </c>
      <c r="P40" s="6">
        <v>0</v>
      </c>
      <c r="Q40" s="6">
        <v>3414012.8</v>
      </c>
      <c r="R40" s="6">
        <v>582785.5</v>
      </c>
      <c r="S40" s="6">
        <v>0</v>
      </c>
      <c r="T40" s="6">
        <v>217899.3</v>
      </c>
      <c r="U40" s="6">
        <v>0</v>
      </c>
      <c r="V40" s="6">
        <v>176624240</v>
      </c>
      <c r="W40" s="6">
        <v>0</v>
      </c>
      <c r="X40" s="6">
        <v>0</v>
      </c>
      <c r="Y40" s="6">
        <v>58470530</v>
      </c>
      <c r="Z40" s="6">
        <v>16228402</v>
      </c>
      <c r="AA40" s="6">
        <v>0</v>
      </c>
      <c r="AB40" s="6">
        <v>9543846</v>
      </c>
      <c r="AC40" s="6">
        <v>0</v>
      </c>
      <c r="AD40" s="6">
        <f t="shared" si="0"/>
        <v>453379260</v>
      </c>
      <c r="AE40" s="6">
        <f t="shared" si="1"/>
        <v>0</v>
      </c>
      <c r="AF40" s="6">
        <f t="shared" si="2"/>
        <v>217899.3</v>
      </c>
      <c r="AG40" s="6">
        <f t="shared" si="3"/>
        <v>453161360.69999999</v>
      </c>
      <c r="AH40" s="6">
        <f t="shared" si="4"/>
        <v>43460804</v>
      </c>
      <c r="AI40" s="6">
        <f t="shared" si="5"/>
        <v>108217632.8</v>
      </c>
      <c r="AJ40" s="6">
        <f t="shared" si="6"/>
        <v>415803.8</v>
      </c>
      <c r="AK40" s="6">
        <f t="shared" si="7"/>
        <v>39617348</v>
      </c>
      <c r="AL40" s="6">
        <f t="shared" si="8"/>
        <v>261449803.5</v>
      </c>
      <c r="AM40" s="3">
        <f t="shared" si="9"/>
        <v>9.5905802588433273E-2</v>
      </c>
      <c r="AN40" s="3">
        <f t="shared" si="10"/>
        <v>0.23880595784432246</v>
      </c>
      <c r="AO40" s="3">
        <f t="shared" si="11"/>
        <v>9.1756234326268761E-4</v>
      </c>
      <c r="AP40" s="3">
        <f t="shared" si="12"/>
        <v>8.7424373381708761E-2</v>
      </c>
      <c r="AQ40" s="3">
        <f t="shared" si="13"/>
        <v>0.57694637313326436</v>
      </c>
    </row>
    <row r="41" spans="1:43" x14ac:dyDescent="0.3">
      <c r="A41" t="s">
        <v>179</v>
      </c>
      <c r="B41" t="s">
        <v>7</v>
      </c>
      <c r="C41" t="s">
        <v>159</v>
      </c>
      <c r="D41" s="6">
        <v>2040</v>
      </c>
      <c r="E41" t="s">
        <v>195</v>
      </c>
      <c r="F41" s="6">
        <v>204.2</v>
      </c>
      <c r="G41" s="7">
        <v>283.8</v>
      </c>
      <c r="H41" s="7">
        <v>658.6</v>
      </c>
      <c r="I41" s="6">
        <v>464576160</v>
      </c>
      <c r="J41" s="6">
        <v>270470820</v>
      </c>
      <c r="K41" s="6">
        <v>39617348</v>
      </c>
      <c r="L41" s="6">
        <v>40297420</v>
      </c>
      <c r="M41" s="6">
        <v>0</v>
      </c>
      <c r="N41" s="6">
        <v>260704</v>
      </c>
      <c r="O41" s="6">
        <v>98409390</v>
      </c>
      <c r="P41" s="6">
        <v>0</v>
      </c>
      <c r="Q41" s="6">
        <v>2925180.2</v>
      </c>
      <c r="R41" s="6">
        <v>563681</v>
      </c>
      <c r="S41" s="6">
        <v>0</v>
      </c>
      <c r="T41" s="6">
        <v>204272.4</v>
      </c>
      <c r="U41" s="6">
        <v>0</v>
      </c>
      <c r="V41" s="6">
        <v>195666240</v>
      </c>
      <c r="W41" s="6">
        <v>0</v>
      </c>
      <c r="X41" s="6">
        <v>0</v>
      </c>
      <c r="Y41" s="6">
        <v>57929704</v>
      </c>
      <c r="Z41" s="6">
        <v>16874880</v>
      </c>
      <c r="AA41" s="6">
        <v>0</v>
      </c>
      <c r="AB41" s="6">
        <v>11827335</v>
      </c>
      <c r="AC41" s="6">
        <v>0</v>
      </c>
      <c r="AD41" s="6">
        <f t="shared" si="0"/>
        <v>464576160</v>
      </c>
      <c r="AE41" s="6">
        <f t="shared" si="1"/>
        <v>0</v>
      </c>
      <c r="AF41" s="6">
        <f t="shared" si="2"/>
        <v>204272.4</v>
      </c>
      <c r="AG41" s="6">
        <f t="shared" si="3"/>
        <v>464371887.60000002</v>
      </c>
      <c r="AH41" s="6">
        <f t="shared" si="4"/>
        <v>40297420</v>
      </c>
      <c r="AI41" s="6">
        <f t="shared" si="5"/>
        <v>101334570.2</v>
      </c>
      <c r="AJ41" s="6">
        <f t="shared" si="6"/>
        <v>260704</v>
      </c>
      <c r="AK41" s="6">
        <f t="shared" si="7"/>
        <v>39617348</v>
      </c>
      <c r="AL41" s="6">
        <f t="shared" si="8"/>
        <v>282861840</v>
      </c>
      <c r="AM41" s="3">
        <f t="shared" si="9"/>
        <v>8.6778336665184461E-2</v>
      </c>
      <c r="AN41" s="3">
        <f t="shared" si="10"/>
        <v>0.21821857202365236</v>
      </c>
      <c r="AO41" s="3">
        <f t="shared" si="11"/>
        <v>5.614121073249913E-4</v>
      </c>
      <c r="AP41" s="3">
        <f t="shared" si="12"/>
        <v>8.5313838020542571E-2</v>
      </c>
      <c r="AQ41" s="3">
        <f t="shared" si="13"/>
        <v>0.6091278295546847</v>
      </c>
    </row>
    <row r="42" spans="1:43" x14ac:dyDescent="0.3">
      <c r="A42" t="s">
        <v>179</v>
      </c>
      <c r="B42" t="s">
        <v>7</v>
      </c>
      <c r="C42" t="s">
        <v>159</v>
      </c>
      <c r="D42" s="6">
        <v>2042</v>
      </c>
      <c r="E42" t="s">
        <v>195</v>
      </c>
      <c r="F42" s="6">
        <v>181.2</v>
      </c>
      <c r="G42" s="7">
        <v>356.2</v>
      </c>
      <c r="H42" s="7">
        <v>648.4</v>
      </c>
      <c r="I42" s="6">
        <v>479194430</v>
      </c>
      <c r="J42" s="6">
        <v>292724670</v>
      </c>
      <c r="K42" s="6">
        <v>39617348</v>
      </c>
      <c r="L42" s="6">
        <v>37000868</v>
      </c>
      <c r="M42" s="6">
        <v>0</v>
      </c>
      <c r="N42" s="6">
        <v>124970.1</v>
      </c>
      <c r="O42" s="6">
        <v>92210024</v>
      </c>
      <c r="P42" s="6">
        <v>0</v>
      </c>
      <c r="Q42" s="6">
        <v>1718069.4</v>
      </c>
      <c r="R42" s="6">
        <v>560652.6</v>
      </c>
      <c r="S42" s="6">
        <v>0</v>
      </c>
      <c r="T42" s="6">
        <v>202643.8</v>
      </c>
      <c r="U42" s="6">
        <v>0</v>
      </c>
      <c r="V42" s="6">
        <v>200218900</v>
      </c>
      <c r="W42" s="6">
        <v>0</v>
      </c>
      <c r="X42" s="6">
        <v>0</v>
      </c>
      <c r="Y42" s="6">
        <v>75424904</v>
      </c>
      <c r="Z42" s="6">
        <v>17080866</v>
      </c>
      <c r="AA42" s="6">
        <v>0</v>
      </c>
      <c r="AB42" s="6">
        <v>15035178</v>
      </c>
      <c r="AC42" s="6">
        <v>0</v>
      </c>
      <c r="AD42" s="6">
        <f t="shared" si="0"/>
        <v>479194430</v>
      </c>
      <c r="AE42" s="6">
        <f t="shared" si="1"/>
        <v>0</v>
      </c>
      <c r="AF42" s="6">
        <f t="shared" si="2"/>
        <v>202643.8</v>
      </c>
      <c r="AG42" s="6">
        <f t="shared" si="3"/>
        <v>478991786.19999999</v>
      </c>
      <c r="AH42" s="6">
        <f t="shared" si="4"/>
        <v>37000868</v>
      </c>
      <c r="AI42" s="6">
        <f t="shared" si="5"/>
        <v>93928093.400000006</v>
      </c>
      <c r="AJ42" s="6">
        <f t="shared" si="6"/>
        <v>124970.1</v>
      </c>
      <c r="AK42" s="6">
        <f t="shared" si="7"/>
        <v>39617348</v>
      </c>
      <c r="AL42" s="6">
        <f t="shared" si="8"/>
        <v>308320500.60000002</v>
      </c>
      <c r="AM42" s="3">
        <f t="shared" si="9"/>
        <v>7.7247395604714025E-2</v>
      </c>
      <c r="AN42" s="3">
        <f t="shared" si="10"/>
        <v>0.19609541563366376</v>
      </c>
      <c r="AO42" s="3">
        <f t="shared" si="11"/>
        <v>2.6090238622133603E-4</v>
      </c>
      <c r="AP42" s="3">
        <f t="shared" si="12"/>
        <v>8.2709869232408986E-2</v>
      </c>
      <c r="AQ42" s="3">
        <f t="shared" si="13"/>
        <v>0.64368640440790925</v>
      </c>
    </row>
    <row r="43" spans="1:43" x14ac:dyDescent="0.3">
      <c r="A43" t="s">
        <v>179</v>
      </c>
      <c r="B43" t="s">
        <v>7</v>
      </c>
      <c r="C43" t="s">
        <v>159</v>
      </c>
      <c r="D43" s="6">
        <v>2044</v>
      </c>
      <c r="E43" t="s">
        <v>195</v>
      </c>
      <c r="F43" s="6">
        <v>178.2</v>
      </c>
      <c r="G43" s="7">
        <v>359.1</v>
      </c>
      <c r="H43" s="7">
        <v>667.3</v>
      </c>
      <c r="I43" s="6">
        <v>493895230</v>
      </c>
      <c r="J43" s="6">
        <v>304150750</v>
      </c>
      <c r="K43" s="6">
        <v>39617348</v>
      </c>
      <c r="L43" s="6">
        <v>38368590</v>
      </c>
      <c r="M43" s="6">
        <v>0</v>
      </c>
      <c r="N43" s="6">
        <v>70768</v>
      </c>
      <c r="O43" s="6">
        <v>92319784</v>
      </c>
      <c r="P43" s="6">
        <v>0</v>
      </c>
      <c r="Q43" s="6">
        <v>1176201.2</v>
      </c>
      <c r="R43" s="6">
        <v>562818.1</v>
      </c>
      <c r="S43" s="6">
        <v>0</v>
      </c>
      <c r="T43" s="6">
        <v>201627.1</v>
      </c>
      <c r="U43" s="6">
        <v>0</v>
      </c>
      <c r="V43" s="6">
        <v>206868110</v>
      </c>
      <c r="W43" s="6">
        <v>0</v>
      </c>
      <c r="X43" s="6">
        <v>0</v>
      </c>
      <c r="Y43" s="6">
        <v>79773624</v>
      </c>
      <c r="Z43" s="6">
        <v>17509006</v>
      </c>
      <c r="AA43" s="6">
        <v>0</v>
      </c>
      <c r="AB43" s="6">
        <v>17427342</v>
      </c>
      <c r="AC43" s="6">
        <v>0</v>
      </c>
      <c r="AD43" s="6">
        <f t="shared" si="0"/>
        <v>493895230</v>
      </c>
      <c r="AE43" s="6">
        <f t="shared" si="1"/>
        <v>0</v>
      </c>
      <c r="AF43" s="6">
        <f t="shared" si="2"/>
        <v>201627.1</v>
      </c>
      <c r="AG43" s="6">
        <f t="shared" si="3"/>
        <v>493693602.89999998</v>
      </c>
      <c r="AH43" s="6">
        <f t="shared" si="4"/>
        <v>38368590</v>
      </c>
      <c r="AI43" s="6">
        <f t="shared" si="5"/>
        <v>93495985.200000003</v>
      </c>
      <c r="AJ43" s="6">
        <f t="shared" si="6"/>
        <v>70768</v>
      </c>
      <c r="AK43" s="6">
        <f t="shared" si="7"/>
        <v>39617348</v>
      </c>
      <c r="AL43" s="6">
        <f t="shared" si="8"/>
        <v>322140900.10000002</v>
      </c>
      <c r="AM43" s="3">
        <f t="shared" si="9"/>
        <v>7.771741374532605E-2</v>
      </c>
      <c r="AN43" s="3">
        <f t="shared" si="10"/>
        <v>0.18938058879190717</v>
      </c>
      <c r="AO43" s="3">
        <f t="shared" si="11"/>
        <v>1.4334396796778913E-4</v>
      </c>
      <c r="AP43" s="3">
        <f t="shared" si="12"/>
        <v>8.0246832787146088E-2</v>
      </c>
      <c r="AQ43" s="3">
        <f t="shared" si="13"/>
        <v>0.65251179721129837</v>
      </c>
    </row>
    <row r="44" spans="1:43" x14ac:dyDescent="0.3">
      <c r="A44" t="s">
        <v>179</v>
      </c>
      <c r="B44" t="s">
        <v>7</v>
      </c>
      <c r="C44" t="s">
        <v>159</v>
      </c>
      <c r="D44" s="6">
        <v>2046</v>
      </c>
      <c r="E44" t="s">
        <v>195</v>
      </c>
      <c r="F44" s="6">
        <v>186.2</v>
      </c>
      <c r="G44" s="7">
        <v>307.39999999999998</v>
      </c>
      <c r="H44" s="7">
        <v>686.2</v>
      </c>
      <c r="I44" s="6">
        <v>503591500</v>
      </c>
      <c r="J44" s="6">
        <v>302698880</v>
      </c>
      <c r="K44" s="6">
        <v>39617348</v>
      </c>
      <c r="L44" s="6">
        <v>39229510</v>
      </c>
      <c r="M44" s="6">
        <v>0</v>
      </c>
      <c r="N44" s="6">
        <v>13778.4</v>
      </c>
      <c r="O44" s="6">
        <v>101120000</v>
      </c>
      <c r="P44" s="6">
        <v>0</v>
      </c>
      <c r="Q44" s="6">
        <v>1997259.6</v>
      </c>
      <c r="R44" s="6">
        <v>587117.4</v>
      </c>
      <c r="S44" s="6">
        <v>0</v>
      </c>
      <c r="T44" s="6">
        <v>215411.7</v>
      </c>
      <c r="U44" s="6">
        <v>0</v>
      </c>
      <c r="V44" s="6">
        <v>205186990</v>
      </c>
      <c r="W44" s="6">
        <v>0</v>
      </c>
      <c r="X44" s="6">
        <v>0</v>
      </c>
      <c r="Y44" s="6">
        <v>79274840</v>
      </c>
      <c r="Z44" s="6">
        <v>18237052</v>
      </c>
      <c r="AA44" s="6">
        <v>0</v>
      </c>
      <c r="AB44" s="6">
        <v>18112140</v>
      </c>
      <c r="AC44" s="6">
        <v>0</v>
      </c>
      <c r="AD44" s="6">
        <f t="shared" si="0"/>
        <v>503591500</v>
      </c>
      <c r="AE44" s="6">
        <f t="shared" si="1"/>
        <v>0</v>
      </c>
      <c r="AF44" s="6">
        <f t="shared" si="2"/>
        <v>215411.7</v>
      </c>
      <c r="AG44" s="6">
        <f t="shared" si="3"/>
        <v>503376088.30000001</v>
      </c>
      <c r="AH44" s="6">
        <f t="shared" si="4"/>
        <v>39229510</v>
      </c>
      <c r="AI44" s="6">
        <f t="shared" si="5"/>
        <v>103117259.59999999</v>
      </c>
      <c r="AJ44" s="6">
        <f t="shared" si="6"/>
        <v>13778.4</v>
      </c>
      <c r="AK44" s="6">
        <f t="shared" si="7"/>
        <v>39617348</v>
      </c>
      <c r="AL44" s="6">
        <f t="shared" si="8"/>
        <v>321398139.39999998</v>
      </c>
      <c r="AM44" s="3">
        <f t="shared" si="9"/>
        <v>7.7932803944831319E-2</v>
      </c>
      <c r="AN44" s="3">
        <f t="shared" si="10"/>
        <v>0.20485132686426813</v>
      </c>
      <c r="AO44" s="3">
        <f t="shared" si="11"/>
        <v>2.7371979560118487E-5</v>
      </c>
      <c r="AP44" s="3">
        <f t="shared" si="12"/>
        <v>7.8703277570842847E-2</v>
      </c>
      <c r="AQ44" s="3">
        <f t="shared" si="13"/>
        <v>0.6384851145500865</v>
      </c>
    </row>
    <row r="45" spans="1:43" x14ac:dyDescent="0.3">
      <c r="A45" t="s">
        <v>179</v>
      </c>
      <c r="B45" t="s">
        <v>7</v>
      </c>
      <c r="C45" t="s">
        <v>159</v>
      </c>
      <c r="D45" s="6">
        <v>2048</v>
      </c>
      <c r="E45" t="s">
        <v>195</v>
      </c>
      <c r="F45" s="6">
        <v>196.5</v>
      </c>
      <c r="G45" s="7">
        <v>234.4</v>
      </c>
      <c r="H45" s="7">
        <v>694.5</v>
      </c>
      <c r="I45" s="6">
        <v>514596930</v>
      </c>
      <c r="J45" s="6">
        <v>304623800</v>
      </c>
      <c r="K45" s="6">
        <v>39617348</v>
      </c>
      <c r="L45" s="6">
        <v>43550636</v>
      </c>
      <c r="M45" s="6">
        <v>0</v>
      </c>
      <c r="N45" s="6">
        <v>3221.8</v>
      </c>
      <c r="O45" s="6">
        <v>105343480</v>
      </c>
      <c r="P45" s="6">
        <v>0</v>
      </c>
      <c r="Q45" s="6">
        <v>2716497.2</v>
      </c>
      <c r="R45" s="6">
        <v>595968.19999999995</v>
      </c>
      <c r="S45" s="6">
        <v>0</v>
      </c>
      <c r="T45" s="6">
        <v>218519.1</v>
      </c>
      <c r="U45" s="6">
        <v>0</v>
      </c>
      <c r="V45" s="6">
        <v>208721020</v>
      </c>
      <c r="W45" s="6">
        <v>0</v>
      </c>
      <c r="X45" s="6">
        <v>0</v>
      </c>
      <c r="Y45" s="6">
        <v>77618040</v>
      </c>
      <c r="Z45" s="6">
        <v>18284756</v>
      </c>
      <c r="AA45" s="6">
        <v>0</v>
      </c>
      <c r="AB45" s="6">
        <v>17927430</v>
      </c>
      <c r="AC45" s="6">
        <v>0</v>
      </c>
      <c r="AD45" s="6">
        <f t="shared" si="0"/>
        <v>514596930</v>
      </c>
      <c r="AE45" s="6">
        <f t="shared" si="1"/>
        <v>0</v>
      </c>
      <c r="AF45" s="6">
        <f t="shared" si="2"/>
        <v>218519.1</v>
      </c>
      <c r="AG45" s="6">
        <f t="shared" si="3"/>
        <v>514378410.89999998</v>
      </c>
      <c r="AH45" s="6">
        <f t="shared" si="4"/>
        <v>43550636</v>
      </c>
      <c r="AI45" s="6">
        <f t="shared" si="5"/>
        <v>108059977.2</v>
      </c>
      <c r="AJ45" s="6">
        <f t="shared" si="6"/>
        <v>3221.8</v>
      </c>
      <c r="AK45" s="6">
        <f t="shared" si="7"/>
        <v>39617348</v>
      </c>
      <c r="AL45" s="6">
        <f t="shared" si="8"/>
        <v>323147214.19999999</v>
      </c>
      <c r="AM45" s="3">
        <f t="shared" si="9"/>
        <v>8.4666531637282605E-2</v>
      </c>
      <c r="AN45" s="3">
        <f t="shared" si="10"/>
        <v>0.21007875702039891</v>
      </c>
      <c r="AO45" s="3">
        <f t="shared" si="11"/>
        <v>6.263482159686419E-6</v>
      </c>
      <c r="AP45" s="3">
        <f t="shared" si="12"/>
        <v>7.7019849901324863E-2</v>
      </c>
      <c r="AQ45" s="3">
        <f t="shared" si="13"/>
        <v>0.62822857132474574</v>
      </c>
    </row>
    <row r="46" spans="1:43" x14ac:dyDescent="0.3">
      <c r="A46" t="s">
        <v>179</v>
      </c>
      <c r="B46" t="s">
        <v>7</v>
      </c>
      <c r="C46" t="s">
        <v>159</v>
      </c>
      <c r="D46" s="6">
        <v>2050</v>
      </c>
      <c r="E46" t="s">
        <v>195</v>
      </c>
      <c r="F46" s="6">
        <v>153.4</v>
      </c>
      <c r="G46" s="7">
        <v>200.5</v>
      </c>
      <c r="H46" s="7">
        <v>614.5</v>
      </c>
      <c r="I46" s="6">
        <v>535203260</v>
      </c>
      <c r="J46" s="6">
        <v>349715500</v>
      </c>
      <c r="K46" s="6">
        <v>39617348</v>
      </c>
      <c r="L46" s="6">
        <v>34846224</v>
      </c>
      <c r="M46" s="6">
        <v>0</v>
      </c>
      <c r="N46" s="6">
        <v>1122.4000000000001</v>
      </c>
      <c r="O46" s="6">
        <v>88154750</v>
      </c>
      <c r="P46" s="6">
        <v>0</v>
      </c>
      <c r="Q46" s="6">
        <v>1481228.5</v>
      </c>
      <c r="R46" s="6">
        <v>541302.6</v>
      </c>
      <c r="S46" s="6">
        <v>0</v>
      </c>
      <c r="T46" s="6">
        <v>191367.4</v>
      </c>
      <c r="U46" s="6">
        <v>0</v>
      </c>
      <c r="V46" s="6">
        <v>235512600</v>
      </c>
      <c r="W46" s="6">
        <v>0</v>
      </c>
      <c r="X46" s="6">
        <v>0</v>
      </c>
      <c r="Y46" s="6">
        <v>95932670</v>
      </c>
      <c r="Z46" s="6">
        <v>18270232</v>
      </c>
      <c r="AA46" s="6">
        <v>0</v>
      </c>
      <c r="AB46" s="6">
        <v>20654446</v>
      </c>
      <c r="AC46" s="6">
        <v>0</v>
      </c>
      <c r="AD46" s="6">
        <f t="shared" si="0"/>
        <v>535203260</v>
      </c>
      <c r="AE46" s="6">
        <f t="shared" si="1"/>
        <v>0</v>
      </c>
      <c r="AF46" s="6">
        <f t="shared" si="2"/>
        <v>191367.4</v>
      </c>
      <c r="AG46" s="6">
        <f t="shared" si="3"/>
        <v>535011892.60000002</v>
      </c>
      <c r="AH46" s="6">
        <f t="shared" si="4"/>
        <v>34846224</v>
      </c>
      <c r="AI46" s="6">
        <f t="shared" si="5"/>
        <v>89635978.5</v>
      </c>
      <c r="AJ46" s="6">
        <f t="shared" si="6"/>
        <v>1122.4000000000001</v>
      </c>
      <c r="AK46" s="6">
        <f t="shared" si="7"/>
        <v>39617348</v>
      </c>
      <c r="AL46" s="6">
        <f t="shared" si="8"/>
        <v>370911250.60000002</v>
      </c>
      <c r="AM46" s="3">
        <f t="shared" si="9"/>
        <v>6.5131681149474319E-2</v>
      </c>
      <c r="AN46" s="3">
        <f t="shared" si="10"/>
        <v>0.16754016076987668</v>
      </c>
      <c r="AO46" s="3">
        <f t="shared" si="11"/>
        <v>2.0978972907414583E-6</v>
      </c>
      <c r="AP46" s="3">
        <f t="shared" si="12"/>
        <v>7.4049471699538058E-2</v>
      </c>
      <c r="AQ46" s="3">
        <f t="shared" si="13"/>
        <v>0.69327664623954566</v>
      </c>
    </row>
    <row r="47" spans="1:43" x14ac:dyDescent="0.3">
      <c r="A47" t="s">
        <v>179</v>
      </c>
      <c r="B47" t="s">
        <v>7</v>
      </c>
      <c r="C47" t="s">
        <v>160</v>
      </c>
      <c r="D47" s="6">
        <v>2022</v>
      </c>
      <c r="E47" t="s">
        <v>195</v>
      </c>
      <c r="F47" s="6">
        <v>496.5</v>
      </c>
      <c r="G47" s="7">
        <v>514.70000000000005</v>
      </c>
      <c r="H47" s="7">
        <v>779.4</v>
      </c>
      <c r="I47" s="6">
        <v>220433060</v>
      </c>
      <c r="J47" s="6">
        <v>11567965</v>
      </c>
      <c r="K47" s="6">
        <v>28962196</v>
      </c>
      <c r="L47" s="6">
        <v>34912332</v>
      </c>
      <c r="M47" s="6">
        <v>0</v>
      </c>
      <c r="N47" s="6">
        <v>61134.400000000001</v>
      </c>
      <c r="O47" s="6">
        <v>139211260</v>
      </c>
      <c r="P47" s="6">
        <v>0</v>
      </c>
      <c r="Q47" s="6">
        <v>934957.6</v>
      </c>
      <c r="R47" s="6">
        <v>201716.5</v>
      </c>
      <c r="S47" s="6">
        <v>0</v>
      </c>
      <c r="T47" s="6">
        <v>4024784.8</v>
      </c>
      <c r="U47" s="6">
        <v>0</v>
      </c>
      <c r="V47" s="6">
        <v>0</v>
      </c>
      <c r="W47" s="6">
        <v>0</v>
      </c>
      <c r="X47" s="6">
        <v>0</v>
      </c>
      <c r="Y47" s="6">
        <v>10000439</v>
      </c>
      <c r="Z47" s="6">
        <v>1567526.5</v>
      </c>
      <c r="AA47" s="6">
        <v>0</v>
      </c>
      <c r="AB47" s="6">
        <v>556705</v>
      </c>
      <c r="AC47" s="6">
        <v>0</v>
      </c>
      <c r="AD47" s="6">
        <f t="shared" si="0"/>
        <v>220433060</v>
      </c>
      <c r="AE47" s="6">
        <f t="shared" si="1"/>
        <v>0</v>
      </c>
      <c r="AF47" s="6">
        <f t="shared" si="2"/>
        <v>4024784.8</v>
      </c>
      <c r="AG47" s="6">
        <f t="shared" si="3"/>
        <v>216408275.19999999</v>
      </c>
      <c r="AH47" s="6">
        <f t="shared" si="4"/>
        <v>34912332</v>
      </c>
      <c r="AI47" s="6">
        <f t="shared" si="5"/>
        <v>140146217.59999999</v>
      </c>
      <c r="AJ47" s="6">
        <f t="shared" si="6"/>
        <v>61134.400000000001</v>
      </c>
      <c r="AK47" s="6">
        <f t="shared" si="7"/>
        <v>28962196</v>
      </c>
      <c r="AL47" s="6">
        <f t="shared" si="8"/>
        <v>12326387</v>
      </c>
      <c r="AM47" s="3">
        <f t="shared" si="9"/>
        <v>0.16132623379459382</v>
      </c>
      <c r="AN47" s="3">
        <f t="shared" si="10"/>
        <v>0.64760101003753112</v>
      </c>
      <c r="AO47" s="3">
        <f t="shared" si="11"/>
        <v>2.8249566678307874E-4</v>
      </c>
      <c r="AP47" s="3">
        <f t="shared" si="12"/>
        <v>0.13383127781612669</v>
      </c>
      <c r="AQ47" s="3">
        <f t="shared" si="13"/>
        <v>5.6958944793623123E-2</v>
      </c>
    </row>
    <row r="48" spans="1:43" x14ac:dyDescent="0.3">
      <c r="A48" t="s">
        <v>179</v>
      </c>
      <c r="B48" t="s">
        <v>7</v>
      </c>
      <c r="C48" t="s">
        <v>160</v>
      </c>
      <c r="D48" s="6">
        <v>2024</v>
      </c>
      <c r="E48" t="s">
        <v>195</v>
      </c>
      <c r="F48" s="6">
        <v>455.3</v>
      </c>
      <c r="G48" s="7">
        <v>545.6</v>
      </c>
      <c r="H48" s="7">
        <v>818.3</v>
      </c>
      <c r="I48" s="6">
        <v>231469820</v>
      </c>
      <c r="J48" s="6">
        <v>14490950</v>
      </c>
      <c r="K48" s="6">
        <v>28962196</v>
      </c>
      <c r="L48" s="6">
        <v>22732202</v>
      </c>
      <c r="M48" s="6">
        <v>0</v>
      </c>
      <c r="N48" s="6">
        <v>113707</v>
      </c>
      <c r="O48" s="6">
        <v>159051250</v>
      </c>
      <c r="P48" s="6">
        <v>0</v>
      </c>
      <c r="Q48" s="6">
        <v>1346232.9</v>
      </c>
      <c r="R48" s="6">
        <v>201526.2</v>
      </c>
      <c r="S48" s="6">
        <v>0</v>
      </c>
      <c r="T48" s="6">
        <v>4024784.8</v>
      </c>
      <c r="U48" s="6">
        <v>0</v>
      </c>
      <c r="V48" s="6">
        <v>0</v>
      </c>
      <c r="W48" s="6">
        <v>0</v>
      </c>
      <c r="X48" s="6">
        <v>0</v>
      </c>
      <c r="Y48" s="6">
        <v>11957804</v>
      </c>
      <c r="Z48" s="6">
        <v>2533146.7999999998</v>
      </c>
      <c r="AA48" s="6">
        <v>0</v>
      </c>
      <c r="AB48" s="6">
        <v>546970.5</v>
      </c>
      <c r="AC48" s="6">
        <v>0</v>
      </c>
      <c r="AD48" s="6">
        <f t="shared" si="0"/>
        <v>231469820</v>
      </c>
      <c r="AE48" s="6">
        <f t="shared" si="1"/>
        <v>0</v>
      </c>
      <c r="AF48" s="6">
        <f t="shared" si="2"/>
        <v>4024784.8</v>
      </c>
      <c r="AG48" s="6">
        <f t="shared" si="3"/>
        <v>227445035.19999999</v>
      </c>
      <c r="AH48" s="6">
        <f t="shared" si="4"/>
        <v>22732202</v>
      </c>
      <c r="AI48" s="6">
        <f t="shared" si="5"/>
        <v>160397482.90000001</v>
      </c>
      <c r="AJ48" s="6">
        <f t="shared" si="6"/>
        <v>113707</v>
      </c>
      <c r="AK48" s="6">
        <f t="shared" si="7"/>
        <v>28962196</v>
      </c>
      <c r="AL48" s="6">
        <f t="shared" si="8"/>
        <v>15239447.5</v>
      </c>
      <c r="AM48" s="3">
        <f t="shared" si="9"/>
        <v>9.9945914317324261E-2</v>
      </c>
      <c r="AN48" s="3">
        <f t="shared" si="10"/>
        <v>0.70521426312496627</v>
      </c>
      <c r="AO48" s="3">
        <f t="shared" si="11"/>
        <v>4.9993177428565828E-4</v>
      </c>
      <c r="AP48" s="3">
        <f t="shared" si="12"/>
        <v>0.1273371211402024</v>
      </c>
      <c r="AQ48" s="3">
        <f t="shared" si="13"/>
        <v>6.7002770522554808E-2</v>
      </c>
    </row>
    <row r="49" spans="1:43" x14ac:dyDescent="0.3">
      <c r="A49" t="s">
        <v>179</v>
      </c>
      <c r="B49" t="s">
        <v>7</v>
      </c>
      <c r="C49" t="s">
        <v>160</v>
      </c>
      <c r="D49" s="6">
        <v>2026</v>
      </c>
      <c r="E49" t="s">
        <v>195</v>
      </c>
      <c r="F49" s="6">
        <v>456.6</v>
      </c>
      <c r="G49" s="7">
        <v>503.5</v>
      </c>
      <c r="H49" s="7">
        <v>828.3</v>
      </c>
      <c r="I49" s="6">
        <v>235225500</v>
      </c>
      <c r="J49" s="6">
        <v>15841190</v>
      </c>
      <c r="K49" s="6">
        <v>28962196</v>
      </c>
      <c r="L49" s="6">
        <v>23658042</v>
      </c>
      <c r="M49" s="6">
        <v>0</v>
      </c>
      <c r="N49" s="6">
        <v>143772.6</v>
      </c>
      <c r="O49" s="6">
        <v>160163120</v>
      </c>
      <c r="P49" s="6">
        <v>0</v>
      </c>
      <c r="Q49" s="6">
        <v>1669280.2</v>
      </c>
      <c r="R49" s="6">
        <v>201723.5</v>
      </c>
      <c r="S49" s="6">
        <v>0</v>
      </c>
      <c r="T49" s="6">
        <v>4024784.8</v>
      </c>
      <c r="U49" s="6">
        <v>0</v>
      </c>
      <c r="V49" s="6">
        <v>0</v>
      </c>
      <c r="W49" s="6">
        <v>0</v>
      </c>
      <c r="X49" s="6">
        <v>0</v>
      </c>
      <c r="Y49" s="6">
        <v>11790979</v>
      </c>
      <c r="Z49" s="6">
        <v>4050210.8</v>
      </c>
      <c r="AA49" s="6">
        <v>0</v>
      </c>
      <c r="AB49" s="6">
        <v>561386.1</v>
      </c>
      <c r="AC49" s="6">
        <v>0</v>
      </c>
      <c r="AD49" s="6">
        <f t="shared" si="0"/>
        <v>235225500</v>
      </c>
      <c r="AE49" s="6">
        <f t="shared" si="1"/>
        <v>0</v>
      </c>
      <c r="AF49" s="6">
        <f t="shared" si="2"/>
        <v>4024784.8</v>
      </c>
      <c r="AG49" s="6">
        <f t="shared" si="3"/>
        <v>231200715.19999999</v>
      </c>
      <c r="AH49" s="6">
        <f t="shared" si="4"/>
        <v>23658042</v>
      </c>
      <c r="AI49" s="6">
        <f t="shared" si="5"/>
        <v>161832400.19999999</v>
      </c>
      <c r="AJ49" s="6">
        <f t="shared" si="6"/>
        <v>143772.6</v>
      </c>
      <c r="AK49" s="6">
        <f t="shared" si="7"/>
        <v>28962196</v>
      </c>
      <c r="AL49" s="6">
        <f t="shared" si="8"/>
        <v>16604299.4</v>
      </c>
      <c r="AM49" s="3">
        <f t="shared" si="9"/>
        <v>0.10232685473976423</v>
      </c>
      <c r="AN49" s="3">
        <f t="shared" si="10"/>
        <v>0.69996496360319216</v>
      </c>
      <c r="AO49" s="3">
        <f t="shared" si="11"/>
        <v>6.2185188257583737E-4</v>
      </c>
      <c r="AP49" s="3">
        <f t="shared" si="12"/>
        <v>0.1252686263316542</v>
      </c>
      <c r="AQ49" s="3">
        <f t="shared" si="13"/>
        <v>7.1817681816582893E-2</v>
      </c>
    </row>
    <row r="50" spans="1:43" x14ac:dyDescent="0.3">
      <c r="A50" t="s">
        <v>179</v>
      </c>
      <c r="B50" t="s">
        <v>7</v>
      </c>
      <c r="C50" t="s">
        <v>160</v>
      </c>
      <c r="D50" s="6">
        <v>2028</v>
      </c>
      <c r="E50" t="s">
        <v>195</v>
      </c>
      <c r="F50" s="6">
        <v>468.6</v>
      </c>
      <c r="G50" s="7">
        <v>467.6</v>
      </c>
      <c r="H50" s="7">
        <v>817.9</v>
      </c>
      <c r="I50" s="6">
        <v>236684880</v>
      </c>
      <c r="J50" s="6">
        <v>17828064</v>
      </c>
      <c r="K50" s="6">
        <v>28962196</v>
      </c>
      <c r="L50" s="6">
        <v>29075014</v>
      </c>
      <c r="M50" s="6">
        <v>0</v>
      </c>
      <c r="N50" s="6">
        <v>154697.9</v>
      </c>
      <c r="O50" s="6">
        <v>154108080</v>
      </c>
      <c r="P50" s="6">
        <v>0</v>
      </c>
      <c r="Q50" s="6">
        <v>1769753</v>
      </c>
      <c r="R50" s="6">
        <v>201533.6</v>
      </c>
      <c r="S50" s="6">
        <v>0</v>
      </c>
      <c r="T50" s="6">
        <v>4024784.8</v>
      </c>
      <c r="U50" s="6">
        <v>0</v>
      </c>
      <c r="V50" s="6">
        <v>0</v>
      </c>
      <c r="W50" s="6">
        <v>0</v>
      </c>
      <c r="X50" s="6">
        <v>0</v>
      </c>
      <c r="Y50" s="6">
        <v>11626482</v>
      </c>
      <c r="Z50" s="6">
        <v>6201581.5</v>
      </c>
      <c r="AA50" s="6">
        <v>0</v>
      </c>
      <c r="AB50" s="6">
        <v>560746.80000000005</v>
      </c>
      <c r="AC50" s="6">
        <v>0</v>
      </c>
      <c r="AD50" s="6">
        <f t="shared" si="0"/>
        <v>236684880</v>
      </c>
      <c r="AE50" s="6">
        <f t="shared" si="1"/>
        <v>0</v>
      </c>
      <c r="AF50" s="6">
        <f t="shared" si="2"/>
        <v>4024784.8</v>
      </c>
      <c r="AG50" s="6">
        <f t="shared" si="3"/>
        <v>232660095.19999999</v>
      </c>
      <c r="AH50" s="6">
        <f t="shared" si="4"/>
        <v>29075014</v>
      </c>
      <c r="AI50" s="6">
        <f t="shared" si="5"/>
        <v>155877833</v>
      </c>
      <c r="AJ50" s="6">
        <f t="shared" si="6"/>
        <v>154697.9</v>
      </c>
      <c r="AK50" s="6">
        <f t="shared" si="7"/>
        <v>28962196</v>
      </c>
      <c r="AL50" s="6">
        <f t="shared" si="8"/>
        <v>18590343.900000002</v>
      </c>
      <c r="AM50" s="3">
        <f t="shared" si="9"/>
        <v>0.12496777315854894</v>
      </c>
      <c r="AN50" s="3">
        <f t="shared" si="10"/>
        <v>0.66998095597787755</v>
      </c>
      <c r="AO50" s="3">
        <f t="shared" si="11"/>
        <v>6.6490946746591037E-4</v>
      </c>
      <c r="AP50" s="3">
        <f t="shared" si="12"/>
        <v>0.12448286834535775</v>
      </c>
      <c r="AQ50" s="3">
        <f t="shared" si="13"/>
        <v>7.9903448350346948E-2</v>
      </c>
    </row>
    <row r="51" spans="1:43" x14ac:dyDescent="0.3">
      <c r="A51" t="s">
        <v>179</v>
      </c>
      <c r="B51" t="s">
        <v>7</v>
      </c>
      <c r="C51" t="s">
        <v>160</v>
      </c>
      <c r="D51" s="6">
        <v>2030</v>
      </c>
      <c r="E51" t="s">
        <v>195</v>
      </c>
      <c r="F51" s="6">
        <v>374.3</v>
      </c>
      <c r="G51" s="7">
        <v>406.1</v>
      </c>
      <c r="H51" s="7">
        <v>733.4</v>
      </c>
      <c r="I51" s="6">
        <v>252377940</v>
      </c>
      <c r="J51" s="6">
        <v>56460504</v>
      </c>
      <c r="K51" s="6">
        <v>28962196</v>
      </c>
      <c r="L51" s="6">
        <v>25239292</v>
      </c>
      <c r="M51" s="6">
        <v>0</v>
      </c>
      <c r="N51" s="6">
        <v>103445.6</v>
      </c>
      <c r="O51" s="6">
        <v>131420504</v>
      </c>
      <c r="P51" s="6">
        <v>0</v>
      </c>
      <c r="Q51" s="6">
        <v>1452651.2</v>
      </c>
      <c r="R51" s="6">
        <v>200816.6</v>
      </c>
      <c r="S51" s="6">
        <v>0</v>
      </c>
      <c r="T51" s="6">
        <v>4005351.5</v>
      </c>
      <c r="U51" s="6">
        <v>0</v>
      </c>
      <c r="V51" s="6">
        <v>0</v>
      </c>
      <c r="W51" s="6">
        <v>0</v>
      </c>
      <c r="X51" s="6">
        <v>0</v>
      </c>
      <c r="Y51" s="6">
        <v>47195284</v>
      </c>
      <c r="Z51" s="6">
        <v>9265220</v>
      </c>
      <c r="AA51" s="6">
        <v>0</v>
      </c>
      <c r="AB51" s="6">
        <v>4533171.5</v>
      </c>
      <c r="AC51" s="6">
        <v>0</v>
      </c>
      <c r="AD51" s="6">
        <f t="shared" si="0"/>
        <v>252377940</v>
      </c>
      <c r="AE51" s="6">
        <f t="shared" si="1"/>
        <v>0</v>
      </c>
      <c r="AF51" s="6">
        <f t="shared" si="2"/>
        <v>4005351.5</v>
      </c>
      <c r="AG51" s="6">
        <f t="shared" si="3"/>
        <v>248372588.5</v>
      </c>
      <c r="AH51" s="6">
        <f t="shared" si="4"/>
        <v>25239292</v>
      </c>
      <c r="AI51" s="6">
        <f t="shared" si="5"/>
        <v>132873155.2</v>
      </c>
      <c r="AJ51" s="6">
        <f t="shared" si="6"/>
        <v>103445.6</v>
      </c>
      <c r="AK51" s="6">
        <f t="shared" si="7"/>
        <v>28962196</v>
      </c>
      <c r="AL51" s="6">
        <f t="shared" si="8"/>
        <v>61194492.100000001</v>
      </c>
      <c r="AM51" s="3">
        <f t="shared" si="9"/>
        <v>0.10161866956586475</v>
      </c>
      <c r="AN51" s="3">
        <f t="shared" si="10"/>
        <v>0.53497511944640386</v>
      </c>
      <c r="AO51" s="3">
        <f t="shared" si="11"/>
        <v>4.1649362606695228E-4</v>
      </c>
      <c r="AP51" s="3">
        <f t="shared" si="12"/>
        <v>0.11660785988869299</v>
      </c>
      <c r="AQ51" s="3">
        <f t="shared" si="13"/>
        <v>0.2463818268737816</v>
      </c>
    </row>
    <row r="52" spans="1:43" x14ac:dyDescent="0.3">
      <c r="A52" t="s">
        <v>179</v>
      </c>
      <c r="B52" t="s">
        <v>7</v>
      </c>
      <c r="C52" t="s">
        <v>160</v>
      </c>
      <c r="D52" s="6">
        <v>2032</v>
      </c>
      <c r="E52" t="s">
        <v>195</v>
      </c>
      <c r="F52" s="6">
        <v>369.7</v>
      </c>
      <c r="G52" s="7">
        <v>401.5</v>
      </c>
      <c r="H52" s="7">
        <v>727.3</v>
      </c>
      <c r="I52" s="6">
        <v>256444110</v>
      </c>
      <c r="J52" s="6">
        <v>58498264</v>
      </c>
      <c r="K52" s="6">
        <v>28962196</v>
      </c>
      <c r="L52" s="6">
        <v>23811968</v>
      </c>
      <c r="M52" s="6">
        <v>0</v>
      </c>
      <c r="N52" s="6">
        <v>130436.4</v>
      </c>
      <c r="O52" s="6">
        <v>134999580</v>
      </c>
      <c r="P52" s="6">
        <v>0</v>
      </c>
      <c r="Q52" s="6">
        <v>1612556.4</v>
      </c>
      <c r="R52" s="6">
        <v>200510.6</v>
      </c>
      <c r="S52" s="6">
        <v>0</v>
      </c>
      <c r="T52" s="6">
        <v>3676466.5</v>
      </c>
      <c r="U52" s="6">
        <v>0</v>
      </c>
      <c r="V52" s="6">
        <v>0</v>
      </c>
      <c r="W52" s="6">
        <v>0</v>
      </c>
      <c r="X52" s="6">
        <v>0</v>
      </c>
      <c r="Y52" s="6">
        <v>46509184</v>
      </c>
      <c r="Z52" s="6">
        <v>11989084</v>
      </c>
      <c r="AA52" s="6">
        <v>0</v>
      </c>
      <c r="AB52" s="6">
        <v>4552114.5</v>
      </c>
      <c r="AC52" s="6">
        <v>0</v>
      </c>
      <c r="AD52" s="6">
        <f t="shared" si="0"/>
        <v>256444110</v>
      </c>
      <c r="AE52" s="6">
        <f t="shared" si="1"/>
        <v>0</v>
      </c>
      <c r="AF52" s="6">
        <f t="shared" si="2"/>
        <v>3676466.5</v>
      </c>
      <c r="AG52" s="6">
        <f t="shared" si="3"/>
        <v>252767643.5</v>
      </c>
      <c r="AH52" s="6">
        <f t="shared" si="4"/>
        <v>23811968</v>
      </c>
      <c r="AI52" s="6">
        <f t="shared" si="5"/>
        <v>136612136.40000001</v>
      </c>
      <c r="AJ52" s="6">
        <f t="shared" si="6"/>
        <v>130436.4</v>
      </c>
      <c r="AK52" s="6">
        <f t="shared" si="7"/>
        <v>28962196</v>
      </c>
      <c r="AL52" s="6">
        <f t="shared" si="8"/>
        <v>63250893.100000001</v>
      </c>
      <c r="AM52" s="3">
        <f t="shared" si="9"/>
        <v>9.4204968920399021E-2</v>
      </c>
      <c r="AN52" s="3">
        <f t="shared" si="10"/>
        <v>0.54046528467161192</v>
      </c>
      <c r="AO52" s="3">
        <f t="shared" si="11"/>
        <v>5.1603282047450825E-4</v>
      </c>
      <c r="AP52" s="3">
        <f t="shared" si="12"/>
        <v>0.11458031415322349</v>
      </c>
      <c r="AQ52" s="3">
        <f t="shared" si="13"/>
        <v>0.25023334562993621</v>
      </c>
    </row>
    <row r="53" spans="1:43" x14ac:dyDescent="0.3">
      <c r="A53" t="s">
        <v>179</v>
      </c>
      <c r="B53" t="s">
        <v>7</v>
      </c>
      <c r="C53" t="s">
        <v>160</v>
      </c>
      <c r="D53" s="6">
        <v>2034</v>
      </c>
      <c r="E53" t="s">
        <v>195</v>
      </c>
      <c r="F53" s="6">
        <v>354.3</v>
      </c>
      <c r="G53" s="7">
        <v>471.1</v>
      </c>
      <c r="H53" s="7">
        <v>737.3</v>
      </c>
      <c r="I53" s="6">
        <v>263232930</v>
      </c>
      <c r="J53" s="6">
        <v>64476436</v>
      </c>
      <c r="K53" s="6">
        <v>28962196</v>
      </c>
      <c r="L53" s="6">
        <v>23525620</v>
      </c>
      <c r="M53" s="6">
        <v>0</v>
      </c>
      <c r="N53" s="6">
        <v>115056</v>
      </c>
      <c r="O53" s="6">
        <v>133243500</v>
      </c>
      <c r="P53" s="6">
        <v>0</v>
      </c>
      <c r="Q53" s="6">
        <v>1406776.9</v>
      </c>
      <c r="R53" s="6">
        <v>200954.1</v>
      </c>
      <c r="S53" s="6">
        <v>0</v>
      </c>
      <c r="T53" s="6">
        <v>3490582</v>
      </c>
      <c r="U53" s="6">
        <v>0</v>
      </c>
      <c r="V53" s="6">
        <v>0</v>
      </c>
      <c r="W53" s="6">
        <v>0</v>
      </c>
      <c r="X53" s="6">
        <v>0</v>
      </c>
      <c r="Y53" s="6">
        <v>52068910</v>
      </c>
      <c r="Z53" s="6">
        <v>12407521</v>
      </c>
      <c r="AA53" s="6">
        <v>0</v>
      </c>
      <c r="AB53" s="6">
        <v>7811785.5</v>
      </c>
      <c r="AC53" s="6">
        <v>0</v>
      </c>
      <c r="AD53" s="6">
        <f t="shared" si="0"/>
        <v>263232930</v>
      </c>
      <c r="AE53" s="6">
        <f t="shared" si="1"/>
        <v>0</v>
      </c>
      <c r="AF53" s="6">
        <f t="shared" si="2"/>
        <v>3490582</v>
      </c>
      <c r="AG53" s="6">
        <f t="shared" si="3"/>
        <v>259742348</v>
      </c>
      <c r="AH53" s="6">
        <f t="shared" si="4"/>
        <v>23525620</v>
      </c>
      <c r="AI53" s="6">
        <f t="shared" si="5"/>
        <v>134650276.90000001</v>
      </c>
      <c r="AJ53" s="6">
        <f t="shared" si="6"/>
        <v>115056</v>
      </c>
      <c r="AK53" s="6">
        <f t="shared" si="7"/>
        <v>28962196</v>
      </c>
      <c r="AL53" s="6">
        <f t="shared" si="8"/>
        <v>72489170.599999994</v>
      </c>
      <c r="AM53" s="3">
        <f t="shared" si="9"/>
        <v>9.0572908811927727E-2</v>
      </c>
      <c r="AN53" s="3">
        <f t="shared" si="10"/>
        <v>0.51839939823751813</v>
      </c>
      <c r="AO53" s="3">
        <f t="shared" si="11"/>
        <v>4.4296203867380144E-4</v>
      </c>
      <c r="AP53" s="3">
        <f t="shared" si="12"/>
        <v>0.11150355813369332</v>
      </c>
      <c r="AQ53" s="3">
        <f t="shared" si="13"/>
        <v>0.27908106305406921</v>
      </c>
    </row>
    <row r="54" spans="1:43" x14ac:dyDescent="0.3">
      <c r="A54" t="s">
        <v>179</v>
      </c>
      <c r="B54" t="s">
        <v>7</v>
      </c>
      <c r="C54" t="s">
        <v>160</v>
      </c>
      <c r="D54" s="6">
        <v>2036</v>
      </c>
      <c r="E54" t="s">
        <v>195</v>
      </c>
      <c r="F54" s="6">
        <v>355.7</v>
      </c>
      <c r="G54" s="7">
        <v>483.4</v>
      </c>
      <c r="H54" s="7">
        <v>726.1</v>
      </c>
      <c r="I54" s="6">
        <v>267978600</v>
      </c>
      <c r="J54" s="6">
        <v>65696296</v>
      </c>
      <c r="K54" s="6">
        <v>28962196</v>
      </c>
      <c r="L54" s="6">
        <v>24947610</v>
      </c>
      <c r="M54" s="6">
        <v>0</v>
      </c>
      <c r="N54" s="6">
        <v>103779.2</v>
      </c>
      <c r="O54" s="6">
        <v>134895460</v>
      </c>
      <c r="P54" s="6">
        <v>0</v>
      </c>
      <c r="Q54" s="6">
        <v>1322335</v>
      </c>
      <c r="R54" s="6">
        <v>200726.3</v>
      </c>
      <c r="S54" s="6">
        <v>0</v>
      </c>
      <c r="T54" s="6">
        <v>3278317.5</v>
      </c>
      <c r="U54" s="6">
        <v>0</v>
      </c>
      <c r="V54" s="6">
        <v>0</v>
      </c>
      <c r="W54" s="6">
        <v>0</v>
      </c>
      <c r="X54" s="6">
        <v>0</v>
      </c>
      <c r="Y54" s="6">
        <v>52958264</v>
      </c>
      <c r="Z54" s="6">
        <v>12738033</v>
      </c>
      <c r="AA54" s="6">
        <v>0</v>
      </c>
      <c r="AB54" s="6">
        <v>8571885</v>
      </c>
      <c r="AC54" s="6">
        <v>0</v>
      </c>
      <c r="AD54" s="6">
        <f t="shared" si="0"/>
        <v>267978600</v>
      </c>
      <c r="AE54" s="6">
        <f t="shared" si="1"/>
        <v>0</v>
      </c>
      <c r="AF54" s="6">
        <f t="shared" si="2"/>
        <v>3278317.5</v>
      </c>
      <c r="AG54" s="6">
        <f t="shared" si="3"/>
        <v>264700282.5</v>
      </c>
      <c r="AH54" s="6">
        <f t="shared" si="4"/>
        <v>24947610</v>
      </c>
      <c r="AI54" s="6">
        <f t="shared" si="5"/>
        <v>136217795</v>
      </c>
      <c r="AJ54" s="6">
        <f t="shared" si="6"/>
        <v>103779.2</v>
      </c>
      <c r="AK54" s="6">
        <f t="shared" si="7"/>
        <v>28962196</v>
      </c>
      <c r="AL54" s="6">
        <f t="shared" si="8"/>
        <v>74468908.299999997</v>
      </c>
      <c r="AM54" s="3">
        <f t="shared" si="9"/>
        <v>9.4248520494117721E-2</v>
      </c>
      <c r="AN54" s="3">
        <f t="shared" si="10"/>
        <v>0.51461144549401827</v>
      </c>
      <c r="AO54" s="3">
        <f t="shared" si="11"/>
        <v>3.9206304964937088E-4</v>
      </c>
      <c r="AP54" s="3">
        <f t="shared" si="12"/>
        <v>0.1094150551199355</v>
      </c>
      <c r="AQ54" s="3">
        <f t="shared" si="13"/>
        <v>0.28133293850942526</v>
      </c>
    </row>
    <row r="55" spans="1:43" x14ac:dyDescent="0.3">
      <c r="A55" t="s">
        <v>179</v>
      </c>
      <c r="B55" t="s">
        <v>7</v>
      </c>
      <c r="C55" t="s">
        <v>160</v>
      </c>
      <c r="D55" s="6">
        <v>2038</v>
      </c>
      <c r="E55" t="s">
        <v>195</v>
      </c>
      <c r="F55" s="6">
        <v>353.1</v>
      </c>
      <c r="G55" s="7">
        <v>474</v>
      </c>
      <c r="H55" s="7">
        <v>716.4</v>
      </c>
      <c r="I55" s="6">
        <v>273313340</v>
      </c>
      <c r="J55" s="6">
        <v>66215544</v>
      </c>
      <c r="K55" s="6">
        <v>28962196</v>
      </c>
      <c r="L55" s="6">
        <v>23995644</v>
      </c>
      <c r="M55" s="6">
        <v>0</v>
      </c>
      <c r="N55" s="6">
        <v>132502.29999999999</v>
      </c>
      <c r="O55" s="6">
        <v>140593520</v>
      </c>
      <c r="P55" s="6">
        <v>0</v>
      </c>
      <c r="Q55" s="6">
        <v>1395865.1</v>
      </c>
      <c r="R55" s="6">
        <v>201125.4</v>
      </c>
      <c r="S55" s="6">
        <v>0</v>
      </c>
      <c r="T55" s="6">
        <v>3161105</v>
      </c>
      <c r="U55" s="6">
        <v>0</v>
      </c>
      <c r="V55" s="6">
        <v>0</v>
      </c>
      <c r="W55" s="6">
        <v>0</v>
      </c>
      <c r="X55" s="6">
        <v>0</v>
      </c>
      <c r="Y55" s="6">
        <v>53211410</v>
      </c>
      <c r="Z55" s="6">
        <v>13004138</v>
      </c>
      <c r="AA55" s="6">
        <v>0</v>
      </c>
      <c r="AB55" s="6">
        <v>8655852</v>
      </c>
      <c r="AC55" s="6">
        <v>0</v>
      </c>
      <c r="AD55" s="6">
        <f t="shared" si="0"/>
        <v>273313340</v>
      </c>
      <c r="AE55" s="6">
        <f t="shared" si="1"/>
        <v>0</v>
      </c>
      <c r="AF55" s="6">
        <f t="shared" si="2"/>
        <v>3161105</v>
      </c>
      <c r="AG55" s="6">
        <f t="shared" si="3"/>
        <v>270152235</v>
      </c>
      <c r="AH55" s="6">
        <f t="shared" si="4"/>
        <v>23995644</v>
      </c>
      <c r="AI55" s="6">
        <f t="shared" si="5"/>
        <v>141989385.09999999</v>
      </c>
      <c r="AJ55" s="6">
        <f t="shared" si="6"/>
        <v>132502.29999999999</v>
      </c>
      <c r="AK55" s="6">
        <f t="shared" si="7"/>
        <v>28962196</v>
      </c>
      <c r="AL55" s="6">
        <f t="shared" si="8"/>
        <v>75072525.400000006</v>
      </c>
      <c r="AM55" s="3">
        <f t="shared" si="9"/>
        <v>8.8822674370989382E-2</v>
      </c>
      <c r="AN55" s="3">
        <f t="shared" si="10"/>
        <v>0.52559026616973947</v>
      </c>
      <c r="AO55" s="3">
        <f t="shared" si="11"/>
        <v>4.9047271439379351E-4</v>
      </c>
      <c r="AP55" s="3">
        <f t="shared" si="12"/>
        <v>0.10720694574301783</v>
      </c>
      <c r="AQ55" s="3">
        <f t="shared" si="13"/>
        <v>0.27788970689063525</v>
      </c>
    </row>
    <row r="56" spans="1:43" x14ac:dyDescent="0.3">
      <c r="A56" t="s">
        <v>179</v>
      </c>
      <c r="B56" t="s">
        <v>7</v>
      </c>
      <c r="C56" t="s">
        <v>160</v>
      </c>
      <c r="D56" s="6">
        <v>2040</v>
      </c>
      <c r="E56" t="s">
        <v>195</v>
      </c>
      <c r="F56" s="6">
        <v>352.9</v>
      </c>
      <c r="G56" s="7">
        <v>462.9</v>
      </c>
      <c r="H56" s="7">
        <v>694.4</v>
      </c>
      <c r="I56" s="6">
        <v>278408000</v>
      </c>
      <c r="J56" s="6">
        <v>65805196</v>
      </c>
      <c r="K56" s="6">
        <v>28962196</v>
      </c>
      <c r="L56" s="6">
        <v>22733622</v>
      </c>
      <c r="M56" s="6">
        <v>0</v>
      </c>
      <c r="N56" s="6">
        <v>111866.4</v>
      </c>
      <c r="O56" s="6">
        <v>147610110</v>
      </c>
      <c r="P56" s="6">
        <v>0</v>
      </c>
      <c r="Q56" s="6">
        <v>1324429.3999999999</v>
      </c>
      <c r="R56" s="6">
        <v>200936.1</v>
      </c>
      <c r="S56" s="6">
        <v>0</v>
      </c>
      <c r="T56" s="6">
        <v>2836594</v>
      </c>
      <c r="U56" s="6">
        <v>0</v>
      </c>
      <c r="V56" s="6">
        <v>0</v>
      </c>
      <c r="W56" s="6">
        <v>0</v>
      </c>
      <c r="X56" s="6">
        <v>0</v>
      </c>
      <c r="Y56" s="6">
        <v>52576336</v>
      </c>
      <c r="Z56" s="6">
        <v>13228862</v>
      </c>
      <c r="AA56" s="6">
        <v>0</v>
      </c>
      <c r="AB56" s="6">
        <v>8823039</v>
      </c>
      <c r="AC56" s="6">
        <v>0</v>
      </c>
      <c r="AD56" s="6">
        <f t="shared" si="0"/>
        <v>278408000</v>
      </c>
      <c r="AE56" s="6">
        <f t="shared" si="1"/>
        <v>0</v>
      </c>
      <c r="AF56" s="6">
        <f t="shared" si="2"/>
        <v>2836594</v>
      </c>
      <c r="AG56" s="6">
        <f t="shared" si="3"/>
        <v>275571406</v>
      </c>
      <c r="AH56" s="6">
        <f t="shared" si="4"/>
        <v>22733622</v>
      </c>
      <c r="AI56" s="6">
        <f t="shared" si="5"/>
        <v>148934539.40000001</v>
      </c>
      <c r="AJ56" s="6">
        <f t="shared" si="6"/>
        <v>111866.4</v>
      </c>
      <c r="AK56" s="6">
        <f t="shared" si="7"/>
        <v>28962196</v>
      </c>
      <c r="AL56" s="6">
        <f t="shared" si="8"/>
        <v>74829173.099999994</v>
      </c>
      <c r="AM56" s="3">
        <f t="shared" si="9"/>
        <v>8.2496302246975503E-2</v>
      </c>
      <c r="AN56" s="3">
        <f t="shared" si="10"/>
        <v>0.54045715976787523</v>
      </c>
      <c r="AO56" s="3">
        <f t="shared" si="11"/>
        <v>4.0594342360760025E-4</v>
      </c>
      <c r="AP56" s="3">
        <f t="shared" si="12"/>
        <v>0.10509869808480783</v>
      </c>
      <c r="AQ56" s="3">
        <f t="shared" si="13"/>
        <v>0.27154186345443981</v>
      </c>
    </row>
    <row r="57" spans="1:43" x14ac:dyDescent="0.3">
      <c r="A57" t="s">
        <v>179</v>
      </c>
      <c r="B57" t="s">
        <v>7</v>
      </c>
      <c r="C57" t="s">
        <v>160</v>
      </c>
      <c r="D57" s="6">
        <v>2042</v>
      </c>
      <c r="E57" t="s">
        <v>195</v>
      </c>
      <c r="F57" s="6">
        <v>345.6</v>
      </c>
      <c r="G57" s="7">
        <v>473.4</v>
      </c>
      <c r="H57" s="7">
        <v>694</v>
      </c>
      <c r="I57" s="6">
        <v>285966100</v>
      </c>
      <c r="J57" s="6">
        <v>67041304</v>
      </c>
      <c r="K57" s="6">
        <v>28962196</v>
      </c>
      <c r="L57" s="6">
        <v>20750386</v>
      </c>
      <c r="M57" s="6">
        <v>0</v>
      </c>
      <c r="N57" s="6">
        <v>93287.4</v>
      </c>
      <c r="O57" s="6">
        <v>155504080</v>
      </c>
      <c r="P57" s="6">
        <v>0</v>
      </c>
      <c r="Q57" s="6">
        <v>1172653.8999999999</v>
      </c>
      <c r="R57" s="6">
        <v>201129.9</v>
      </c>
      <c r="S57" s="6">
        <v>0</v>
      </c>
      <c r="T57" s="6">
        <v>2473171.7999999998</v>
      </c>
      <c r="U57" s="6">
        <v>0</v>
      </c>
      <c r="V57" s="6">
        <v>0</v>
      </c>
      <c r="W57" s="6">
        <v>0</v>
      </c>
      <c r="X57" s="6">
        <v>0</v>
      </c>
      <c r="Y57" s="6">
        <v>53569796</v>
      </c>
      <c r="Z57" s="6">
        <v>13471507</v>
      </c>
      <c r="AA57" s="6">
        <v>0</v>
      </c>
      <c r="AB57" s="6">
        <v>9767892</v>
      </c>
      <c r="AC57" s="6">
        <v>0</v>
      </c>
      <c r="AD57" s="6">
        <f t="shared" si="0"/>
        <v>285966100</v>
      </c>
      <c r="AE57" s="6">
        <f t="shared" si="1"/>
        <v>0</v>
      </c>
      <c r="AF57" s="6">
        <f t="shared" si="2"/>
        <v>2473171.7999999998</v>
      </c>
      <c r="AG57" s="6">
        <f t="shared" si="3"/>
        <v>283492928.19999999</v>
      </c>
      <c r="AH57" s="6">
        <f t="shared" si="4"/>
        <v>20750386</v>
      </c>
      <c r="AI57" s="6">
        <f t="shared" si="5"/>
        <v>156676733.90000001</v>
      </c>
      <c r="AJ57" s="6">
        <f t="shared" si="6"/>
        <v>93287.4</v>
      </c>
      <c r="AK57" s="6">
        <f t="shared" si="7"/>
        <v>28962196</v>
      </c>
      <c r="AL57" s="6">
        <f t="shared" si="8"/>
        <v>77010324.900000006</v>
      </c>
      <c r="AM57" s="3">
        <f t="shared" si="9"/>
        <v>7.319542724311244E-2</v>
      </c>
      <c r="AN57" s="3">
        <f t="shared" si="10"/>
        <v>0.55266540472384174</v>
      </c>
      <c r="AO57" s="3">
        <f t="shared" si="11"/>
        <v>3.2906429304009708E-4</v>
      </c>
      <c r="AP57" s="3">
        <f t="shared" si="12"/>
        <v>0.10216196990835555</v>
      </c>
      <c r="AQ57" s="3">
        <f t="shared" si="13"/>
        <v>0.27164813383165021</v>
      </c>
    </row>
    <row r="58" spans="1:43" x14ac:dyDescent="0.3">
      <c r="A58" t="s">
        <v>179</v>
      </c>
      <c r="B58" t="s">
        <v>7</v>
      </c>
      <c r="C58" t="s">
        <v>160</v>
      </c>
      <c r="D58" s="6">
        <v>2044</v>
      </c>
      <c r="E58" t="s">
        <v>195</v>
      </c>
      <c r="F58" s="6">
        <v>348.1</v>
      </c>
      <c r="G58" s="7">
        <v>432.4</v>
      </c>
      <c r="H58" s="7">
        <v>679.4</v>
      </c>
      <c r="I58" s="6">
        <v>292293340</v>
      </c>
      <c r="J58" s="6">
        <v>67218150</v>
      </c>
      <c r="K58" s="6">
        <v>28962196</v>
      </c>
      <c r="L58" s="6">
        <v>21325528</v>
      </c>
      <c r="M58" s="6">
        <v>0</v>
      </c>
      <c r="N58" s="6">
        <v>83078.3</v>
      </c>
      <c r="O58" s="6">
        <v>161204160</v>
      </c>
      <c r="P58" s="6">
        <v>0</v>
      </c>
      <c r="Q58" s="6">
        <v>1068146.8</v>
      </c>
      <c r="R58" s="6">
        <v>200848.2</v>
      </c>
      <c r="S58" s="6">
        <v>0</v>
      </c>
      <c r="T58" s="6">
        <v>2294580.2000000002</v>
      </c>
      <c r="U58" s="6">
        <v>0</v>
      </c>
      <c r="V58" s="6">
        <v>0</v>
      </c>
      <c r="W58" s="6">
        <v>0</v>
      </c>
      <c r="X58" s="6">
        <v>0</v>
      </c>
      <c r="Y58" s="6">
        <v>53481420</v>
      </c>
      <c r="Z58" s="6">
        <v>13736733</v>
      </c>
      <c r="AA58" s="6">
        <v>0</v>
      </c>
      <c r="AB58" s="6">
        <v>9936656</v>
      </c>
      <c r="AC58" s="6">
        <v>0</v>
      </c>
      <c r="AD58" s="6">
        <f t="shared" si="0"/>
        <v>292293340</v>
      </c>
      <c r="AE58" s="6">
        <f t="shared" si="1"/>
        <v>0</v>
      </c>
      <c r="AF58" s="6">
        <f t="shared" si="2"/>
        <v>2294580.2000000002</v>
      </c>
      <c r="AG58" s="6">
        <f t="shared" si="3"/>
        <v>289998759.80000001</v>
      </c>
      <c r="AH58" s="6">
        <f t="shared" si="4"/>
        <v>21325528</v>
      </c>
      <c r="AI58" s="6">
        <f t="shared" si="5"/>
        <v>162272306.80000001</v>
      </c>
      <c r="AJ58" s="6">
        <f t="shared" si="6"/>
        <v>83078.3</v>
      </c>
      <c r="AK58" s="6">
        <f t="shared" si="7"/>
        <v>28962196</v>
      </c>
      <c r="AL58" s="6">
        <f t="shared" si="8"/>
        <v>77355657.200000003</v>
      </c>
      <c r="AM58" s="3">
        <f t="shared" si="9"/>
        <v>7.353661793142606E-2</v>
      </c>
      <c r="AN58" s="3">
        <f t="shared" si="10"/>
        <v>0.5595620716168318</v>
      </c>
      <c r="AO58" s="3">
        <f t="shared" si="11"/>
        <v>2.864781216902294E-4</v>
      </c>
      <c r="AP58" s="3">
        <f t="shared" si="12"/>
        <v>9.987006847882389E-2</v>
      </c>
      <c r="AQ58" s="3">
        <f t="shared" si="13"/>
        <v>0.266744786265117</v>
      </c>
    </row>
    <row r="59" spans="1:43" x14ac:dyDescent="0.3">
      <c r="A59" t="s">
        <v>179</v>
      </c>
      <c r="B59" t="s">
        <v>7</v>
      </c>
      <c r="C59" t="s">
        <v>160</v>
      </c>
      <c r="D59" s="6">
        <v>2046</v>
      </c>
      <c r="E59" t="s">
        <v>195</v>
      </c>
      <c r="F59" s="6">
        <v>340.6</v>
      </c>
      <c r="G59" s="7">
        <v>418.2</v>
      </c>
      <c r="H59" s="7">
        <v>668.2</v>
      </c>
      <c r="I59" s="6">
        <v>300945540</v>
      </c>
      <c r="J59" s="6">
        <v>68772110</v>
      </c>
      <c r="K59" s="6">
        <v>28962196</v>
      </c>
      <c r="L59" s="6">
        <v>18724044</v>
      </c>
      <c r="M59" s="6">
        <v>0</v>
      </c>
      <c r="N59" s="6">
        <v>80942.399999999994</v>
      </c>
      <c r="O59" s="6">
        <v>171108740</v>
      </c>
      <c r="P59" s="6">
        <v>0</v>
      </c>
      <c r="Q59" s="6">
        <v>989381.6</v>
      </c>
      <c r="R59" s="6">
        <v>201485.4</v>
      </c>
      <c r="S59" s="6">
        <v>0</v>
      </c>
      <c r="T59" s="6">
        <v>1521378.2</v>
      </c>
      <c r="U59" s="6">
        <v>0</v>
      </c>
      <c r="V59" s="6">
        <v>0</v>
      </c>
      <c r="W59" s="6">
        <v>0</v>
      </c>
      <c r="X59" s="6">
        <v>0</v>
      </c>
      <c r="Y59" s="6">
        <v>55078104</v>
      </c>
      <c r="Z59" s="6">
        <v>13694003</v>
      </c>
      <c r="AA59" s="6">
        <v>0</v>
      </c>
      <c r="AB59" s="6">
        <v>10585251</v>
      </c>
      <c r="AC59" s="6">
        <v>0</v>
      </c>
      <c r="AD59" s="6">
        <f t="shared" si="0"/>
        <v>300945540</v>
      </c>
      <c r="AE59" s="6">
        <f t="shared" si="1"/>
        <v>0</v>
      </c>
      <c r="AF59" s="6">
        <f t="shared" si="2"/>
        <v>1521378.2</v>
      </c>
      <c r="AG59" s="6">
        <f t="shared" si="3"/>
        <v>299424161.80000001</v>
      </c>
      <c r="AH59" s="6">
        <f t="shared" si="4"/>
        <v>18724044</v>
      </c>
      <c r="AI59" s="6">
        <f t="shared" si="5"/>
        <v>172098121.59999999</v>
      </c>
      <c r="AJ59" s="6">
        <f t="shared" si="6"/>
        <v>80942.399999999994</v>
      </c>
      <c r="AK59" s="6">
        <f t="shared" si="7"/>
        <v>28962196</v>
      </c>
      <c r="AL59" s="6">
        <f t="shared" si="8"/>
        <v>79558843.400000006</v>
      </c>
      <c r="AM59" s="3">
        <f t="shared" si="9"/>
        <v>6.2533510613972096E-2</v>
      </c>
      <c r="AN59" s="3">
        <f t="shared" si="10"/>
        <v>0.57476364153589155</v>
      </c>
      <c r="AO59" s="3">
        <f t="shared" si="11"/>
        <v>2.7032688181678993E-4</v>
      </c>
      <c r="AP59" s="3">
        <f t="shared" si="12"/>
        <v>9.6726315691735204E-2</v>
      </c>
      <c r="AQ59" s="3">
        <f t="shared" si="13"/>
        <v>0.26570615718427304</v>
      </c>
    </row>
    <row r="60" spans="1:43" x14ac:dyDescent="0.3">
      <c r="A60" t="s">
        <v>179</v>
      </c>
      <c r="B60" t="s">
        <v>7</v>
      </c>
      <c r="C60" t="s">
        <v>160</v>
      </c>
      <c r="D60" s="6">
        <v>2048</v>
      </c>
      <c r="E60" t="s">
        <v>195</v>
      </c>
      <c r="F60" s="6">
        <v>333.7</v>
      </c>
      <c r="G60" s="7">
        <v>319.89999999999998</v>
      </c>
      <c r="H60" s="7">
        <v>666</v>
      </c>
      <c r="I60" s="6">
        <v>310920350</v>
      </c>
      <c r="J60" s="6">
        <v>76008480</v>
      </c>
      <c r="K60" s="6">
        <v>28962196</v>
      </c>
      <c r="L60" s="6">
        <v>20203938</v>
      </c>
      <c r="M60" s="6">
        <v>0</v>
      </c>
      <c r="N60" s="6">
        <v>67318.3</v>
      </c>
      <c r="O60" s="6">
        <v>170110530</v>
      </c>
      <c r="P60" s="6">
        <v>0</v>
      </c>
      <c r="Q60" s="6">
        <v>930188.1</v>
      </c>
      <c r="R60" s="6">
        <v>201164.3</v>
      </c>
      <c r="S60" s="6">
        <v>0</v>
      </c>
      <c r="T60" s="6">
        <v>1522162.9</v>
      </c>
      <c r="U60" s="6">
        <v>0</v>
      </c>
      <c r="V60" s="6">
        <v>675299.6</v>
      </c>
      <c r="W60" s="6">
        <v>0</v>
      </c>
      <c r="X60" s="6">
        <v>0</v>
      </c>
      <c r="Y60" s="6">
        <v>61757930</v>
      </c>
      <c r="Z60" s="6">
        <v>13575258</v>
      </c>
      <c r="AA60" s="6">
        <v>0</v>
      </c>
      <c r="AB60" s="6">
        <v>12914368</v>
      </c>
      <c r="AC60" s="6">
        <v>0</v>
      </c>
      <c r="AD60" s="6">
        <f t="shared" si="0"/>
        <v>310920350</v>
      </c>
      <c r="AE60" s="6">
        <f t="shared" si="1"/>
        <v>0</v>
      </c>
      <c r="AF60" s="6">
        <f t="shared" si="2"/>
        <v>1522162.9</v>
      </c>
      <c r="AG60" s="6">
        <f t="shared" si="3"/>
        <v>309398187.10000002</v>
      </c>
      <c r="AH60" s="6">
        <f t="shared" si="4"/>
        <v>20203938</v>
      </c>
      <c r="AI60" s="6">
        <f t="shared" si="5"/>
        <v>171040718.09999999</v>
      </c>
      <c r="AJ60" s="6">
        <f t="shared" si="6"/>
        <v>67318.3</v>
      </c>
      <c r="AK60" s="6">
        <f t="shared" si="7"/>
        <v>28962196</v>
      </c>
      <c r="AL60" s="6">
        <f t="shared" si="8"/>
        <v>89124019.900000006</v>
      </c>
      <c r="AM60" s="3">
        <f t="shared" si="9"/>
        <v>6.5300764006965314E-2</v>
      </c>
      <c r="AN60" s="3">
        <f t="shared" si="10"/>
        <v>0.55281745411364758</v>
      </c>
      <c r="AO60" s="3">
        <f t="shared" si="11"/>
        <v>2.1757819795576946E-4</v>
      </c>
      <c r="AP60" s="3">
        <f t="shared" si="12"/>
        <v>9.360816322637075E-2</v>
      </c>
      <c r="AQ60" s="3">
        <f t="shared" si="13"/>
        <v>0.28805605079771973</v>
      </c>
    </row>
    <row r="61" spans="1:43" x14ac:dyDescent="0.3">
      <c r="A61" t="s">
        <v>179</v>
      </c>
      <c r="B61" t="s">
        <v>7</v>
      </c>
      <c r="C61" t="s">
        <v>160</v>
      </c>
      <c r="D61" s="6">
        <v>2050</v>
      </c>
      <c r="E61" t="s">
        <v>195</v>
      </c>
      <c r="F61" s="6">
        <v>302.8</v>
      </c>
      <c r="G61" s="7">
        <v>308.8</v>
      </c>
      <c r="H61" s="7">
        <v>658</v>
      </c>
      <c r="I61" s="6">
        <v>323862200</v>
      </c>
      <c r="J61" s="6">
        <v>94118240</v>
      </c>
      <c r="K61" s="6">
        <v>28962196</v>
      </c>
      <c r="L61" s="6">
        <v>17790966</v>
      </c>
      <c r="M61" s="6">
        <v>0</v>
      </c>
      <c r="N61" s="6">
        <v>41418.800000000003</v>
      </c>
      <c r="O61" s="6">
        <v>164376350</v>
      </c>
      <c r="P61" s="6">
        <v>0</v>
      </c>
      <c r="Q61" s="6">
        <v>854034.1</v>
      </c>
      <c r="R61" s="6">
        <v>201612.4</v>
      </c>
      <c r="S61" s="6">
        <v>0</v>
      </c>
      <c r="T61" s="6">
        <v>1508738.9</v>
      </c>
      <c r="U61" s="6">
        <v>0</v>
      </c>
      <c r="V61" s="6">
        <v>8698144</v>
      </c>
      <c r="W61" s="6">
        <v>0</v>
      </c>
      <c r="X61" s="6">
        <v>0</v>
      </c>
      <c r="Y61" s="6">
        <v>71349064</v>
      </c>
      <c r="Z61" s="6">
        <v>14071030</v>
      </c>
      <c r="AA61" s="6">
        <v>0</v>
      </c>
      <c r="AB61" s="6">
        <v>16008629</v>
      </c>
      <c r="AC61" s="6">
        <v>0</v>
      </c>
      <c r="AD61" s="6">
        <f t="shared" si="0"/>
        <v>323862200</v>
      </c>
      <c r="AE61" s="6">
        <f t="shared" si="1"/>
        <v>0</v>
      </c>
      <c r="AF61" s="6">
        <f t="shared" si="2"/>
        <v>1508738.9</v>
      </c>
      <c r="AG61" s="6">
        <f t="shared" si="3"/>
        <v>322353461.10000002</v>
      </c>
      <c r="AH61" s="6">
        <f t="shared" si="4"/>
        <v>17790966</v>
      </c>
      <c r="AI61" s="6">
        <f t="shared" si="5"/>
        <v>165230384.09999999</v>
      </c>
      <c r="AJ61" s="6">
        <f t="shared" si="6"/>
        <v>41418.800000000003</v>
      </c>
      <c r="AK61" s="6">
        <f t="shared" si="7"/>
        <v>28962196</v>
      </c>
      <c r="AL61" s="6">
        <f t="shared" si="8"/>
        <v>110328479.40000001</v>
      </c>
      <c r="AM61" s="3">
        <f t="shared" si="9"/>
        <v>5.5190863902283067E-2</v>
      </c>
      <c r="AN61" s="3">
        <f t="shared" si="10"/>
        <v>0.51257518233608312</v>
      </c>
      <c r="AO61" s="3">
        <f t="shared" si="11"/>
        <v>1.2848877086246369E-4</v>
      </c>
      <c r="AP61" s="3">
        <f t="shared" si="12"/>
        <v>8.9846083554273953E-2</v>
      </c>
      <c r="AQ61" s="3">
        <f t="shared" si="13"/>
        <v>0.34225932931979303</v>
      </c>
    </row>
    <row r="62" spans="1:43" x14ac:dyDescent="0.3">
      <c r="A62" t="s">
        <v>179</v>
      </c>
      <c r="B62" t="s">
        <v>7</v>
      </c>
      <c r="C62" t="s">
        <v>161</v>
      </c>
      <c r="D62" s="6">
        <v>2022</v>
      </c>
      <c r="E62" t="s">
        <v>195</v>
      </c>
      <c r="F62" s="6">
        <v>448.1</v>
      </c>
      <c r="G62" s="7">
        <v>678.2</v>
      </c>
      <c r="H62" s="7">
        <v>909.3</v>
      </c>
      <c r="I62" s="6">
        <v>38034856</v>
      </c>
      <c r="J62" s="6">
        <v>1532826</v>
      </c>
      <c r="K62" s="6">
        <v>14114478</v>
      </c>
      <c r="L62" s="6">
        <v>10496618</v>
      </c>
      <c r="M62" s="6">
        <v>0</v>
      </c>
      <c r="N62" s="6">
        <v>66183.8</v>
      </c>
      <c r="O62" s="6">
        <v>9079045</v>
      </c>
      <c r="P62" s="6">
        <v>0</v>
      </c>
      <c r="Q62" s="6">
        <v>459142.9</v>
      </c>
      <c r="R62" s="6">
        <v>1402339.6</v>
      </c>
      <c r="S62" s="6">
        <v>0</v>
      </c>
      <c r="T62" s="6">
        <v>884220.6</v>
      </c>
      <c r="U62" s="6">
        <v>0</v>
      </c>
      <c r="V62" s="6">
        <v>1142203</v>
      </c>
      <c r="W62" s="6">
        <v>0</v>
      </c>
      <c r="X62" s="6">
        <v>0</v>
      </c>
      <c r="Y62" s="6">
        <v>341749.4</v>
      </c>
      <c r="Z62" s="6">
        <v>48873.599999999999</v>
      </c>
      <c r="AA62" s="6">
        <v>0</v>
      </c>
      <c r="AB62" s="6">
        <v>0</v>
      </c>
      <c r="AC62" s="6">
        <v>0</v>
      </c>
      <c r="AD62" s="6">
        <f t="shared" si="0"/>
        <v>38034856</v>
      </c>
      <c r="AE62" s="6">
        <f t="shared" si="1"/>
        <v>0</v>
      </c>
      <c r="AF62" s="6">
        <f t="shared" si="2"/>
        <v>884220.6</v>
      </c>
      <c r="AG62" s="6">
        <f t="shared" si="3"/>
        <v>37150635.399999999</v>
      </c>
      <c r="AH62" s="6">
        <f t="shared" si="4"/>
        <v>10496618</v>
      </c>
      <c r="AI62" s="6">
        <f t="shared" si="5"/>
        <v>9538187.9000000004</v>
      </c>
      <c r="AJ62" s="6">
        <f t="shared" si="6"/>
        <v>66183.8</v>
      </c>
      <c r="AK62" s="6">
        <f t="shared" si="7"/>
        <v>14114478</v>
      </c>
      <c r="AL62" s="6">
        <f t="shared" si="8"/>
        <v>2935165.6</v>
      </c>
      <c r="AM62" s="3">
        <f t="shared" si="9"/>
        <v>0.28254208540400899</v>
      </c>
      <c r="AN62" s="3">
        <f t="shared" si="10"/>
        <v>0.25674360067607349</v>
      </c>
      <c r="AO62" s="3">
        <f t="shared" si="11"/>
        <v>1.7814984666453379E-3</v>
      </c>
      <c r="AP62" s="3">
        <f t="shared" si="12"/>
        <v>0.37992561494654814</v>
      </c>
      <c r="AQ62" s="3">
        <f t="shared" si="13"/>
        <v>7.9007143980100003E-2</v>
      </c>
    </row>
    <row r="63" spans="1:43" x14ac:dyDescent="0.3">
      <c r="A63" t="s">
        <v>179</v>
      </c>
      <c r="B63" t="s">
        <v>7</v>
      </c>
      <c r="C63" t="s">
        <v>161</v>
      </c>
      <c r="D63" s="6">
        <v>2024</v>
      </c>
      <c r="E63" t="s">
        <v>195</v>
      </c>
      <c r="F63" s="6">
        <v>429.6</v>
      </c>
      <c r="G63" s="7">
        <v>565.4</v>
      </c>
      <c r="H63" s="7">
        <v>960.6</v>
      </c>
      <c r="I63" s="6">
        <v>40289204</v>
      </c>
      <c r="J63" s="6">
        <v>2089657.6</v>
      </c>
      <c r="K63" s="6">
        <v>14114478</v>
      </c>
      <c r="L63" s="6">
        <v>9377072</v>
      </c>
      <c r="M63" s="6">
        <v>0</v>
      </c>
      <c r="N63" s="6">
        <v>116739.8</v>
      </c>
      <c r="O63" s="6">
        <v>11634665</v>
      </c>
      <c r="P63" s="6">
        <v>0</v>
      </c>
      <c r="Q63" s="6">
        <v>671986.9</v>
      </c>
      <c r="R63" s="6">
        <v>1401200.1</v>
      </c>
      <c r="S63" s="6">
        <v>0</v>
      </c>
      <c r="T63" s="6">
        <v>883403.8</v>
      </c>
      <c r="U63" s="6">
        <v>0</v>
      </c>
      <c r="V63" s="6">
        <v>1139204.3999999999</v>
      </c>
      <c r="W63" s="6">
        <v>0</v>
      </c>
      <c r="X63" s="6">
        <v>0</v>
      </c>
      <c r="Y63" s="6">
        <v>887789.9</v>
      </c>
      <c r="Z63" s="6">
        <v>62663.199999999997</v>
      </c>
      <c r="AA63" s="6">
        <v>0</v>
      </c>
      <c r="AB63" s="6">
        <v>0</v>
      </c>
      <c r="AC63" s="6">
        <v>0</v>
      </c>
      <c r="AD63" s="6">
        <f t="shared" si="0"/>
        <v>40289204</v>
      </c>
      <c r="AE63" s="6">
        <f t="shared" si="1"/>
        <v>0</v>
      </c>
      <c r="AF63" s="6">
        <f t="shared" si="2"/>
        <v>883403.8</v>
      </c>
      <c r="AG63" s="6">
        <f t="shared" si="3"/>
        <v>39405800.200000003</v>
      </c>
      <c r="AH63" s="6">
        <f t="shared" si="4"/>
        <v>9377072</v>
      </c>
      <c r="AI63" s="6">
        <f t="shared" si="5"/>
        <v>12306651.9</v>
      </c>
      <c r="AJ63" s="6">
        <f t="shared" si="6"/>
        <v>116739.8</v>
      </c>
      <c r="AK63" s="6">
        <f t="shared" si="7"/>
        <v>14114478</v>
      </c>
      <c r="AL63" s="6">
        <f t="shared" si="8"/>
        <v>3490857.6</v>
      </c>
      <c r="AM63" s="3">
        <f t="shared" si="9"/>
        <v>0.23796172016321596</v>
      </c>
      <c r="AN63" s="3">
        <f t="shared" si="10"/>
        <v>0.31230559556052356</v>
      </c>
      <c r="AO63" s="3">
        <f t="shared" si="11"/>
        <v>2.9625029667586854E-3</v>
      </c>
      <c r="AP63" s="3">
        <f t="shared" si="12"/>
        <v>0.3581827530049751</v>
      </c>
      <c r="AQ63" s="3">
        <f t="shared" si="13"/>
        <v>8.858740546524925E-2</v>
      </c>
    </row>
    <row r="64" spans="1:43" x14ac:dyDescent="0.3">
      <c r="A64" t="s">
        <v>179</v>
      </c>
      <c r="B64" t="s">
        <v>7</v>
      </c>
      <c r="C64" t="s">
        <v>161</v>
      </c>
      <c r="D64" s="6">
        <v>2026</v>
      </c>
      <c r="E64" t="s">
        <v>195</v>
      </c>
      <c r="F64" s="6">
        <v>361.7</v>
      </c>
      <c r="G64" s="7">
        <v>451.7</v>
      </c>
      <c r="H64" s="7">
        <v>925.4</v>
      </c>
      <c r="I64" s="6">
        <v>44257230</v>
      </c>
      <c r="J64" s="6">
        <v>7267145</v>
      </c>
      <c r="K64" s="6">
        <v>14114478</v>
      </c>
      <c r="L64" s="6">
        <v>8490673</v>
      </c>
      <c r="M64" s="6">
        <v>0</v>
      </c>
      <c r="N64" s="6">
        <v>108630.6</v>
      </c>
      <c r="O64" s="6">
        <v>11493513</v>
      </c>
      <c r="P64" s="6">
        <v>0</v>
      </c>
      <c r="Q64" s="6">
        <v>516367.3</v>
      </c>
      <c r="R64" s="6">
        <v>1389128.6</v>
      </c>
      <c r="S64" s="6">
        <v>0</v>
      </c>
      <c r="T64" s="6">
        <v>877297.8</v>
      </c>
      <c r="U64" s="6">
        <v>0</v>
      </c>
      <c r="V64" s="6">
        <v>2219128</v>
      </c>
      <c r="W64" s="6">
        <v>0</v>
      </c>
      <c r="X64" s="6">
        <v>0</v>
      </c>
      <c r="Y64" s="6">
        <v>4960652.5</v>
      </c>
      <c r="Z64" s="6">
        <v>87364</v>
      </c>
      <c r="AA64" s="6">
        <v>0</v>
      </c>
      <c r="AB64" s="6">
        <v>0</v>
      </c>
      <c r="AC64" s="6">
        <v>0</v>
      </c>
      <c r="AD64" s="6">
        <f t="shared" si="0"/>
        <v>44257230</v>
      </c>
      <c r="AE64" s="6">
        <f t="shared" si="1"/>
        <v>0</v>
      </c>
      <c r="AF64" s="6">
        <f t="shared" si="2"/>
        <v>877297.8</v>
      </c>
      <c r="AG64" s="6">
        <f t="shared" si="3"/>
        <v>43379932.200000003</v>
      </c>
      <c r="AH64" s="6">
        <f t="shared" si="4"/>
        <v>8490673</v>
      </c>
      <c r="AI64" s="6">
        <f t="shared" si="5"/>
        <v>12009880.300000001</v>
      </c>
      <c r="AJ64" s="6">
        <f t="shared" si="6"/>
        <v>108630.6</v>
      </c>
      <c r="AK64" s="6">
        <f t="shared" si="7"/>
        <v>14114478</v>
      </c>
      <c r="AL64" s="6">
        <f t="shared" si="8"/>
        <v>8656273.0999999996</v>
      </c>
      <c r="AM64" s="3">
        <f t="shared" si="9"/>
        <v>0.19572812979177501</v>
      </c>
      <c r="AN64" s="3">
        <f t="shared" si="10"/>
        <v>0.27685336723509218</v>
      </c>
      <c r="AO64" s="3">
        <f t="shared" si="11"/>
        <v>2.5041671226955029E-3</v>
      </c>
      <c r="AP64" s="3">
        <f t="shared" si="12"/>
        <v>0.32536883494714175</v>
      </c>
      <c r="AQ64" s="3">
        <f t="shared" si="13"/>
        <v>0.1995455654492701</v>
      </c>
    </row>
    <row r="65" spans="1:43" x14ac:dyDescent="0.3">
      <c r="A65" t="s">
        <v>179</v>
      </c>
      <c r="B65" t="s">
        <v>7</v>
      </c>
      <c r="C65" t="s">
        <v>161</v>
      </c>
      <c r="D65" s="6">
        <v>2028</v>
      </c>
      <c r="E65" t="s">
        <v>195</v>
      </c>
      <c r="F65" s="6">
        <v>356.3</v>
      </c>
      <c r="G65" s="7">
        <v>360.7</v>
      </c>
      <c r="H65" s="7">
        <v>870</v>
      </c>
      <c r="I65" s="6">
        <v>42160076</v>
      </c>
      <c r="J65" s="6">
        <v>7227377</v>
      </c>
      <c r="K65" s="6">
        <v>14114478</v>
      </c>
      <c r="L65" s="6">
        <v>8551274</v>
      </c>
      <c r="M65" s="6">
        <v>0</v>
      </c>
      <c r="N65" s="6">
        <v>73535.600000000006</v>
      </c>
      <c r="O65" s="6">
        <v>9603414</v>
      </c>
      <c r="P65" s="6">
        <v>0</v>
      </c>
      <c r="Q65" s="6">
        <v>369932.6</v>
      </c>
      <c r="R65" s="6">
        <v>1356892.1</v>
      </c>
      <c r="S65" s="6">
        <v>0</v>
      </c>
      <c r="T65" s="6">
        <v>863171.4</v>
      </c>
      <c r="U65" s="6">
        <v>0</v>
      </c>
      <c r="V65" s="6">
        <v>2207160.7999999998</v>
      </c>
      <c r="W65" s="6">
        <v>0</v>
      </c>
      <c r="X65" s="6">
        <v>0</v>
      </c>
      <c r="Y65" s="6">
        <v>4891447.5</v>
      </c>
      <c r="Z65" s="6">
        <v>128768.7</v>
      </c>
      <c r="AA65" s="6">
        <v>0</v>
      </c>
      <c r="AB65" s="6">
        <v>0</v>
      </c>
      <c r="AC65" s="6">
        <v>0</v>
      </c>
      <c r="AD65" s="6">
        <f t="shared" si="0"/>
        <v>42160076</v>
      </c>
      <c r="AE65" s="6">
        <f t="shared" si="1"/>
        <v>0</v>
      </c>
      <c r="AF65" s="6">
        <f t="shared" si="2"/>
        <v>863171.4</v>
      </c>
      <c r="AG65" s="6">
        <f t="shared" si="3"/>
        <v>41296904.600000001</v>
      </c>
      <c r="AH65" s="6">
        <f t="shared" si="4"/>
        <v>8551274</v>
      </c>
      <c r="AI65" s="6">
        <f t="shared" si="5"/>
        <v>9973346.5999999996</v>
      </c>
      <c r="AJ65" s="6">
        <f t="shared" si="6"/>
        <v>73535.600000000006</v>
      </c>
      <c r="AK65" s="6">
        <f t="shared" si="7"/>
        <v>14114478</v>
      </c>
      <c r="AL65" s="6">
        <f t="shared" si="8"/>
        <v>8584269.0999999996</v>
      </c>
      <c r="AM65" s="3">
        <f t="shared" si="9"/>
        <v>0.20706815880820278</v>
      </c>
      <c r="AN65" s="3">
        <f t="shared" si="10"/>
        <v>0.24150349031244339</v>
      </c>
      <c r="AO65" s="3">
        <f t="shared" si="11"/>
        <v>1.7806564611140372E-3</v>
      </c>
      <c r="AP65" s="3">
        <f t="shared" si="12"/>
        <v>0.34178053141542236</v>
      </c>
      <c r="AQ65" s="3">
        <f t="shared" si="13"/>
        <v>0.20786713152346045</v>
      </c>
    </row>
    <row r="66" spans="1:43" x14ac:dyDescent="0.3">
      <c r="A66" t="s">
        <v>179</v>
      </c>
      <c r="B66" t="s">
        <v>7</v>
      </c>
      <c r="C66" t="s">
        <v>161</v>
      </c>
      <c r="D66" s="6">
        <v>2030</v>
      </c>
      <c r="E66" t="s">
        <v>195</v>
      </c>
      <c r="F66" s="6">
        <v>356</v>
      </c>
      <c r="G66" s="7">
        <v>384.5</v>
      </c>
      <c r="H66" s="7">
        <v>877.3</v>
      </c>
      <c r="I66" s="6">
        <v>43082484</v>
      </c>
      <c r="J66" s="6">
        <v>8710717</v>
      </c>
      <c r="K66" s="6">
        <v>14114478</v>
      </c>
      <c r="L66" s="6">
        <v>9451337</v>
      </c>
      <c r="M66" s="6">
        <v>0</v>
      </c>
      <c r="N66" s="6">
        <v>652.1</v>
      </c>
      <c r="O66" s="6">
        <v>8606182</v>
      </c>
      <c r="P66" s="6">
        <v>0</v>
      </c>
      <c r="Q66" s="6">
        <v>241715.3</v>
      </c>
      <c r="R66" s="6">
        <v>1363763.4</v>
      </c>
      <c r="S66" s="6">
        <v>0</v>
      </c>
      <c r="T66" s="6">
        <v>409624.8</v>
      </c>
      <c r="U66" s="6">
        <v>0</v>
      </c>
      <c r="V66" s="6">
        <v>3626354</v>
      </c>
      <c r="W66" s="6">
        <v>0</v>
      </c>
      <c r="X66" s="6">
        <v>0</v>
      </c>
      <c r="Y66" s="6">
        <v>4880350.5</v>
      </c>
      <c r="Z66" s="6">
        <v>204012.4</v>
      </c>
      <c r="AA66" s="6">
        <v>0</v>
      </c>
      <c r="AB66" s="6">
        <v>184014.4</v>
      </c>
      <c r="AC66" s="6">
        <v>0</v>
      </c>
      <c r="AD66" s="6">
        <f t="shared" si="0"/>
        <v>43082484</v>
      </c>
      <c r="AE66" s="6">
        <f t="shared" si="1"/>
        <v>0</v>
      </c>
      <c r="AF66" s="6">
        <f t="shared" si="2"/>
        <v>409624.8</v>
      </c>
      <c r="AG66" s="6">
        <f t="shared" si="3"/>
        <v>42672859.200000003</v>
      </c>
      <c r="AH66" s="6">
        <f t="shared" si="4"/>
        <v>9451337</v>
      </c>
      <c r="AI66" s="6">
        <f t="shared" si="5"/>
        <v>8847897.3000000007</v>
      </c>
      <c r="AJ66" s="6">
        <f t="shared" si="6"/>
        <v>652.1</v>
      </c>
      <c r="AK66" s="6">
        <f t="shared" si="7"/>
        <v>14114478</v>
      </c>
      <c r="AL66" s="6">
        <f t="shared" si="8"/>
        <v>10258494.700000001</v>
      </c>
      <c r="AM66" s="3">
        <f t="shared" si="9"/>
        <v>0.2214835653665316</v>
      </c>
      <c r="AN66" s="3">
        <f t="shared" si="10"/>
        <v>0.20734249979668576</v>
      </c>
      <c r="AO66" s="3">
        <f t="shared" si="11"/>
        <v>1.5281375849312669E-5</v>
      </c>
      <c r="AP66" s="3">
        <f t="shared" si="12"/>
        <v>0.33076007243498695</v>
      </c>
      <c r="AQ66" s="3">
        <f t="shared" si="13"/>
        <v>0.24039857868253647</v>
      </c>
    </row>
    <row r="67" spans="1:43" x14ac:dyDescent="0.3">
      <c r="A67" t="s">
        <v>179</v>
      </c>
      <c r="B67" t="s">
        <v>7</v>
      </c>
      <c r="C67" t="s">
        <v>161</v>
      </c>
      <c r="D67" s="6">
        <v>2032</v>
      </c>
      <c r="E67" t="s">
        <v>195</v>
      </c>
      <c r="F67" s="6">
        <v>337.5</v>
      </c>
      <c r="G67" s="7">
        <v>320.39999999999998</v>
      </c>
      <c r="H67" s="7">
        <v>884.2</v>
      </c>
      <c r="I67" s="6">
        <v>44852804</v>
      </c>
      <c r="J67" s="6">
        <v>10614984</v>
      </c>
      <c r="K67" s="6">
        <v>14114478</v>
      </c>
      <c r="L67" s="6">
        <v>9490604</v>
      </c>
      <c r="M67" s="6">
        <v>0</v>
      </c>
      <c r="N67" s="6">
        <v>293.3</v>
      </c>
      <c r="O67" s="6">
        <v>8221599</v>
      </c>
      <c r="P67" s="6">
        <v>0</v>
      </c>
      <c r="Q67" s="6">
        <v>183331</v>
      </c>
      <c r="R67" s="6">
        <v>1376219.9</v>
      </c>
      <c r="S67" s="6">
        <v>0</v>
      </c>
      <c r="T67" s="6">
        <v>413297.4</v>
      </c>
      <c r="U67" s="6">
        <v>0</v>
      </c>
      <c r="V67" s="6">
        <v>5329603</v>
      </c>
      <c r="W67" s="6">
        <v>0</v>
      </c>
      <c r="X67" s="6">
        <v>0</v>
      </c>
      <c r="Y67" s="6">
        <v>4978046</v>
      </c>
      <c r="Z67" s="6">
        <v>307334.5</v>
      </c>
      <c r="AA67" s="6">
        <v>0</v>
      </c>
      <c r="AB67" s="6">
        <v>437996.3</v>
      </c>
      <c r="AC67" s="6">
        <v>0</v>
      </c>
      <c r="AD67" s="6">
        <f t="shared" ref="AD67:AD130" si="14">I67</f>
        <v>44852804</v>
      </c>
      <c r="AE67" s="6">
        <f t="shared" ref="AE67:AE130" si="15">AC67</f>
        <v>0</v>
      </c>
      <c r="AF67" s="6">
        <f t="shared" ref="AF67:AF130" si="16">SUM(T67,U67)</f>
        <v>413297.4</v>
      </c>
      <c r="AG67" s="6">
        <f t="shared" ref="AG67:AG130" si="17">AD67-AE67-AF67</f>
        <v>44439506.600000001</v>
      </c>
      <c r="AH67" s="6">
        <f t="shared" ref="AH67:AH130" si="18">L67</f>
        <v>9490604</v>
      </c>
      <c r="AI67" s="6">
        <f t="shared" ref="AI67:AI130" si="19">SUM(O67,P67,Q67)</f>
        <v>8404930</v>
      </c>
      <c r="AJ67" s="6">
        <f t="shared" ref="AJ67:AJ130" si="20">N67</f>
        <v>293.3</v>
      </c>
      <c r="AK67" s="6">
        <f t="shared" ref="AK67:AK130" si="21">K67</f>
        <v>14114478</v>
      </c>
      <c r="AL67" s="6">
        <f t="shared" ref="AL67:AL130" si="22">SUM(R67,S67,V67,W67,X67,Y67,Z67,AA67,AB67)</f>
        <v>12429199.700000001</v>
      </c>
      <c r="AM67" s="3">
        <f t="shared" ref="AM67:AM130" si="23">AH67/AG67</f>
        <v>0.21356231709377257</v>
      </c>
      <c r="AN67" s="3">
        <f t="shared" ref="AN67:AN130" si="24">AI67/AG67</f>
        <v>0.18913193784199214</v>
      </c>
      <c r="AO67" s="3">
        <f t="shared" ref="AO67:AO130" si="25">AJ67/AG67</f>
        <v>6.5999832680410542E-6</v>
      </c>
      <c r="AP67" s="3">
        <f t="shared" ref="AP67:AP130" si="26">AK67/AG67</f>
        <v>0.3176110420631898</v>
      </c>
      <c r="AQ67" s="3">
        <f t="shared" ref="AQ67:AQ130" si="27">AL67/AG67</f>
        <v>0.27968806701377735</v>
      </c>
    </row>
    <row r="68" spans="1:43" x14ac:dyDescent="0.3">
      <c r="A68" t="s">
        <v>179</v>
      </c>
      <c r="B68" t="s">
        <v>7</v>
      </c>
      <c r="C68" t="s">
        <v>161</v>
      </c>
      <c r="D68" s="6">
        <v>2034</v>
      </c>
      <c r="E68" t="s">
        <v>195</v>
      </c>
      <c r="F68" s="6">
        <v>310.5</v>
      </c>
      <c r="G68" s="7">
        <v>330.6</v>
      </c>
      <c r="H68" s="7">
        <v>866.6</v>
      </c>
      <c r="I68" s="6">
        <v>46958596</v>
      </c>
      <c r="J68" s="6">
        <v>13508597</v>
      </c>
      <c r="K68" s="6">
        <v>14114478</v>
      </c>
      <c r="L68" s="6">
        <v>9188636</v>
      </c>
      <c r="M68" s="6">
        <v>0</v>
      </c>
      <c r="N68" s="6">
        <v>310.89999999999998</v>
      </c>
      <c r="O68" s="6">
        <v>7731414.5</v>
      </c>
      <c r="P68" s="6">
        <v>0</v>
      </c>
      <c r="Q68" s="6">
        <v>194442.1</v>
      </c>
      <c r="R68" s="6">
        <v>1372149.5</v>
      </c>
      <c r="S68" s="6">
        <v>0</v>
      </c>
      <c r="T68" s="6">
        <v>409781</v>
      </c>
      <c r="U68" s="6">
        <v>0</v>
      </c>
      <c r="V68" s="6">
        <v>8128959</v>
      </c>
      <c r="W68" s="6">
        <v>0</v>
      </c>
      <c r="X68" s="6">
        <v>0</v>
      </c>
      <c r="Y68" s="6">
        <v>4951529</v>
      </c>
      <c r="Z68" s="6">
        <v>428108.9</v>
      </c>
      <c r="AA68" s="6">
        <v>0</v>
      </c>
      <c r="AB68" s="6">
        <v>438786.8</v>
      </c>
      <c r="AC68" s="6">
        <v>0</v>
      </c>
      <c r="AD68" s="6">
        <f t="shared" si="14"/>
        <v>46958596</v>
      </c>
      <c r="AE68" s="6">
        <f t="shared" si="15"/>
        <v>0</v>
      </c>
      <c r="AF68" s="6">
        <f t="shared" si="16"/>
        <v>409781</v>
      </c>
      <c r="AG68" s="6">
        <f t="shared" si="17"/>
        <v>46548815</v>
      </c>
      <c r="AH68" s="6">
        <f t="shared" si="18"/>
        <v>9188636</v>
      </c>
      <c r="AI68" s="6">
        <f t="shared" si="19"/>
        <v>7925856.5999999996</v>
      </c>
      <c r="AJ68" s="6">
        <f t="shared" si="20"/>
        <v>310.89999999999998</v>
      </c>
      <c r="AK68" s="6">
        <f t="shared" si="21"/>
        <v>14114478</v>
      </c>
      <c r="AL68" s="6">
        <f t="shared" si="22"/>
        <v>15319533.200000001</v>
      </c>
      <c r="AM68" s="3">
        <f t="shared" si="23"/>
        <v>0.19739784997749138</v>
      </c>
      <c r="AN68" s="3">
        <f t="shared" si="24"/>
        <v>0.17026978237791873</v>
      </c>
      <c r="AO68" s="3">
        <f t="shared" si="25"/>
        <v>6.6790099812422713E-6</v>
      </c>
      <c r="AP68" s="3">
        <f t="shared" si="26"/>
        <v>0.30321884670963162</v>
      </c>
      <c r="AQ68" s="3">
        <f t="shared" si="27"/>
        <v>0.32910683548012987</v>
      </c>
    </row>
    <row r="69" spans="1:43" x14ac:dyDescent="0.3">
      <c r="A69" t="s">
        <v>179</v>
      </c>
      <c r="B69" t="s">
        <v>7</v>
      </c>
      <c r="C69" t="s">
        <v>161</v>
      </c>
      <c r="D69" s="6">
        <v>2036</v>
      </c>
      <c r="E69" t="s">
        <v>195</v>
      </c>
      <c r="F69" s="6">
        <v>298.7</v>
      </c>
      <c r="G69" s="7">
        <v>297.8</v>
      </c>
      <c r="H69" s="7">
        <v>845</v>
      </c>
      <c r="I69" s="6">
        <v>47761344</v>
      </c>
      <c r="J69" s="6">
        <v>14375776</v>
      </c>
      <c r="K69" s="6">
        <v>14114478</v>
      </c>
      <c r="L69" s="6">
        <v>8864920</v>
      </c>
      <c r="M69" s="6">
        <v>0</v>
      </c>
      <c r="N69" s="6">
        <v>283.3</v>
      </c>
      <c r="O69" s="6">
        <v>7986437</v>
      </c>
      <c r="P69" s="6">
        <v>0</v>
      </c>
      <c r="Q69" s="6">
        <v>169187.5</v>
      </c>
      <c r="R69" s="6">
        <v>1368127.4</v>
      </c>
      <c r="S69" s="6">
        <v>0</v>
      </c>
      <c r="T69" s="6">
        <v>409756.6</v>
      </c>
      <c r="U69" s="6">
        <v>0</v>
      </c>
      <c r="V69" s="6">
        <v>8879453</v>
      </c>
      <c r="W69" s="6">
        <v>0</v>
      </c>
      <c r="X69" s="6">
        <v>0</v>
      </c>
      <c r="Y69" s="6">
        <v>4945956.5</v>
      </c>
      <c r="Z69" s="6">
        <v>550367</v>
      </c>
      <c r="AA69" s="6">
        <v>0</v>
      </c>
      <c r="AB69" s="6">
        <v>472378.4</v>
      </c>
      <c r="AC69" s="6">
        <v>0</v>
      </c>
      <c r="AD69" s="6">
        <f t="shared" si="14"/>
        <v>47761344</v>
      </c>
      <c r="AE69" s="6">
        <f t="shared" si="15"/>
        <v>0</v>
      </c>
      <c r="AF69" s="6">
        <f t="shared" si="16"/>
        <v>409756.6</v>
      </c>
      <c r="AG69" s="6">
        <f t="shared" si="17"/>
        <v>47351587.399999999</v>
      </c>
      <c r="AH69" s="6">
        <f t="shared" si="18"/>
        <v>8864920</v>
      </c>
      <c r="AI69" s="6">
        <f t="shared" si="19"/>
        <v>8155624.5</v>
      </c>
      <c r="AJ69" s="6">
        <f t="shared" si="20"/>
        <v>283.3</v>
      </c>
      <c r="AK69" s="6">
        <f t="shared" si="21"/>
        <v>14114478</v>
      </c>
      <c r="AL69" s="6">
        <f t="shared" si="22"/>
        <v>16216282.300000001</v>
      </c>
      <c r="AM69" s="3">
        <f t="shared" si="23"/>
        <v>0.18721484298116689</v>
      </c>
      <c r="AN69" s="3">
        <f t="shared" si="24"/>
        <v>0.1722355035556844</v>
      </c>
      <c r="AO69" s="3">
        <f t="shared" si="25"/>
        <v>5.9829039649048814E-6</v>
      </c>
      <c r="AP69" s="3">
        <f t="shared" si="26"/>
        <v>0.29807824351840001</v>
      </c>
      <c r="AQ69" s="3">
        <f t="shared" si="27"/>
        <v>0.34246544182381522</v>
      </c>
    </row>
    <row r="70" spans="1:43" x14ac:dyDescent="0.3">
      <c r="A70" t="s">
        <v>179</v>
      </c>
      <c r="B70" t="s">
        <v>7</v>
      </c>
      <c r="C70" t="s">
        <v>161</v>
      </c>
      <c r="D70" s="6">
        <v>2038</v>
      </c>
      <c r="E70" t="s">
        <v>195</v>
      </c>
      <c r="F70" s="6">
        <v>261</v>
      </c>
      <c r="G70" s="7">
        <v>312.60000000000002</v>
      </c>
      <c r="H70" s="7">
        <v>806.5</v>
      </c>
      <c r="I70" s="6">
        <v>49543092</v>
      </c>
      <c r="J70" s="6">
        <v>17206108</v>
      </c>
      <c r="K70" s="6">
        <v>14114478</v>
      </c>
      <c r="L70" s="6">
        <v>7707649</v>
      </c>
      <c r="M70" s="6">
        <v>0</v>
      </c>
      <c r="N70" s="6">
        <v>234.3</v>
      </c>
      <c r="O70" s="6">
        <v>8045719</v>
      </c>
      <c r="P70" s="6">
        <v>0</v>
      </c>
      <c r="Q70" s="6">
        <v>141879.79999999999</v>
      </c>
      <c r="R70" s="6">
        <v>1355917.8</v>
      </c>
      <c r="S70" s="6">
        <v>0</v>
      </c>
      <c r="T70" s="6">
        <v>403076.6</v>
      </c>
      <c r="U70" s="6">
        <v>0</v>
      </c>
      <c r="V70" s="6">
        <v>11463726</v>
      </c>
      <c r="W70" s="6">
        <v>0</v>
      </c>
      <c r="X70" s="6">
        <v>0</v>
      </c>
      <c r="Y70" s="6">
        <v>5074477.5</v>
      </c>
      <c r="Z70" s="6">
        <v>667904.4</v>
      </c>
      <c r="AA70" s="6">
        <v>0</v>
      </c>
      <c r="AB70" s="6">
        <v>568028.19999999995</v>
      </c>
      <c r="AC70" s="6">
        <v>0</v>
      </c>
      <c r="AD70" s="6">
        <f t="shared" si="14"/>
        <v>49543092</v>
      </c>
      <c r="AE70" s="6">
        <f t="shared" si="15"/>
        <v>0</v>
      </c>
      <c r="AF70" s="6">
        <f t="shared" si="16"/>
        <v>403076.6</v>
      </c>
      <c r="AG70" s="6">
        <f t="shared" si="17"/>
        <v>49140015.399999999</v>
      </c>
      <c r="AH70" s="6">
        <f t="shared" si="18"/>
        <v>7707649</v>
      </c>
      <c r="AI70" s="6">
        <f t="shared" si="19"/>
        <v>8187598.7999999998</v>
      </c>
      <c r="AJ70" s="6">
        <f t="shared" si="20"/>
        <v>234.3</v>
      </c>
      <c r="AK70" s="6">
        <f t="shared" si="21"/>
        <v>14114478</v>
      </c>
      <c r="AL70" s="6">
        <f t="shared" si="22"/>
        <v>19130053.899999999</v>
      </c>
      <c r="AM70" s="3">
        <f t="shared" si="23"/>
        <v>0.15685076484530366</v>
      </c>
      <c r="AN70" s="3">
        <f t="shared" si="24"/>
        <v>0.16661774998141332</v>
      </c>
      <c r="AO70" s="3">
        <f t="shared" si="25"/>
        <v>4.7680082737621608E-6</v>
      </c>
      <c r="AP70" s="3">
        <f t="shared" si="26"/>
        <v>0.28722982451486984</v>
      </c>
      <c r="AQ70" s="3">
        <f t="shared" si="27"/>
        <v>0.38929686416011988</v>
      </c>
    </row>
    <row r="71" spans="1:43" x14ac:dyDescent="0.3">
      <c r="A71" t="s">
        <v>179</v>
      </c>
      <c r="B71" t="s">
        <v>7</v>
      </c>
      <c r="C71" t="s">
        <v>161</v>
      </c>
      <c r="D71" s="6">
        <v>2040</v>
      </c>
      <c r="E71" t="s">
        <v>195</v>
      </c>
      <c r="F71" s="6">
        <v>246.5</v>
      </c>
      <c r="G71" s="7">
        <v>285</v>
      </c>
      <c r="H71" s="7">
        <v>787.6</v>
      </c>
      <c r="I71" s="6">
        <v>50007944</v>
      </c>
      <c r="J71" s="6">
        <v>18406986</v>
      </c>
      <c r="K71" s="6">
        <v>14114478</v>
      </c>
      <c r="L71" s="6">
        <v>7274591</v>
      </c>
      <c r="M71" s="6">
        <v>0</v>
      </c>
      <c r="N71" s="6">
        <v>121</v>
      </c>
      <c r="O71" s="6">
        <v>7744070.5</v>
      </c>
      <c r="P71" s="6">
        <v>0</v>
      </c>
      <c r="Q71" s="6">
        <v>120806.3</v>
      </c>
      <c r="R71" s="6">
        <v>1337170.6000000001</v>
      </c>
      <c r="S71" s="6">
        <v>0</v>
      </c>
      <c r="T71" s="6">
        <v>391209.8</v>
      </c>
      <c r="U71" s="6">
        <v>0</v>
      </c>
      <c r="V71" s="6">
        <v>12146835</v>
      </c>
      <c r="W71" s="6">
        <v>0</v>
      </c>
      <c r="X71" s="6">
        <v>0</v>
      </c>
      <c r="Y71" s="6">
        <v>5480527</v>
      </c>
      <c r="Z71" s="6">
        <v>779624.7</v>
      </c>
      <c r="AA71" s="6">
        <v>0</v>
      </c>
      <c r="AB71" s="6">
        <v>618511.6</v>
      </c>
      <c r="AC71" s="6">
        <v>0</v>
      </c>
      <c r="AD71" s="6">
        <f t="shared" si="14"/>
        <v>50007944</v>
      </c>
      <c r="AE71" s="6">
        <f t="shared" si="15"/>
        <v>0</v>
      </c>
      <c r="AF71" s="6">
        <f t="shared" si="16"/>
        <v>391209.8</v>
      </c>
      <c r="AG71" s="6">
        <f t="shared" si="17"/>
        <v>49616734.200000003</v>
      </c>
      <c r="AH71" s="6">
        <f t="shared" si="18"/>
        <v>7274591</v>
      </c>
      <c r="AI71" s="6">
        <f t="shared" si="19"/>
        <v>7864876.7999999998</v>
      </c>
      <c r="AJ71" s="6">
        <f t="shared" si="20"/>
        <v>121</v>
      </c>
      <c r="AK71" s="6">
        <f t="shared" si="21"/>
        <v>14114478</v>
      </c>
      <c r="AL71" s="6">
        <f t="shared" si="22"/>
        <v>20362668.900000002</v>
      </c>
      <c r="AM71" s="3">
        <f t="shared" si="23"/>
        <v>0.14661567548313165</v>
      </c>
      <c r="AN71" s="3">
        <f t="shared" si="24"/>
        <v>0.15851258505441898</v>
      </c>
      <c r="AO71" s="3">
        <f t="shared" si="25"/>
        <v>2.4386933551946674E-6</v>
      </c>
      <c r="AP71" s="3">
        <f t="shared" si="26"/>
        <v>0.28447011331108524</v>
      </c>
      <c r="AQ71" s="3">
        <f t="shared" si="27"/>
        <v>0.41039921768974469</v>
      </c>
    </row>
    <row r="72" spans="1:43" x14ac:dyDescent="0.3">
      <c r="A72" t="s">
        <v>179</v>
      </c>
      <c r="B72" t="s">
        <v>7</v>
      </c>
      <c r="C72" t="s">
        <v>161</v>
      </c>
      <c r="D72" s="6">
        <v>2042</v>
      </c>
      <c r="E72" t="s">
        <v>195</v>
      </c>
      <c r="F72" s="6">
        <v>217</v>
      </c>
      <c r="G72" s="7">
        <v>286.39999999999998</v>
      </c>
      <c r="H72" s="7">
        <v>780.3</v>
      </c>
      <c r="I72" s="6">
        <v>54378456</v>
      </c>
      <c r="J72" s="6">
        <v>23136706</v>
      </c>
      <c r="K72" s="6">
        <v>14114478</v>
      </c>
      <c r="L72" s="6">
        <v>6964901.5</v>
      </c>
      <c r="M72" s="6">
        <v>0</v>
      </c>
      <c r="N72" s="6">
        <v>106.1</v>
      </c>
      <c r="O72" s="6">
        <v>7539919</v>
      </c>
      <c r="P72" s="6">
        <v>0</v>
      </c>
      <c r="Q72" s="6">
        <v>110123.8</v>
      </c>
      <c r="R72" s="6">
        <v>1324241</v>
      </c>
      <c r="S72" s="6">
        <v>0</v>
      </c>
      <c r="T72" s="6">
        <v>383620.8</v>
      </c>
      <c r="U72" s="6">
        <v>0</v>
      </c>
      <c r="V72" s="6">
        <v>16451136</v>
      </c>
      <c r="W72" s="6">
        <v>0</v>
      </c>
      <c r="X72" s="6">
        <v>0</v>
      </c>
      <c r="Y72" s="6">
        <v>5796779.5</v>
      </c>
      <c r="Z72" s="6">
        <v>888791.8</v>
      </c>
      <c r="AA72" s="6">
        <v>0</v>
      </c>
      <c r="AB72" s="6">
        <v>804358.4</v>
      </c>
      <c r="AC72" s="6">
        <v>0</v>
      </c>
      <c r="AD72" s="6">
        <f t="shared" si="14"/>
        <v>54378456</v>
      </c>
      <c r="AE72" s="6">
        <f t="shared" si="15"/>
        <v>0</v>
      </c>
      <c r="AF72" s="6">
        <f t="shared" si="16"/>
        <v>383620.8</v>
      </c>
      <c r="AG72" s="6">
        <f t="shared" si="17"/>
        <v>53994835.200000003</v>
      </c>
      <c r="AH72" s="6">
        <f t="shared" si="18"/>
        <v>6964901.5</v>
      </c>
      <c r="AI72" s="6">
        <f t="shared" si="19"/>
        <v>7650042.7999999998</v>
      </c>
      <c r="AJ72" s="6">
        <f t="shared" si="20"/>
        <v>106.1</v>
      </c>
      <c r="AK72" s="6">
        <f t="shared" si="21"/>
        <v>14114478</v>
      </c>
      <c r="AL72" s="6">
        <f t="shared" si="22"/>
        <v>25265306.699999999</v>
      </c>
      <c r="AM72" s="3">
        <f t="shared" si="23"/>
        <v>0.12899199477508544</v>
      </c>
      <c r="AN72" s="3">
        <f t="shared" si="24"/>
        <v>0.14168101026077395</v>
      </c>
      <c r="AO72" s="3">
        <f t="shared" si="25"/>
        <v>1.9650027564117835E-6</v>
      </c>
      <c r="AP72" s="3">
        <f t="shared" si="26"/>
        <v>0.26140422408401015</v>
      </c>
      <c r="AQ72" s="3">
        <f t="shared" si="27"/>
        <v>0.46792080402534497</v>
      </c>
    </row>
    <row r="73" spans="1:43" x14ac:dyDescent="0.3">
      <c r="A73" t="s">
        <v>179</v>
      </c>
      <c r="B73" t="s">
        <v>7</v>
      </c>
      <c r="C73" t="s">
        <v>161</v>
      </c>
      <c r="D73" s="6">
        <v>2044</v>
      </c>
      <c r="E73" t="s">
        <v>195</v>
      </c>
      <c r="F73" s="6">
        <v>210.3</v>
      </c>
      <c r="G73" s="7">
        <v>288.8</v>
      </c>
      <c r="H73" s="7">
        <v>749.6</v>
      </c>
      <c r="I73" s="6">
        <v>55433480</v>
      </c>
      <c r="J73" s="6">
        <v>24041898</v>
      </c>
      <c r="K73" s="6">
        <v>14114478</v>
      </c>
      <c r="L73" s="6">
        <v>6807869</v>
      </c>
      <c r="M73" s="6">
        <v>0</v>
      </c>
      <c r="N73" s="6">
        <v>51.3</v>
      </c>
      <c r="O73" s="6">
        <v>7676409</v>
      </c>
      <c r="P73" s="6">
        <v>0</v>
      </c>
      <c r="Q73" s="6">
        <v>96357.6</v>
      </c>
      <c r="R73" s="6">
        <v>1320012.8</v>
      </c>
      <c r="S73" s="6">
        <v>0</v>
      </c>
      <c r="T73" s="6">
        <v>380452.7</v>
      </c>
      <c r="U73" s="6">
        <v>0</v>
      </c>
      <c r="V73" s="6">
        <v>17027552</v>
      </c>
      <c r="W73" s="6">
        <v>0</v>
      </c>
      <c r="X73" s="6">
        <v>0</v>
      </c>
      <c r="Y73" s="6">
        <v>6078008</v>
      </c>
      <c r="Z73" s="6">
        <v>936337.4</v>
      </c>
      <c r="AA73" s="6">
        <v>0</v>
      </c>
      <c r="AB73" s="6">
        <v>995947.8</v>
      </c>
      <c r="AC73" s="6">
        <v>0</v>
      </c>
      <c r="AD73" s="6">
        <f t="shared" si="14"/>
        <v>55433480</v>
      </c>
      <c r="AE73" s="6">
        <f t="shared" si="15"/>
        <v>0</v>
      </c>
      <c r="AF73" s="6">
        <f t="shared" si="16"/>
        <v>380452.7</v>
      </c>
      <c r="AG73" s="6">
        <f t="shared" si="17"/>
        <v>55053027.299999997</v>
      </c>
      <c r="AH73" s="6">
        <f t="shared" si="18"/>
        <v>6807869</v>
      </c>
      <c r="AI73" s="6">
        <f t="shared" si="19"/>
        <v>7772766.5999999996</v>
      </c>
      <c r="AJ73" s="6">
        <f t="shared" si="20"/>
        <v>51.3</v>
      </c>
      <c r="AK73" s="6">
        <f t="shared" si="21"/>
        <v>14114478</v>
      </c>
      <c r="AL73" s="6">
        <f t="shared" si="22"/>
        <v>26357858</v>
      </c>
      <c r="AM73" s="3">
        <f t="shared" si="23"/>
        <v>0.12366021150666133</v>
      </c>
      <c r="AN73" s="3">
        <f t="shared" si="24"/>
        <v>0.14118690617400434</v>
      </c>
      <c r="AO73" s="3">
        <f t="shared" si="25"/>
        <v>9.3182886602132418E-7</v>
      </c>
      <c r="AP73" s="3">
        <f t="shared" si="26"/>
        <v>0.2563796886788095</v>
      </c>
      <c r="AQ73" s="3">
        <f t="shared" si="27"/>
        <v>0.47877218188871518</v>
      </c>
    </row>
    <row r="74" spans="1:43" x14ac:dyDescent="0.3">
      <c r="A74" t="s">
        <v>179</v>
      </c>
      <c r="B74" t="s">
        <v>7</v>
      </c>
      <c r="C74" t="s">
        <v>161</v>
      </c>
      <c r="D74" s="6">
        <v>2046</v>
      </c>
      <c r="E74" t="s">
        <v>195</v>
      </c>
      <c r="F74" s="6">
        <v>191.3</v>
      </c>
      <c r="G74" s="7">
        <v>307.8</v>
      </c>
      <c r="H74" s="7">
        <v>721.1</v>
      </c>
      <c r="I74" s="6">
        <v>62021470</v>
      </c>
      <c r="J74" s="6">
        <v>29662396</v>
      </c>
      <c r="K74" s="6">
        <v>14114478</v>
      </c>
      <c r="L74" s="6">
        <v>7159297</v>
      </c>
      <c r="M74" s="6">
        <v>0</v>
      </c>
      <c r="N74" s="6">
        <v>13</v>
      </c>
      <c r="O74" s="6">
        <v>7336969</v>
      </c>
      <c r="P74" s="6">
        <v>0</v>
      </c>
      <c r="Q74" s="6">
        <v>71084.100000000006</v>
      </c>
      <c r="R74" s="6">
        <v>1323766.5</v>
      </c>
      <c r="S74" s="6">
        <v>0</v>
      </c>
      <c r="T74" s="6">
        <v>386869.1</v>
      </c>
      <c r="U74" s="6">
        <v>0</v>
      </c>
      <c r="V74" s="6">
        <v>19795746</v>
      </c>
      <c r="W74" s="6">
        <v>0</v>
      </c>
      <c r="X74" s="6">
        <v>0</v>
      </c>
      <c r="Y74" s="6">
        <v>8888698</v>
      </c>
      <c r="Z74" s="6">
        <v>977952.3</v>
      </c>
      <c r="AA74" s="6">
        <v>0</v>
      </c>
      <c r="AB74" s="6">
        <v>1966601.6</v>
      </c>
      <c r="AC74" s="6">
        <v>0</v>
      </c>
      <c r="AD74" s="6">
        <f t="shared" si="14"/>
        <v>62021470</v>
      </c>
      <c r="AE74" s="6">
        <f t="shared" si="15"/>
        <v>0</v>
      </c>
      <c r="AF74" s="6">
        <f t="shared" si="16"/>
        <v>386869.1</v>
      </c>
      <c r="AG74" s="6">
        <f t="shared" si="17"/>
        <v>61634600.899999999</v>
      </c>
      <c r="AH74" s="6">
        <f t="shared" si="18"/>
        <v>7159297</v>
      </c>
      <c r="AI74" s="6">
        <f t="shared" si="19"/>
        <v>7408053.0999999996</v>
      </c>
      <c r="AJ74" s="6">
        <f t="shared" si="20"/>
        <v>13</v>
      </c>
      <c r="AK74" s="6">
        <f t="shared" si="21"/>
        <v>14114478</v>
      </c>
      <c r="AL74" s="6">
        <f t="shared" si="22"/>
        <v>32952764.400000002</v>
      </c>
      <c r="AM74" s="3">
        <f t="shared" si="23"/>
        <v>0.11615710810905892</v>
      </c>
      <c r="AN74" s="3">
        <f t="shared" si="24"/>
        <v>0.12019308946316223</v>
      </c>
      <c r="AO74" s="3">
        <f t="shared" si="25"/>
        <v>2.1092048638543226E-7</v>
      </c>
      <c r="AP74" s="3">
        <f t="shared" si="26"/>
        <v>0.22900250498742178</v>
      </c>
      <c r="AQ74" s="3">
        <f t="shared" si="27"/>
        <v>0.5346471611532736</v>
      </c>
    </row>
    <row r="75" spans="1:43" x14ac:dyDescent="0.3">
      <c r="A75" t="s">
        <v>179</v>
      </c>
      <c r="B75" t="s">
        <v>7</v>
      </c>
      <c r="C75" t="s">
        <v>161</v>
      </c>
      <c r="D75" s="6">
        <v>2048</v>
      </c>
      <c r="E75" t="s">
        <v>195</v>
      </c>
      <c r="F75" s="6">
        <v>177.9</v>
      </c>
      <c r="G75" s="7">
        <v>303.89999999999998</v>
      </c>
      <c r="H75" s="7">
        <v>696.5</v>
      </c>
      <c r="I75" s="6">
        <v>65583864</v>
      </c>
      <c r="J75" s="6">
        <v>33342620</v>
      </c>
      <c r="K75" s="6">
        <v>14114478</v>
      </c>
      <c r="L75" s="6">
        <v>6966297</v>
      </c>
      <c r="M75" s="6">
        <v>0</v>
      </c>
      <c r="N75" s="6">
        <v>9.3000000000000007</v>
      </c>
      <c r="O75" s="6">
        <v>7270661</v>
      </c>
      <c r="P75" s="6">
        <v>0</v>
      </c>
      <c r="Q75" s="6">
        <v>80027.899999999994</v>
      </c>
      <c r="R75" s="6">
        <v>1305133.5</v>
      </c>
      <c r="S75" s="6">
        <v>0</v>
      </c>
      <c r="T75" s="6">
        <v>376293</v>
      </c>
      <c r="U75" s="6">
        <v>0</v>
      </c>
      <c r="V75" s="6">
        <v>23518938</v>
      </c>
      <c r="W75" s="6">
        <v>0</v>
      </c>
      <c r="X75" s="6">
        <v>0</v>
      </c>
      <c r="Y75" s="6">
        <v>8800732</v>
      </c>
      <c r="Z75" s="6">
        <v>1022949.9</v>
      </c>
      <c r="AA75" s="6">
        <v>0</v>
      </c>
      <c r="AB75" s="6">
        <v>2128348.5</v>
      </c>
      <c r="AC75" s="6">
        <v>0</v>
      </c>
      <c r="AD75" s="6">
        <f t="shared" si="14"/>
        <v>65583864</v>
      </c>
      <c r="AE75" s="6">
        <f t="shared" si="15"/>
        <v>0</v>
      </c>
      <c r="AF75" s="6">
        <f t="shared" si="16"/>
        <v>376293</v>
      </c>
      <c r="AG75" s="6">
        <f t="shared" si="17"/>
        <v>65207571</v>
      </c>
      <c r="AH75" s="6">
        <f t="shared" si="18"/>
        <v>6966297</v>
      </c>
      <c r="AI75" s="6">
        <f t="shared" si="19"/>
        <v>7350688.9000000004</v>
      </c>
      <c r="AJ75" s="6">
        <f t="shared" si="20"/>
        <v>9.3000000000000007</v>
      </c>
      <c r="AK75" s="6">
        <f t="shared" si="21"/>
        <v>14114478</v>
      </c>
      <c r="AL75" s="6">
        <f t="shared" si="22"/>
        <v>36776101.899999999</v>
      </c>
      <c r="AM75" s="3">
        <f t="shared" si="23"/>
        <v>0.1068326406453631</v>
      </c>
      <c r="AN75" s="3">
        <f t="shared" si="24"/>
        <v>0.11272753742046304</v>
      </c>
      <c r="AO75" s="3">
        <f t="shared" si="25"/>
        <v>1.4262147565656144E-7</v>
      </c>
      <c r="AP75" s="3">
        <f t="shared" si="26"/>
        <v>0.21645458929914749</v>
      </c>
      <c r="AQ75" s="3">
        <f t="shared" si="27"/>
        <v>0.56398515288968509</v>
      </c>
    </row>
    <row r="76" spans="1:43" x14ac:dyDescent="0.3">
      <c r="A76" t="s">
        <v>179</v>
      </c>
      <c r="B76" t="s">
        <v>7</v>
      </c>
      <c r="C76" t="s">
        <v>161</v>
      </c>
      <c r="D76" s="6">
        <v>2050</v>
      </c>
      <c r="E76" t="s">
        <v>195</v>
      </c>
      <c r="F76" s="6">
        <v>213.7</v>
      </c>
      <c r="G76" s="7">
        <v>286</v>
      </c>
      <c r="H76" s="7">
        <v>706.3</v>
      </c>
      <c r="I76" s="6">
        <v>55066650</v>
      </c>
      <c r="J76" s="6">
        <v>35622668</v>
      </c>
      <c r="K76" s="6">
        <v>0</v>
      </c>
      <c r="L76" s="6">
        <v>6529871</v>
      </c>
      <c r="M76" s="6">
        <v>0</v>
      </c>
      <c r="N76" s="6">
        <v>22.7</v>
      </c>
      <c r="O76" s="6">
        <v>8648157</v>
      </c>
      <c r="P76" s="6">
        <v>0</v>
      </c>
      <c r="Q76" s="6">
        <v>202184.8</v>
      </c>
      <c r="R76" s="6">
        <v>1342521.1</v>
      </c>
      <c r="S76" s="6">
        <v>0</v>
      </c>
      <c r="T76" s="6">
        <v>414207.4</v>
      </c>
      <c r="U76" s="6">
        <v>0</v>
      </c>
      <c r="V76" s="6">
        <v>25771800</v>
      </c>
      <c r="W76" s="6">
        <v>0</v>
      </c>
      <c r="X76" s="6">
        <v>0</v>
      </c>
      <c r="Y76" s="6">
        <v>8790051</v>
      </c>
      <c r="Z76" s="6">
        <v>1060816.2</v>
      </c>
      <c r="AA76" s="6">
        <v>0</v>
      </c>
      <c r="AB76" s="6">
        <v>2307022.7999999998</v>
      </c>
      <c r="AC76" s="6">
        <v>0</v>
      </c>
      <c r="AD76" s="6">
        <f t="shared" si="14"/>
        <v>55066650</v>
      </c>
      <c r="AE76" s="6">
        <f t="shared" si="15"/>
        <v>0</v>
      </c>
      <c r="AF76" s="6">
        <f t="shared" si="16"/>
        <v>414207.4</v>
      </c>
      <c r="AG76" s="6">
        <f t="shared" si="17"/>
        <v>54652442.600000001</v>
      </c>
      <c r="AH76" s="6">
        <f t="shared" si="18"/>
        <v>6529871</v>
      </c>
      <c r="AI76" s="6">
        <f t="shared" si="19"/>
        <v>8850341.8000000007</v>
      </c>
      <c r="AJ76" s="6">
        <f t="shared" si="20"/>
        <v>22.7</v>
      </c>
      <c r="AK76" s="6">
        <f t="shared" si="21"/>
        <v>0</v>
      </c>
      <c r="AL76" s="6">
        <f t="shared" si="22"/>
        <v>39272211.100000001</v>
      </c>
      <c r="AM76" s="3">
        <f t="shared" si="23"/>
        <v>0.11947994800144578</v>
      </c>
      <c r="AN76" s="3">
        <f t="shared" si="24"/>
        <v>0.16193863218109852</v>
      </c>
      <c r="AO76" s="3">
        <f t="shared" si="25"/>
        <v>4.1535197550346997E-7</v>
      </c>
      <c r="AP76" s="3">
        <f t="shared" si="26"/>
        <v>0</v>
      </c>
      <c r="AQ76" s="3">
        <f t="shared" si="27"/>
        <v>0.71858107765525558</v>
      </c>
    </row>
    <row r="77" spans="1:43" x14ac:dyDescent="0.3">
      <c r="A77" t="s">
        <v>179</v>
      </c>
      <c r="B77" t="s">
        <v>7</v>
      </c>
      <c r="C77" t="s">
        <v>162</v>
      </c>
      <c r="D77" s="6">
        <v>2022</v>
      </c>
      <c r="E77" t="s">
        <v>195</v>
      </c>
      <c r="F77" s="6">
        <v>374.3</v>
      </c>
      <c r="G77" s="7">
        <v>682</v>
      </c>
      <c r="H77" s="7">
        <v>898.3</v>
      </c>
      <c r="I77" s="6">
        <v>222987400</v>
      </c>
      <c r="J77" s="6">
        <v>96969410</v>
      </c>
      <c r="K77" s="6">
        <v>23241642</v>
      </c>
      <c r="L77" s="6">
        <v>65942388</v>
      </c>
      <c r="M77" s="6">
        <v>0</v>
      </c>
      <c r="N77" s="6">
        <v>374185.7</v>
      </c>
      <c r="O77" s="6">
        <v>9251273</v>
      </c>
      <c r="P77" s="6">
        <v>0</v>
      </c>
      <c r="Q77" s="6">
        <v>1050899.1000000001</v>
      </c>
      <c r="R77" s="6">
        <v>10188605</v>
      </c>
      <c r="S77" s="6">
        <v>0</v>
      </c>
      <c r="T77" s="6">
        <v>1240654.3999999999</v>
      </c>
      <c r="U77" s="6">
        <v>0</v>
      </c>
      <c r="V77" s="6">
        <v>92371256</v>
      </c>
      <c r="W77" s="6">
        <v>0</v>
      </c>
      <c r="X77" s="6">
        <v>0</v>
      </c>
      <c r="Y77" s="6">
        <v>3253328.8</v>
      </c>
      <c r="Z77" s="6">
        <v>1344821.8</v>
      </c>
      <c r="AA77" s="6">
        <v>0</v>
      </c>
      <c r="AB77" s="6">
        <v>26716.6</v>
      </c>
      <c r="AC77" s="6">
        <v>14701626</v>
      </c>
      <c r="AD77" s="6">
        <f t="shared" si="14"/>
        <v>222987400</v>
      </c>
      <c r="AE77" s="6">
        <f t="shared" si="15"/>
        <v>14701626</v>
      </c>
      <c r="AF77" s="6">
        <f t="shared" si="16"/>
        <v>1240654.3999999999</v>
      </c>
      <c r="AG77" s="6">
        <f t="shared" si="17"/>
        <v>207045119.59999999</v>
      </c>
      <c r="AH77" s="6">
        <f t="shared" si="18"/>
        <v>65942388</v>
      </c>
      <c r="AI77" s="6">
        <f t="shared" si="19"/>
        <v>10302172.1</v>
      </c>
      <c r="AJ77" s="6">
        <f t="shared" si="20"/>
        <v>374185.7</v>
      </c>
      <c r="AK77" s="6">
        <f t="shared" si="21"/>
        <v>23241642</v>
      </c>
      <c r="AL77" s="6">
        <f t="shared" si="22"/>
        <v>107184728.19999999</v>
      </c>
      <c r="AM77" s="3">
        <f t="shared" si="23"/>
        <v>0.31849283927772426</v>
      </c>
      <c r="AN77" s="3">
        <f t="shared" si="24"/>
        <v>4.9758101615257781E-2</v>
      </c>
      <c r="AO77" s="3">
        <f t="shared" si="25"/>
        <v>1.8072664582623663E-3</v>
      </c>
      <c r="AP77" s="3">
        <f t="shared" si="26"/>
        <v>0.11225399586767174</v>
      </c>
      <c r="AQ77" s="3">
        <f t="shared" si="27"/>
        <v>0.51768777939356936</v>
      </c>
    </row>
    <row r="78" spans="1:43" x14ac:dyDescent="0.3">
      <c r="A78" t="s">
        <v>179</v>
      </c>
      <c r="B78" t="s">
        <v>7</v>
      </c>
      <c r="C78" t="s">
        <v>162</v>
      </c>
      <c r="D78" s="6">
        <v>2024</v>
      </c>
      <c r="E78" t="s">
        <v>195</v>
      </c>
      <c r="F78" s="6">
        <v>344.5</v>
      </c>
      <c r="G78" s="7">
        <v>558.5</v>
      </c>
      <c r="H78" s="7">
        <v>911.1</v>
      </c>
      <c r="I78" s="6">
        <v>228765520</v>
      </c>
      <c r="J78" s="6">
        <v>104335040</v>
      </c>
      <c r="K78" s="6">
        <v>23241642</v>
      </c>
      <c r="L78" s="6">
        <v>60430324</v>
      </c>
      <c r="M78" s="6">
        <v>0</v>
      </c>
      <c r="N78" s="6">
        <v>248327.2</v>
      </c>
      <c r="O78" s="6">
        <v>13197319</v>
      </c>
      <c r="P78" s="6">
        <v>0</v>
      </c>
      <c r="Q78" s="6">
        <v>1280397.5</v>
      </c>
      <c r="R78" s="6">
        <v>10224528</v>
      </c>
      <c r="S78" s="6">
        <v>0</v>
      </c>
      <c r="T78" s="6">
        <v>1136624.8999999999</v>
      </c>
      <c r="U78" s="6">
        <v>0</v>
      </c>
      <c r="V78" s="6">
        <v>92224050</v>
      </c>
      <c r="W78" s="6">
        <v>0</v>
      </c>
      <c r="X78" s="6">
        <v>0</v>
      </c>
      <c r="Y78" s="6">
        <v>10623665</v>
      </c>
      <c r="Z78" s="6">
        <v>1487322</v>
      </c>
      <c r="AA78" s="6">
        <v>0</v>
      </c>
      <c r="AB78" s="6">
        <v>26104.7</v>
      </c>
      <c r="AC78" s="6">
        <v>14645214</v>
      </c>
      <c r="AD78" s="6">
        <f t="shared" si="14"/>
        <v>228765520</v>
      </c>
      <c r="AE78" s="6">
        <f t="shared" si="15"/>
        <v>14645214</v>
      </c>
      <c r="AF78" s="6">
        <f t="shared" si="16"/>
        <v>1136624.8999999999</v>
      </c>
      <c r="AG78" s="6">
        <f t="shared" si="17"/>
        <v>212983681.09999999</v>
      </c>
      <c r="AH78" s="6">
        <f t="shared" si="18"/>
        <v>60430324</v>
      </c>
      <c r="AI78" s="6">
        <f t="shared" si="19"/>
        <v>14477716.5</v>
      </c>
      <c r="AJ78" s="6">
        <f t="shared" si="20"/>
        <v>248327.2</v>
      </c>
      <c r="AK78" s="6">
        <f t="shared" si="21"/>
        <v>23241642</v>
      </c>
      <c r="AL78" s="6">
        <f t="shared" si="22"/>
        <v>114585669.7</v>
      </c>
      <c r="AM78" s="3">
        <f t="shared" si="23"/>
        <v>0.28373217932892608</v>
      </c>
      <c r="AN78" s="3">
        <f t="shared" si="24"/>
        <v>6.797570792854514E-2</v>
      </c>
      <c r="AO78" s="3">
        <f t="shared" si="25"/>
        <v>1.1659447273963E-3</v>
      </c>
      <c r="AP78" s="3">
        <f t="shared" si="26"/>
        <v>0.10912405063131383</v>
      </c>
      <c r="AQ78" s="3">
        <f t="shared" si="27"/>
        <v>0.53800210940198656</v>
      </c>
    </row>
    <row r="79" spans="1:43" x14ac:dyDescent="0.3">
      <c r="A79" t="s">
        <v>179</v>
      </c>
      <c r="B79" t="s">
        <v>7</v>
      </c>
      <c r="C79" t="s">
        <v>162</v>
      </c>
      <c r="D79" s="6">
        <v>2026</v>
      </c>
      <c r="E79" t="s">
        <v>195</v>
      </c>
      <c r="F79" s="6">
        <v>276.5</v>
      </c>
      <c r="G79" s="7">
        <v>424.5</v>
      </c>
      <c r="H79" s="7">
        <v>861.3</v>
      </c>
      <c r="I79" s="6">
        <v>242911460</v>
      </c>
      <c r="J79" s="6">
        <v>130262130</v>
      </c>
      <c r="K79" s="6">
        <v>23241642</v>
      </c>
      <c r="L79" s="6">
        <v>52032120</v>
      </c>
      <c r="M79" s="6">
        <v>0</v>
      </c>
      <c r="N79" s="6">
        <v>50810.2</v>
      </c>
      <c r="O79" s="6">
        <v>11188223</v>
      </c>
      <c r="P79" s="6">
        <v>0</v>
      </c>
      <c r="Q79" s="6">
        <v>644020.6</v>
      </c>
      <c r="R79" s="6">
        <v>10538400</v>
      </c>
      <c r="S79" s="6">
        <v>0</v>
      </c>
      <c r="T79" s="6">
        <v>1127239.8999999999</v>
      </c>
      <c r="U79" s="6">
        <v>0</v>
      </c>
      <c r="V79" s="6">
        <v>97243900</v>
      </c>
      <c r="W79" s="6">
        <v>0</v>
      </c>
      <c r="X79" s="6">
        <v>0</v>
      </c>
      <c r="Y79" s="6">
        <v>31297476</v>
      </c>
      <c r="Z79" s="6">
        <v>1720763</v>
      </c>
      <c r="AA79" s="6">
        <v>0</v>
      </c>
      <c r="AB79" s="6">
        <v>186485</v>
      </c>
      <c r="AC79" s="6">
        <v>13640387</v>
      </c>
      <c r="AD79" s="6">
        <f t="shared" si="14"/>
        <v>242911460</v>
      </c>
      <c r="AE79" s="6">
        <f t="shared" si="15"/>
        <v>13640387</v>
      </c>
      <c r="AF79" s="6">
        <f t="shared" si="16"/>
        <v>1127239.8999999999</v>
      </c>
      <c r="AG79" s="6">
        <f t="shared" si="17"/>
        <v>228143833.09999999</v>
      </c>
      <c r="AH79" s="6">
        <f t="shared" si="18"/>
        <v>52032120</v>
      </c>
      <c r="AI79" s="6">
        <f t="shared" si="19"/>
        <v>11832243.6</v>
      </c>
      <c r="AJ79" s="6">
        <f t="shared" si="20"/>
        <v>50810.2</v>
      </c>
      <c r="AK79" s="6">
        <f t="shared" si="21"/>
        <v>23241642</v>
      </c>
      <c r="AL79" s="6">
        <f t="shared" si="22"/>
        <v>140987024</v>
      </c>
      <c r="AM79" s="3">
        <f t="shared" si="23"/>
        <v>0.22806717715307817</v>
      </c>
      <c r="AN79" s="3">
        <f t="shared" si="24"/>
        <v>5.1863087593578265E-2</v>
      </c>
      <c r="AO79" s="3">
        <f t="shared" si="25"/>
        <v>2.2271125767282465E-4</v>
      </c>
      <c r="AP79" s="3">
        <f t="shared" si="26"/>
        <v>0.10187276019778595</v>
      </c>
      <c r="AQ79" s="3">
        <f t="shared" si="27"/>
        <v>0.61797429316532337</v>
      </c>
    </row>
    <row r="80" spans="1:43" x14ac:dyDescent="0.3">
      <c r="A80" t="s">
        <v>179</v>
      </c>
      <c r="B80" t="s">
        <v>7</v>
      </c>
      <c r="C80" t="s">
        <v>162</v>
      </c>
      <c r="D80" s="6">
        <v>2028</v>
      </c>
      <c r="E80" t="s">
        <v>195</v>
      </c>
      <c r="F80" s="6">
        <v>248.2</v>
      </c>
      <c r="G80" s="7">
        <v>357.1</v>
      </c>
      <c r="H80" s="7">
        <v>813.2</v>
      </c>
      <c r="I80" s="6">
        <v>268011780</v>
      </c>
      <c r="J80" s="6">
        <v>154524740</v>
      </c>
      <c r="K80" s="6">
        <v>23241642</v>
      </c>
      <c r="L80" s="6">
        <v>53210452</v>
      </c>
      <c r="M80" s="6">
        <v>0</v>
      </c>
      <c r="N80" s="6">
        <v>25638.7</v>
      </c>
      <c r="O80" s="6">
        <v>7626825</v>
      </c>
      <c r="P80" s="6">
        <v>0</v>
      </c>
      <c r="Q80" s="6">
        <v>347331.8</v>
      </c>
      <c r="R80" s="6">
        <v>10502357</v>
      </c>
      <c r="S80" s="6">
        <v>0</v>
      </c>
      <c r="T80" s="6">
        <v>968946.2</v>
      </c>
      <c r="U80" s="6">
        <v>0</v>
      </c>
      <c r="V80" s="6">
        <v>95299260</v>
      </c>
      <c r="W80" s="6">
        <v>0</v>
      </c>
      <c r="X80" s="6">
        <v>0</v>
      </c>
      <c r="Y80" s="6">
        <v>57172770</v>
      </c>
      <c r="Z80" s="6">
        <v>2052703.6</v>
      </c>
      <c r="AA80" s="6">
        <v>0</v>
      </c>
      <c r="AB80" s="6">
        <v>490850.6</v>
      </c>
      <c r="AC80" s="6">
        <v>17073000</v>
      </c>
      <c r="AD80" s="6">
        <f t="shared" si="14"/>
        <v>268011780</v>
      </c>
      <c r="AE80" s="6">
        <f t="shared" si="15"/>
        <v>17073000</v>
      </c>
      <c r="AF80" s="6">
        <f t="shared" si="16"/>
        <v>968946.2</v>
      </c>
      <c r="AG80" s="6">
        <f t="shared" si="17"/>
        <v>249969833.80000001</v>
      </c>
      <c r="AH80" s="6">
        <f t="shared" si="18"/>
        <v>53210452</v>
      </c>
      <c r="AI80" s="6">
        <f t="shared" si="19"/>
        <v>7974156.7999999998</v>
      </c>
      <c r="AJ80" s="6">
        <f t="shared" si="20"/>
        <v>25638.7</v>
      </c>
      <c r="AK80" s="6">
        <f t="shared" si="21"/>
        <v>23241642</v>
      </c>
      <c r="AL80" s="6">
        <f t="shared" si="22"/>
        <v>165517941.19999999</v>
      </c>
      <c r="AM80" s="3">
        <f t="shared" si="23"/>
        <v>0.21286749361354337</v>
      </c>
      <c r="AN80" s="3">
        <f t="shared" si="24"/>
        <v>3.1900476464612505E-2</v>
      </c>
      <c r="AO80" s="3">
        <f t="shared" si="25"/>
        <v>1.025671762478085E-4</v>
      </c>
      <c r="AP80" s="3">
        <f t="shared" si="26"/>
        <v>9.2977787146090424E-2</v>
      </c>
      <c r="AQ80" s="3">
        <f t="shared" si="27"/>
        <v>0.66215166319800933</v>
      </c>
    </row>
    <row r="81" spans="1:43" x14ac:dyDescent="0.3">
      <c r="A81" t="s">
        <v>179</v>
      </c>
      <c r="B81" t="s">
        <v>7</v>
      </c>
      <c r="C81" t="s">
        <v>162</v>
      </c>
      <c r="D81" s="6">
        <v>2030</v>
      </c>
      <c r="E81" t="s">
        <v>195</v>
      </c>
      <c r="F81" s="6">
        <v>237.5</v>
      </c>
      <c r="G81" s="7">
        <v>386.4</v>
      </c>
      <c r="H81" s="7">
        <v>839.5</v>
      </c>
      <c r="I81" s="6">
        <v>276823230</v>
      </c>
      <c r="J81" s="6">
        <v>158974080</v>
      </c>
      <c r="K81" s="6">
        <v>23241642</v>
      </c>
      <c r="L81" s="6">
        <v>53194612</v>
      </c>
      <c r="M81" s="6">
        <v>0</v>
      </c>
      <c r="N81" s="6">
        <v>16530.3</v>
      </c>
      <c r="O81" s="6">
        <v>6256886</v>
      </c>
      <c r="P81" s="6">
        <v>0</v>
      </c>
      <c r="Q81" s="6">
        <v>287652</v>
      </c>
      <c r="R81" s="6">
        <v>10686166</v>
      </c>
      <c r="S81" s="6">
        <v>0</v>
      </c>
      <c r="T81" s="6">
        <v>605630</v>
      </c>
      <c r="U81" s="6">
        <v>0</v>
      </c>
      <c r="V81" s="6">
        <v>96034420</v>
      </c>
      <c r="W81" s="6">
        <v>0</v>
      </c>
      <c r="X81" s="6">
        <v>0</v>
      </c>
      <c r="Y81" s="6">
        <v>60257280</v>
      </c>
      <c r="Z81" s="6">
        <v>2682387.7999999998</v>
      </c>
      <c r="AA81" s="6">
        <v>0</v>
      </c>
      <c r="AB81" s="6">
        <v>3168115</v>
      </c>
      <c r="AC81" s="6">
        <v>20391900</v>
      </c>
      <c r="AD81" s="6">
        <f t="shared" si="14"/>
        <v>276823230</v>
      </c>
      <c r="AE81" s="6">
        <f t="shared" si="15"/>
        <v>20391900</v>
      </c>
      <c r="AF81" s="6">
        <f t="shared" si="16"/>
        <v>605630</v>
      </c>
      <c r="AG81" s="6">
        <f t="shared" si="17"/>
        <v>255825700</v>
      </c>
      <c r="AH81" s="6">
        <f t="shared" si="18"/>
        <v>53194612</v>
      </c>
      <c r="AI81" s="6">
        <f t="shared" si="19"/>
        <v>6544538</v>
      </c>
      <c r="AJ81" s="6">
        <f t="shared" si="20"/>
        <v>16530.3</v>
      </c>
      <c r="AK81" s="6">
        <f t="shared" si="21"/>
        <v>23241642</v>
      </c>
      <c r="AL81" s="6">
        <f t="shared" si="22"/>
        <v>172828368.80000001</v>
      </c>
      <c r="AM81" s="3">
        <f t="shared" si="23"/>
        <v>0.20793302627531166</v>
      </c>
      <c r="AN81" s="3">
        <f t="shared" si="24"/>
        <v>2.558201932018558E-2</v>
      </c>
      <c r="AO81" s="3">
        <f t="shared" si="25"/>
        <v>6.4615478429258671E-5</v>
      </c>
      <c r="AP81" s="3">
        <f t="shared" si="26"/>
        <v>9.0849519809776735E-2</v>
      </c>
      <c r="AQ81" s="3">
        <f t="shared" si="27"/>
        <v>0.67557078432698514</v>
      </c>
    </row>
    <row r="82" spans="1:43" x14ac:dyDescent="0.3">
      <c r="A82" t="s">
        <v>179</v>
      </c>
      <c r="B82" t="s">
        <v>7</v>
      </c>
      <c r="C82" t="s">
        <v>162</v>
      </c>
      <c r="D82" s="6">
        <v>2032</v>
      </c>
      <c r="E82" t="s">
        <v>195</v>
      </c>
      <c r="F82" s="6">
        <v>237.2</v>
      </c>
      <c r="G82" s="7">
        <v>275.39999999999998</v>
      </c>
      <c r="H82" s="7">
        <v>848.8</v>
      </c>
      <c r="I82" s="6">
        <v>281126240</v>
      </c>
      <c r="J82" s="6">
        <v>161872030</v>
      </c>
      <c r="K82" s="6">
        <v>23241642</v>
      </c>
      <c r="L82" s="6">
        <v>54178530</v>
      </c>
      <c r="M82" s="6">
        <v>0</v>
      </c>
      <c r="N82" s="6">
        <v>10971.5</v>
      </c>
      <c r="O82" s="6">
        <v>5821897.5</v>
      </c>
      <c r="P82" s="6">
        <v>0</v>
      </c>
      <c r="Q82" s="6">
        <v>215650.4</v>
      </c>
      <c r="R82" s="6">
        <v>10810147</v>
      </c>
      <c r="S82" s="6">
        <v>0</v>
      </c>
      <c r="T82" s="6">
        <v>610647.4</v>
      </c>
      <c r="U82" s="6">
        <v>0</v>
      </c>
      <c r="V82" s="6">
        <v>98587220</v>
      </c>
      <c r="W82" s="6">
        <v>0</v>
      </c>
      <c r="X82" s="6">
        <v>0</v>
      </c>
      <c r="Y82" s="6">
        <v>59905100</v>
      </c>
      <c r="Z82" s="6">
        <v>3379709.2</v>
      </c>
      <c r="AA82" s="6">
        <v>0</v>
      </c>
      <c r="AB82" s="6">
        <v>4012968.8</v>
      </c>
      <c r="AC82" s="6">
        <v>20351758</v>
      </c>
      <c r="AD82" s="6">
        <f t="shared" si="14"/>
        <v>281126240</v>
      </c>
      <c r="AE82" s="6">
        <f t="shared" si="15"/>
        <v>20351758</v>
      </c>
      <c r="AF82" s="6">
        <f t="shared" si="16"/>
        <v>610647.4</v>
      </c>
      <c r="AG82" s="6">
        <f t="shared" si="17"/>
        <v>260163834.59999999</v>
      </c>
      <c r="AH82" s="6">
        <f t="shared" si="18"/>
        <v>54178530</v>
      </c>
      <c r="AI82" s="6">
        <f t="shared" si="19"/>
        <v>6037547.9000000004</v>
      </c>
      <c r="AJ82" s="6">
        <f t="shared" si="20"/>
        <v>10971.5</v>
      </c>
      <c r="AK82" s="6">
        <f t="shared" si="21"/>
        <v>23241642</v>
      </c>
      <c r="AL82" s="6">
        <f t="shared" si="22"/>
        <v>176695145</v>
      </c>
      <c r="AM82" s="3">
        <f t="shared" si="23"/>
        <v>0.20824773775071043</v>
      </c>
      <c r="AN82" s="3">
        <f t="shared" si="24"/>
        <v>2.3206714758347124E-2</v>
      </c>
      <c r="AO82" s="3">
        <f t="shared" si="25"/>
        <v>4.2171503263966728E-5</v>
      </c>
      <c r="AP82" s="3">
        <f t="shared" si="26"/>
        <v>8.9334638058874927E-2</v>
      </c>
      <c r="AQ82" s="3">
        <f t="shared" si="27"/>
        <v>0.67916874484752077</v>
      </c>
    </row>
    <row r="83" spans="1:43" x14ac:dyDescent="0.3">
      <c r="A83" t="s">
        <v>179</v>
      </c>
      <c r="B83" t="s">
        <v>7</v>
      </c>
      <c r="C83" t="s">
        <v>162</v>
      </c>
      <c r="D83" s="6">
        <v>2034</v>
      </c>
      <c r="E83" t="s">
        <v>195</v>
      </c>
      <c r="F83" s="6">
        <v>194.3</v>
      </c>
      <c r="G83" s="7">
        <v>244.9</v>
      </c>
      <c r="H83" s="7">
        <v>812</v>
      </c>
      <c r="I83" s="6">
        <v>278285950</v>
      </c>
      <c r="J83" s="6">
        <v>169694820</v>
      </c>
      <c r="K83" s="6">
        <v>23241642</v>
      </c>
      <c r="L83" s="6">
        <v>43454144</v>
      </c>
      <c r="M83" s="6">
        <v>0</v>
      </c>
      <c r="N83" s="6">
        <v>12631.4</v>
      </c>
      <c r="O83" s="6">
        <v>5661482</v>
      </c>
      <c r="P83" s="6">
        <v>0</v>
      </c>
      <c r="Q83" s="6">
        <v>292851.59999999998</v>
      </c>
      <c r="R83" s="6">
        <v>10712798</v>
      </c>
      <c r="S83" s="6">
        <v>0</v>
      </c>
      <c r="T83" s="6">
        <v>599394.69999999995</v>
      </c>
      <c r="U83" s="6">
        <v>0</v>
      </c>
      <c r="V83" s="6">
        <v>106700850</v>
      </c>
      <c r="W83" s="6">
        <v>0</v>
      </c>
      <c r="X83" s="6">
        <v>0</v>
      </c>
      <c r="Y83" s="6">
        <v>58917684</v>
      </c>
      <c r="Z83" s="6">
        <v>4076277.5</v>
      </c>
      <c r="AA83" s="6">
        <v>0</v>
      </c>
      <c r="AB83" s="6">
        <v>4230148</v>
      </c>
      <c r="AC83" s="6">
        <v>20386052</v>
      </c>
      <c r="AD83" s="6">
        <f t="shared" si="14"/>
        <v>278285950</v>
      </c>
      <c r="AE83" s="6">
        <f t="shared" si="15"/>
        <v>20386052</v>
      </c>
      <c r="AF83" s="6">
        <f t="shared" si="16"/>
        <v>599394.69999999995</v>
      </c>
      <c r="AG83" s="6">
        <f t="shared" si="17"/>
        <v>257300503.30000001</v>
      </c>
      <c r="AH83" s="6">
        <f t="shared" si="18"/>
        <v>43454144</v>
      </c>
      <c r="AI83" s="6">
        <f t="shared" si="19"/>
        <v>5954333.5999999996</v>
      </c>
      <c r="AJ83" s="6">
        <f t="shared" si="20"/>
        <v>12631.4</v>
      </c>
      <c r="AK83" s="6">
        <f t="shared" si="21"/>
        <v>23241642</v>
      </c>
      <c r="AL83" s="6">
        <f t="shared" si="22"/>
        <v>184637757.5</v>
      </c>
      <c r="AM83" s="3">
        <f t="shared" si="23"/>
        <v>0.1688847998456286</v>
      </c>
      <c r="AN83" s="3">
        <f t="shared" si="24"/>
        <v>2.3141554422291717E-2</v>
      </c>
      <c r="AO83" s="3">
        <f t="shared" si="25"/>
        <v>4.9092014348966876E-5</v>
      </c>
      <c r="AP83" s="3">
        <f t="shared" si="26"/>
        <v>9.0328785610268955E-2</v>
      </c>
      <c r="AQ83" s="3">
        <f t="shared" si="27"/>
        <v>0.71759578831729398</v>
      </c>
    </row>
    <row r="84" spans="1:43" x14ac:dyDescent="0.3">
      <c r="A84" t="s">
        <v>179</v>
      </c>
      <c r="B84" t="s">
        <v>7</v>
      </c>
      <c r="C84" t="s">
        <v>162</v>
      </c>
      <c r="D84" s="6">
        <v>2036</v>
      </c>
      <c r="E84" t="s">
        <v>195</v>
      </c>
      <c r="F84" s="6">
        <v>176.3</v>
      </c>
      <c r="G84" s="7">
        <v>167.7</v>
      </c>
      <c r="H84" s="7">
        <v>799.1</v>
      </c>
      <c r="I84" s="6">
        <v>291553100</v>
      </c>
      <c r="J84" s="6">
        <v>183866320</v>
      </c>
      <c r="K84" s="6">
        <v>23241642</v>
      </c>
      <c r="L84" s="6">
        <v>41430056</v>
      </c>
      <c r="M84" s="6">
        <v>0</v>
      </c>
      <c r="N84" s="6">
        <v>6712.1</v>
      </c>
      <c r="O84" s="6">
        <v>5078655</v>
      </c>
      <c r="P84" s="6">
        <v>0</v>
      </c>
      <c r="Q84" s="6">
        <v>211821</v>
      </c>
      <c r="R84" s="6">
        <v>10714317</v>
      </c>
      <c r="S84" s="6">
        <v>0</v>
      </c>
      <c r="T84" s="6">
        <v>599416</v>
      </c>
      <c r="U84" s="6">
        <v>0</v>
      </c>
      <c r="V84" s="6">
        <v>119928780</v>
      </c>
      <c r="W84" s="6">
        <v>0</v>
      </c>
      <c r="X84" s="6">
        <v>0</v>
      </c>
      <c r="Y84" s="6">
        <v>59583956</v>
      </c>
      <c r="Z84" s="6">
        <v>4353583.5</v>
      </c>
      <c r="AA84" s="6">
        <v>0</v>
      </c>
      <c r="AB84" s="6">
        <v>5409273</v>
      </c>
      <c r="AC84" s="6">
        <v>20994878</v>
      </c>
      <c r="AD84" s="6">
        <f t="shared" si="14"/>
        <v>291553100</v>
      </c>
      <c r="AE84" s="6">
        <f t="shared" si="15"/>
        <v>20994878</v>
      </c>
      <c r="AF84" s="6">
        <f t="shared" si="16"/>
        <v>599416</v>
      </c>
      <c r="AG84" s="6">
        <f t="shared" si="17"/>
        <v>269958806</v>
      </c>
      <c r="AH84" s="6">
        <f t="shared" si="18"/>
        <v>41430056</v>
      </c>
      <c r="AI84" s="6">
        <f t="shared" si="19"/>
        <v>5290476</v>
      </c>
      <c r="AJ84" s="6">
        <f t="shared" si="20"/>
        <v>6712.1</v>
      </c>
      <c r="AK84" s="6">
        <f t="shared" si="21"/>
        <v>23241642</v>
      </c>
      <c r="AL84" s="6">
        <f t="shared" si="22"/>
        <v>199989909.5</v>
      </c>
      <c r="AM84" s="3">
        <f t="shared" si="23"/>
        <v>0.15346806653160261</v>
      </c>
      <c r="AN84" s="3">
        <f t="shared" si="24"/>
        <v>1.9597345529821317E-2</v>
      </c>
      <c r="AO84" s="3">
        <f t="shared" si="25"/>
        <v>2.4863423051293242E-5</v>
      </c>
      <c r="AP84" s="3">
        <f t="shared" si="26"/>
        <v>8.6093290840825551E-2</v>
      </c>
      <c r="AQ84" s="3">
        <f t="shared" si="27"/>
        <v>0.74081639515030306</v>
      </c>
    </row>
    <row r="85" spans="1:43" x14ac:dyDescent="0.3">
      <c r="A85" t="s">
        <v>179</v>
      </c>
      <c r="B85" t="s">
        <v>7</v>
      </c>
      <c r="C85" t="s">
        <v>162</v>
      </c>
      <c r="D85" s="6">
        <v>2038</v>
      </c>
      <c r="E85" t="s">
        <v>195</v>
      </c>
      <c r="F85" s="6">
        <v>154.69999999999999</v>
      </c>
      <c r="G85" s="7">
        <v>184</v>
      </c>
      <c r="H85" s="7">
        <v>760.6</v>
      </c>
      <c r="I85" s="6">
        <v>301604580</v>
      </c>
      <c r="J85" s="6">
        <v>197226200</v>
      </c>
      <c r="K85" s="6">
        <v>23241642</v>
      </c>
      <c r="L85" s="6">
        <v>37398800</v>
      </c>
      <c r="M85" s="6">
        <v>0</v>
      </c>
      <c r="N85" s="6">
        <v>5945.7</v>
      </c>
      <c r="O85" s="6">
        <v>5258452.5</v>
      </c>
      <c r="P85" s="6">
        <v>0</v>
      </c>
      <c r="Q85" s="6">
        <v>156160.79999999999</v>
      </c>
      <c r="R85" s="6">
        <v>10640220</v>
      </c>
      <c r="S85" s="6">
        <v>0</v>
      </c>
      <c r="T85" s="6">
        <v>589395.4</v>
      </c>
      <c r="U85" s="6">
        <v>0</v>
      </c>
      <c r="V85" s="6">
        <v>133508240</v>
      </c>
      <c r="W85" s="6">
        <v>0</v>
      </c>
      <c r="X85" s="6">
        <v>0</v>
      </c>
      <c r="Y85" s="6">
        <v>59087576</v>
      </c>
      <c r="Z85" s="6">
        <v>4630392.5</v>
      </c>
      <c r="AA85" s="6">
        <v>0</v>
      </c>
      <c r="AB85" s="6">
        <v>6450955</v>
      </c>
      <c r="AC85" s="6">
        <v>20636796</v>
      </c>
      <c r="AD85" s="6">
        <f t="shared" si="14"/>
        <v>301604580</v>
      </c>
      <c r="AE85" s="6">
        <f t="shared" si="15"/>
        <v>20636796</v>
      </c>
      <c r="AF85" s="6">
        <f t="shared" si="16"/>
        <v>589395.4</v>
      </c>
      <c r="AG85" s="6">
        <f t="shared" si="17"/>
        <v>280378388.60000002</v>
      </c>
      <c r="AH85" s="6">
        <f t="shared" si="18"/>
        <v>37398800</v>
      </c>
      <c r="AI85" s="6">
        <f t="shared" si="19"/>
        <v>5414613.2999999998</v>
      </c>
      <c r="AJ85" s="6">
        <f t="shared" si="20"/>
        <v>5945.7</v>
      </c>
      <c r="AK85" s="6">
        <f t="shared" si="21"/>
        <v>23241642</v>
      </c>
      <c r="AL85" s="6">
        <f t="shared" si="22"/>
        <v>214317383.5</v>
      </c>
      <c r="AM85" s="3">
        <f t="shared" si="23"/>
        <v>0.13338688543985733</v>
      </c>
      <c r="AN85" s="3">
        <f t="shared" si="24"/>
        <v>1.931180690151095E-2</v>
      </c>
      <c r="AO85" s="3">
        <f t="shared" si="25"/>
        <v>2.1205985346047456E-5</v>
      </c>
      <c r="AP85" s="3">
        <f t="shared" si="26"/>
        <v>8.2893842553455624E-2</v>
      </c>
      <c r="AQ85" s="3">
        <f t="shared" si="27"/>
        <v>0.76438624449673431</v>
      </c>
    </row>
    <row r="86" spans="1:43" x14ac:dyDescent="0.3">
      <c r="A86" t="s">
        <v>179</v>
      </c>
      <c r="B86" t="s">
        <v>7</v>
      </c>
      <c r="C86" t="s">
        <v>162</v>
      </c>
      <c r="D86" s="6">
        <v>2040</v>
      </c>
      <c r="E86" t="s">
        <v>195</v>
      </c>
      <c r="F86" s="6">
        <v>153.4</v>
      </c>
      <c r="G86" s="7">
        <v>154.1</v>
      </c>
      <c r="H86" s="7">
        <v>764.3</v>
      </c>
      <c r="I86" s="6">
        <v>304490340</v>
      </c>
      <c r="J86" s="6">
        <v>199276260</v>
      </c>
      <c r="K86" s="6">
        <v>23241642</v>
      </c>
      <c r="L86" s="6">
        <v>37400844</v>
      </c>
      <c r="M86" s="6">
        <v>0</v>
      </c>
      <c r="N86" s="6">
        <v>4732.1000000000004</v>
      </c>
      <c r="O86" s="6">
        <v>5546173.5</v>
      </c>
      <c r="P86" s="6">
        <v>0</v>
      </c>
      <c r="Q86" s="6">
        <v>141780.4</v>
      </c>
      <c r="R86" s="6">
        <v>10721144</v>
      </c>
      <c r="S86" s="6">
        <v>0</v>
      </c>
      <c r="T86" s="6">
        <v>463997.7</v>
      </c>
      <c r="U86" s="6">
        <v>0</v>
      </c>
      <c r="V86" s="6">
        <v>135750420</v>
      </c>
      <c r="W86" s="6">
        <v>0</v>
      </c>
      <c r="X86" s="6">
        <v>0</v>
      </c>
      <c r="Y86" s="6">
        <v>58599944</v>
      </c>
      <c r="Z86" s="6">
        <v>4925909</v>
      </c>
      <c r="AA86" s="6">
        <v>0</v>
      </c>
      <c r="AB86" s="6">
        <v>6763038.5</v>
      </c>
      <c r="AC86" s="6">
        <v>20930716</v>
      </c>
      <c r="AD86" s="6">
        <f t="shared" si="14"/>
        <v>304490340</v>
      </c>
      <c r="AE86" s="6">
        <f t="shared" si="15"/>
        <v>20930716</v>
      </c>
      <c r="AF86" s="6">
        <f t="shared" si="16"/>
        <v>463997.7</v>
      </c>
      <c r="AG86" s="6">
        <f t="shared" si="17"/>
        <v>283095626.30000001</v>
      </c>
      <c r="AH86" s="6">
        <f t="shared" si="18"/>
        <v>37400844</v>
      </c>
      <c r="AI86" s="6">
        <f t="shared" si="19"/>
        <v>5687953.9000000004</v>
      </c>
      <c r="AJ86" s="6">
        <f t="shared" si="20"/>
        <v>4732.1000000000004</v>
      </c>
      <c r="AK86" s="6">
        <f t="shared" si="21"/>
        <v>23241642</v>
      </c>
      <c r="AL86" s="6">
        <f t="shared" si="22"/>
        <v>216760455.5</v>
      </c>
      <c r="AM86" s="3">
        <f t="shared" si="23"/>
        <v>0.13211381782481463</v>
      </c>
      <c r="AN86" s="3">
        <f t="shared" si="24"/>
        <v>2.0091987906490662E-2</v>
      </c>
      <c r="AO86" s="3">
        <f t="shared" si="25"/>
        <v>1.6715553192564458E-5</v>
      </c>
      <c r="AP86" s="3">
        <f t="shared" si="26"/>
        <v>8.2098202306278442E-2</v>
      </c>
      <c r="AQ86" s="3">
        <f t="shared" si="27"/>
        <v>0.765679280648074</v>
      </c>
    </row>
    <row r="87" spans="1:43" x14ac:dyDescent="0.3">
      <c r="A87" t="s">
        <v>179</v>
      </c>
      <c r="B87" t="s">
        <v>7</v>
      </c>
      <c r="C87" t="s">
        <v>162</v>
      </c>
      <c r="D87" s="6">
        <v>2042</v>
      </c>
      <c r="E87" t="s">
        <v>195</v>
      </c>
      <c r="F87" s="6">
        <v>150.69999999999999</v>
      </c>
      <c r="G87" s="7">
        <v>160.4</v>
      </c>
      <c r="H87" s="7">
        <v>762.1</v>
      </c>
      <c r="I87" s="6">
        <v>306742800</v>
      </c>
      <c r="J87" s="6">
        <v>201379460</v>
      </c>
      <c r="K87" s="6">
        <v>23241642</v>
      </c>
      <c r="L87" s="6">
        <v>36909156</v>
      </c>
      <c r="M87" s="6">
        <v>0</v>
      </c>
      <c r="N87" s="6">
        <v>4697.1000000000004</v>
      </c>
      <c r="O87" s="6">
        <v>5872876</v>
      </c>
      <c r="P87" s="6">
        <v>0</v>
      </c>
      <c r="Q87" s="6">
        <v>146689.60000000001</v>
      </c>
      <c r="R87" s="6">
        <v>10699924</v>
      </c>
      <c r="S87" s="6">
        <v>0</v>
      </c>
      <c r="T87" s="6">
        <v>462685.7</v>
      </c>
      <c r="U87" s="6">
        <v>0</v>
      </c>
      <c r="V87" s="6">
        <v>137502910</v>
      </c>
      <c r="W87" s="6">
        <v>0</v>
      </c>
      <c r="X87" s="6">
        <v>0</v>
      </c>
      <c r="Y87" s="6">
        <v>58649976</v>
      </c>
      <c r="Z87" s="6">
        <v>5226550</v>
      </c>
      <c r="AA87" s="6">
        <v>0</v>
      </c>
      <c r="AB87" s="6">
        <v>7055957</v>
      </c>
      <c r="AC87" s="6">
        <v>20969716</v>
      </c>
      <c r="AD87" s="6">
        <f t="shared" si="14"/>
        <v>306742800</v>
      </c>
      <c r="AE87" s="6">
        <f t="shared" si="15"/>
        <v>20969716</v>
      </c>
      <c r="AF87" s="6">
        <f t="shared" si="16"/>
        <v>462685.7</v>
      </c>
      <c r="AG87" s="6">
        <f t="shared" si="17"/>
        <v>285310398.30000001</v>
      </c>
      <c r="AH87" s="6">
        <f t="shared" si="18"/>
        <v>36909156</v>
      </c>
      <c r="AI87" s="6">
        <f t="shared" si="19"/>
        <v>6019565.5999999996</v>
      </c>
      <c r="AJ87" s="6">
        <f t="shared" si="20"/>
        <v>4697.1000000000004</v>
      </c>
      <c r="AK87" s="6">
        <f t="shared" si="21"/>
        <v>23241642</v>
      </c>
      <c r="AL87" s="6">
        <f t="shared" si="22"/>
        <v>219135317</v>
      </c>
      <c r="AM87" s="3">
        <f t="shared" si="23"/>
        <v>0.12936491701641564</v>
      </c>
      <c r="AN87" s="3">
        <f t="shared" si="24"/>
        <v>2.1098304288477098E-2</v>
      </c>
      <c r="AO87" s="3">
        <f t="shared" si="25"/>
        <v>1.6463122367734609E-5</v>
      </c>
      <c r="AP87" s="3">
        <f t="shared" si="26"/>
        <v>8.1460900613800027E-2</v>
      </c>
      <c r="AQ87" s="3">
        <f t="shared" si="27"/>
        <v>0.76805934275687415</v>
      </c>
    </row>
    <row r="88" spans="1:43" x14ac:dyDescent="0.3">
      <c r="A88" t="s">
        <v>179</v>
      </c>
      <c r="B88" t="s">
        <v>7</v>
      </c>
      <c r="C88" t="s">
        <v>162</v>
      </c>
      <c r="D88" s="6">
        <v>2044</v>
      </c>
      <c r="E88" t="s">
        <v>195</v>
      </c>
      <c r="F88" s="6">
        <v>128.19999999999999</v>
      </c>
      <c r="G88" s="7">
        <v>162.1</v>
      </c>
      <c r="H88" s="7">
        <v>724.7</v>
      </c>
      <c r="I88" s="6">
        <v>318529700</v>
      </c>
      <c r="J88" s="6">
        <v>218128770</v>
      </c>
      <c r="K88" s="6">
        <v>23241642</v>
      </c>
      <c r="L88" s="6">
        <v>32498342</v>
      </c>
      <c r="M88" s="6">
        <v>0</v>
      </c>
      <c r="N88" s="6">
        <v>3589.9</v>
      </c>
      <c r="O88" s="6">
        <v>5328478.5</v>
      </c>
      <c r="P88" s="6">
        <v>0</v>
      </c>
      <c r="Q88" s="6">
        <v>173260.5</v>
      </c>
      <c r="R88" s="6">
        <v>10633014</v>
      </c>
      <c r="S88" s="6">
        <v>0</v>
      </c>
      <c r="T88" s="6">
        <v>447973.4</v>
      </c>
      <c r="U88" s="6">
        <v>0</v>
      </c>
      <c r="V88" s="6">
        <v>153627310</v>
      </c>
      <c r="W88" s="6">
        <v>0</v>
      </c>
      <c r="X88" s="6">
        <v>0</v>
      </c>
      <c r="Y88" s="6">
        <v>59041536</v>
      </c>
      <c r="Z88" s="6">
        <v>5459920.5</v>
      </c>
      <c r="AA88" s="6">
        <v>0</v>
      </c>
      <c r="AB88" s="6">
        <v>7139050.5</v>
      </c>
      <c r="AC88" s="6">
        <v>20935582</v>
      </c>
      <c r="AD88" s="6">
        <f t="shared" si="14"/>
        <v>318529700</v>
      </c>
      <c r="AE88" s="6">
        <f t="shared" si="15"/>
        <v>20935582</v>
      </c>
      <c r="AF88" s="6">
        <f t="shared" si="16"/>
        <v>447973.4</v>
      </c>
      <c r="AG88" s="6">
        <f t="shared" si="17"/>
        <v>297146144.60000002</v>
      </c>
      <c r="AH88" s="6">
        <f t="shared" si="18"/>
        <v>32498342</v>
      </c>
      <c r="AI88" s="6">
        <f t="shared" si="19"/>
        <v>5501739</v>
      </c>
      <c r="AJ88" s="6">
        <f t="shared" si="20"/>
        <v>3589.9</v>
      </c>
      <c r="AK88" s="6">
        <f t="shared" si="21"/>
        <v>23241642</v>
      </c>
      <c r="AL88" s="6">
        <f t="shared" si="22"/>
        <v>235900831</v>
      </c>
      <c r="AM88" s="3">
        <f t="shared" si="23"/>
        <v>0.10936821019080453</v>
      </c>
      <c r="AN88" s="3">
        <f t="shared" si="24"/>
        <v>1.8515262943781769E-2</v>
      </c>
      <c r="AO88" s="3">
        <f t="shared" si="25"/>
        <v>1.2081260569045929E-5</v>
      </c>
      <c r="AP88" s="3">
        <f t="shared" si="26"/>
        <v>7.8216199073645992E-2</v>
      </c>
      <c r="AQ88" s="3">
        <f t="shared" si="27"/>
        <v>0.79388824417545545</v>
      </c>
    </row>
    <row r="89" spans="1:43" x14ac:dyDescent="0.3">
      <c r="A89" t="s">
        <v>179</v>
      </c>
      <c r="B89" t="s">
        <v>7</v>
      </c>
      <c r="C89" t="s">
        <v>162</v>
      </c>
      <c r="D89" s="6">
        <v>2046</v>
      </c>
      <c r="E89" t="s">
        <v>195</v>
      </c>
      <c r="F89" s="6">
        <v>120.4</v>
      </c>
      <c r="G89" s="7">
        <v>174.9</v>
      </c>
      <c r="H89" s="7">
        <v>680.9</v>
      </c>
      <c r="I89" s="6">
        <v>327849470</v>
      </c>
      <c r="J89" s="6">
        <v>229043040</v>
      </c>
      <c r="K89" s="6">
        <v>23241642</v>
      </c>
      <c r="L89" s="6">
        <v>31319828</v>
      </c>
      <c r="M89" s="6">
        <v>0</v>
      </c>
      <c r="N89" s="6">
        <v>2764.7</v>
      </c>
      <c r="O89" s="6">
        <v>5437213.5</v>
      </c>
      <c r="P89" s="6">
        <v>0</v>
      </c>
      <c r="Q89" s="6">
        <v>161439.79999999999</v>
      </c>
      <c r="R89" s="6">
        <v>10550773</v>
      </c>
      <c r="S89" s="6">
        <v>0</v>
      </c>
      <c r="T89" s="6">
        <v>444001.1</v>
      </c>
      <c r="U89" s="6">
        <v>0</v>
      </c>
      <c r="V89" s="6">
        <v>165195600</v>
      </c>
      <c r="W89" s="6">
        <v>0</v>
      </c>
      <c r="X89" s="6">
        <v>0</v>
      </c>
      <c r="Y89" s="6">
        <v>58200616</v>
      </c>
      <c r="Z89" s="6">
        <v>5646845.5</v>
      </c>
      <c r="AA89" s="6">
        <v>0</v>
      </c>
      <c r="AB89" s="6">
        <v>6679287</v>
      </c>
      <c r="AC89" s="6">
        <v>20969476</v>
      </c>
      <c r="AD89" s="6">
        <f t="shared" si="14"/>
        <v>327849470</v>
      </c>
      <c r="AE89" s="6">
        <f t="shared" si="15"/>
        <v>20969476</v>
      </c>
      <c r="AF89" s="6">
        <f t="shared" si="16"/>
        <v>444001.1</v>
      </c>
      <c r="AG89" s="6">
        <f t="shared" si="17"/>
        <v>306435992.89999998</v>
      </c>
      <c r="AH89" s="6">
        <f t="shared" si="18"/>
        <v>31319828</v>
      </c>
      <c r="AI89" s="6">
        <f t="shared" si="19"/>
        <v>5598653.2999999998</v>
      </c>
      <c r="AJ89" s="6">
        <f t="shared" si="20"/>
        <v>2764.7</v>
      </c>
      <c r="AK89" s="6">
        <f t="shared" si="21"/>
        <v>23241642</v>
      </c>
      <c r="AL89" s="6">
        <f t="shared" si="22"/>
        <v>246273121.5</v>
      </c>
      <c r="AM89" s="3">
        <f t="shared" si="23"/>
        <v>0.10220675353309648</v>
      </c>
      <c r="AN89" s="3">
        <f t="shared" si="24"/>
        <v>1.8270220958759967E-2</v>
      </c>
      <c r="AO89" s="3">
        <f t="shared" si="25"/>
        <v>9.0221124934961901E-6</v>
      </c>
      <c r="AP89" s="3">
        <f t="shared" si="26"/>
        <v>7.5845013439999207E-2</v>
      </c>
      <c r="AQ89" s="3">
        <f t="shared" si="27"/>
        <v>0.80366904412683315</v>
      </c>
    </row>
    <row r="90" spans="1:43" x14ac:dyDescent="0.3">
      <c r="A90" t="s">
        <v>179</v>
      </c>
      <c r="B90" t="s">
        <v>7</v>
      </c>
      <c r="C90" t="s">
        <v>162</v>
      </c>
      <c r="D90" s="6">
        <v>2048</v>
      </c>
      <c r="E90" t="s">
        <v>195</v>
      </c>
      <c r="F90" s="6">
        <v>108.9</v>
      </c>
      <c r="G90" s="7">
        <v>165.7</v>
      </c>
      <c r="H90" s="7">
        <v>649.70000000000005</v>
      </c>
      <c r="I90" s="6">
        <v>345844350</v>
      </c>
      <c r="J90" s="6">
        <v>246764830</v>
      </c>
      <c r="K90" s="6">
        <v>23241642</v>
      </c>
      <c r="L90" s="6">
        <v>29794778</v>
      </c>
      <c r="M90" s="6">
        <v>0</v>
      </c>
      <c r="N90" s="6">
        <v>1485.2</v>
      </c>
      <c r="O90" s="6">
        <v>5375179.5</v>
      </c>
      <c r="P90" s="6">
        <v>0</v>
      </c>
      <c r="Q90" s="6">
        <v>118126.9</v>
      </c>
      <c r="R90" s="6">
        <v>10467105</v>
      </c>
      <c r="S90" s="6">
        <v>0</v>
      </c>
      <c r="T90" s="6">
        <v>418820</v>
      </c>
      <c r="U90" s="6">
        <v>0</v>
      </c>
      <c r="V90" s="6">
        <v>179282750</v>
      </c>
      <c r="W90" s="6">
        <v>0</v>
      </c>
      <c r="X90" s="6">
        <v>0</v>
      </c>
      <c r="Y90" s="6">
        <v>61602310</v>
      </c>
      <c r="Z90" s="6">
        <v>5879775.5</v>
      </c>
      <c r="AA90" s="6">
        <v>0</v>
      </c>
      <c r="AB90" s="6">
        <v>8730765</v>
      </c>
      <c r="AC90" s="6">
        <v>20931626</v>
      </c>
      <c r="AD90" s="6">
        <f t="shared" si="14"/>
        <v>345844350</v>
      </c>
      <c r="AE90" s="6">
        <f t="shared" si="15"/>
        <v>20931626</v>
      </c>
      <c r="AF90" s="6">
        <f t="shared" si="16"/>
        <v>418820</v>
      </c>
      <c r="AG90" s="6">
        <f t="shared" si="17"/>
        <v>324493904</v>
      </c>
      <c r="AH90" s="6">
        <f t="shared" si="18"/>
        <v>29794778</v>
      </c>
      <c r="AI90" s="6">
        <f t="shared" si="19"/>
        <v>5493306.4000000004</v>
      </c>
      <c r="AJ90" s="6">
        <f t="shared" si="20"/>
        <v>1485.2</v>
      </c>
      <c r="AK90" s="6">
        <f t="shared" si="21"/>
        <v>23241642</v>
      </c>
      <c r="AL90" s="6">
        <f t="shared" si="22"/>
        <v>265962705.5</v>
      </c>
      <c r="AM90" s="3">
        <f t="shared" si="23"/>
        <v>9.1819222588538987E-2</v>
      </c>
      <c r="AN90" s="3">
        <f t="shared" si="24"/>
        <v>1.692884313783596E-2</v>
      </c>
      <c r="AO90" s="3">
        <f t="shared" si="25"/>
        <v>4.5769735014806318E-6</v>
      </c>
      <c r="AP90" s="3">
        <f t="shared" si="26"/>
        <v>7.1624279265351004E-2</v>
      </c>
      <c r="AQ90" s="3">
        <f t="shared" si="27"/>
        <v>0.81962311840533064</v>
      </c>
    </row>
    <row r="91" spans="1:43" x14ac:dyDescent="0.3">
      <c r="A91" t="s">
        <v>179</v>
      </c>
      <c r="B91" t="s">
        <v>7</v>
      </c>
      <c r="C91" t="s">
        <v>162</v>
      </c>
      <c r="D91" s="6">
        <v>2050</v>
      </c>
      <c r="E91" t="s">
        <v>195</v>
      </c>
      <c r="F91" s="6">
        <v>88.7</v>
      </c>
      <c r="G91" s="7">
        <v>150</v>
      </c>
      <c r="H91" s="7">
        <v>593.1</v>
      </c>
      <c r="I91" s="6">
        <v>354844960</v>
      </c>
      <c r="J91" s="6">
        <v>258976820</v>
      </c>
      <c r="K91" s="6">
        <v>23241642</v>
      </c>
      <c r="L91" s="6">
        <v>24527374</v>
      </c>
      <c r="M91" s="6">
        <v>0</v>
      </c>
      <c r="N91" s="6">
        <v>781.4</v>
      </c>
      <c r="O91" s="6">
        <v>5447350</v>
      </c>
      <c r="P91" s="6">
        <v>0</v>
      </c>
      <c r="Q91" s="6">
        <v>80872.399999999994</v>
      </c>
      <c r="R91" s="6">
        <v>10322786</v>
      </c>
      <c r="S91" s="6">
        <v>0</v>
      </c>
      <c r="T91" s="6">
        <v>412973.8</v>
      </c>
      <c r="U91" s="6">
        <v>0</v>
      </c>
      <c r="V91" s="6">
        <v>190667410</v>
      </c>
      <c r="W91" s="6">
        <v>0</v>
      </c>
      <c r="X91" s="6">
        <v>0</v>
      </c>
      <c r="Y91" s="6">
        <v>62208564</v>
      </c>
      <c r="Z91" s="6">
        <v>6100868</v>
      </c>
      <c r="AA91" s="6">
        <v>0</v>
      </c>
      <c r="AB91" s="6">
        <v>10862919</v>
      </c>
      <c r="AC91" s="6">
        <v>20971414</v>
      </c>
      <c r="AD91" s="6">
        <f t="shared" si="14"/>
        <v>354844960</v>
      </c>
      <c r="AE91" s="6">
        <f t="shared" si="15"/>
        <v>20971414</v>
      </c>
      <c r="AF91" s="6">
        <f t="shared" si="16"/>
        <v>412973.8</v>
      </c>
      <c r="AG91" s="6">
        <f t="shared" si="17"/>
        <v>333460572.19999999</v>
      </c>
      <c r="AH91" s="6">
        <f t="shared" si="18"/>
        <v>24527374</v>
      </c>
      <c r="AI91" s="6">
        <f t="shared" si="19"/>
        <v>5528222.4000000004</v>
      </c>
      <c r="AJ91" s="6">
        <f t="shared" si="20"/>
        <v>781.4</v>
      </c>
      <c r="AK91" s="6">
        <f t="shared" si="21"/>
        <v>23241642</v>
      </c>
      <c r="AL91" s="6">
        <f t="shared" si="22"/>
        <v>280162547</v>
      </c>
      <c r="AM91" s="3">
        <f t="shared" si="23"/>
        <v>7.3554045199950027E-2</v>
      </c>
      <c r="AN91" s="3">
        <f t="shared" si="24"/>
        <v>1.6578338972813651E-2</v>
      </c>
      <c r="AO91" s="3">
        <f t="shared" si="25"/>
        <v>2.3433055213836162E-6</v>
      </c>
      <c r="AP91" s="3">
        <f t="shared" si="26"/>
        <v>6.9698320993884511E-2</v>
      </c>
      <c r="AQ91" s="3">
        <f t="shared" si="27"/>
        <v>0.84016693533401188</v>
      </c>
    </row>
    <row r="92" spans="1:43" x14ac:dyDescent="0.3">
      <c r="A92" t="s">
        <v>179</v>
      </c>
      <c r="B92" t="s">
        <v>7</v>
      </c>
      <c r="C92" t="s">
        <v>163</v>
      </c>
      <c r="D92" s="6">
        <v>2022</v>
      </c>
      <c r="E92" t="s">
        <v>195</v>
      </c>
      <c r="F92" s="6">
        <v>168</v>
      </c>
      <c r="G92" s="7">
        <v>405.7</v>
      </c>
      <c r="H92" s="7">
        <v>676</v>
      </c>
      <c r="I92" s="6">
        <v>135388460</v>
      </c>
      <c r="J92" s="6">
        <v>24372586</v>
      </c>
      <c r="K92" s="6">
        <v>26546016</v>
      </c>
      <c r="L92" s="6">
        <v>1097604.8</v>
      </c>
      <c r="M92" s="6">
        <v>0</v>
      </c>
      <c r="N92" s="6">
        <v>58944.2</v>
      </c>
      <c r="O92" s="6">
        <v>41368950</v>
      </c>
      <c r="P92" s="6">
        <v>0</v>
      </c>
      <c r="Q92" s="6">
        <v>214274.4</v>
      </c>
      <c r="R92" s="6">
        <v>8215710.5</v>
      </c>
      <c r="S92" s="6">
        <v>0</v>
      </c>
      <c r="T92" s="6">
        <v>6712933</v>
      </c>
      <c r="U92" s="6">
        <v>0</v>
      </c>
      <c r="V92" s="6">
        <v>16041413</v>
      </c>
      <c r="W92" s="6">
        <v>108524.1</v>
      </c>
      <c r="X92" s="6">
        <v>0</v>
      </c>
      <c r="Y92" s="6">
        <v>3414140</v>
      </c>
      <c r="Z92" s="6">
        <v>4808508</v>
      </c>
      <c r="AA92" s="6">
        <v>1248743.8999999999</v>
      </c>
      <c r="AB92" s="6">
        <v>289516</v>
      </c>
      <c r="AC92" s="6">
        <v>25263180</v>
      </c>
      <c r="AD92" s="6">
        <f t="shared" si="14"/>
        <v>135388460</v>
      </c>
      <c r="AE92" s="6">
        <f t="shared" si="15"/>
        <v>25263180</v>
      </c>
      <c r="AF92" s="6">
        <f t="shared" si="16"/>
        <v>6712933</v>
      </c>
      <c r="AG92" s="6">
        <f t="shared" si="17"/>
        <v>103412347</v>
      </c>
      <c r="AH92" s="6">
        <f t="shared" si="18"/>
        <v>1097604.8</v>
      </c>
      <c r="AI92" s="6">
        <f t="shared" si="19"/>
        <v>41583224.399999999</v>
      </c>
      <c r="AJ92" s="6">
        <f t="shared" si="20"/>
        <v>58944.2</v>
      </c>
      <c r="AK92" s="6">
        <f t="shared" si="21"/>
        <v>26546016</v>
      </c>
      <c r="AL92" s="6">
        <f t="shared" si="22"/>
        <v>34126555.5</v>
      </c>
      <c r="AM92" s="3">
        <f t="shared" si="23"/>
        <v>1.0613866059920292E-2</v>
      </c>
      <c r="AN92" s="3">
        <f t="shared" si="24"/>
        <v>0.40211082724967068</v>
      </c>
      <c r="AO92" s="3">
        <f t="shared" si="25"/>
        <v>5.6999189854959969E-4</v>
      </c>
      <c r="AP92" s="3">
        <f t="shared" si="26"/>
        <v>0.25670064329939246</v>
      </c>
      <c r="AQ92" s="3">
        <f t="shared" si="27"/>
        <v>0.33000465118541406</v>
      </c>
    </row>
    <row r="93" spans="1:43" x14ac:dyDescent="0.3">
      <c r="A93" t="s">
        <v>179</v>
      </c>
      <c r="B93" t="s">
        <v>7</v>
      </c>
      <c r="C93" t="s">
        <v>163</v>
      </c>
      <c r="D93" s="6">
        <v>2024</v>
      </c>
      <c r="E93" t="s">
        <v>195</v>
      </c>
      <c r="F93" s="6">
        <v>160.6</v>
      </c>
      <c r="G93" s="7">
        <v>398.5</v>
      </c>
      <c r="H93" s="7">
        <v>657.9</v>
      </c>
      <c r="I93" s="6">
        <v>143837390</v>
      </c>
      <c r="J93" s="6">
        <v>30488156</v>
      </c>
      <c r="K93" s="6">
        <v>26546016</v>
      </c>
      <c r="L93" s="6">
        <v>0</v>
      </c>
      <c r="M93" s="6">
        <v>0</v>
      </c>
      <c r="N93" s="6">
        <v>24779.5</v>
      </c>
      <c r="O93" s="6">
        <v>44736850</v>
      </c>
      <c r="P93" s="6">
        <v>0</v>
      </c>
      <c r="Q93" s="6">
        <v>261800.3</v>
      </c>
      <c r="R93" s="6">
        <v>8213504</v>
      </c>
      <c r="S93" s="6">
        <v>0</v>
      </c>
      <c r="T93" s="6">
        <v>6713737.5</v>
      </c>
      <c r="U93" s="6">
        <v>0</v>
      </c>
      <c r="V93" s="6">
        <v>15954744</v>
      </c>
      <c r="W93" s="6">
        <v>6058381</v>
      </c>
      <c r="X93" s="6">
        <v>0</v>
      </c>
      <c r="Y93" s="6">
        <v>3559122.8</v>
      </c>
      <c r="Z93" s="6">
        <v>4915908</v>
      </c>
      <c r="AA93" s="6">
        <v>1257688.8999999999</v>
      </c>
      <c r="AB93" s="6">
        <v>309424.5</v>
      </c>
      <c r="AC93" s="6">
        <v>25285438</v>
      </c>
      <c r="AD93" s="6">
        <f t="shared" si="14"/>
        <v>143837390</v>
      </c>
      <c r="AE93" s="6">
        <f t="shared" si="15"/>
        <v>25285438</v>
      </c>
      <c r="AF93" s="6">
        <f t="shared" si="16"/>
        <v>6713737.5</v>
      </c>
      <c r="AG93" s="6">
        <f t="shared" si="17"/>
        <v>111838214.5</v>
      </c>
      <c r="AH93" s="6">
        <f t="shared" si="18"/>
        <v>0</v>
      </c>
      <c r="AI93" s="6">
        <f t="shared" si="19"/>
        <v>44998650.299999997</v>
      </c>
      <c r="AJ93" s="6">
        <f t="shared" si="20"/>
        <v>24779.5</v>
      </c>
      <c r="AK93" s="6">
        <f t="shared" si="21"/>
        <v>26546016</v>
      </c>
      <c r="AL93" s="6">
        <f t="shared" si="22"/>
        <v>40268773.199999996</v>
      </c>
      <c r="AM93" s="3">
        <f t="shared" si="23"/>
        <v>0</v>
      </c>
      <c r="AN93" s="3">
        <f t="shared" si="24"/>
        <v>0.40235487039181939</v>
      </c>
      <c r="AO93" s="3">
        <f t="shared" si="25"/>
        <v>2.2156559017669225E-4</v>
      </c>
      <c r="AP93" s="3">
        <f t="shared" si="26"/>
        <v>0.23736087095703767</v>
      </c>
      <c r="AQ93" s="3">
        <f t="shared" si="27"/>
        <v>0.36006273329766003</v>
      </c>
    </row>
    <row r="94" spans="1:43" x14ac:dyDescent="0.3">
      <c r="A94" t="s">
        <v>179</v>
      </c>
      <c r="B94" t="s">
        <v>7</v>
      </c>
      <c r="C94" t="s">
        <v>163</v>
      </c>
      <c r="D94" s="6">
        <v>2026</v>
      </c>
      <c r="E94" t="s">
        <v>195</v>
      </c>
      <c r="F94" s="6">
        <v>145.80000000000001</v>
      </c>
      <c r="G94" s="7">
        <v>385.1</v>
      </c>
      <c r="H94" s="7">
        <v>642.9</v>
      </c>
      <c r="I94" s="6">
        <v>147314050</v>
      </c>
      <c r="J94" s="6">
        <v>37542988</v>
      </c>
      <c r="K94" s="6">
        <v>26546016</v>
      </c>
      <c r="L94" s="6">
        <v>0</v>
      </c>
      <c r="M94" s="6">
        <v>0</v>
      </c>
      <c r="N94" s="6">
        <v>32347.200000000001</v>
      </c>
      <c r="O94" s="6">
        <v>41576750</v>
      </c>
      <c r="P94" s="6">
        <v>0</v>
      </c>
      <c r="Q94" s="6">
        <v>255940.2</v>
      </c>
      <c r="R94" s="6">
        <v>8403854</v>
      </c>
      <c r="S94" s="6">
        <v>0</v>
      </c>
      <c r="T94" s="6">
        <v>6713245.5</v>
      </c>
      <c r="U94" s="6">
        <v>0</v>
      </c>
      <c r="V94" s="6">
        <v>15867293</v>
      </c>
      <c r="W94" s="6">
        <v>12544623</v>
      </c>
      <c r="X94" s="6">
        <v>0</v>
      </c>
      <c r="Y94" s="6">
        <v>4072618.5</v>
      </c>
      <c r="Z94" s="6">
        <v>5058454</v>
      </c>
      <c r="AA94" s="6">
        <v>1279597.3999999999</v>
      </c>
      <c r="AB94" s="6">
        <v>377830</v>
      </c>
      <c r="AC94" s="6">
        <v>24585482</v>
      </c>
      <c r="AD94" s="6">
        <f t="shared" si="14"/>
        <v>147314050</v>
      </c>
      <c r="AE94" s="6">
        <f t="shared" si="15"/>
        <v>24585482</v>
      </c>
      <c r="AF94" s="6">
        <f t="shared" si="16"/>
        <v>6713245.5</v>
      </c>
      <c r="AG94" s="6">
        <f t="shared" si="17"/>
        <v>116015322.5</v>
      </c>
      <c r="AH94" s="6">
        <f t="shared" si="18"/>
        <v>0</v>
      </c>
      <c r="AI94" s="6">
        <f t="shared" si="19"/>
        <v>41832690.200000003</v>
      </c>
      <c r="AJ94" s="6">
        <f t="shared" si="20"/>
        <v>32347.200000000001</v>
      </c>
      <c r="AK94" s="6">
        <f t="shared" si="21"/>
        <v>26546016</v>
      </c>
      <c r="AL94" s="6">
        <f t="shared" si="22"/>
        <v>47604269.899999999</v>
      </c>
      <c r="AM94" s="3">
        <f t="shared" si="23"/>
        <v>0</v>
      </c>
      <c r="AN94" s="3">
        <f t="shared" si="24"/>
        <v>0.36057901058715758</v>
      </c>
      <c r="AO94" s="3">
        <f t="shared" si="25"/>
        <v>2.7881834315462945E-4</v>
      </c>
      <c r="AP94" s="3">
        <f t="shared" si="26"/>
        <v>0.22881474125971593</v>
      </c>
      <c r="AQ94" s="3">
        <f t="shared" si="27"/>
        <v>0.41032743670561272</v>
      </c>
    </row>
    <row r="95" spans="1:43" x14ac:dyDescent="0.3">
      <c r="A95" t="s">
        <v>179</v>
      </c>
      <c r="B95" t="s">
        <v>7</v>
      </c>
      <c r="C95" t="s">
        <v>163</v>
      </c>
      <c r="D95" s="6">
        <v>2028</v>
      </c>
      <c r="E95" t="s">
        <v>195</v>
      </c>
      <c r="F95" s="6">
        <v>144.1</v>
      </c>
      <c r="G95" s="7">
        <v>356.2</v>
      </c>
      <c r="H95" s="7">
        <v>657.2</v>
      </c>
      <c r="I95" s="6">
        <v>146868900</v>
      </c>
      <c r="J95" s="6">
        <v>37975664</v>
      </c>
      <c r="K95" s="6">
        <v>26546016</v>
      </c>
      <c r="L95" s="6">
        <v>0</v>
      </c>
      <c r="M95" s="6">
        <v>0</v>
      </c>
      <c r="N95" s="6">
        <v>42500.7</v>
      </c>
      <c r="O95" s="6">
        <v>40795100</v>
      </c>
      <c r="P95" s="6">
        <v>0</v>
      </c>
      <c r="Q95" s="6">
        <v>357220.6</v>
      </c>
      <c r="R95" s="6">
        <v>8397430</v>
      </c>
      <c r="S95" s="6">
        <v>0</v>
      </c>
      <c r="T95" s="6">
        <v>6710778</v>
      </c>
      <c r="U95" s="6">
        <v>0</v>
      </c>
      <c r="V95" s="6">
        <v>15767021</v>
      </c>
      <c r="W95" s="6">
        <v>12476971</v>
      </c>
      <c r="X95" s="6">
        <v>0</v>
      </c>
      <c r="Y95" s="6">
        <v>4459530</v>
      </c>
      <c r="Z95" s="6">
        <v>5272143.5</v>
      </c>
      <c r="AA95" s="6">
        <v>1310036.8</v>
      </c>
      <c r="AB95" s="6">
        <v>429176.8</v>
      </c>
      <c r="AC95" s="6">
        <v>24304976</v>
      </c>
      <c r="AD95" s="6">
        <f t="shared" si="14"/>
        <v>146868900</v>
      </c>
      <c r="AE95" s="6">
        <f t="shared" si="15"/>
        <v>24304976</v>
      </c>
      <c r="AF95" s="6">
        <f t="shared" si="16"/>
        <v>6710778</v>
      </c>
      <c r="AG95" s="6">
        <f t="shared" si="17"/>
        <v>115853146</v>
      </c>
      <c r="AH95" s="6">
        <f t="shared" si="18"/>
        <v>0</v>
      </c>
      <c r="AI95" s="6">
        <f t="shared" si="19"/>
        <v>41152320.600000001</v>
      </c>
      <c r="AJ95" s="6">
        <f t="shared" si="20"/>
        <v>42500.7</v>
      </c>
      <c r="AK95" s="6">
        <f t="shared" si="21"/>
        <v>26546016</v>
      </c>
      <c r="AL95" s="6">
        <f t="shared" si="22"/>
        <v>48112309.099999994</v>
      </c>
      <c r="AM95" s="3">
        <f t="shared" si="23"/>
        <v>0</v>
      </c>
      <c r="AN95" s="3">
        <f t="shared" si="24"/>
        <v>0.35521107558011417</v>
      </c>
      <c r="AO95" s="3">
        <f t="shared" si="25"/>
        <v>3.6684977031180489E-4</v>
      </c>
      <c r="AP95" s="3">
        <f t="shared" si="26"/>
        <v>0.22913504653555114</v>
      </c>
      <c r="AQ95" s="3">
        <f t="shared" si="27"/>
        <v>0.41528703156666968</v>
      </c>
    </row>
    <row r="96" spans="1:43" x14ac:dyDescent="0.3">
      <c r="A96" t="s">
        <v>179</v>
      </c>
      <c r="B96" t="s">
        <v>7</v>
      </c>
      <c r="C96" t="s">
        <v>163</v>
      </c>
      <c r="D96" s="6">
        <v>2030</v>
      </c>
      <c r="E96" t="s">
        <v>195</v>
      </c>
      <c r="F96" s="6">
        <v>103</v>
      </c>
      <c r="G96" s="7">
        <v>334.7</v>
      </c>
      <c r="H96" s="7">
        <v>603.70000000000005</v>
      </c>
      <c r="I96" s="6">
        <v>145383940</v>
      </c>
      <c r="J96" s="6">
        <v>48425230</v>
      </c>
      <c r="K96" s="6">
        <v>26546016</v>
      </c>
      <c r="L96" s="6">
        <v>0</v>
      </c>
      <c r="M96" s="6">
        <v>0</v>
      </c>
      <c r="N96" s="6">
        <v>15761.1</v>
      </c>
      <c r="O96" s="6">
        <v>28973178</v>
      </c>
      <c r="P96" s="6">
        <v>0</v>
      </c>
      <c r="Q96" s="6">
        <v>244172</v>
      </c>
      <c r="R96" s="6">
        <v>8218012</v>
      </c>
      <c r="S96" s="6">
        <v>0</v>
      </c>
      <c r="T96" s="6">
        <v>6612023</v>
      </c>
      <c r="U96" s="6">
        <v>0</v>
      </c>
      <c r="V96" s="6">
        <v>15654205</v>
      </c>
      <c r="W96" s="6">
        <v>22273298</v>
      </c>
      <c r="X96" s="6">
        <v>0</v>
      </c>
      <c r="Y96" s="6">
        <v>4842466</v>
      </c>
      <c r="Z96" s="6">
        <v>5655264.5</v>
      </c>
      <c r="AA96" s="6">
        <v>1322592.2</v>
      </c>
      <c r="AB96" s="6">
        <v>1166011.2</v>
      </c>
      <c r="AC96" s="6">
        <v>23860932</v>
      </c>
      <c r="AD96" s="6">
        <f t="shared" si="14"/>
        <v>145383940</v>
      </c>
      <c r="AE96" s="6">
        <f t="shared" si="15"/>
        <v>23860932</v>
      </c>
      <c r="AF96" s="6">
        <f t="shared" si="16"/>
        <v>6612023</v>
      </c>
      <c r="AG96" s="6">
        <f t="shared" si="17"/>
        <v>114910985</v>
      </c>
      <c r="AH96" s="6">
        <f t="shared" si="18"/>
        <v>0</v>
      </c>
      <c r="AI96" s="6">
        <f t="shared" si="19"/>
        <v>29217350</v>
      </c>
      <c r="AJ96" s="6">
        <f t="shared" si="20"/>
        <v>15761.1</v>
      </c>
      <c r="AK96" s="6">
        <f t="shared" si="21"/>
        <v>26546016</v>
      </c>
      <c r="AL96" s="6">
        <f t="shared" si="22"/>
        <v>59131848.900000006</v>
      </c>
      <c r="AM96" s="3">
        <f t="shared" si="23"/>
        <v>0</v>
      </c>
      <c r="AN96" s="3">
        <f t="shared" si="24"/>
        <v>0.25426072189704058</v>
      </c>
      <c r="AO96" s="3">
        <f t="shared" si="25"/>
        <v>1.3715921067076399E-4</v>
      </c>
      <c r="AP96" s="3">
        <f t="shared" si="26"/>
        <v>0.2310137364151913</v>
      </c>
      <c r="AQ96" s="3">
        <f t="shared" si="27"/>
        <v>0.51458830415560364</v>
      </c>
    </row>
    <row r="97" spans="1:43" x14ac:dyDescent="0.3">
      <c r="A97" t="s">
        <v>179</v>
      </c>
      <c r="B97" t="s">
        <v>7</v>
      </c>
      <c r="C97" t="s">
        <v>163</v>
      </c>
      <c r="D97" s="6">
        <v>2032</v>
      </c>
      <c r="E97" t="s">
        <v>195</v>
      </c>
      <c r="F97" s="6">
        <v>91.9</v>
      </c>
      <c r="G97" s="7">
        <v>318.2</v>
      </c>
      <c r="H97" s="7">
        <v>560.4</v>
      </c>
      <c r="I97" s="6">
        <v>144977280</v>
      </c>
      <c r="J97" s="6">
        <v>51562680</v>
      </c>
      <c r="K97" s="6">
        <v>26546016</v>
      </c>
      <c r="L97" s="6">
        <v>0</v>
      </c>
      <c r="M97" s="6">
        <v>0</v>
      </c>
      <c r="N97" s="6">
        <v>12712.9</v>
      </c>
      <c r="O97" s="6">
        <v>25511978</v>
      </c>
      <c r="P97" s="6">
        <v>0</v>
      </c>
      <c r="Q97" s="6">
        <v>245188.7</v>
      </c>
      <c r="R97" s="6">
        <v>8072131</v>
      </c>
      <c r="S97" s="6">
        <v>0</v>
      </c>
      <c r="T97" s="6">
        <v>6514207.5</v>
      </c>
      <c r="U97" s="6">
        <v>0</v>
      </c>
      <c r="V97" s="6">
        <v>15485776</v>
      </c>
      <c r="W97" s="6">
        <v>25342660</v>
      </c>
      <c r="X97" s="6">
        <v>0</v>
      </c>
      <c r="Y97" s="6">
        <v>4766918.5</v>
      </c>
      <c r="Z97" s="6">
        <v>5967325</v>
      </c>
      <c r="AA97" s="6">
        <v>1422789.8</v>
      </c>
      <c r="AB97" s="6">
        <v>1590589.9</v>
      </c>
      <c r="AC97" s="6">
        <v>23498976</v>
      </c>
      <c r="AD97" s="6">
        <f t="shared" si="14"/>
        <v>144977280</v>
      </c>
      <c r="AE97" s="6">
        <f t="shared" si="15"/>
        <v>23498976</v>
      </c>
      <c r="AF97" s="6">
        <f t="shared" si="16"/>
        <v>6514207.5</v>
      </c>
      <c r="AG97" s="6">
        <f t="shared" si="17"/>
        <v>114964096.5</v>
      </c>
      <c r="AH97" s="6">
        <f t="shared" si="18"/>
        <v>0</v>
      </c>
      <c r="AI97" s="6">
        <f t="shared" si="19"/>
        <v>25757166.699999999</v>
      </c>
      <c r="AJ97" s="6">
        <f t="shared" si="20"/>
        <v>12712.9</v>
      </c>
      <c r="AK97" s="6">
        <f t="shared" si="21"/>
        <v>26546016</v>
      </c>
      <c r="AL97" s="6">
        <f t="shared" si="22"/>
        <v>62648190.199999996</v>
      </c>
      <c r="AM97" s="3">
        <f t="shared" si="23"/>
        <v>0</v>
      </c>
      <c r="AN97" s="3">
        <f t="shared" si="24"/>
        <v>0.22404531052875276</v>
      </c>
      <c r="AO97" s="3">
        <f t="shared" si="25"/>
        <v>1.10581480540753E-4</v>
      </c>
      <c r="AP97" s="3">
        <f t="shared" si="26"/>
        <v>0.23090701191219296</v>
      </c>
      <c r="AQ97" s="3">
        <f t="shared" si="27"/>
        <v>0.54493700300597758</v>
      </c>
    </row>
    <row r="98" spans="1:43" x14ac:dyDescent="0.3">
      <c r="A98" t="s">
        <v>179</v>
      </c>
      <c r="B98" t="s">
        <v>7</v>
      </c>
      <c r="C98" t="s">
        <v>163</v>
      </c>
      <c r="D98" s="6">
        <v>2034</v>
      </c>
      <c r="E98" t="s">
        <v>195</v>
      </c>
      <c r="F98" s="6">
        <v>84.6</v>
      </c>
      <c r="G98" s="7">
        <v>312.89999999999998</v>
      </c>
      <c r="H98" s="7">
        <v>546.4</v>
      </c>
      <c r="I98" s="6">
        <v>144775980</v>
      </c>
      <c r="J98" s="6">
        <v>54860830</v>
      </c>
      <c r="K98" s="6">
        <v>26546016</v>
      </c>
      <c r="L98" s="6">
        <v>0</v>
      </c>
      <c r="M98" s="6">
        <v>0</v>
      </c>
      <c r="N98" s="6">
        <v>11138.3</v>
      </c>
      <c r="O98" s="6">
        <v>23560066</v>
      </c>
      <c r="P98" s="6">
        <v>0</v>
      </c>
      <c r="Q98" s="6">
        <v>222339.4</v>
      </c>
      <c r="R98" s="6">
        <v>7925676</v>
      </c>
      <c r="S98" s="6">
        <v>0</v>
      </c>
      <c r="T98" s="6">
        <v>6014188</v>
      </c>
      <c r="U98" s="6">
        <v>0</v>
      </c>
      <c r="V98" s="6">
        <v>15335930</v>
      </c>
      <c r="W98" s="6">
        <v>28470436</v>
      </c>
      <c r="X98" s="6">
        <v>0</v>
      </c>
      <c r="Y98" s="6">
        <v>4819338.5</v>
      </c>
      <c r="Z98" s="6">
        <v>6235130.5</v>
      </c>
      <c r="AA98" s="6">
        <v>1358953.8</v>
      </c>
      <c r="AB98" s="6">
        <v>2093277.2</v>
      </c>
      <c r="AC98" s="6">
        <v>22183488</v>
      </c>
      <c r="AD98" s="6">
        <f t="shared" si="14"/>
        <v>144775980</v>
      </c>
      <c r="AE98" s="6">
        <f t="shared" si="15"/>
        <v>22183488</v>
      </c>
      <c r="AF98" s="6">
        <f t="shared" si="16"/>
        <v>6014188</v>
      </c>
      <c r="AG98" s="6">
        <f t="shared" si="17"/>
        <v>116578304</v>
      </c>
      <c r="AH98" s="6">
        <f t="shared" si="18"/>
        <v>0</v>
      </c>
      <c r="AI98" s="6">
        <f t="shared" si="19"/>
        <v>23782405.399999999</v>
      </c>
      <c r="AJ98" s="6">
        <f t="shared" si="20"/>
        <v>11138.3</v>
      </c>
      <c r="AK98" s="6">
        <f t="shared" si="21"/>
        <v>26546016</v>
      </c>
      <c r="AL98" s="6">
        <f t="shared" si="22"/>
        <v>66238742</v>
      </c>
      <c r="AM98" s="3">
        <f t="shared" si="23"/>
        <v>0</v>
      </c>
      <c r="AN98" s="3">
        <f t="shared" si="24"/>
        <v>0.20400370037978935</v>
      </c>
      <c r="AO98" s="3">
        <f t="shared" si="25"/>
        <v>9.5543506963354004E-5</v>
      </c>
      <c r="AP98" s="3">
        <f t="shared" si="26"/>
        <v>0.22770974606046765</v>
      </c>
      <c r="AQ98" s="3">
        <f t="shared" si="27"/>
        <v>0.56819099032355114</v>
      </c>
    </row>
    <row r="99" spans="1:43" x14ac:dyDescent="0.3">
      <c r="A99" t="s">
        <v>179</v>
      </c>
      <c r="B99" t="s">
        <v>7</v>
      </c>
      <c r="C99" t="s">
        <v>163</v>
      </c>
      <c r="D99" s="6">
        <v>2036</v>
      </c>
      <c r="E99" t="s">
        <v>195</v>
      </c>
      <c r="F99" s="6">
        <v>82.2</v>
      </c>
      <c r="G99" s="7">
        <v>305</v>
      </c>
      <c r="H99" s="7">
        <v>549.29999999999995</v>
      </c>
      <c r="I99" s="6">
        <v>146890620</v>
      </c>
      <c r="J99" s="6">
        <v>58341630</v>
      </c>
      <c r="K99" s="6">
        <v>26546016</v>
      </c>
      <c r="L99" s="6">
        <v>0</v>
      </c>
      <c r="M99" s="6">
        <v>0</v>
      </c>
      <c r="N99" s="6">
        <v>12335.9</v>
      </c>
      <c r="O99" s="6">
        <v>23254994</v>
      </c>
      <c r="P99" s="6">
        <v>0</v>
      </c>
      <c r="Q99" s="6">
        <v>244711.9</v>
      </c>
      <c r="R99" s="6">
        <v>7866123</v>
      </c>
      <c r="S99" s="6">
        <v>0</v>
      </c>
      <c r="T99" s="6">
        <v>5719338.5</v>
      </c>
      <c r="U99" s="6">
        <v>0</v>
      </c>
      <c r="V99" s="6">
        <v>15227222</v>
      </c>
      <c r="W99" s="6">
        <v>31766780</v>
      </c>
      <c r="X99" s="6">
        <v>0</v>
      </c>
      <c r="Y99" s="6">
        <v>4812558.5</v>
      </c>
      <c r="Z99" s="6">
        <v>6535072.5</v>
      </c>
      <c r="AA99" s="6">
        <v>1352013.9</v>
      </c>
      <c r="AB99" s="6">
        <v>2482379</v>
      </c>
      <c r="AC99" s="6">
        <v>21071080</v>
      </c>
      <c r="AD99" s="6">
        <f t="shared" si="14"/>
        <v>146890620</v>
      </c>
      <c r="AE99" s="6">
        <f t="shared" si="15"/>
        <v>21071080</v>
      </c>
      <c r="AF99" s="6">
        <f t="shared" si="16"/>
        <v>5719338.5</v>
      </c>
      <c r="AG99" s="6">
        <f t="shared" si="17"/>
        <v>120100201.5</v>
      </c>
      <c r="AH99" s="6">
        <f t="shared" si="18"/>
        <v>0</v>
      </c>
      <c r="AI99" s="6">
        <f t="shared" si="19"/>
        <v>23499705.899999999</v>
      </c>
      <c r="AJ99" s="6">
        <f t="shared" si="20"/>
        <v>12335.9</v>
      </c>
      <c r="AK99" s="6">
        <f t="shared" si="21"/>
        <v>26546016</v>
      </c>
      <c r="AL99" s="6">
        <f t="shared" si="22"/>
        <v>70042148.900000006</v>
      </c>
      <c r="AM99" s="3">
        <f t="shared" si="23"/>
        <v>0</v>
      </c>
      <c r="AN99" s="3">
        <f t="shared" si="24"/>
        <v>0.19566749769358213</v>
      </c>
      <c r="AO99" s="3">
        <f t="shared" si="25"/>
        <v>1.0271339969400468E-4</v>
      </c>
      <c r="AP99" s="3">
        <f t="shared" si="26"/>
        <v>0.22103223532060434</v>
      </c>
      <c r="AQ99" s="3">
        <f t="shared" si="27"/>
        <v>0.5831975968832992</v>
      </c>
    </row>
    <row r="100" spans="1:43" x14ac:dyDescent="0.3">
      <c r="A100" t="s">
        <v>179</v>
      </c>
      <c r="B100" t="s">
        <v>7</v>
      </c>
      <c r="C100" t="s">
        <v>163</v>
      </c>
      <c r="D100" s="6">
        <v>2038</v>
      </c>
      <c r="E100" t="s">
        <v>195</v>
      </c>
      <c r="F100" s="6">
        <v>94.7</v>
      </c>
      <c r="G100" s="7">
        <v>298.60000000000002</v>
      </c>
      <c r="H100" s="7">
        <v>568.6</v>
      </c>
      <c r="I100" s="6">
        <v>149598400</v>
      </c>
      <c r="J100" s="6">
        <v>58580212</v>
      </c>
      <c r="K100" s="6">
        <v>26546016</v>
      </c>
      <c r="L100" s="6">
        <v>0</v>
      </c>
      <c r="M100" s="6">
        <v>0</v>
      </c>
      <c r="N100" s="6">
        <v>13024.7</v>
      </c>
      <c r="O100" s="6">
        <v>27614428</v>
      </c>
      <c r="P100" s="6">
        <v>0</v>
      </c>
      <c r="Q100" s="6">
        <v>300362.59999999998</v>
      </c>
      <c r="R100" s="6">
        <v>8056021.5</v>
      </c>
      <c r="S100" s="6">
        <v>0</v>
      </c>
      <c r="T100" s="6">
        <v>3760186.8</v>
      </c>
      <c r="U100" s="6">
        <v>0</v>
      </c>
      <c r="V100" s="6">
        <v>15125858</v>
      </c>
      <c r="W100" s="6">
        <v>31610730</v>
      </c>
      <c r="X100" s="6">
        <v>0</v>
      </c>
      <c r="Y100" s="6">
        <v>5132033.5</v>
      </c>
      <c r="Z100" s="6">
        <v>6711592</v>
      </c>
      <c r="AA100" s="6">
        <v>1292421.3999999999</v>
      </c>
      <c r="AB100" s="6">
        <v>2630598.5</v>
      </c>
      <c r="AC100" s="6">
        <v>20805132</v>
      </c>
      <c r="AD100" s="6">
        <f t="shared" si="14"/>
        <v>149598400</v>
      </c>
      <c r="AE100" s="6">
        <f t="shared" si="15"/>
        <v>20805132</v>
      </c>
      <c r="AF100" s="6">
        <f t="shared" si="16"/>
        <v>3760186.8</v>
      </c>
      <c r="AG100" s="6">
        <f t="shared" si="17"/>
        <v>125033081.2</v>
      </c>
      <c r="AH100" s="6">
        <f t="shared" si="18"/>
        <v>0</v>
      </c>
      <c r="AI100" s="6">
        <f t="shared" si="19"/>
        <v>27914790.600000001</v>
      </c>
      <c r="AJ100" s="6">
        <f t="shared" si="20"/>
        <v>13024.7</v>
      </c>
      <c r="AK100" s="6">
        <f t="shared" si="21"/>
        <v>26546016</v>
      </c>
      <c r="AL100" s="6">
        <f t="shared" si="22"/>
        <v>70559254.900000006</v>
      </c>
      <c r="AM100" s="3">
        <f t="shared" si="23"/>
        <v>0</v>
      </c>
      <c r="AN100" s="3">
        <f t="shared" si="24"/>
        <v>0.2232592393316146</v>
      </c>
      <c r="AO100" s="3">
        <f t="shared" si="25"/>
        <v>1.0417003144284667E-4</v>
      </c>
      <c r="AP100" s="3">
        <f t="shared" si="26"/>
        <v>0.2123119397300752</v>
      </c>
      <c r="AQ100" s="3">
        <f t="shared" si="27"/>
        <v>0.56432469089628423</v>
      </c>
    </row>
    <row r="101" spans="1:43" x14ac:dyDescent="0.3">
      <c r="A101" t="s">
        <v>179</v>
      </c>
      <c r="B101" t="s">
        <v>7</v>
      </c>
      <c r="C101" t="s">
        <v>163</v>
      </c>
      <c r="D101" s="6">
        <v>2040</v>
      </c>
      <c r="E101" t="s">
        <v>195</v>
      </c>
      <c r="F101" s="6">
        <v>102.8</v>
      </c>
      <c r="G101" s="7">
        <v>285.5</v>
      </c>
      <c r="H101" s="7">
        <v>575.6</v>
      </c>
      <c r="I101" s="6">
        <v>149893860</v>
      </c>
      <c r="J101" s="6">
        <v>58013940</v>
      </c>
      <c r="K101" s="6">
        <v>26546016</v>
      </c>
      <c r="L101" s="6">
        <v>0</v>
      </c>
      <c r="M101" s="6">
        <v>0</v>
      </c>
      <c r="N101" s="6">
        <v>9402.9</v>
      </c>
      <c r="O101" s="6">
        <v>30285028</v>
      </c>
      <c r="P101" s="6">
        <v>0</v>
      </c>
      <c r="Q101" s="6">
        <v>418294.6</v>
      </c>
      <c r="R101" s="6">
        <v>8161030.5</v>
      </c>
      <c r="S101" s="6">
        <v>0</v>
      </c>
      <c r="T101" s="6">
        <v>2060465.4</v>
      </c>
      <c r="U101" s="6">
        <v>0</v>
      </c>
      <c r="V101" s="6">
        <v>14521165</v>
      </c>
      <c r="W101" s="6">
        <v>31447354</v>
      </c>
      <c r="X101" s="6">
        <v>0</v>
      </c>
      <c r="Y101" s="6">
        <v>5194118.5</v>
      </c>
      <c r="Z101" s="6">
        <v>6851302.5</v>
      </c>
      <c r="AA101" s="6">
        <v>1261340.3999999999</v>
      </c>
      <c r="AB101" s="6">
        <v>2677678</v>
      </c>
      <c r="AC101" s="6">
        <v>20460656</v>
      </c>
      <c r="AD101" s="6">
        <f t="shared" si="14"/>
        <v>149893860</v>
      </c>
      <c r="AE101" s="6">
        <f t="shared" si="15"/>
        <v>20460656</v>
      </c>
      <c r="AF101" s="6">
        <f t="shared" si="16"/>
        <v>2060465.4</v>
      </c>
      <c r="AG101" s="6">
        <f t="shared" si="17"/>
        <v>127372738.59999999</v>
      </c>
      <c r="AH101" s="6">
        <f t="shared" si="18"/>
        <v>0</v>
      </c>
      <c r="AI101" s="6">
        <f t="shared" si="19"/>
        <v>30703322.600000001</v>
      </c>
      <c r="AJ101" s="6">
        <f t="shared" si="20"/>
        <v>9402.9</v>
      </c>
      <c r="AK101" s="6">
        <f t="shared" si="21"/>
        <v>26546016</v>
      </c>
      <c r="AL101" s="6">
        <f t="shared" si="22"/>
        <v>70113988.900000006</v>
      </c>
      <c r="AM101" s="3">
        <f t="shared" si="23"/>
        <v>0</v>
      </c>
      <c r="AN101" s="3">
        <f t="shared" si="24"/>
        <v>0.24105097321036956</v>
      </c>
      <c r="AO101" s="3">
        <f t="shared" si="25"/>
        <v>7.382191906486967E-5</v>
      </c>
      <c r="AP101" s="3">
        <f t="shared" si="26"/>
        <v>0.20841206911130983</v>
      </c>
      <c r="AQ101" s="3">
        <f t="shared" si="27"/>
        <v>0.55046307138127282</v>
      </c>
    </row>
    <row r="102" spans="1:43" x14ac:dyDescent="0.3">
      <c r="A102" t="s">
        <v>179</v>
      </c>
      <c r="B102" t="s">
        <v>7</v>
      </c>
      <c r="C102" t="s">
        <v>163</v>
      </c>
      <c r="D102" s="6">
        <v>2042</v>
      </c>
      <c r="E102" t="s">
        <v>195</v>
      </c>
      <c r="F102" s="6">
        <v>109.8</v>
      </c>
      <c r="G102" s="7">
        <v>268.89999999999998</v>
      </c>
      <c r="H102" s="7">
        <v>580.20000000000005</v>
      </c>
      <c r="I102" s="6">
        <v>151389500</v>
      </c>
      <c r="J102" s="6">
        <v>57237880</v>
      </c>
      <c r="K102" s="6">
        <v>26546016</v>
      </c>
      <c r="L102" s="6">
        <v>0</v>
      </c>
      <c r="M102" s="6">
        <v>0</v>
      </c>
      <c r="N102" s="6">
        <v>5020.5</v>
      </c>
      <c r="O102" s="6">
        <v>32803220</v>
      </c>
      <c r="P102" s="6">
        <v>0</v>
      </c>
      <c r="Q102" s="6">
        <v>467667.4</v>
      </c>
      <c r="R102" s="6">
        <v>8220566.5</v>
      </c>
      <c r="S102" s="6">
        <v>0</v>
      </c>
      <c r="T102" s="6">
        <v>1596421.2</v>
      </c>
      <c r="U102" s="6">
        <v>0</v>
      </c>
      <c r="V102" s="6">
        <v>13542810</v>
      </c>
      <c r="W102" s="6">
        <v>31279376</v>
      </c>
      <c r="X102" s="6">
        <v>0</v>
      </c>
      <c r="Y102" s="6">
        <v>5457822.5</v>
      </c>
      <c r="Z102" s="6">
        <v>6957873.5</v>
      </c>
      <c r="AA102" s="6">
        <v>1186491.8999999999</v>
      </c>
      <c r="AB102" s="6">
        <v>2827547.5</v>
      </c>
      <c r="AC102" s="6">
        <v>20498674</v>
      </c>
      <c r="AD102" s="6">
        <f t="shared" si="14"/>
        <v>151389500</v>
      </c>
      <c r="AE102" s="6">
        <f t="shared" si="15"/>
        <v>20498674</v>
      </c>
      <c r="AF102" s="6">
        <f t="shared" si="16"/>
        <v>1596421.2</v>
      </c>
      <c r="AG102" s="6">
        <f t="shared" si="17"/>
        <v>129294404.8</v>
      </c>
      <c r="AH102" s="6">
        <f t="shared" si="18"/>
        <v>0</v>
      </c>
      <c r="AI102" s="6">
        <f t="shared" si="19"/>
        <v>33270887.399999999</v>
      </c>
      <c r="AJ102" s="6">
        <f t="shared" si="20"/>
        <v>5020.5</v>
      </c>
      <c r="AK102" s="6">
        <f t="shared" si="21"/>
        <v>26546016</v>
      </c>
      <c r="AL102" s="6">
        <f t="shared" si="22"/>
        <v>69472487.900000006</v>
      </c>
      <c r="AM102" s="3">
        <f t="shared" si="23"/>
        <v>0</v>
      </c>
      <c r="AN102" s="3">
        <f t="shared" si="24"/>
        <v>0.25732658309124296</v>
      </c>
      <c r="AO102" s="3">
        <f t="shared" si="25"/>
        <v>3.882998655483969E-5</v>
      </c>
      <c r="AP102" s="3">
        <f t="shared" si="26"/>
        <v>0.20531449942526825</v>
      </c>
      <c r="AQ102" s="3">
        <f t="shared" si="27"/>
        <v>0.5373201416369412</v>
      </c>
    </row>
    <row r="103" spans="1:43" x14ac:dyDescent="0.3">
      <c r="A103" t="s">
        <v>179</v>
      </c>
      <c r="B103" t="s">
        <v>7</v>
      </c>
      <c r="C103" t="s">
        <v>163</v>
      </c>
      <c r="D103" s="6">
        <v>2044</v>
      </c>
      <c r="E103" t="s">
        <v>195</v>
      </c>
      <c r="F103" s="6">
        <v>111.1</v>
      </c>
      <c r="G103" s="7">
        <v>230.6</v>
      </c>
      <c r="H103" s="7">
        <v>578</v>
      </c>
      <c r="I103" s="6">
        <v>153444510</v>
      </c>
      <c r="J103" s="6">
        <v>58256480</v>
      </c>
      <c r="K103" s="6">
        <v>26546016</v>
      </c>
      <c r="L103" s="6">
        <v>0</v>
      </c>
      <c r="M103" s="6">
        <v>0</v>
      </c>
      <c r="N103" s="6">
        <v>4576.8999999999996</v>
      </c>
      <c r="O103" s="6">
        <v>33666580</v>
      </c>
      <c r="P103" s="6">
        <v>0</v>
      </c>
      <c r="Q103" s="6">
        <v>509365.6</v>
      </c>
      <c r="R103" s="6">
        <v>8244257.5</v>
      </c>
      <c r="S103" s="6">
        <v>0</v>
      </c>
      <c r="T103" s="6">
        <v>1463721</v>
      </c>
      <c r="U103" s="6">
        <v>0</v>
      </c>
      <c r="V103" s="6">
        <v>14364614</v>
      </c>
      <c r="W103" s="6">
        <v>31110614</v>
      </c>
      <c r="X103" s="6">
        <v>0</v>
      </c>
      <c r="Y103" s="6">
        <v>5730084</v>
      </c>
      <c r="Z103" s="6">
        <v>7051166.5</v>
      </c>
      <c r="AA103" s="6">
        <v>1179516.8</v>
      </c>
      <c r="AB103" s="6">
        <v>3114642.2</v>
      </c>
      <c r="AC103" s="6">
        <v>20459354</v>
      </c>
      <c r="AD103" s="6">
        <f t="shared" si="14"/>
        <v>153444510</v>
      </c>
      <c r="AE103" s="6">
        <f t="shared" si="15"/>
        <v>20459354</v>
      </c>
      <c r="AF103" s="6">
        <f t="shared" si="16"/>
        <v>1463721</v>
      </c>
      <c r="AG103" s="6">
        <f t="shared" si="17"/>
        <v>131521435</v>
      </c>
      <c r="AH103" s="6">
        <f t="shared" si="18"/>
        <v>0</v>
      </c>
      <c r="AI103" s="6">
        <f t="shared" si="19"/>
        <v>34175945.600000001</v>
      </c>
      <c r="AJ103" s="6">
        <f t="shared" si="20"/>
        <v>4576.8999999999996</v>
      </c>
      <c r="AK103" s="6">
        <f t="shared" si="21"/>
        <v>26546016</v>
      </c>
      <c r="AL103" s="6">
        <f t="shared" si="22"/>
        <v>70794895</v>
      </c>
      <c r="AM103" s="3">
        <f t="shared" si="23"/>
        <v>0</v>
      </c>
      <c r="AN103" s="3">
        <f t="shared" si="24"/>
        <v>0.25985076577061378</v>
      </c>
      <c r="AO103" s="3">
        <f t="shared" si="25"/>
        <v>3.4799650718531166E-5</v>
      </c>
      <c r="AP103" s="3">
        <f t="shared" si="26"/>
        <v>0.20183794375418729</v>
      </c>
      <c r="AQ103" s="3">
        <f t="shared" si="27"/>
        <v>0.53827647941949541</v>
      </c>
    </row>
    <row r="104" spans="1:43" x14ac:dyDescent="0.3">
      <c r="A104" t="s">
        <v>179</v>
      </c>
      <c r="B104" t="s">
        <v>7</v>
      </c>
      <c r="C104" t="s">
        <v>163</v>
      </c>
      <c r="D104" s="6">
        <v>2046</v>
      </c>
      <c r="E104" t="s">
        <v>195</v>
      </c>
      <c r="F104" s="6">
        <v>107</v>
      </c>
      <c r="G104" s="7">
        <v>177.8</v>
      </c>
      <c r="H104" s="7">
        <v>574.70000000000005</v>
      </c>
      <c r="I104" s="6">
        <v>156156320</v>
      </c>
      <c r="J104" s="6">
        <v>61101750</v>
      </c>
      <c r="K104" s="6">
        <v>26546016</v>
      </c>
      <c r="L104" s="6">
        <v>0</v>
      </c>
      <c r="M104" s="6">
        <v>0</v>
      </c>
      <c r="N104" s="6">
        <v>768.7</v>
      </c>
      <c r="O104" s="6">
        <v>32957754</v>
      </c>
      <c r="P104" s="6">
        <v>0</v>
      </c>
      <c r="Q104" s="6">
        <v>565575.6</v>
      </c>
      <c r="R104" s="6">
        <v>8236561.5</v>
      </c>
      <c r="S104" s="6">
        <v>0</v>
      </c>
      <c r="T104" s="6">
        <v>1402246.2</v>
      </c>
      <c r="U104" s="6">
        <v>0</v>
      </c>
      <c r="V104" s="6">
        <v>15014994</v>
      </c>
      <c r="W104" s="6">
        <v>30962330</v>
      </c>
      <c r="X104" s="6">
        <v>0</v>
      </c>
      <c r="Y104" s="6">
        <v>7960785.5</v>
      </c>
      <c r="Z104" s="6">
        <v>7163646.5</v>
      </c>
      <c r="AA104" s="6">
        <v>1110025.3999999999</v>
      </c>
      <c r="AB104" s="6">
        <v>3728160.5</v>
      </c>
      <c r="AC104" s="6">
        <v>20507462</v>
      </c>
      <c r="AD104" s="6">
        <f t="shared" si="14"/>
        <v>156156320</v>
      </c>
      <c r="AE104" s="6">
        <f t="shared" si="15"/>
        <v>20507462</v>
      </c>
      <c r="AF104" s="6">
        <f t="shared" si="16"/>
        <v>1402246.2</v>
      </c>
      <c r="AG104" s="6">
        <f t="shared" si="17"/>
        <v>134246611.80000001</v>
      </c>
      <c r="AH104" s="6">
        <f t="shared" si="18"/>
        <v>0</v>
      </c>
      <c r="AI104" s="6">
        <f t="shared" si="19"/>
        <v>33523329.600000001</v>
      </c>
      <c r="AJ104" s="6">
        <f t="shared" si="20"/>
        <v>768.7</v>
      </c>
      <c r="AK104" s="6">
        <f t="shared" si="21"/>
        <v>26546016</v>
      </c>
      <c r="AL104" s="6">
        <f t="shared" si="22"/>
        <v>74176503.400000006</v>
      </c>
      <c r="AM104" s="3">
        <f t="shared" si="23"/>
        <v>0</v>
      </c>
      <c r="AN104" s="3">
        <f t="shared" si="24"/>
        <v>0.24971453022548459</v>
      </c>
      <c r="AO104" s="3">
        <f t="shared" si="25"/>
        <v>5.7260290572190069E-6</v>
      </c>
      <c r="AP104" s="3">
        <f t="shared" si="26"/>
        <v>0.19774067772785309</v>
      </c>
      <c r="AQ104" s="3">
        <f t="shared" si="27"/>
        <v>0.55253910996657274</v>
      </c>
    </row>
    <row r="105" spans="1:43" x14ac:dyDescent="0.3">
      <c r="A105" t="s">
        <v>179</v>
      </c>
      <c r="B105" t="s">
        <v>7</v>
      </c>
      <c r="C105" t="s">
        <v>163</v>
      </c>
      <c r="D105" s="6">
        <v>2048</v>
      </c>
      <c r="E105" t="s">
        <v>195</v>
      </c>
      <c r="F105" s="6">
        <v>105.3</v>
      </c>
      <c r="G105" s="7">
        <v>146.19999999999999</v>
      </c>
      <c r="H105" s="7">
        <v>571.79999999999995</v>
      </c>
      <c r="I105" s="6">
        <v>160460580</v>
      </c>
      <c r="J105" s="6">
        <v>64626650</v>
      </c>
      <c r="K105" s="6">
        <v>26546016</v>
      </c>
      <c r="L105" s="6">
        <v>0</v>
      </c>
      <c r="M105" s="6">
        <v>0</v>
      </c>
      <c r="N105" s="6">
        <v>380.3</v>
      </c>
      <c r="O105" s="6">
        <v>33182060</v>
      </c>
      <c r="P105" s="6">
        <v>0</v>
      </c>
      <c r="Q105" s="6">
        <v>667231.6</v>
      </c>
      <c r="R105" s="6">
        <v>8215217</v>
      </c>
      <c r="S105" s="6">
        <v>0</v>
      </c>
      <c r="T105" s="6">
        <v>1388663.2</v>
      </c>
      <c r="U105" s="6">
        <v>0</v>
      </c>
      <c r="V105" s="6">
        <v>17832082</v>
      </c>
      <c r="W105" s="6">
        <v>30795348</v>
      </c>
      <c r="X105" s="6">
        <v>0</v>
      </c>
      <c r="Y105" s="6">
        <v>8764650</v>
      </c>
      <c r="Z105" s="6">
        <v>7234569</v>
      </c>
      <c r="AA105" s="6">
        <v>1058618.3999999999</v>
      </c>
      <c r="AB105" s="6">
        <v>4316783</v>
      </c>
      <c r="AC105" s="6">
        <v>20458950</v>
      </c>
      <c r="AD105" s="6">
        <f t="shared" si="14"/>
        <v>160460580</v>
      </c>
      <c r="AE105" s="6">
        <f t="shared" si="15"/>
        <v>20458950</v>
      </c>
      <c r="AF105" s="6">
        <f t="shared" si="16"/>
        <v>1388663.2</v>
      </c>
      <c r="AG105" s="6">
        <f t="shared" si="17"/>
        <v>138612966.80000001</v>
      </c>
      <c r="AH105" s="6">
        <f t="shared" si="18"/>
        <v>0</v>
      </c>
      <c r="AI105" s="6">
        <f t="shared" si="19"/>
        <v>33849291.600000001</v>
      </c>
      <c r="AJ105" s="6">
        <f t="shared" si="20"/>
        <v>380.3</v>
      </c>
      <c r="AK105" s="6">
        <f t="shared" si="21"/>
        <v>26546016</v>
      </c>
      <c r="AL105" s="6">
        <f t="shared" si="22"/>
        <v>78217267.400000006</v>
      </c>
      <c r="AM105" s="3">
        <f t="shared" si="23"/>
        <v>0</v>
      </c>
      <c r="AN105" s="3">
        <f t="shared" si="24"/>
        <v>0.24420003684676922</v>
      </c>
      <c r="AO105" s="3">
        <f t="shared" si="25"/>
        <v>2.7436105638567139E-6</v>
      </c>
      <c r="AP105" s="3">
        <f t="shared" si="26"/>
        <v>0.19151177997872562</v>
      </c>
      <c r="AQ105" s="3">
        <f t="shared" si="27"/>
        <v>0.56428535659912016</v>
      </c>
    </row>
    <row r="106" spans="1:43" x14ac:dyDescent="0.3">
      <c r="A106" t="s">
        <v>179</v>
      </c>
      <c r="B106" t="s">
        <v>7</v>
      </c>
      <c r="C106" t="s">
        <v>163</v>
      </c>
      <c r="D106" s="6">
        <v>2050</v>
      </c>
      <c r="E106" t="s">
        <v>195</v>
      </c>
      <c r="F106" s="6">
        <v>81.8</v>
      </c>
      <c r="G106" s="7">
        <v>129.5</v>
      </c>
      <c r="H106" s="7">
        <v>523</v>
      </c>
      <c r="I106" s="6">
        <v>164992560</v>
      </c>
      <c r="J106" s="6">
        <v>74203910</v>
      </c>
      <c r="K106" s="6">
        <v>26546016</v>
      </c>
      <c r="L106" s="6">
        <v>0</v>
      </c>
      <c r="M106" s="6">
        <v>0</v>
      </c>
      <c r="N106" s="6">
        <v>7.4</v>
      </c>
      <c r="O106" s="6">
        <v>26683558</v>
      </c>
      <c r="P106" s="6">
        <v>0</v>
      </c>
      <c r="Q106" s="6">
        <v>443490</v>
      </c>
      <c r="R106" s="6">
        <v>8068590.5</v>
      </c>
      <c r="S106" s="6">
        <v>0</v>
      </c>
      <c r="T106" s="6">
        <v>1340078.5</v>
      </c>
      <c r="U106" s="6">
        <v>0</v>
      </c>
      <c r="V106" s="6">
        <v>21597836</v>
      </c>
      <c r="W106" s="6">
        <v>30629380</v>
      </c>
      <c r="X106" s="6">
        <v>0</v>
      </c>
      <c r="Y106" s="6">
        <v>14674098</v>
      </c>
      <c r="Z106" s="6">
        <v>7302605</v>
      </c>
      <c r="AA106" s="6">
        <v>1005116.9</v>
      </c>
      <c r="AB106" s="6">
        <v>6219583.5</v>
      </c>
      <c r="AC106" s="6">
        <v>20482196</v>
      </c>
      <c r="AD106" s="6">
        <f t="shared" si="14"/>
        <v>164992560</v>
      </c>
      <c r="AE106" s="6">
        <f t="shared" si="15"/>
        <v>20482196</v>
      </c>
      <c r="AF106" s="6">
        <f t="shared" si="16"/>
        <v>1340078.5</v>
      </c>
      <c r="AG106" s="6">
        <f t="shared" si="17"/>
        <v>143170285.5</v>
      </c>
      <c r="AH106" s="6">
        <f t="shared" si="18"/>
        <v>0</v>
      </c>
      <c r="AI106" s="6">
        <f t="shared" si="19"/>
        <v>27127048</v>
      </c>
      <c r="AJ106" s="6">
        <f t="shared" si="20"/>
        <v>7.4</v>
      </c>
      <c r="AK106" s="6">
        <f t="shared" si="21"/>
        <v>26546016</v>
      </c>
      <c r="AL106" s="6">
        <f t="shared" si="22"/>
        <v>89497209.900000006</v>
      </c>
      <c r="AM106" s="3">
        <f t="shared" si="23"/>
        <v>0</v>
      </c>
      <c r="AN106" s="3">
        <f t="shared" si="24"/>
        <v>0.18947400925592203</v>
      </c>
      <c r="AO106" s="3">
        <f t="shared" si="25"/>
        <v>5.1686702824937791E-8</v>
      </c>
      <c r="AP106" s="3">
        <f t="shared" si="26"/>
        <v>0.18541568110514106</v>
      </c>
      <c r="AQ106" s="3">
        <f t="shared" si="27"/>
        <v>0.62511022861653798</v>
      </c>
    </row>
    <row r="107" spans="1:43" x14ac:dyDescent="0.3">
      <c r="A107" t="s">
        <v>179</v>
      </c>
      <c r="B107" t="s">
        <v>7</v>
      </c>
      <c r="C107" t="s">
        <v>164</v>
      </c>
      <c r="D107" s="6">
        <v>2022</v>
      </c>
      <c r="E107" t="s">
        <v>195</v>
      </c>
      <c r="F107" s="6">
        <v>282</v>
      </c>
      <c r="G107" s="7">
        <v>486.8</v>
      </c>
      <c r="H107" s="7">
        <v>786.3</v>
      </c>
      <c r="I107" s="6">
        <v>286019400</v>
      </c>
      <c r="J107" s="6">
        <v>40627644</v>
      </c>
      <c r="K107" s="6">
        <v>9289308</v>
      </c>
      <c r="L107" s="6">
        <v>57196344</v>
      </c>
      <c r="M107" s="6">
        <v>0</v>
      </c>
      <c r="N107" s="6">
        <v>148.9</v>
      </c>
      <c r="O107" s="6">
        <v>27316890</v>
      </c>
      <c r="P107" s="6">
        <v>0</v>
      </c>
      <c r="Q107" s="6">
        <v>122641.1</v>
      </c>
      <c r="R107" s="6">
        <v>134609700</v>
      </c>
      <c r="S107" s="6">
        <v>5691623.5</v>
      </c>
      <c r="T107" s="6">
        <v>1745745</v>
      </c>
      <c r="U107" s="6">
        <v>0</v>
      </c>
      <c r="V107" s="6">
        <v>29273316</v>
      </c>
      <c r="W107" s="6">
        <v>0</v>
      </c>
      <c r="X107" s="6">
        <v>2945.7</v>
      </c>
      <c r="Y107" s="6">
        <v>9689420</v>
      </c>
      <c r="Z107" s="6">
        <v>1661961.9</v>
      </c>
      <c r="AA107" s="6">
        <v>13549.1</v>
      </c>
      <c r="AB107" s="6">
        <v>26433.5</v>
      </c>
      <c r="AC107" s="6">
        <v>9379359</v>
      </c>
      <c r="AD107" s="6">
        <f t="shared" si="14"/>
        <v>286019400</v>
      </c>
      <c r="AE107" s="6">
        <f t="shared" si="15"/>
        <v>9379359</v>
      </c>
      <c r="AF107" s="6">
        <f t="shared" si="16"/>
        <v>1745745</v>
      </c>
      <c r="AG107" s="6">
        <f t="shared" si="17"/>
        <v>274894296</v>
      </c>
      <c r="AH107" s="6">
        <f t="shared" si="18"/>
        <v>57196344</v>
      </c>
      <c r="AI107" s="6">
        <f t="shared" si="19"/>
        <v>27439531.100000001</v>
      </c>
      <c r="AJ107" s="6">
        <f t="shared" si="20"/>
        <v>148.9</v>
      </c>
      <c r="AK107" s="6">
        <f t="shared" si="21"/>
        <v>9289308</v>
      </c>
      <c r="AL107" s="6">
        <f t="shared" si="22"/>
        <v>180968949.69999999</v>
      </c>
      <c r="AM107" s="3">
        <f t="shared" si="23"/>
        <v>0.20806668174737245</v>
      </c>
      <c r="AN107" s="3">
        <f t="shared" si="24"/>
        <v>9.981848113720046E-2</v>
      </c>
      <c r="AO107" s="3">
        <f t="shared" si="25"/>
        <v>5.4166274879708671E-7</v>
      </c>
      <c r="AP107" s="3">
        <f t="shared" si="26"/>
        <v>3.3792290837493404E-2</v>
      </c>
      <c r="AQ107" s="3">
        <f t="shared" si="27"/>
        <v>0.65832195259518944</v>
      </c>
    </row>
    <row r="108" spans="1:43" x14ac:dyDescent="0.3">
      <c r="A108" t="s">
        <v>179</v>
      </c>
      <c r="B108" t="s">
        <v>7</v>
      </c>
      <c r="C108" t="s">
        <v>164</v>
      </c>
      <c r="D108" s="6">
        <v>2024</v>
      </c>
      <c r="E108" t="s">
        <v>195</v>
      </c>
      <c r="F108" s="6">
        <v>159.30000000000001</v>
      </c>
      <c r="G108" s="7">
        <v>423.9</v>
      </c>
      <c r="H108" s="7">
        <v>834.5</v>
      </c>
      <c r="I108" s="6">
        <v>296246200</v>
      </c>
      <c r="J108" s="6">
        <v>76936240</v>
      </c>
      <c r="K108" s="6">
        <v>9289308</v>
      </c>
      <c r="L108" s="6">
        <v>26043730</v>
      </c>
      <c r="M108" s="6">
        <v>0</v>
      </c>
      <c r="N108" s="6">
        <v>396</v>
      </c>
      <c r="O108" s="6">
        <v>33012460</v>
      </c>
      <c r="P108" s="6">
        <v>0</v>
      </c>
      <c r="Q108" s="6">
        <v>92268.2</v>
      </c>
      <c r="R108" s="6">
        <v>134592690</v>
      </c>
      <c r="S108" s="6">
        <v>5691623.5</v>
      </c>
      <c r="T108" s="6">
        <v>1744960.6</v>
      </c>
      <c r="U108" s="6">
        <v>0</v>
      </c>
      <c r="V108" s="6">
        <v>64616810</v>
      </c>
      <c r="W108" s="6">
        <v>0</v>
      </c>
      <c r="X108" s="6">
        <v>2942.7</v>
      </c>
      <c r="Y108" s="6">
        <v>10449183</v>
      </c>
      <c r="Z108" s="6">
        <v>1867305.6</v>
      </c>
      <c r="AA108" s="6">
        <v>27361.599999999999</v>
      </c>
      <c r="AB108" s="6">
        <v>41720.9</v>
      </c>
      <c r="AC108" s="6">
        <v>8773456</v>
      </c>
      <c r="AD108" s="6">
        <f t="shared" si="14"/>
        <v>296246200</v>
      </c>
      <c r="AE108" s="6">
        <f t="shared" si="15"/>
        <v>8773456</v>
      </c>
      <c r="AF108" s="6">
        <f t="shared" si="16"/>
        <v>1744960.6</v>
      </c>
      <c r="AG108" s="6">
        <f t="shared" si="17"/>
        <v>285727783.39999998</v>
      </c>
      <c r="AH108" s="6">
        <f t="shared" si="18"/>
        <v>26043730</v>
      </c>
      <c r="AI108" s="6">
        <f t="shared" si="19"/>
        <v>33104728.199999999</v>
      </c>
      <c r="AJ108" s="6">
        <f t="shared" si="20"/>
        <v>396</v>
      </c>
      <c r="AK108" s="6">
        <f t="shared" si="21"/>
        <v>9289308</v>
      </c>
      <c r="AL108" s="6">
        <f t="shared" si="22"/>
        <v>217289637.29999998</v>
      </c>
      <c r="AM108" s="3">
        <f t="shared" si="23"/>
        <v>9.1148748959916523E-2</v>
      </c>
      <c r="AN108" s="3">
        <f t="shared" si="24"/>
        <v>0.11586107520267139</v>
      </c>
      <c r="AO108" s="3">
        <f t="shared" si="25"/>
        <v>1.3859345258197247E-6</v>
      </c>
      <c r="AP108" s="3">
        <f t="shared" si="26"/>
        <v>3.2511042116599435E-2</v>
      </c>
      <c r="AQ108" s="3">
        <f t="shared" si="27"/>
        <v>0.76047780413362487</v>
      </c>
    </row>
    <row r="109" spans="1:43" x14ac:dyDescent="0.3">
      <c r="A109" t="s">
        <v>179</v>
      </c>
      <c r="B109" t="s">
        <v>7</v>
      </c>
      <c r="C109" t="s">
        <v>164</v>
      </c>
      <c r="D109" s="6">
        <v>2026</v>
      </c>
      <c r="E109" t="s">
        <v>195</v>
      </c>
      <c r="F109" s="6">
        <v>157.19999999999999</v>
      </c>
      <c r="G109" s="7">
        <v>331.6</v>
      </c>
      <c r="H109" s="7">
        <v>845.1</v>
      </c>
      <c r="I109" s="6">
        <v>301227700</v>
      </c>
      <c r="J109" s="6">
        <v>77521820</v>
      </c>
      <c r="K109" s="6">
        <v>9289308</v>
      </c>
      <c r="L109" s="6">
        <v>29388076</v>
      </c>
      <c r="M109" s="6">
        <v>0</v>
      </c>
      <c r="N109" s="6">
        <v>396.6</v>
      </c>
      <c r="O109" s="6">
        <v>26390436</v>
      </c>
      <c r="P109" s="6">
        <v>0</v>
      </c>
      <c r="Q109" s="6">
        <v>76076.399999999994</v>
      </c>
      <c r="R109" s="6">
        <v>140282880</v>
      </c>
      <c r="S109" s="6">
        <v>5784138.5</v>
      </c>
      <c r="T109" s="6">
        <v>1740107.2</v>
      </c>
      <c r="U109" s="6">
        <v>0</v>
      </c>
      <c r="V109" s="6">
        <v>65087770</v>
      </c>
      <c r="W109" s="6">
        <v>0</v>
      </c>
      <c r="X109" s="6">
        <v>2943.3</v>
      </c>
      <c r="Y109" s="6">
        <v>10306517</v>
      </c>
      <c r="Z109" s="6">
        <v>2124595</v>
      </c>
      <c r="AA109" s="6">
        <v>31835.599999999999</v>
      </c>
      <c r="AB109" s="6">
        <v>49931.5</v>
      </c>
      <c r="AC109" s="6">
        <v>10672692</v>
      </c>
      <c r="AD109" s="6">
        <f t="shared" si="14"/>
        <v>301227700</v>
      </c>
      <c r="AE109" s="6">
        <f t="shared" si="15"/>
        <v>10672692</v>
      </c>
      <c r="AF109" s="6">
        <f t="shared" si="16"/>
        <v>1740107.2</v>
      </c>
      <c r="AG109" s="6">
        <f t="shared" si="17"/>
        <v>288814900.80000001</v>
      </c>
      <c r="AH109" s="6">
        <f t="shared" si="18"/>
        <v>29388076</v>
      </c>
      <c r="AI109" s="6">
        <f t="shared" si="19"/>
        <v>26466512.399999999</v>
      </c>
      <c r="AJ109" s="6">
        <f t="shared" si="20"/>
        <v>396.6</v>
      </c>
      <c r="AK109" s="6">
        <f t="shared" si="21"/>
        <v>9289308</v>
      </c>
      <c r="AL109" s="6">
        <f t="shared" si="22"/>
        <v>223670610.90000001</v>
      </c>
      <c r="AM109" s="3">
        <f t="shared" si="23"/>
        <v>0.10175401587174618</v>
      </c>
      <c r="AN109" s="3">
        <f t="shared" si="24"/>
        <v>9.1638320345277691E-2</v>
      </c>
      <c r="AO109" s="3">
        <f t="shared" si="25"/>
        <v>1.3731978471382249E-6</v>
      </c>
      <c r="AP109" s="3">
        <f t="shared" si="26"/>
        <v>3.2163534409994678E-2</v>
      </c>
      <c r="AQ109" s="3">
        <f t="shared" si="27"/>
        <v>0.77444276690865255</v>
      </c>
    </row>
    <row r="110" spans="1:43" x14ac:dyDescent="0.3">
      <c r="A110" t="s">
        <v>179</v>
      </c>
      <c r="B110" t="s">
        <v>7</v>
      </c>
      <c r="C110" t="s">
        <v>164</v>
      </c>
      <c r="D110" s="6">
        <v>2028</v>
      </c>
      <c r="E110" t="s">
        <v>195</v>
      </c>
      <c r="F110" s="6">
        <v>153.80000000000001</v>
      </c>
      <c r="G110" s="7">
        <v>308.89999999999998</v>
      </c>
      <c r="H110" s="7">
        <v>824.9</v>
      </c>
      <c r="I110" s="6">
        <v>304135550</v>
      </c>
      <c r="J110" s="6">
        <v>77449720</v>
      </c>
      <c r="K110" s="6">
        <v>14524595</v>
      </c>
      <c r="L110" s="6">
        <v>29972484</v>
      </c>
      <c r="M110" s="6">
        <v>0</v>
      </c>
      <c r="N110" s="6">
        <v>484.3</v>
      </c>
      <c r="O110" s="6">
        <v>23736790</v>
      </c>
      <c r="P110" s="6">
        <v>0</v>
      </c>
      <c r="Q110" s="6">
        <v>104122.2</v>
      </c>
      <c r="R110" s="6">
        <v>140148910</v>
      </c>
      <c r="S110" s="6">
        <v>5821144.5</v>
      </c>
      <c r="T110" s="6">
        <v>1736646</v>
      </c>
      <c r="U110" s="6">
        <v>0</v>
      </c>
      <c r="V110" s="6">
        <v>64736776</v>
      </c>
      <c r="W110" s="6">
        <v>0</v>
      </c>
      <c r="X110" s="6">
        <v>2947.4</v>
      </c>
      <c r="Y110" s="6">
        <v>10162731</v>
      </c>
      <c r="Z110" s="6">
        <v>2547267.5</v>
      </c>
      <c r="AA110" s="6">
        <v>51585.5</v>
      </c>
      <c r="AB110" s="6">
        <v>115995.4</v>
      </c>
      <c r="AC110" s="6">
        <v>10473067</v>
      </c>
      <c r="AD110" s="6">
        <f t="shared" si="14"/>
        <v>304135550</v>
      </c>
      <c r="AE110" s="6">
        <f t="shared" si="15"/>
        <v>10473067</v>
      </c>
      <c r="AF110" s="6">
        <f t="shared" si="16"/>
        <v>1736646</v>
      </c>
      <c r="AG110" s="6">
        <f t="shared" si="17"/>
        <v>291925837</v>
      </c>
      <c r="AH110" s="6">
        <f t="shared" si="18"/>
        <v>29972484</v>
      </c>
      <c r="AI110" s="6">
        <f t="shared" si="19"/>
        <v>23840912.199999999</v>
      </c>
      <c r="AJ110" s="6">
        <f t="shared" si="20"/>
        <v>484.3</v>
      </c>
      <c r="AK110" s="6">
        <f t="shared" si="21"/>
        <v>14524595</v>
      </c>
      <c r="AL110" s="6">
        <f t="shared" si="22"/>
        <v>223587357.30000001</v>
      </c>
      <c r="AM110" s="3">
        <f t="shared" si="23"/>
        <v>0.10267156997138284</v>
      </c>
      <c r="AN110" s="3">
        <f t="shared" si="24"/>
        <v>8.1667701786875407E-2</v>
      </c>
      <c r="AO110" s="3">
        <f t="shared" si="25"/>
        <v>1.6589829971096393E-6</v>
      </c>
      <c r="AP110" s="3">
        <f t="shared" si="26"/>
        <v>4.9754400464389177E-2</v>
      </c>
      <c r="AQ110" s="3">
        <f t="shared" si="27"/>
        <v>0.76590465440713973</v>
      </c>
    </row>
    <row r="111" spans="1:43" x14ac:dyDescent="0.3">
      <c r="A111" t="s">
        <v>179</v>
      </c>
      <c r="B111" t="s">
        <v>7</v>
      </c>
      <c r="C111" t="s">
        <v>164</v>
      </c>
      <c r="D111" s="6">
        <v>2030</v>
      </c>
      <c r="E111" t="s">
        <v>195</v>
      </c>
      <c r="F111" s="6">
        <v>137.1</v>
      </c>
      <c r="G111" s="7">
        <v>318.39999999999998</v>
      </c>
      <c r="H111" s="7">
        <v>782</v>
      </c>
      <c r="I111" s="6">
        <v>305647360</v>
      </c>
      <c r="J111" s="6">
        <v>77979336</v>
      </c>
      <c r="K111" s="6">
        <v>19992586</v>
      </c>
      <c r="L111" s="6">
        <v>26015602</v>
      </c>
      <c r="M111" s="6">
        <v>0</v>
      </c>
      <c r="N111" s="6">
        <v>766.2</v>
      </c>
      <c r="O111" s="6">
        <v>22735234</v>
      </c>
      <c r="P111" s="6">
        <v>0</v>
      </c>
      <c r="Q111" s="6">
        <v>86748.5</v>
      </c>
      <c r="R111" s="6">
        <v>139881100</v>
      </c>
      <c r="S111" s="6">
        <v>5821144.5</v>
      </c>
      <c r="T111" s="6">
        <v>1724919.2</v>
      </c>
      <c r="U111" s="6">
        <v>0</v>
      </c>
      <c r="V111" s="6">
        <v>64369664</v>
      </c>
      <c r="W111" s="6">
        <v>0</v>
      </c>
      <c r="X111" s="6">
        <v>2951.4</v>
      </c>
      <c r="Y111" s="6">
        <v>10356404</v>
      </c>
      <c r="Z111" s="6">
        <v>3250319.5</v>
      </c>
      <c r="AA111" s="6">
        <v>77743.199999999997</v>
      </c>
      <c r="AB111" s="6">
        <v>1030429.6</v>
      </c>
      <c r="AC111" s="6">
        <v>10301733</v>
      </c>
      <c r="AD111" s="6">
        <f t="shared" si="14"/>
        <v>305647360</v>
      </c>
      <c r="AE111" s="6">
        <f t="shared" si="15"/>
        <v>10301733</v>
      </c>
      <c r="AF111" s="6">
        <f t="shared" si="16"/>
        <v>1724919.2</v>
      </c>
      <c r="AG111" s="6">
        <f t="shared" si="17"/>
        <v>293620707.80000001</v>
      </c>
      <c r="AH111" s="6">
        <f t="shared" si="18"/>
        <v>26015602</v>
      </c>
      <c r="AI111" s="6">
        <f t="shared" si="19"/>
        <v>22821982.5</v>
      </c>
      <c r="AJ111" s="6">
        <f t="shared" si="20"/>
        <v>766.2</v>
      </c>
      <c r="AK111" s="6">
        <f t="shared" si="21"/>
        <v>19992586</v>
      </c>
      <c r="AL111" s="6">
        <f t="shared" si="22"/>
        <v>224789756.19999999</v>
      </c>
      <c r="AM111" s="3">
        <f t="shared" si="23"/>
        <v>8.8602749427743183E-2</v>
      </c>
      <c r="AN111" s="3">
        <f t="shared" si="24"/>
        <v>7.7726065954262374E-2</v>
      </c>
      <c r="AO111" s="3">
        <f t="shared" si="25"/>
        <v>2.6094889755592367E-6</v>
      </c>
      <c r="AP111" s="3">
        <f t="shared" si="26"/>
        <v>6.8089836543878804E-2</v>
      </c>
      <c r="AQ111" s="3">
        <f t="shared" si="27"/>
        <v>0.76557868783940031</v>
      </c>
    </row>
    <row r="112" spans="1:43" x14ac:dyDescent="0.3">
      <c r="A112" t="s">
        <v>179</v>
      </c>
      <c r="B112" t="s">
        <v>7</v>
      </c>
      <c r="C112" t="s">
        <v>164</v>
      </c>
      <c r="D112" s="6">
        <v>2032</v>
      </c>
      <c r="E112" t="s">
        <v>195</v>
      </c>
      <c r="F112" s="6">
        <v>145.9</v>
      </c>
      <c r="G112" s="7">
        <v>288.7</v>
      </c>
      <c r="H112" s="7">
        <v>762.4</v>
      </c>
      <c r="I112" s="6">
        <v>310549020</v>
      </c>
      <c r="J112" s="6">
        <v>77571140</v>
      </c>
      <c r="K112" s="6">
        <v>20008618</v>
      </c>
      <c r="L112" s="6">
        <v>27383156</v>
      </c>
      <c r="M112" s="6">
        <v>0</v>
      </c>
      <c r="N112" s="6">
        <v>511.1</v>
      </c>
      <c r="O112" s="6">
        <v>26426332</v>
      </c>
      <c r="P112" s="6">
        <v>0</v>
      </c>
      <c r="Q112" s="6">
        <v>127943.7</v>
      </c>
      <c r="R112" s="6">
        <v>139855280</v>
      </c>
      <c r="S112" s="6">
        <v>5895156.5</v>
      </c>
      <c r="T112" s="6">
        <v>1684214.6</v>
      </c>
      <c r="U112" s="6">
        <v>0</v>
      </c>
      <c r="V112" s="6">
        <v>63490484</v>
      </c>
      <c r="W112" s="6">
        <v>0</v>
      </c>
      <c r="X112" s="6">
        <v>2961.2</v>
      </c>
      <c r="Y112" s="6">
        <v>10211906</v>
      </c>
      <c r="Z112" s="6">
        <v>3865790</v>
      </c>
      <c r="AA112" s="6">
        <v>77242.3</v>
      </c>
      <c r="AB112" s="6">
        <v>1428457</v>
      </c>
      <c r="AC112" s="6">
        <v>10090975</v>
      </c>
      <c r="AD112" s="6">
        <f t="shared" si="14"/>
        <v>310549020</v>
      </c>
      <c r="AE112" s="6">
        <f t="shared" si="15"/>
        <v>10090975</v>
      </c>
      <c r="AF112" s="6">
        <f t="shared" si="16"/>
        <v>1684214.6</v>
      </c>
      <c r="AG112" s="6">
        <f t="shared" si="17"/>
        <v>298773830.39999998</v>
      </c>
      <c r="AH112" s="6">
        <f t="shared" si="18"/>
        <v>27383156</v>
      </c>
      <c r="AI112" s="6">
        <f t="shared" si="19"/>
        <v>26554275.699999999</v>
      </c>
      <c r="AJ112" s="6">
        <f t="shared" si="20"/>
        <v>511.1</v>
      </c>
      <c r="AK112" s="6">
        <f t="shared" si="21"/>
        <v>20008618</v>
      </c>
      <c r="AL112" s="6">
        <f t="shared" si="22"/>
        <v>224827277</v>
      </c>
      <c r="AM112" s="3">
        <f t="shared" si="23"/>
        <v>9.1651788790669139E-2</v>
      </c>
      <c r="AN112" s="3">
        <f t="shared" si="24"/>
        <v>8.8877515358185805E-2</v>
      </c>
      <c r="AO112" s="3">
        <f t="shared" si="25"/>
        <v>1.710658524930837E-6</v>
      </c>
      <c r="AP112" s="3">
        <f t="shared" si="26"/>
        <v>6.6969111629396574E-2</v>
      </c>
      <c r="AQ112" s="3">
        <f t="shared" si="27"/>
        <v>0.75249989833112241</v>
      </c>
    </row>
    <row r="113" spans="1:43" x14ac:dyDescent="0.3">
      <c r="A113" t="s">
        <v>179</v>
      </c>
      <c r="B113" t="s">
        <v>7</v>
      </c>
      <c r="C113" t="s">
        <v>164</v>
      </c>
      <c r="D113" s="6">
        <v>2034</v>
      </c>
      <c r="E113" t="s">
        <v>195</v>
      </c>
      <c r="F113" s="6">
        <v>148.80000000000001</v>
      </c>
      <c r="G113" s="7">
        <v>286.2</v>
      </c>
      <c r="H113" s="7">
        <v>783.4</v>
      </c>
      <c r="I113" s="6">
        <v>311193470</v>
      </c>
      <c r="J113" s="6">
        <v>77399180</v>
      </c>
      <c r="K113" s="6">
        <v>19975166</v>
      </c>
      <c r="L113" s="6">
        <v>27880572</v>
      </c>
      <c r="M113" s="6">
        <v>0</v>
      </c>
      <c r="N113" s="6">
        <v>472.5</v>
      </c>
      <c r="O113" s="6">
        <v>27166470</v>
      </c>
      <c r="P113" s="6">
        <v>0</v>
      </c>
      <c r="Q113" s="6">
        <v>128321.60000000001</v>
      </c>
      <c r="R113" s="6">
        <v>139881920</v>
      </c>
      <c r="S113" s="6">
        <v>5932162.5</v>
      </c>
      <c r="T113" s="6">
        <v>1267838.6000000001</v>
      </c>
      <c r="U113" s="6">
        <v>0</v>
      </c>
      <c r="V113" s="6">
        <v>62484290</v>
      </c>
      <c r="W113" s="6">
        <v>0</v>
      </c>
      <c r="X113" s="6">
        <v>2953.8</v>
      </c>
      <c r="Y113" s="6">
        <v>10646253</v>
      </c>
      <c r="Z113" s="6">
        <v>4265689</v>
      </c>
      <c r="AA113" s="6">
        <v>81850.3</v>
      </c>
      <c r="AB113" s="6">
        <v>1536439.6</v>
      </c>
      <c r="AC113" s="6">
        <v>9943069</v>
      </c>
      <c r="AD113" s="6">
        <f t="shared" si="14"/>
        <v>311193470</v>
      </c>
      <c r="AE113" s="6">
        <f t="shared" si="15"/>
        <v>9943069</v>
      </c>
      <c r="AF113" s="6">
        <f t="shared" si="16"/>
        <v>1267838.6000000001</v>
      </c>
      <c r="AG113" s="6">
        <f t="shared" si="17"/>
        <v>299982562.39999998</v>
      </c>
      <c r="AH113" s="6">
        <f t="shared" si="18"/>
        <v>27880572</v>
      </c>
      <c r="AI113" s="6">
        <f t="shared" si="19"/>
        <v>27294791.600000001</v>
      </c>
      <c r="AJ113" s="6">
        <f t="shared" si="20"/>
        <v>472.5</v>
      </c>
      <c r="AK113" s="6">
        <f t="shared" si="21"/>
        <v>19975166</v>
      </c>
      <c r="AL113" s="6">
        <f t="shared" si="22"/>
        <v>224831558.20000002</v>
      </c>
      <c r="AM113" s="3">
        <f t="shared" si="23"/>
        <v>9.294064220580843E-2</v>
      </c>
      <c r="AN113" s="3">
        <f t="shared" si="24"/>
        <v>9.0987927370274391E-2</v>
      </c>
      <c r="AO113" s="3">
        <f t="shared" si="25"/>
        <v>1.5750915527215325E-6</v>
      </c>
      <c r="AP113" s="3">
        <f t="shared" si="26"/>
        <v>6.6587757102244155E-2</v>
      </c>
      <c r="AQ113" s="3">
        <f t="shared" si="27"/>
        <v>0.74948209122971354</v>
      </c>
    </row>
    <row r="114" spans="1:43" x14ac:dyDescent="0.3">
      <c r="A114" t="s">
        <v>179</v>
      </c>
      <c r="B114" t="s">
        <v>7</v>
      </c>
      <c r="C114" t="s">
        <v>164</v>
      </c>
      <c r="D114" s="6">
        <v>2036</v>
      </c>
      <c r="E114" t="s">
        <v>195</v>
      </c>
      <c r="F114" s="6">
        <v>150.30000000000001</v>
      </c>
      <c r="G114" s="7">
        <v>234.7</v>
      </c>
      <c r="H114" s="7">
        <v>736.7</v>
      </c>
      <c r="I114" s="6">
        <v>313922880</v>
      </c>
      <c r="J114" s="6">
        <v>78319700</v>
      </c>
      <c r="K114" s="6">
        <v>20015424</v>
      </c>
      <c r="L114" s="6">
        <v>27847700</v>
      </c>
      <c r="M114" s="6">
        <v>0</v>
      </c>
      <c r="N114" s="6">
        <v>407.4</v>
      </c>
      <c r="O114" s="6">
        <v>29160780</v>
      </c>
      <c r="P114" s="6">
        <v>0</v>
      </c>
      <c r="Q114" s="6">
        <v>169017</v>
      </c>
      <c r="R114" s="6">
        <v>139857250</v>
      </c>
      <c r="S114" s="6">
        <v>5969168</v>
      </c>
      <c r="T114" s="6">
        <v>959743.7</v>
      </c>
      <c r="U114" s="6">
        <v>0</v>
      </c>
      <c r="V114" s="6">
        <v>63184104</v>
      </c>
      <c r="W114" s="6">
        <v>0</v>
      </c>
      <c r="X114" s="6">
        <v>2949.1</v>
      </c>
      <c r="Y114" s="6">
        <v>10500816</v>
      </c>
      <c r="Z114" s="6">
        <v>4631831.5</v>
      </c>
      <c r="AA114" s="6">
        <v>82257.899999999994</v>
      </c>
      <c r="AB114" s="6">
        <v>1697785</v>
      </c>
      <c r="AC114" s="6">
        <v>9843657</v>
      </c>
      <c r="AD114" s="6">
        <f t="shared" si="14"/>
        <v>313922880</v>
      </c>
      <c r="AE114" s="6">
        <f t="shared" si="15"/>
        <v>9843657</v>
      </c>
      <c r="AF114" s="6">
        <f t="shared" si="16"/>
        <v>959743.7</v>
      </c>
      <c r="AG114" s="6">
        <f t="shared" si="17"/>
        <v>303119479.30000001</v>
      </c>
      <c r="AH114" s="6">
        <f t="shared" si="18"/>
        <v>27847700</v>
      </c>
      <c r="AI114" s="6">
        <f t="shared" si="19"/>
        <v>29329797</v>
      </c>
      <c r="AJ114" s="6">
        <f t="shared" si="20"/>
        <v>407.4</v>
      </c>
      <c r="AK114" s="6">
        <f t="shared" si="21"/>
        <v>20015424</v>
      </c>
      <c r="AL114" s="6">
        <f t="shared" si="22"/>
        <v>225926161.5</v>
      </c>
      <c r="AM114" s="3">
        <f t="shared" si="23"/>
        <v>9.1870374231010368E-2</v>
      </c>
      <c r="AN114" s="3">
        <f t="shared" si="24"/>
        <v>9.6759855446215126E-2</v>
      </c>
      <c r="AO114" s="3">
        <f t="shared" si="25"/>
        <v>1.3440244782051523E-6</v>
      </c>
      <c r="AP114" s="3">
        <f t="shared" si="26"/>
        <v>6.6031467348195594E-2</v>
      </c>
      <c r="AQ114" s="3">
        <f t="shared" si="27"/>
        <v>0.74533699391980968</v>
      </c>
    </row>
    <row r="115" spans="1:43" x14ac:dyDescent="0.3">
      <c r="A115" t="s">
        <v>179</v>
      </c>
      <c r="B115" t="s">
        <v>7</v>
      </c>
      <c r="C115" t="s">
        <v>164</v>
      </c>
      <c r="D115" s="6">
        <v>2038</v>
      </c>
      <c r="E115" t="s">
        <v>195</v>
      </c>
      <c r="F115" s="6">
        <v>130.69999999999999</v>
      </c>
      <c r="G115" s="7">
        <v>243.4</v>
      </c>
      <c r="H115" s="7">
        <v>729.4</v>
      </c>
      <c r="I115" s="6">
        <v>313797470</v>
      </c>
      <c r="J115" s="6">
        <v>78708990</v>
      </c>
      <c r="K115" s="6">
        <v>20051786</v>
      </c>
      <c r="L115" s="6">
        <v>19950870</v>
      </c>
      <c r="M115" s="6">
        <v>0</v>
      </c>
      <c r="N115" s="6">
        <v>143.30000000000001</v>
      </c>
      <c r="O115" s="6">
        <v>35990130</v>
      </c>
      <c r="P115" s="6">
        <v>0</v>
      </c>
      <c r="Q115" s="6">
        <v>239111.4</v>
      </c>
      <c r="R115" s="6">
        <v>139952670</v>
      </c>
      <c r="S115" s="6">
        <v>6006174</v>
      </c>
      <c r="T115" s="6">
        <v>963384.1</v>
      </c>
      <c r="U115" s="6">
        <v>0</v>
      </c>
      <c r="V115" s="6">
        <v>61641420</v>
      </c>
      <c r="W115" s="6">
        <v>0</v>
      </c>
      <c r="X115" s="6">
        <v>2952.1</v>
      </c>
      <c r="Y115" s="6">
        <v>12153718</v>
      </c>
      <c r="Z115" s="6">
        <v>4910899</v>
      </c>
      <c r="AA115" s="6">
        <v>71315.399999999994</v>
      </c>
      <c r="AB115" s="6">
        <v>1939673.6</v>
      </c>
      <c r="AC115" s="6">
        <v>9923236</v>
      </c>
      <c r="AD115" s="6">
        <f t="shared" si="14"/>
        <v>313797470</v>
      </c>
      <c r="AE115" s="6">
        <f t="shared" si="15"/>
        <v>9923236</v>
      </c>
      <c r="AF115" s="6">
        <f t="shared" si="16"/>
        <v>963384.1</v>
      </c>
      <c r="AG115" s="6">
        <f t="shared" si="17"/>
        <v>302910849.89999998</v>
      </c>
      <c r="AH115" s="6">
        <f t="shared" si="18"/>
        <v>19950870</v>
      </c>
      <c r="AI115" s="6">
        <f t="shared" si="19"/>
        <v>36229241.399999999</v>
      </c>
      <c r="AJ115" s="6">
        <f t="shared" si="20"/>
        <v>143.30000000000001</v>
      </c>
      <c r="AK115" s="6">
        <f t="shared" si="21"/>
        <v>20051786</v>
      </c>
      <c r="AL115" s="6">
        <f t="shared" si="22"/>
        <v>226678822.09999999</v>
      </c>
      <c r="AM115" s="3">
        <f t="shared" si="23"/>
        <v>6.5863834215863795E-2</v>
      </c>
      <c r="AN115" s="3">
        <f t="shared" si="24"/>
        <v>0.11960364381784398</v>
      </c>
      <c r="AO115" s="3">
        <f t="shared" si="25"/>
        <v>4.7307648454093891E-7</v>
      </c>
      <c r="AP115" s="3">
        <f t="shared" si="26"/>
        <v>6.6196988343665136E-2</v>
      </c>
      <c r="AQ115" s="3">
        <f t="shared" si="27"/>
        <v>0.74833510313293006</v>
      </c>
    </row>
    <row r="116" spans="1:43" x14ac:dyDescent="0.3">
      <c r="A116" t="s">
        <v>179</v>
      </c>
      <c r="B116" t="s">
        <v>7</v>
      </c>
      <c r="C116" t="s">
        <v>164</v>
      </c>
      <c r="D116" s="6">
        <v>2040</v>
      </c>
      <c r="E116" t="s">
        <v>195</v>
      </c>
      <c r="F116" s="6">
        <v>134.1</v>
      </c>
      <c r="G116" s="7">
        <v>187.1</v>
      </c>
      <c r="H116" s="7">
        <v>722.1</v>
      </c>
      <c r="I116" s="6">
        <v>315254240</v>
      </c>
      <c r="J116" s="6">
        <v>75773050</v>
      </c>
      <c r="K116" s="6">
        <v>20098248</v>
      </c>
      <c r="L116" s="6">
        <v>19262998</v>
      </c>
      <c r="M116" s="6">
        <v>0</v>
      </c>
      <c r="N116" s="6">
        <v>114.6</v>
      </c>
      <c r="O116" s="6">
        <v>40662130</v>
      </c>
      <c r="P116" s="6">
        <v>0</v>
      </c>
      <c r="Q116" s="6">
        <v>217652.7</v>
      </c>
      <c r="R116" s="6">
        <v>140037470</v>
      </c>
      <c r="S116" s="6">
        <v>5927010.5</v>
      </c>
      <c r="T116" s="6">
        <v>742858.7</v>
      </c>
      <c r="U116" s="6">
        <v>0</v>
      </c>
      <c r="V116" s="6">
        <v>56946010</v>
      </c>
      <c r="W116" s="6">
        <v>0</v>
      </c>
      <c r="X116" s="6">
        <v>2940.6</v>
      </c>
      <c r="Y116" s="6">
        <v>13587893</v>
      </c>
      <c r="Z116" s="6">
        <v>5236207</v>
      </c>
      <c r="AA116" s="6">
        <v>59481.2</v>
      </c>
      <c r="AB116" s="6">
        <v>2481879</v>
      </c>
      <c r="AC116" s="6">
        <v>9991351</v>
      </c>
      <c r="AD116" s="6">
        <f t="shared" si="14"/>
        <v>315254240</v>
      </c>
      <c r="AE116" s="6">
        <f t="shared" si="15"/>
        <v>9991351</v>
      </c>
      <c r="AF116" s="6">
        <f t="shared" si="16"/>
        <v>742858.7</v>
      </c>
      <c r="AG116" s="6">
        <f t="shared" si="17"/>
        <v>304520030.30000001</v>
      </c>
      <c r="AH116" s="6">
        <f t="shared" si="18"/>
        <v>19262998</v>
      </c>
      <c r="AI116" s="6">
        <f t="shared" si="19"/>
        <v>40879782.700000003</v>
      </c>
      <c r="AJ116" s="6">
        <f t="shared" si="20"/>
        <v>114.6</v>
      </c>
      <c r="AK116" s="6">
        <f t="shared" si="21"/>
        <v>20098248</v>
      </c>
      <c r="AL116" s="6">
        <f t="shared" si="22"/>
        <v>224278891.29999998</v>
      </c>
      <c r="AM116" s="3">
        <f t="shared" si="23"/>
        <v>6.3256916075513731E-2</v>
      </c>
      <c r="AN116" s="3">
        <f t="shared" si="24"/>
        <v>0.13424332928026772</v>
      </c>
      <c r="AO116" s="3">
        <f t="shared" si="25"/>
        <v>3.7632992446211505E-7</v>
      </c>
      <c r="AP116" s="3">
        <f t="shared" si="26"/>
        <v>6.5999756995295422E-2</v>
      </c>
      <c r="AQ116" s="3">
        <f t="shared" si="27"/>
        <v>0.73649963543958041</v>
      </c>
    </row>
    <row r="117" spans="1:43" x14ac:dyDescent="0.3">
      <c r="A117" t="s">
        <v>179</v>
      </c>
      <c r="B117" t="s">
        <v>7</v>
      </c>
      <c r="C117" t="s">
        <v>164</v>
      </c>
      <c r="D117" s="6">
        <v>2042</v>
      </c>
      <c r="E117" t="s">
        <v>195</v>
      </c>
      <c r="F117" s="6">
        <v>139.5</v>
      </c>
      <c r="G117" s="7">
        <v>198.1</v>
      </c>
      <c r="H117" s="7">
        <v>734.8</v>
      </c>
      <c r="I117" s="6">
        <v>316798000</v>
      </c>
      <c r="J117" s="6">
        <v>73238670</v>
      </c>
      <c r="K117" s="6">
        <v>20135282</v>
      </c>
      <c r="L117" s="6">
        <v>19291984</v>
      </c>
      <c r="M117" s="6">
        <v>0</v>
      </c>
      <c r="N117" s="6">
        <v>76.5</v>
      </c>
      <c r="O117" s="6">
        <v>44941136</v>
      </c>
      <c r="P117" s="6">
        <v>0</v>
      </c>
      <c r="Q117" s="6">
        <v>206683.6</v>
      </c>
      <c r="R117" s="6">
        <v>140189200</v>
      </c>
      <c r="S117" s="6">
        <v>5316877.5</v>
      </c>
      <c r="T117" s="6">
        <v>642332.80000000005</v>
      </c>
      <c r="U117" s="6">
        <v>0</v>
      </c>
      <c r="V117" s="6">
        <v>53859156</v>
      </c>
      <c r="W117" s="6">
        <v>0</v>
      </c>
      <c r="X117" s="6">
        <v>2965.1</v>
      </c>
      <c r="Y117" s="6">
        <v>13856830</v>
      </c>
      <c r="Z117" s="6">
        <v>5519715.5</v>
      </c>
      <c r="AA117" s="6">
        <v>187601.2</v>
      </c>
      <c r="AB117" s="6">
        <v>2642774</v>
      </c>
      <c r="AC117" s="6">
        <v>10005403</v>
      </c>
      <c r="AD117" s="6">
        <f t="shared" si="14"/>
        <v>316798000</v>
      </c>
      <c r="AE117" s="6">
        <f t="shared" si="15"/>
        <v>10005403</v>
      </c>
      <c r="AF117" s="6">
        <f t="shared" si="16"/>
        <v>642332.80000000005</v>
      </c>
      <c r="AG117" s="6">
        <f t="shared" si="17"/>
        <v>306150264.19999999</v>
      </c>
      <c r="AH117" s="6">
        <f t="shared" si="18"/>
        <v>19291984</v>
      </c>
      <c r="AI117" s="6">
        <f t="shared" si="19"/>
        <v>45147819.600000001</v>
      </c>
      <c r="AJ117" s="6">
        <f t="shared" si="20"/>
        <v>76.5</v>
      </c>
      <c r="AK117" s="6">
        <f t="shared" si="21"/>
        <v>20135282</v>
      </c>
      <c r="AL117" s="6">
        <f t="shared" si="22"/>
        <v>221575119.29999998</v>
      </c>
      <c r="AM117" s="3">
        <f t="shared" si="23"/>
        <v>6.3014755353590191E-2</v>
      </c>
      <c r="AN117" s="3">
        <f t="shared" si="24"/>
        <v>0.14746947783297062</v>
      </c>
      <c r="AO117" s="3">
        <f t="shared" si="25"/>
        <v>2.4987729538598258E-7</v>
      </c>
      <c r="AP117" s="3">
        <f t="shared" si="26"/>
        <v>6.5769278535870029E-2</v>
      </c>
      <c r="AQ117" s="3">
        <f t="shared" si="27"/>
        <v>0.72374629458183559</v>
      </c>
    </row>
    <row r="118" spans="1:43" x14ac:dyDescent="0.3">
      <c r="A118" t="s">
        <v>179</v>
      </c>
      <c r="B118" t="s">
        <v>7</v>
      </c>
      <c r="C118" t="s">
        <v>164</v>
      </c>
      <c r="D118" s="6">
        <v>2044</v>
      </c>
      <c r="E118" t="s">
        <v>195</v>
      </c>
      <c r="F118" s="6">
        <v>132.80000000000001</v>
      </c>
      <c r="G118" s="7">
        <v>193.4</v>
      </c>
      <c r="H118" s="7">
        <v>698.9</v>
      </c>
      <c r="I118" s="6">
        <v>328825800</v>
      </c>
      <c r="J118" s="6">
        <v>82410420</v>
      </c>
      <c r="K118" s="6">
        <v>20083742</v>
      </c>
      <c r="L118" s="6">
        <v>17384876</v>
      </c>
      <c r="M118" s="6">
        <v>0</v>
      </c>
      <c r="N118" s="6">
        <v>44.5</v>
      </c>
      <c r="O118" s="6">
        <v>49453190</v>
      </c>
      <c r="P118" s="6">
        <v>0</v>
      </c>
      <c r="Q118" s="6">
        <v>107670.3</v>
      </c>
      <c r="R118" s="6">
        <v>140155260</v>
      </c>
      <c r="S118" s="6">
        <v>4729844</v>
      </c>
      <c r="T118" s="6">
        <v>639422.6</v>
      </c>
      <c r="U118" s="6">
        <v>0</v>
      </c>
      <c r="V118" s="6">
        <v>59395610</v>
      </c>
      <c r="W118" s="6">
        <v>0</v>
      </c>
      <c r="X118" s="6">
        <v>0</v>
      </c>
      <c r="Y118" s="6">
        <v>17244268</v>
      </c>
      <c r="Z118" s="6">
        <v>5770539.5</v>
      </c>
      <c r="AA118" s="6">
        <v>284681.8</v>
      </c>
      <c r="AB118" s="6">
        <v>3585598.8</v>
      </c>
      <c r="AC118" s="6">
        <v>9991055</v>
      </c>
      <c r="AD118" s="6">
        <f t="shared" si="14"/>
        <v>328825800</v>
      </c>
      <c r="AE118" s="6">
        <f t="shared" si="15"/>
        <v>9991055</v>
      </c>
      <c r="AF118" s="6">
        <f t="shared" si="16"/>
        <v>639422.6</v>
      </c>
      <c r="AG118" s="6">
        <f t="shared" si="17"/>
        <v>318195322.39999998</v>
      </c>
      <c r="AH118" s="6">
        <f t="shared" si="18"/>
        <v>17384876</v>
      </c>
      <c r="AI118" s="6">
        <f t="shared" si="19"/>
        <v>49560860.299999997</v>
      </c>
      <c r="AJ118" s="6">
        <f t="shared" si="20"/>
        <v>44.5</v>
      </c>
      <c r="AK118" s="6">
        <f t="shared" si="21"/>
        <v>20083742</v>
      </c>
      <c r="AL118" s="6">
        <f t="shared" si="22"/>
        <v>231165802.10000002</v>
      </c>
      <c r="AM118" s="3">
        <f t="shared" si="23"/>
        <v>5.4635862868360009E-2</v>
      </c>
      <c r="AN118" s="3">
        <f t="shared" si="24"/>
        <v>0.15575609322659231</v>
      </c>
      <c r="AO118" s="3">
        <f t="shared" si="25"/>
        <v>1.3985120731617644E-7</v>
      </c>
      <c r="AP118" s="3">
        <f t="shared" si="26"/>
        <v>6.3117653171384278E-2</v>
      </c>
      <c r="AQ118" s="3">
        <f t="shared" si="27"/>
        <v>0.72649025873926565</v>
      </c>
    </row>
    <row r="119" spans="1:43" x14ac:dyDescent="0.3">
      <c r="A119" t="s">
        <v>179</v>
      </c>
      <c r="B119" t="s">
        <v>7</v>
      </c>
      <c r="C119" t="s">
        <v>164</v>
      </c>
      <c r="D119" s="6">
        <v>2046</v>
      </c>
      <c r="E119" t="s">
        <v>195</v>
      </c>
      <c r="F119" s="6">
        <v>128.80000000000001</v>
      </c>
      <c r="G119" s="7">
        <v>206.7</v>
      </c>
      <c r="H119" s="7">
        <v>662</v>
      </c>
      <c r="I119" s="6">
        <v>338854200</v>
      </c>
      <c r="J119" s="6">
        <v>89415016</v>
      </c>
      <c r="K119" s="6">
        <v>19994086</v>
      </c>
      <c r="L119" s="6">
        <v>15607125</v>
      </c>
      <c r="M119" s="6">
        <v>0</v>
      </c>
      <c r="N119" s="6">
        <v>44.5</v>
      </c>
      <c r="O119" s="6">
        <v>54596904</v>
      </c>
      <c r="P119" s="6">
        <v>0</v>
      </c>
      <c r="Q119" s="6">
        <v>38970.699999999997</v>
      </c>
      <c r="R119" s="6">
        <v>140151470</v>
      </c>
      <c r="S119" s="6">
        <v>4407912</v>
      </c>
      <c r="T119" s="6">
        <v>625825.6</v>
      </c>
      <c r="U119" s="6">
        <v>0</v>
      </c>
      <c r="V119" s="6">
        <v>62734540</v>
      </c>
      <c r="W119" s="6">
        <v>0</v>
      </c>
      <c r="X119" s="6">
        <v>0</v>
      </c>
      <c r="Y119" s="6">
        <v>20853524</v>
      </c>
      <c r="Z119" s="6">
        <v>5826948</v>
      </c>
      <c r="AA119" s="6">
        <v>597230</v>
      </c>
      <c r="AB119" s="6">
        <v>3412840.5</v>
      </c>
      <c r="AC119" s="6">
        <v>10006795</v>
      </c>
      <c r="AD119" s="6">
        <f t="shared" si="14"/>
        <v>338854200</v>
      </c>
      <c r="AE119" s="6">
        <f t="shared" si="15"/>
        <v>10006795</v>
      </c>
      <c r="AF119" s="6">
        <f t="shared" si="16"/>
        <v>625825.6</v>
      </c>
      <c r="AG119" s="6">
        <f t="shared" si="17"/>
        <v>328221579.39999998</v>
      </c>
      <c r="AH119" s="6">
        <f t="shared" si="18"/>
        <v>15607125</v>
      </c>
      <c r="AI119" s="6">
        <f t="shared" si="19"/>
        <v>54635874.700000003</v>
      </c>
      <c r="AJ119" s="6">
        <f t="shared" si="20"/>
        <v>44.5</v>
      </c>
      <c r="AK119" s="6">
        <f t="shared" si="21"/>
        <v>19994086</v>
      </c>
      <c r="AL119" s="6">
        <f t="shared" si="22"/>
        <v>237984464.5</v>
      </c>
      <c r="AM119" s="3">
        <f t="shared" si="23"/>
        <v>4.7550575524407467E-2</v>
      </c>
      <c r="AN119" s="3">
        <f t="shared" si="24"/>
        <v>0.16646033694638912</v>
      </c>
      <c r="AO119" s="3">
        <f t="shared" si="25"/>
        <v>1.3557914163153893E-7</v>
      </c>
      <c r="AP119" s="3">
        <f t="shared" si="26"/>
        <v>6.0916427361509436E-2</v>
      </c>
      <c r="AQ119" s="3">
        <f t="shared" si="27"/>
        <v>0.7250725712034034</v>
      </c>
    </row>
    <row r="120" spans="1:43" x14ac:dyDescent="0.3">
      <c r="A120" t="s">
        <v>179</v>
      </c>
      <c r="B120" t="s">
        <v>7</v>
      </c>
      <c r="C120" t="s">
        <v>164</v>
      </c>
      <c r="D120" s="6">
        <v>2048</v>
      </c>
      <c r="E120" t="s">
        <v>195</v>
      </c>
      <c r="F120" s="6">
        <v>130.80000000000001</v>
      </c>
      <c r="G120" s="7">
        <v>202.4</v>
      </c>
      <c r="H120" s="7">
        <v>648.9</v>
      </c>
      <c r="I120" s="6">
        <v>352273180</v>
      </c>
      <c r="J120" s="6">
        <v>97264260</v>
      </c>
      <c r="K120" s="6">
        <v>19865010</v>
      </c>
      <c r="L120" s="6">
        <v>15612162</v>
      </c>
      <c r="M120" s="6">
        <v>0</v>
      </c>
      <c r="N120" s="6">
        <v>44.5</v>
      </c>
      <c r="O120" s="6">
        <v>60110104</v>
      </c>
      <c r="P120" s="6">
        <v>0</v>
      </c>
      <c r="Q120" s="6">
        <v>36325.1</v>
      </c>
      <c r="R120" s="6">
        <v>139984850</v>
      </c>
      <c r="S120" s="6">
        <v>4141086.8</v>
      </c>
      <c r="T120" s="6">
        <v>623936.30000000005</v>
      </c>
      <c r="U120" s="6">
        <v>0</v>
      </c>
      <c r="V120" s="6">
        <v>68806310</v>
      </c>
      <c r="W120" s="6">
        <v>0</v>
      </c>
      <c r="X120" s="6">
        <v>0</v>
      </c>
      <c r="Y120" s="6">
        <v>22315700</v>
      </c>
      <c r="Z120" s="6">
        <v>6142245</v>
      </c>
      <c r="AA120" s="6">
        <v>922943.2</v>
      </c>
      <c r="AB120" s="6">
        <v>3724236.7999999998</v>
      </c>
      <c r="AC120" s="6">
        <v>9988237</v>
      </c>
      <c r="AD120" s="6">
        <f t="shared" si="14"/>
        <v>352273180</v>
      </c>
      <c r="AE120" s="6">
        <f t="shared" si="15"/>
        <v>9988237</v>
      </c>
      <c r="AF120" s="6">
        <f t="shared" si="16"/>
        <v>623936.30000000005</v>
      </c>
      <c r="AG120" s="6">
        <f t="shared" si="17"/>
        <v>341661006.69999999</v>
      </c>
      <c r="AH120" s="6">
        <f t="shared" si="18"/>
        <v>15612162</v>
      </c>
      <c r="AI120" s="6">
        <f t="shared" si="19"/>
        <v>60146429.100000001</v>
      </c>
      <c r="AJ120" s="6">
        <f t="shared" si="20"/>
        <v>44.5</v>
      </c>
      <c r="AK120" s="6">
        <f t="shared" si="21"/>
        <v>19865010</v>
      </c>
      <c r="AL120" s="6">
        <f t="shared" si="22"/>
        <v>246037371.80000001</v>
      </c>
      <c r="AM120" s="3">
        <f t="shared" si="23"/>
        <v>4.5694889653323731E-2</v>
      </c>
      <c r="AN120" s="3">
        <f t="shared" si="24"/>
        <v>0.17604124532950399</v>
      </c>
      <c r="AO120" s="3">
        <f t="shared" si="25"/>
        <v>1.3024606006348808E-7</v>
      </c>
      <c r="AP120" s="3">
        <f t="shared" si="26"/>
        <v>5.8142455856669467E-2</v>
      </c>
      <c r="AQ120" s="3">
        <f t="shared" si="27"/>
        <v>0.72012131023203485</v>
      </c>
    </row>
    <row r="121" spans="1:43" x14ac:dyDescent="0.3">
      <c r="A121" t="s">
        <v>179</v>
      </c>
      <c r="B121" t="s">
        <v>7</v>
      </c>
      <c r="C121" t="s">
        <v>164</v>
      </c>
      <c r="D121" s="6">
        <v>2050</v>
      </c>
      <c r="E121" t="s">
        <v>195</v>
      </c>
      <c r="F121" s="6">
        <v>120.4</v>
      </c>
      <c r="G121" s="7">
        <v>182.5</v>
      </c>
      <c r="H121" s="7">
        <v>629.29999999999995</v>
      </c>
      <c r="I121" s="6">
        <v>366667400</v>
      </c>
      <c r="J121" s="6">
        <v>111677630</v>
      </c>
      <c r="K121" s="6">
        <v>19783666</v>
      </c>
      <c r="L121" s="6">
        <v>12706690</v>
      </c>
      <c r="M121" s="6">
        <v>0</v>
      </c>
      <c r="N121" s="6">
        <v>21.9</v>
      </c>
      <c r="O121" s="6">
        <v>63487220</v>
      </c>
      <c r="P121" s="6">
        <v>0</v>
      </c>
      <c r="Q121" s="6">
        <v>36715.4</v>
      </c>
      <c r="R121" s="6">
        <v>139717040</v>
      </c>
      <c r="S121" s="6">
        <v>4029156</v>
      </c>
      <c r="T121" s="6">
        <v>572737.19999999995</v>
      </c>
      <c r="U121" s="6">
        <v>0</v>
      </c>
      <c r="V121" s="6">
        <v>79377920</v>
      </c>
      <c r="W121" s="6">
        <v>0</v>
      </c>
      <c r="X121" s="6">
        <v>0</v>
      </c>
      <c r="Y121" s="6">
        <v>25826682</v>
      </c>
      <c r="Z121" s="6">
        <v>6473033</v>
      </c>
      <c r="AA121" s="6">
        <v>1205833.3999999999</v>
      </c>
      <c r="AB121" s="6">
        <v>3444223.5</v>
      </c>
      <c r="AC121" s="6">
        <v>10006461</v>
      </c>
      <c r="AD121" s="6">
        <f t="shared" si="14"/>
        <v>366667400</v>
      </c>
      <c r="AE121" s="6">
        <f t="shared" si="15"/>
        <v>10006461</v>
      </c>
      <c r="AF121" s="6">
        <f t="shared" si="16"/>
        <v>572737.19999999995</v>
      </c>
      <c r="AG121" s="6">
        <f t="shared" si="17"/>
        <v>356088201.80000001</v>
      </c>
      <c r="AH121" s="6">
        <f t="shared" si="18"/>
        <v>12706690</v>
      </c>
      <c r="AI121" s="6">
        <f t="shared" si="19"/>
        <v>63523935.399999999</v>
      </c>
      <c r="AJ121" s="6">
        <f t="shared" si="20"/>
        <v>21.9</v>
      </c>
      <c r="AK121" s="6">
        <f t="shared" si="21"/>
        <v>19783666</v>
      </c>
      <c r="AL121" s="6">
        <f t="shared" si="22"/>
        <v>260073887.90000001</v>
      </c>
      <c r="AM121" s="3">
        <f t="shared" si="23"/>
        <v>3.5684108419679741E-2</v>
      </c>
      <c r="AN121" s="3">
        <f t="shared" si="24"/>
        <v>0.17839382231394108</v>
      </c>
      <c r="AO121" s="3">
        <f t="shared" si="25"/>
        <v>6.1501616423394792E-8</v>
      </c>
      <c r="AP121" s="3">
        <f t="shared" si="26"/>
        <v>5.5558330492262886E-2</v>
      </c>
      <c r="AQ121" s="3">
        <f t="shared" si="27"/>
        <v>0.73036367558752402</v>
      </c>
    </row>
    <row r="122" spans="1:43" x14ac:dyDescent="0.3">
      <c r="A122" t="s">
        <v>179</v>
      </c>
      <c r="B122" t="s">
        <v>7</v>
      </c>
      <c r="C122" t="s">
        <v>165</v>
      </c>
      <c r="D122" s="6">
        <v>2022</v>
      </c>
      <c r="E122" t="s">
        <v>195</v>
      </c>
      <c r="F122" s="6">
        <v>167.8</v>
      </c>
      <c r="G122" s="7">
        <v>397.5</v>
      </c>
      <c r="H122" s="7">
        <v>716.4</v>
      </c>
      <c r="I122" s="6">
        <v>134191976</v>
      </c>
      <c r="J122" s="6">
        <v>27361478</v>
      </c>
      <c r="K122" s="6">
        <v>21551116</v>
      </c>
      <c r="L122" s="6">
        <v>973114.4</v>
      </c>
      <c r="M122" s="6">
        <v>0</v>
      </c>
      <c r="N122" s="6">
        <v>486618.6</v>
      </c>
      <c r="O122" s="6">
        <v>41173820</v>
      </c>
      <c r="P122" s="6">
        <v>0</v>
      </c>
      <c r="Q122" s="6">
        <v>90968.6</v>
      </c>
      <c r="R122" s="6">
        <v>26219968</v>
      </c>
      <c r="S122" s="6">
        <v>0</v>
      </c>
      <c r="T122" s="6">
        <v>1453686</v>
      </c>
      <c r="U122" s="6">
        <v>0</v>
      </c>
      <c r="V122" s="6">
        <v>22722260</v>
      </c>
      <c r="W122" s="6">
        <v>0</v>
      </c>
      <c r="X122" s="6">
        <v>0</v>
      </c>
      <c r="Y122" s="6">
        <v>2289765</v>
      </c>
      <c r="Z122" s="6">
        <v>2349455.5</v>
      </c>
      <c r="AA122" s="6">
        <v>925822.4</v>
      </c>
      <c r="AB122" s="6">
        <v>726387.6</v>
      </c>
      <c r="AC122" s="6">
        <v>13228992</v>
      </c>
      <c r="AD122" s="6">
        <f t="shared" si="14"/>
        <v>134191976</v>
      </c>
      <c r="AE122" s="6">
        <f t="shared" si="15"/>
        <v>13228992</v>
      </c>
      <c r="AF122" s="6">
        <f t="shared" si="16"/>
        <v>1453686</v>
      </c>
      <c r="AG122" s="6">
        <f t="shared" si="17"/>
        <v>119509298</v>
      </c>
      <c r="AH122" s="6">
        <f t="shared" si="18"/>
        <v>973114.4</v>
      </c>
      <c r="AI122" s="6">
        <f t="shared" si="19"/>
        <v>41264788.600000001</v>
      </c>
      <c r="AJ122" s="6">
        <f t="shared" si="20"/>
        <v>486618.6</v>
      </c>
      <c r="AK122" s="6">
        <f t="shared" si="21"/>
        <v>21551116</v>
      </c>
      <c r="AL122" s="6">
        <f t="shared" si="22"/>
        <v>55233658.5</v>
      </c>
      <c r="AM122" s="3">
        <f t="shared" si="23"/>
        <v>8.1425831821052112E-3</v>
      </c>
      <c r="AN122" s="3">
        <f t="shared" si="24"/>
        <v>0.34528517270681319</v>
      </c>
      <c r="AO122" s="3">
        <f t="shared" si="25"/>
        <v>4.0718053586090014E-3</v>
      </c>
      <c r="AP122" s="3">
        <f t="shared" si="26"/>
        <v>0.18033003591067867</v>
      </c>
      <c r="AQ122" s="3">
        <f t="shared" si="27"/>
        <v>0.46217038694344936</v>
      </c>
    </row>
    <row r="123" spans="1:43" x14ac:dyDescent="0.3">
      <c r="A123" t="s">
        <v>179</v>
      </c>
      <c r="B123" t="s">
        <v>7</v>
      </c>
      <c r="C123" t="s">
        <v>165</v>
      </c>
      <c r="D123" s="6">
        <v>2024</v>
      </c>
      <c r="E123" t="s">
        <v>195</v>
      </c>
      <c r="F123" s="6">
        <v>149.1</v>
      </c>
      <c r="G123" s="7">
        <v>360.4</v>
      </c>
      <c r="H123" s="7">
        <v>738.5</v>
      </c>
      <c r="I123" s="6">
        <v>141022160</v>
      </c>
      <c r="J123" s="6">
        <v>35101436</v>
      </c>
      <c r="K123" s="6">
        <v>21551116</v>
      </c>
      <c r="L123" s="6">
        <v>360830.2</v>
      </c>
      <c r="M123" s="6">
        <v>0</v>
      </c>
      <c r="N123" s="6">
        <v>794441.2</v>
      </c>
      <c r="O123" s="6">
        <v>39435370</v>
      </c>
      <c r="P123" s="6">
        <v>0</v>
      </c>
      <c r="Q123" s="6">
        <v>79904.800000000003</v>
      </c>
      <c r="R123" s="6">
        <v>26176436</v>
      </c>
      <c r="S123" s="6">
        <v>0</v>
      </c>
      <c r="T123" s="6">
        <v>1593318.6</v>
      </c>
      <c r="U123" s="6">
        <v>0</v>
      </c>
      <c r="V123" s="6">
        <v>22599728</v>
      </c>
      <c r="W123" s="6">
        <v>7652913</v>
      </c>
      <c r="X123" s="6">
        <v>0</v>
      </c>
      <c r="Y123" s="6">
        <v>2257819.7999999998</v>
      </c>
      <c r="Z123" s="6">
        <v>2590973.7999999998</v>
      </c>
      <c r="AA123" s="6">
        <v>1067404</v>
      </c>
      <c r="AB123" s="6">
        <v>1139150.3999999999</v>
      </c>
      <c r="AC123" s="6">
        <v>13722755</v>
      </c>
      <c r="AD123" s="6">
        <f t="shared" si="14"/>
        <v>141022160</v>
      </c>
      <c r="AE123" s="6">
        <f t="shared" si="15"/>
        <v>13722755</v>
      </c>
      <c r="AF123" s="6">
        <f t="shared" si="16"/>
        <v>1593318.6</v>
      </c>
      <c r="AG123" s="6">
        <f t="shared" si="17"/>
        <v>125706086.40000001</v>
      </c>
      <c r="AH123" s="6">
        <f t="shared" si="18"/>
        <v>360830.2</v>
      </c>
      <c r="AI123" s="6">
        <f t="shared" si="19"/>
        <v>39515274.799999997</v>
      </c>
      <c r="AJ123" s="6">
        <f t="shared" si="20"/>
        <v>794441.2</v>
      </c>
      <c r="AK123" s="6">
        <f t="shared" si="21"/>
        <v>21551116</v>
      </c>
      <c r="AL123" s="6">
        <f t="shared" si="22"/>
        <v>63484424.999999993</v>
      </c>
      <c r="AM123" s="3">
        <f t="shared" si="23"/>
        <v>2.8704274417694384E-3</v>
      </c>
      <c r="AN123" s="3">
        <f t="shared" si="24"/>
        <v>0.31434655179910204</v>
      </c>
      <c r="AO123" s="3">
        <f t="shared" si="25"/>
        <v>6.3198308272207886E-3</v>
      </c>
      <c r="AP123" s="3">
        <f t="shared" si="26"/>
        <v>0.17144051348018102</v>
      </c>
      <c r="AQ123" s="3">
        <f t="shared" si="27"/>
        <v>0.505022682815778</v>
      </c>
    </row>
    <row r="124" spans="1:43" x14ac:dyDescent="0.3">
      <c r="A124" t="s">
        <v>179</v>
      </c>
      <c r="B124" t="s">
        <v>7</v>
      </c>
      <c r="C124" t="s">
        <v>165</v>
      </c>
      <c r="D124" s="6">
        <v>2026</v>
      </c>
      <c r="E124" t="s">
        <v>195</v>
      </c>
      <c r="F124" s="6">
        <v>137.1</v>
      </c>
      <c r="G124" s="7">
        <v>305</v>
      </c>
      <c r="H124" s="7">
        <v>721.1</v>
      </c>
      <c r="I124" s="6">
        <v>143809680</v>
      </c>
      <c r="J124" s="6">
        <v>40527296</v>
      </c>
      <c r="K124" s="6">
        <v>21551116</v>
      </c>
      <c r="L124" s="6">
        <v>351794</v>
      </c>
      <c r="M124" s="6">
        <v>0</v>
      </c>
      <c r="N124" s="6">
        <v>632989.80000000005</v>
      </c>
      <c r="O124" s="6">
        <v>37307720</v>
      </c>
      <c r="P124" s="6">
        <v>0</v>
      </c>
      <c r="Q124" s="6">
        <v>67341</v>
      </c>
      <c r="R124" s="6">
        <v>26974384</v>
      </c>
      <c r="S124" s="6">
        <v>0</v>
      </c>
      <c r="T124" s="6">
        <v>1592943.1</v>
      </c>
      <c r="U124" s="6">
        <v>0</v>
      </c>
      <c r="V124" s="6">
        <v>22477854</v>
      </c>
      <c r="W124" s="6">
        <v>12834804</v>
      </c>
      <c r="X124" s="6">
        <v>0</v>
      </c>
      <c r="Y124" s="6">
        <v>2226321.2000000002</v>
      </c>
      <c r="Z124" s="6">
        <v>2988318</v>
      </c>
      <c r="AA124" s="6">
        <v>1103832.3999999999</v>
      </c>
      <c r="AB124" s="6">
        <v>1451647.4</v>
      </c>
      <c r="AC124" s="6">
        <v>12248609</v>
      </c>
      <c r="AD124" s="6">
        <f t="shared" si="14"/>
        <v>143809680</v>
      </c>
      <c r="AE124" s="6">
        <f t="shared" si="15"/>
        <v>12248609</v>
      </c>
      <c r="AF124" s="6">
        <f t="shared" si="16"/>
        <v>1592943.1</v>
      </c>
      <c r="AG124" s="6">
        <f t="shared" si="17"/>
        <v>129968127.90000001</v>
      </c>
      <c r="AH124" s="6">
        <f t="shared" si="18"/>
        <v>351794</v>
      </c>
      <c r="AI124" s="6">
        <f t="shared" si="19"/>
        <v>37375061</v>
      </c>
      <c r="AJ124" s="6">
        <f t="shared" si="20"/>
        <v>632989.80000000005</v>
      </c>
      <c r="AK124" s="6">
        <f t="shared" si="21"/>
        <v>21551116</v>
      </c>
      <c r="AL124" s="6">
        <f t="shared" si="22"/>
        <v>70057161.000000015</v>
      </c>
      <c r="AM124" s="3">
        <f t="shared" si="23"/>
        <v>2.7067713114301154E-3</v>
      </c>
      <c r="AN124" s="3">
        <f t="shared" si="24"/>
        <v>0.28757097300622114</v>
      </c>
      <c r="AO124" s="3">
        <f t="shared" si="25"/>
        <v>4.8703463705119659E-3</v>
      </c>
      <c r="AP124" s="3">
        <f t="shared" si="26"/>
        <v>0.16581846909868431</v>
      </c>
      <c r="AQ124" s="3">
        <f t="shared" si="27"/>
        <v>0.5390333932785687</v>
      </c>
    </row>
    <row r="125" spans="1:43" x14ac:dyDescent="0.3">
      <c r="A125" t="s">
        <v>179</v>
      </c>
      <c r="B125" t="s">
        <v>7</v>
      </c>
      <c r="C125" t="s">
        <v>165</v>
      </c>
      <c r="D125" s="6">
        <v>2028</v>
      </c>
      <c r="E125" t="s">
        <v>195</v>
      </c>
      <c r="F125" s="6">
        <v>108.1</v>
      </c>
      <c r="G125" s="7">
        <v>235.8</v>
      </c>
      <c r="H125" s="7">
        <v>690.7</v>
      </c>
      <c r="I125" s="6">
        <v>150509010</v>
      </c>
      <c r="J125" s="6">
        <v>50337052</v>
      </c>
      <c r="K125" s="6">
        <v>21551116</v>
      </c>
      <c r="L125" s="6">
        <v>316766.2</v>
      </c>
      <c r="M125" s="6">
        <v>0</v>
      </c>
      <c r="N125" s="6">
        <v>265095.3</v>
      </c>
      <c r="O125" s="6">
        <v>31698388</v>
      </c>
      <c r="P125" s="6">
        <v>0</v>
      </c>
      <c r="Q125" s="6">
        <v>33499.800000000003</v>
      </c>
      <c r="R125" s="6">
        <v>27084230</v>
      </c>
      <c r="S125" s="6">
        <v>0</v>
      </c>
      <c r="T125" s="6">
        <v>1592052.6</v>
      </c>
      <c r="U125" s="6">
        <v>0</v>
      </c>
      <c r="V125" s="6">
        <v>23057416</v>
      </c>
      <c r="W125" s="6">
        <v>17604146</v>
      </c>
      <c r="X125" s="6">
        <v>0</v>
      </c>
      <c r="Y125" s="6">
        <v>6081103.5</v>
      </c>
      <c r="Z125" s="6">
        <v>3594387.5</v>
      </c>
      <c r="AA125" s="6">
        <v>1102026.1000000001</v>
      </c>
      <c r="AB125" s="6">
        <v>1745633.8</v>
      </c>
      <c r="AC125" s="6">
        <v>14783154</v>
      </c>
      <c r="AD125" s="6">
        <f t="shared" si="14"/>
        <v>150509010</v>
      </c>
      <c r="AE125" s="6">
        <f t="shared" si="15"/>
        <v>14783154</v>
      </c>
      <c r="AF125" s="6">
        <f t="shared" si="16"/>
        <v>1592052.6</v>
      </c>
      <c r="AG125" s="6">
        <f t="shared" si="17"/>
        <v>134133803.40000001</v>
      </c>
      <c r="AH125" s="6">
        <f t="shared" si="18"/>
        <v>316766.2</v>
      </c>
      <c r="AI125" s="6">
        <f t="shared" si="19"/>
        <v>31731887.800000001</v>
      </c>
      <c r="AJ125" s="6">
        <f t="shared" si="20"/>
        <v>265095.3</v>
      </c>
      <c r="AK125" s="6">
        <f t="shared" si="21"/>
        <v>21551116</v>
      </c>
      <c r="AL125" s="6">
        <f t="shared" si="22"/>
        <v>80268942.899999991</v>
      </c>
      <c r="AM125" s="3">
        <f t="shared" si="23"/>
        <v>2.3615687617190165E-3</v>
      </c>
      <c r="AN125" s="3">
        <f t="shared" si="24"/>
        <v>0.23656891101024277</v>
      </c>
      <c r="AO125" s="3">
        <f t="shared" si="25"/>
        <v>1.9763496842735468E-3</v>
      </c>
      <c r="AP125" s="3">
        <f t="shared" si="26"/>
        <v>0.16066879081727431</v>
      </c>
      <c r="AQ125" s="3">
        <f t="shared" si="27"/>
        <v>0.59842441551165315</v>
      </c>
    </row>
    <row r="126" spans="1:43" x14ac:dyDescent="0.3">
      <c r="A126" t="s">
        <v>179</v>
      </c>
      <c r="B126" t="s">
        <v>7</v>
      </c>
      <c r="C126" t="s">
        <v>165</v>
      </c>
      <c r="D126" s="6">
        <v>2030</v>
      </c>
      <c r="E126" t="s">
        <v>195</v>
      </c>
      <c r="F126" s="6">
        <v>80.099999999999994</v>
      </c>
      <c r="G126" s="7">
        <v>193.8</v>
      </c>
      <c r="H126" s="7">
        <v>623.9</v>
      </c>
      <c r="I126" s="6">
        <v>161164220</v>
      </c>
      <c r="J126" s="6">
        <v>66461610</v>
      </c>
      <c r="K126" s="6">
        <v>21551116</v>
      </c>
      <c r="L126" s="6">
        <v>173704</v>
      </c>
      <c r="M126" s="6">
        <v>0</v>
      </c>
      <c r="N126" s="6">
        <v>110096.9</v>
      </c>
      <c r="O126" s="6">
        <v>25824038</v>
      </c>
      <c r="P126" s="6">
        <v>0</v>
      </c>
      <c r="Q126" s="6">
        <v>22758.2</v>
      </c>
      <c r="R126" s="6">
        <v>27040284</v>
      </c>
      <c r="S126" s="6">
        <v>0</v>
      </c>
      <c r="T126" s="6">
        <v>1381561.4</v>
      </c>
      <c r="U126" s="6">
        <v>0</v>
      </c>
      <c r="V126" s="6">
        <v>31460378</v>
      </c>
      <c r="W126" s="6">
        <v>17497078</v>
      </c>
      <c r="X126" s="6">
        <v>0</v>
      </c>
      <c r="Y126" s="6">
        <v>13114032</v>
      </c>
      <c r="Z126" s="6">
        <v>4390115</v>
      </c>
      <c r="AA126" s="6">
        <v>1012397.9</v>
      </c>
      <c r="AB126" s="6">
        <v>3227497.5</v>
      </c>
      <c r="AC126" s="6">
        <v>14359155</v>
      </c>
      <c r="AD126" s="6">
        <f t="shared" si="14"/>
        <v>161164220</v>
      </c>
      <c r="AE126" s="6">
        <f t="shared" si="15"/>
        <v>14359155</v>
      </c>
      <c r="AF126" s="6">
        <f t="shared" si="16"/>
        <v>1381561.4</v>
      </c>
      <c r="AG126" s="6">
        <f t="shared" si="17"/>
        <v>145423503.59999999</v>
      </c>
      <c r="AH126" s="6">
        <f t="shared" si="18"/>
        <v>173704</v>
      </c>
      <c r="AI126" s="6">
        <f t="shared" si="19"/>
        <v>25846796.199999999</v>
      </c>
      <c r="AJ126" s="6">
        <f t="shared" si="20"/>
        <v>110096.9</v>
      </c>
      <c r="AK126" s="6">
        <f t="shared" si="21"/>
        <v>21551116</v>
      </c>
      <c r="AL126" s="6">
        <f t="shared" si="22"/>
        <v>97741782.400000006</v>
      </c>
      <c r="AM126" s="3">
        <f t="shared" si="23"/>
        <v>1.1944699151093757E-3</v>
      </c>
      <c r="AN126" s="3">
        <f t="shared" si="24"/>
        <v>0.17773465471643335</v>
      </c>
      <c r="AO126" s="3">
        <f t="shared" si="25"/>
        <v>7.5707775754620176E-4</v>
      </c>
      <c r="AP126" s="3">
        <f t="shared" si="26"/>
        <v>0.1481955493197181</v>
      </c>
      <c r="AQ126" s="3">
        <f t="shared" si="27"/>
        <v>0.67211819259180616</v>
      </c>
    </row>
    <row r="127" spans="1:43" x14ac:dyDescent="0.3">
      <c r="A127" t="s">
        <v>179</v>
      </c>
      <c r="B127" t="s">
        <v>7</v>
      </c>
      <c r="C127" t="s">
        <v>165</v>
      </c>
      <c r="D127" s="6">
        <v>2032</v>
      </c>
      <c r="E127" t="s">
        <v>195</v>
      </c>
      <c r="F127" s="6">
        <v>68.400000000000006</v>
      </c>
      <c r="G127" s="7">
        <v>157.19999999999999</v>
      </c>
      <c r="H127" s="7">
        <v>576.6</v>
      </c>
      <c r="I127" s="6">
        <v>167752100</v>
      </c>
      <c r="J127" s="6">
        <v>75665864</v>
      </c>
      <c r="K127" s="6">
        <v>21551116</v>
      </c>
      <c r="L127" s="6">
        <v>98770.4</v>
      </c>
      <c r="M127" s="6">
        <v>0</v>
      </c>
      <c r="N127" s="6">
        <v>93117.4</v>
      </c>
      <c r="O127" s="6">
        <v>23182122</v>
      </c>
      <c r="P127" s="6">
        <v>0</v>
      </c>
      <c r="Q127" s="6">
        <v>21033.8</v>
      </c>
      <c r="R127" s="6">
        <v>26919974</v>
      </c>
      <c r="S127" s="6">
        <v>0</v>
      </c>
      <c r="T127" s="6">
        <v>1336442</v>
      </c>
      <c r="U127" s="6">
        <v>0</v>
      </c>
      <c r="V127" s="6">
        <v>31148294</v>
      </c>
      <c r="W127" s="6">
        <v>26542268</v>
      </c>
      <c r="X127" s="6">
        <v>0</v>
      </c>
      <c r="Y127" s="6">
        <v>12899851</v>
      </c>
      <c r="Z127" s="6">
        <v>5075456.5</v>
      </c>
      <c r="AA127" s="6">
        <v>1100406.3999999999</v>
      </c>
      <c r="AB127" s="6">
        <v>3620887.2</v>
      </c>
      <c r="AC127" s="6">
        <v>14162354</v>
      </c>
      <c r="AD127" s="6">
        <f t="shared" si="14"/>
        <v>167752100</v>
      </c>
      <c r="AE127" s="6">
        <f t="shared" si="15"/>
        <v>14162354</v>
      </c>
      <c r="AF127" s="6">
        <f t="shared" si="16"/>
        <v>1336442</v>
      </c>
      <c r="AG127" s="6">
        <f t="shared" si="17"/>
        <v>152253304</v>
      </c>
      <c r="AH127" s="6">
        <f t="shared" si="18"/>
        <v>98770.4</v>
      </c>
      <c r="AI127" s="6">
        <f t="shared" si="19"/>
        <v>23203155.800000001</v>
      </c>
      <c r="AJ127" s="6">
        <f t="shared" si="20"/>
        <v>93117.4</v>
      </c>
      <c r="AK127" s="6">
        <f t="shared" si="21"/>
        <v>21551116</v>
      </c>
      <c r="AL127" s="6">
        <f t="shared" si="22"/>
        <v>107307137.10000001</v>
      </c>
      <c r="AM127" s="3">
        <f t="shared" si="23"/>
        <v>6.4872418138131171E-4</v>
      </c>
      <c r="AN127" s="3">
        <f t="shared" si="24"/>
        <v>0.15239837291150019</v>
      </c>
      <c r="AO127" s="3">
        <f t="shared" si="25"/>
        <v>6.1159526626758777E-4</v>
      </c>
      <c r="AP127" s="3">
        <f t="shared" si="26"/>
        <v>0.14154777225721157</v>
      </c>
      <c r="AQ127" s="3">
        <f t="shared" si="27"/>
        <v>0.70479348743722503</v>
      </c>
    </row>
    <row r="128" spans="1:43" x14ac:dyDescent="0.3">
      <c r="A128" t="s">
        <v>179</v>
      </c>
      <c r="B128" t="s">
        <v>7</v>
      </c>
      <c r="C128" t="s">
        <v>165</v>
      </c>
      <c r="D128" s="6">
        <v>2034</v>
      </c>
      <c r="E128" t="s">
        <v>195</v>
      </c>
      <c r="F128" s="6">
        <v>61.5</v>
      </c>
      <c r="G128" s="7">
        <v>136.5</v>
      </c>
      <c r="H128" s="7">
        <v>557.4</v>
      </c>
      <c r="I128" s="6">
        <v>171674770</v>
      </c>
      <c r="J128" s="6">
        <v>81375930</v>
      </c>
      <c r="K128" s="6">
        <v>21551116</v>
      </c>
      <c r="L128" s="6">
        <v>0</v>
      </c>
      <c r="M128" s="6">
        <v>0</v>
      </c>
      <c r="N128" s="6">
        <v>87636.9</v>
      </c>
      <c r="O128" s="6">
        <v>21450806</v>
      </c>
      <c r="P128" s="6">
        <v>0</v>
      </c>
      <c r="Q128" s="6">
        <v>25174.799999999999</v>
      </c>
      <c r="R128" s="6">
        <v>26885306</v>
      </c>
      <c r="S128" s="6">
        <v>0</v>
      </c>
      <c r="T128" s="6">
        <v>1071899.8999999999</v>
      </c>
      <c r="U128" s="6">
        <v>0</v>
      </c>
      <c r="V128" s="6">
        <v>30973590</v>
      </c>
      <c r="W128" s="6">
        <v>32026812</v>
      </c>
      <c r="X128" s="6">
        <v>0</v>
      </c>
      <c r="Y128" s="6">
        <v>12692587</v>
      </c>
      <c r="Z128" s="6">
        <v>5682935.5</v>
      </c>
      <c r="AA128" s="6">
        <v>1092902.5</v>
      </c>
      <c r="AB128" s="6">
        <v>3807543.2</v>
      </c>
      <c r="AC128" s="6">
        <v>14326458</v>
      </c>
      <c r="AD128" s="6">
        <f t="shared" si="14"/>
        <v>171674770</v>
      </c>
      <c r="AE128" s="6">
        <f t="shared" si="15"/>
        <v>14326458</v>
      </c>
      <c r="AF128" s="6">
        <f t="shared" si="16"/>
        <v>1071899.8999999999</v>
      </c>
      <c r="AG128" s="6">
        <f t="shared" si="17"/>
        <v>156276412.09999999</v>
      </c>
      <c r="AH128" s="6">
        <f t="shared" si="18"/>
        <v>0</v>
      </c>
      <c r="AI128" s="6">
        <f t="shared" si="19"/>
        <v>21475980.800000001</v>
      </c>
      <c r="AJ128" s="6">
        <f t="shared" si="20"/>
        <v>87636.9</v>
      </c>
      <c r="AK128" s="6">
        <f t="shared" si="21"/>
        <v>21551116</v>
      </c>
      <c r="AL128" s="6">
        <f t="shared" si="22"/>
        <v>113161676.2</v>
      </c>
      <c r="AM128" s="3">
        <f t="shared" si="23"/>
        <v>0</v>
      </c>
      <c r="AN128" s="3">
        <f t="shared" si="24"/>
        <v>0.13742304747985701</v>
      </c>
      <c r="AO128" s="3">
        <f t="shared" si="25"/>
        <v>5.6078136695333046E-4</v>
      </c>
      <c r="AP128" s="3">
        <f t="shared" si="26"/>
        <v>0.13790383148935886</v>
      </c>
      <c r="AQ128" s="3">
        <f t="shared" si="27"/>
        <v>0.72411232558621053</v>
      </c>
    </row>
    <row r="129" spans="1:43" x14ac:dyDescent="0.3">
      <c r="A129" t="s">
        <v>179</v>
      </c>
      <c r="B129" t="s">
        <v>7</v>
      </c>
      <c r="C129" t="s">
        <v>165</v>
      </c>
      <c r="D129" s="6">
        <v>2036</v>
      </c>
      <c r="E129" t="s">
        <v>195</v>
      </c>
      <c r="F129" s="6">
        <v>59.3</v>
      </c>
      <c r="G129" s="7">
        <v>104.5</v>
      </c>
      <c r="H129" s="7">
        <v>560.29999999999995</v>
      </c>
      <c r="I129" s="6">
        <v>174194430</v>
      </c>
      <c r="J129" s="6">
        <v>85407870</v>
      </c>
      <c r="K129" s="6">
        <v>21551116</v>
      </c>
      <c r="L129" s="6">
        <v>0</v>
      </c>
      <c r="M129" s="6">
        <v>0</v>
      </c>
      <c r="N129" s="6">
        <v>103683.4</v>
      </c>
      <c r="O129" s="6">
        <v>20899102</v>
      </c>
      <c r="P129" s="6">
        <v>0</v>
      </c>
      <c r="Q129" s="6">
        <v>18093.8</v>
      </c>
      <c r="R129" s="6">
        <v>26844890</v>
      </c>
      <c r="S129" s="6">
        <v>0</v>
      </c>
      <c r="T129" s="6">
        <v>1058277.8</v>
      </c>
      <c r="U129" s="6">
        <v>0</v>
      </c>
      <c r="V129" s="6">
        <v>30500518</v>
      </c>
      <c r="W129" s="6">
        <v>36144184</v>
      </c>
      <c r="X129" s="6">
        <v>0</v>
      </c>
      <c r="Y129" s="6">
        <v>12504937</v>
      </c>
      <c r="Z129" s="6">
        <v>6258231.5</v>
      </c>
      <c r="AA129" s="6">
        <v>1110110.8</v>
      </c>
      <c r="AB129" s="6">
        <v>3893996.8</v>
      </c>
      <c r="AC129" s="6">
        <v>13307296</v>
      </c>
      <c r="AD129" s="6">
        <f t="shared" si="14"/>
        <v>174194430</v>
      </c>
      <c r="AE129" s="6">
        <f t="shared" si="15"/>
        <v>13307296</v>
      </c>
      <c r="AF129" s="6">
        <f t="shared" si="16"/>
        <v>1058277.8</v>
      </c>
      <c r="AG129" s="6">
        <f t="shared" si="17"/>
        <v>159828856.19999999</v>
      </c>
      <c r="AH129" s="6">
        <f t="shared" si="18"/>
        <v>0</v>
      </c>
      <c r="AI129" s="6">
        <f t="shared" si="19"/>
        <v>20917195.800000001</v>
      </c>
      <c r="AJ129" s="6">
        <f t="shared" si="20"/>
        <v>103683.4</v>
      </c>
      <c r="AK129" s="6">
        <f t="shared" si="21"/>
        <v>21551116</v>
      </c>
      <c r="AL129" s="6">
        <f t="shared" si="22"/>
        <v>117256868.09999999</v>
      </c>
      <c r="AM129" s="3">
        <f t="shared" si="23"/>
        <v>0</v>
      </c>
      <c r="AN129" s="3">
        <f t="shared" si="24"/>
        <v>0.13087246131465466</v>
      </c>
      <c r="AO129" s="3">
        <f t="shared" si="25"/>
        <v>6.4871514734646523E-4</v>
      </c>
      <c r="AP129" s="3">
        <f t="shared" si="26"/>
        <v>0.13483870505231083</v>
      </c>
      <c r="AQ129" s="3">
        <f t="shared" si="27"/>
        <v>0.73364016290820455</v>
      </c>
    </row>
    <row r="130" spans="1:43" x14ac:dyDescent="0.3">
      <c r="A130" t="s">
        <v>179</v>
      </c>
      <c r="B130" t="s">
        <v>7</v>
      </c>
      <c r="C130" t="s">
        <v>165</v>
      </c>
      <c r="D130" s="6">
        <v>2038</v>
      </c>
      <c r="E130" t="s">
        <v>195</v>
      </c>
      <c r="F130" s="6">
        <v>65.8</v>
      </c>
      <c r="G130" s="7">
        <v>90.3</v>
      </c>
      <c r="H130" s="7">
        <v>581.4</v>
      </c>
      <c r="I130" s="6">
        <v>176241740</v>
      </c>
      <c r="J130" s="6">
        <v>84957220</v>
      </c>
      <c r="K130" s="6">
        <v>21551116</v>
      </c>
      <c r="L130" s="6">
        <v>0</v>
      </c>
      <c r="M130" s="6">
        <v>0</v>
      </c>
      <c r="N130" s="6">
        <v>138575.5</v>
      </c>
      <c r="O130" s="6">
        <v>23416616</v>
      </c>
      <c r="P130" s="6">
        <v>0</v>
      </c>
      <c r="Q130" s="6">
        <v>38425.4</v>
      </c>
      <c r="R130" s="6">
        <v>26922118</v>
      </c>
      <c r="S130" s="6">
        <v>0</v>
      </c>
      <c r="T130" s="6">
        <v>1109119</v>
      </c>
      <c r="U130" s="6">
        <v>0</v>
      </c>
      <c r="V130" s="6">
        <v>29898676</v>
      </c>
      <c r="W130" s="6">
        <v>35981748</v>
      </c>
      <c r="X130" s="6">
        <v>0</v>
      </c>
      <c r="Y130" s="6">
        <v>12356564</v>
      </c>
      <c r="Z130" s="6">
        <v>6720230.5</v>
      </c>
      <c r="AA130" s="6">
        <v>1015860.9</v>
      </c>
      <c r="AB130" s="6">
        <v>3985798.5</v>
      </c>
      <c r="AC130" s="6">
        <v>13106898</v>
      </c>
      <c r="AD130" s="6">
        <f t="shared" si="14"/>
        <v>176241740</v>
      </c>
      <c r="AE130" s="6">
        <f t="shared" si="15"/>
        <v>13106898</v>
      </c>
      <c r="AF130" s="6">
        <f t="shared" si="16"/>
        <v>1109119</v>
      </c>
      <c r="AG130" s="6">
        <f t="shared" si="17"/>
        <v>162025723</v>
      </c>
      <c r="AH130" s="6">
        <f t="shared" si="18"/>
        <v>0</v>
      </c>
      <c r="AI130" s="6">
        <f t="shared" si="19"/>
        <v>23455041.399999999</v>
      </c>
      <c r="AJ130" s="6">
        <f t="shared" si="20"/>
        <v>138575.5</v>
      </c>
      <c r="AK130" s="6">
        <f t="shared" si="21"/>
        <v>21551116</v>
      </c>
      <c r="AL130" s="6">
        <f t="shared" si="22"/>
        <v>116880995.90000001</v>
      </c>
      <c r="AM130" s="3">
        <f t="shared" si="23"/>
        <v>0</v>
      </c>
      <c r="AN130" s="3">
        <f t="shared" si="24"/>
        <v>0.14476122041436593</v>
      </c>
      <c r="AO130" s="3">
        <f t="shared" si="25"/>
        <v>8.5526851807351601E-4</v>
      </c>
      <c r="AP130" s="3">
        <f t="shared" si="26"/>
        <v>0.13301046032055047</v>
      </c>
      <c r="AQ130" s="3">
        <f t="shared" si="27"/>
        <v>0.72137308654379528</v>
      </c>
    </row>
    <row r="131" spans="1:43" x14ac:dyDescent="0.3">
      <c r="A131" t="s">
        <v>179</v>
      </c>
      <c r="B131" t="s">
        <v>7</v>
      </c>
      <c r="C131" t="s">
        <v>165</v>
      </c>
      <c r="D131" s="6">
        <v>2040</v>
      </c>
      <c r="E131" t="s">
        <v>195</v>
      </c>
      <c r="F131" s="6">
        <v>81.2</v>
      </c>
      <c r="G131" s="7">
        <v>99.7</v>
      </c>
      <c r="H131" s="7">
        <v>579</v>
      </c>
      <c r="I131" s="6">
        <v>180083710</v>
      </c>
      <c r="J131" s="6">
        <v>82799190</v>
      </c>
      <c r="K131" s="6">
        <v>21551116</v>
      </c>
      <c r="L131" s="6">
        <v>0</v>
      </c>
      <c r="M131" s="6">
        <v>0</v>
      </c>
      <c r="N131" s="6">
        <v>129309</v>
      </c>
      <c r="O131" s="6">
        <v>30151708</v>
      </c>
      <c r="P131" s="6">
        <v>0</v>
      </c>
      <c r="Q131" s="6">
        <v>81034.100000000006</v>
      </c>
      <c r="R131" s="6">
        <v>26963204</v>
      </c>
      <c r="S131" s="6">
        <v>0</v>
      </c>
      <c r="T131" s="6">
        <v>828588.7</v>
      </c>
      <c r="U131" s="6">
        <v>0</v>
      </c>
      <c r="V131" s="6">
        <v>27656166</v>
      </c>
      <c r="W131" s="6">
        <v>35864892</v>
      </c>
      <c r="X131" s="6">
        <v>0</v>
      </c>
      <c r="Y131" s="6">
        <v>12203120</v>
      </c>
      <c r="Z131" s="6">
        <v>7075013</v>
      </c>
      <c r="AA131" s="6">
        <v>934844.7</v>
      </c>
      <c r="AB131" s="6">
        <v>4000293.5</v>
      </c>
      <c r="AC131" s="6">
        <v>12644425</v>
      </c>
      <c r="AD131" s="6">
        <f t="shared" ref="AD131:AD194" si="28">I131</f>
        <v>180083710</v>
      </c>
      <c r="AE131" s="6">
        <f t="shared" ref="AE131:AE194" si="29">AC131</f>
        <v>12644425</v>
      </c>
      <c r="AF131" s="6">
        <f t="shared" ref="AF131:AF194" si="30">SUM(T131,U131)</f>
        <v>828588.7</v>
      </c>
      <c r="AG131" s="6">
        <f t="shared" ref="AG131:AG194" si="31">AD131-AE131-AF131</f>
        <v>166610696.30000001</v>
      </c>
      <c r="AH131" s="6">
        <f t="shared" ref="AH131:AH194" si="32">L131</f>
        <v>0</v>
      </c>
      <c r="AI131" s="6">
        <f t="shared" ref="AI131:AI194" si="33">SUM(O131,P131,Q131)</f>
        <v>30232742.100000001</v>
      </c>
      <c r="AJ131" s="6">
        <f t="shared" ref="AJ131:AJ194" si="34">N131</f>
        <v>129309</v>
      </c>
      <c r="AK131" s="6">
        <f t="shared" ref="AK131:AK194" si="35">K131</f>
        <v>21551116</v>
      </c>
      <c r="AL131" s="6">
        <f t="shared" ref="AL131:AL194" si="36">SUM(R131,S131,V131,W131,X131,Y131,Z131,AA131,AB131)</f>
        <v>114697533.2</v>
      </c>
      <c r="AM131" s="3">
        <f t="shared" ref="AM131:AM194" si="37">AH131/AG131</f>
        <v>0</v>
      </c>
      <c r="AN131" s="3">
        <f t="shared" ref="AN131:AN194" si="38">AI131/AG131</f>
        <v>0.18145739001992275</v>
      </c>
      <c r="AO131" s="3">
        <f t="shared" ref="AO131:AO194" si="39">AJ131/AG131</f>
        <v>7.7611463652468989E-4</v>
      </c>
      <c r="AP131" s="3">
        <f t="shared" ref="AP131:AP194" si="40">AK131/AG131</f>
        <v>0.12935013464678738</v>
      </c>
      <c r="AQ131" s="3">
        <f t="shared" ref="AQ131:AQ194" si="41">AL131/AG131</f>
        <v>0.68841638470482758</v>
      </c>
    </row>
    <row r="132" spans="1:43" x14ac:dyDescent="0.3">
      <c r="A132" t="s">
        <v>179</v>
      </c>
      <c r="B132" t="s">
        <v>7</v>
      </c>
      <c r="C132" t="s">
        <v>165</v>
      </c>
      <c r="D132" s="6">
        <v>2042</v>
      </c>
      <c r="E132" t="s">
        <v>195</v>
      </c>
      <c r="F132" s="6">
        <v>90.1</v>
      </c>
      <c r="G132" s="7">
        <v>110.6</v>
      </c>
      <c r="H132" s="7">
        <v>586.6</v>
      </c>
      <c r="I132" s="6">
        <v>182620530</v>
      </c>
      <c r="J132" s="6">
        <v>81698160</v>
      </c>
      <c r="K132" s="6">
        <v>21551116</v>
      </c>
      <c r="L132" s="6">
        <v>0</v>
      </c>
      <c r="M132" s="6">
        <v>0</v>
      </c>
      <c r="N132" s="6">
        <v>109375.5</v>
      </c>
      <c r="O132" s="6">
        <v>34183704</v>
      </c>
      <c r="P132" s="6">
        <v>0</v>
      </c>
      <c r="Q132" s="6">
        <v>87499.4</v>
      </c>
      <c r="R132" s="6">
        <v>27037676</v>
      </c>
      <c r="S132" s="6">
        <v>0</v>
      </c>
      <c r="T132" s="6">
        <v>661139.30000000005</v>
      </c>
      <c r="U132" s="6">
        <v>0</v>
      </c>
      <c r="V132" s="6">
        <v>26678346</v>
      </c>
      <c r="W132" s="6">
        <v>35705796</v>
      </c>
      <c r="X132" s="6">
        <v>0</v>
      </c>
      <c r="Y132" s="6">
        <v>11974788</v>
      </c>
      <c r="Z132" s="6">
        <v>7339229</v>
      </c>
      <c r="AA132" s="6">
        <v>838953.7</v>
      </c>
      <c r="AB132" s="6">
        <v>3783039.2</v>
      </c>
      <c r="AC132" s="6">
        <v>12669864</v>
      </c>
      <c r="AD132" s="6">
        <f t="shared" si="28"/>
        <v>182620530</v>
      </c>
      <c r="AE132" s="6">
        <f t="shared" si="29"/>
        <v>12669864</v>
      </c>
      <c r="AF132" s="6">
        <f t="shared" si="30"/>
        <v>661139.30000000005</v>
      </c>
      <c r="AG132" s="6">
        <f t="shared" si="31"/>
        <v>169289526.69999999</v>
      </c>
      <c r="AH132" s="6">
        <f t="shared" si="32"/>
        <v>0</v>
      </c>
      <c r="AI132" s="6">
        <f t="shared" si="33"/>
        <v>34271203.399999999</v>
      </c>
      <c r="AJ132" s="6">
        <f t="shared" si="34"/>
        <v>109375.5</v>
      </c>
      <c r="AK132" s="6">
        <f t="shared" si="35"/>
        <v>21551116</v>
      </c>
      <c r="AL132" s="6">
        <f t="shared" si="36"/>
        <v>113357827.90000001</v>
      </c>
      <c r="AM132" s="3">
        <f t="shared" si="37"/>
        <v>0</v>
      </c>
      <c r="AN132" s="3">
        <f t="shared" si="38"/>
        <v>0.20244136815818742</v>
      </c>
      <c r="AO132" s="3">
        <f t="shared" si="39"/>
        <v>6.4608544977401731E-4</v>
      </c>
      <c r="AP132" s="3">
        <f t="shared" si="40"/>
        <v>0.12730330351853952</v>
      </c>
      <c r="AQ132" s="3">
        <f t="shared" si="41"/>
        <v>0.66960921983604327</v>
      </c>
    </row>
    <row r="133" spans="1:43" x14ac:dyDescent="0.3">
      <c r="A133" t="s">
        <v>179</v>
      </c>
      <c r="B133" t="s">
        <v>7</v>
      </c>
      <c r="C133" t="s">
        <v>165</v>
      </c>
      <c r="D133" s="6">
        <v>2044</v>
      </c>
      <c r="E133" t="s">
        <v>195</v>
      </c>
      <c r="F133" s="6">
        <v>95.2</v>
      </c>
      <c r="G133" s="7">
        <v>108.2</v>
      </c>
      <c r="H133" s="7">
        <v>577.6</v>
      </c>
      <c r="I133" s="6">
        <v>184833520</v>
      </c>
      <c r="J133" s="6">
        <v>81567320</v>
      </c>
      <c r="K133" s="6">
        <v>21551116</v>
      </c>
      <c r="L133" s="6">
        <v>0</v>
      </c>
      <c r="M133" s="6">
        <v>0</v>
      </c>
      <c r="N133" s="6">
        <v>56532.3</v>
      </c>
      <c r="O133" s="6">
        <v>36500616</v>
      </c>
      <c r="P133" s="6">
        <v>0</v>
      </c>
      <c r="Q133" s="6">
        <v>257390.8</v>
      </c>
      <c r="R133" s="6">
        <v>27019894</v>
      </c>
      <c r="S133" s="6">
        <v>0</v>
      </c>
      <c r="T133" s="6">
        <v>665303.9</v>
      </c>
      <c r="U133" s="6">
        <v>0</v>
      </c>
      <c r="V133" s="6">
        <v>26907836</v>
      </c>
      <c r="W133" s="6">
        <v>35520276</v>
      </c>
      <c r="X133" s="6">
        <v>0</v>
      </c>
      <c r="Y133" s="6">
        <v>11883763</v>
      </c>
      <c r="Z133" s="6">
        <v>7255441</v>
      </c>
      <c r="AA133" s="6">
        <v>808021.8</v>
      </c>
      <c r="AB133" s="6">
        <v>3756567.2</v>
      </c>
      <c r="AC133" s="6">
        <v>12650758</v>
      </c>
      <c r="AD133" s="6">
        <f t="shared" si="28"/>
        <v>184833520</v>
      </c>
      <c r="AE133" s="6">
        <f t="shared" si="29"/>
        <v>12650758</v>
      </c>
      <c r="AF133" s="6">
        <f t="shared" si="30"/>
        <v>665303.9</v>
      </c>
      <c r="AG133" s="6">
        <f t="shared" si="31"/>
        <v>171517458.09999999</v>
      </c>
      <c r="AH133" s="6">
        <f t="shared" si="32"/>
        <v>0</v>
      </c>
      <c r="AI133" s="6">
        <f t="shared" si="33"/>
        <v>36758006.799999997</v>
      </c>
      <c r="AJ133" s="6">
        <f t="shared" si="34"/>
        <v>56532.3</v>
      </c>
      <c r="AK133" s="6">
        <f t="shared" si="35"/>
        <v>21551116</v>
      </c>
      <c r="AL133" s="6">
        <f t="shared" si="36"/>
        <v>113151799</v>
      </c>
      <c r="AM133" s="3">
        <f t="shared" si="37"/>
        <v>0</v>
      </c>
      <c r="AN133" s="3">
        <f t="shared" si="38"/>
        <v>0.21431058509839238</v>
      </c>
      <c r="AO133" s="3">
        <f t="shared" si="39"/>
        <v>3.2960085011894192E-4</v>
      </c>
      <c r="AP133" s="3">
        <f t="shared" si="40"/>
        <v>0.12564969326583089</v>
      </c>
      <c r="AQ133" s="3">
        <f t="shared" si="41"/>
        <v>0.65971009746441667</v>
      </c>
    </row>
    <row r="134" spans="1:43" x14ac:dyDescent="0.3">
      <c r="A134" t="s">
        <v>179</v>
      </c>
      <c r="B134" t="s">
        <v>7</v>
      </c>
      <c r="C134" t="s">
        <v>165</v>
      </c>
      <c r="D134" s="6">
        <v>2046</v>
      </c>
      <c r="E134" t="s">
        <v>195</v>
      </c>
      <c r="F134" s="6">
        <v>91.7</v>
      </c>
      <c r="G134" s="7">
        <v>90.9</v>
      </c>
      <c r="H134" s="7">
        <v>576.79999999999995</v>
      </c>
      <c r="I134" s="6">
        <v>188343420</v>
      </c>
      <c r="J134" s="6">
        <v>85493440</v>
      </c>
      <c r="K134" s="6">
        <v>21551116</v>
      </c>
      <c r="L134" s="6">
        <v>0</v>
      </c>
      <c r="M134" s="6">
        <v>0</v>
      </c>
      <c r="N134" s="6">
        <v>14819.9</v>
      </c>
      <c r="O134" s="6">
        <v>35768430</v>
      </c>
      <c r="P134" s="6">
        <v>0</v>
      </c>
      <c r="Q134" s="6">
        <v>427154.2</v>
      </c>
      <c r="R134" s="6">
        <v>27054630</v>
      </c>
      <c r="S134" s="6">
        <v>0</v>
      </c>
      <c r="T134" s="6">
        <v>647200.4</v>
      </c>
      <c r="U134" s="6">
        <v>0</v>
      </c>
      <c r="V134" s="6">
        <v>27130998</v>
      </c>
      <c r="W134" s="6">
        <v>35313340</v>
      </c>
      <c r="X134" s="6">
        <v>0</v>
      </c>
      <c r="Y134" s="6">
        <v>15549994</v>
      </c>
      <c r="Z134" s="6">
        <v>7499109</v>
      </c>
      <c r="AA134" s="6">
        <v>805470.2</v>
      </c>
      <c r="AB134" s="6">
        <v>3906958.8</v>
      </c>
      <c r="AC134" s="6">
        <v>12674197</v>
      </c>
      <c r="AD134" s="6">
        <f t="shared" si="28"/>
        <v>188343420</v>
      </c>
      <c r="AE134" s="6">
        <f t="shared" si="29"/>
        <v>12674197</v>
      </c>
      <c r="AF134" s="6">
        <f t="shared" si="30"/>
        <v>647200.4</v>
      </c>
      <c r="AG134" s="6">
        <f t="shared" si="31"/>
        <v>175022022.59999999</v>
      </c>
      <c r="AH134" s="6">
        <f t="shared" si="32"/>
        <v>0</v>
      </c>
      <c r="AI134" s="6">
        <f t="shared" si="33"/>
        <v>36195584.200000003</v>
      </c>
      <c r="AJ134" s="6">
        <f t="shared" si="34"/>
        <v>14819.9</v>
      </c>
      <c r="AK134" s="6">
        <f t="shared" si="35"/>
        <v>21551116</v>
      </c>
      <c r="AL134" s="6">
        <f t="shared" si="36"/>
        <v>117260500</v>
      </c>
      <c r="AM134" s="3">
        <f t="shared" si="37"/>
        <v>0</v>
      </c>
      <c r="AN134" s="3">
        <f t="shared" si="38"/>
        <v>0.20680588455272489</v>
      </c>
      <c r="AO134" s="3">
        <f t="shared" si="39"/>
        <v>8.4674487129369973E-5</v>
      </c>
      <c r="AP134" s="3">
        <f t="shared" si="40"/>
        <v>0.12313373871386171</v>
      </c>
      <c r="AQ134" s="3">
        <f t="shared" si="41"/>
        <v>0.66997568796236728</v>
      </c>
    </row>
    <row r="135" spans="1:43" x14ac:dyDescent="0.3">
      <c r="A135" t="s">
        <v>179</v>
      </c>
      <c r="B135" t="s">
        <v>7</v>
      </c>
      <c r="C135" t="s">
        <v>165</v>
      </c>
      <c r="D135" s="6">
        <v>2048</v>
      </c>
      <c r="E135" t="s">
        <v>195</v>
      </c>
      <c r="F135" s="6">
        <v>90.2</v>
      </c>
      <c r="G135" s="7">
        <v>81.2</v>
      </c>
      <c r="H135" s="7">
        <v>578.9</v>
      </c>
      <c r="I135" s="6">
        <v>190966830</v>
      </c>
      <c r="J135" s="6">
        <v>88119480</v>
      </c>
      <c r="K135" s="6">
        <v>21551116</v>
      </c>
      <c r="L135" s="6">
        <v>0</v>
      </c>
      <c r="M135" s="6">
        <v>0</v>
      </c>
      <c r="N135" s="6">
        <v>8331.6</v>
      </c>
      <c r="O135" s="6">
        <v>35712188</v>
      </c>
      <c r="P135" s="6">
        <v>0</v>
      </c>
      <c r="Q135" s="6">
        <v>355199</v>
      </c>
      <c r="R135" s="6">
        <v>27016756</v>
      </c>
      <c r="S135" s="6">
        <v>0</v>
      </c>
      <c r="T135" s="6">
        <v>607542.1</v>
      </c>
      <c r="U135" s="6">
        <v>0</v>
      </c>
      <c r="V135" s="6">
        <v>30511164</v>
      </c>
      <c r="W135" s="6">
        <v>35128056</v>
      </c>
      <c r="X135" s="6">
        <v>0</v>
      </c>
      <c r="Y135" s="6">
        <v>15064862</v>
      </c>
      <c r="Z135" s="6">
        <v>7415399</v>
      </c>
      <c r="AA135" s="6">
        <v>759467.1</v>
      </c>
      <c r="AB135" s="6">
        <v>4200915</v>
      </c>
      <c r="AC135" s="6">
        <v>12635845</v>
      </c>
      <c r="AD135" s="6">
        <f t="shared" si="28"/>
        <v>190966830</v>
      </c>
      <c r="AE135" s="6">
        <f t="shared" si="29"/>
        <v>12635845</v>
      </c>
      <c r="AF135" s="6">
        <f t="shared" si="30"/>
        <v>607542.1</v>
      </c>
      <c r="AG135" s="6">
        <f t="shared" si="31"/>
        <v>177723442.90000001</v>
      </c>
      <c r="AH135" s="6">
        <f t="shared" si="32"/>
        <v>0</v>
      </c>
      <c r="AI135" s="6">
        <f t="shared" si="33"/>
        <v>36067387</v>
      </c>
      <c r="AJ135" s="6">
        <f t="shared" si="34"/>
        <v>8331.6</v>
      </c>
      <c r="AK135" s="6">
        <f t="shared" si="35"/>
        <v>21551116</v>
      </c>
      <c r="AL135" s="6">
        <f t="shared" si="36"/>
        <v>120096619.09999999</v>
      </c>
      <c r="AM135" s="3">
        <f t="shared" si="37"/>
        <v>0</v>
      </c>
      <c r="AN135" s="3">
        <f t="shared" si="38"/>
        <v>0.20294107750486304</v>
      </c>
      <c r="AO135" s="3">
        <f t="shared" si="39"/>
        <v>4.6879577978285949E-5</v>
      </c>
      <c r="AP135" s="3">
        <f t="shared" si="40"/>
        <v>0.12126208927950044</v>
      </c>
      <c r="AQ135" s="3">
        <f t="shared" si="41"/>
        <v>0.67575001440623106</v>
      </c>
    </row>
    <row r="136" spans="1:43" x14ac:dyDescent="0.3">
      <c r="A136" t="s">
        <v>179</v>
      </c>
      <c r="B136" t="s">
        <v>7</v>
      </c>
      <c r="C136" t="s">
        <v>165</v>
      </c>
      <c r="D136" s="6">
        <v>2050</v>
      </c>
      <c r="E136" t="s">
        <v>195</v>
      </c>
      <c r="F136" s="6">
        <v>74.2</v>
      </c>
      <c r="G136" s="7">
        <v>74.2</v>
      </c>
      <c r="H136" s="7">
        <v>539.79999999999995</v>
      </c>
      <c r="I136" s="6">
        <v>201750670</v>
      </c>
      <c r="J136" s="6">
        <v>102622376</v>
      </c>
      <c r="K136" s="6">
        <v>21551116</v>
      </c>
      <c r="L136" s="6">
        <v>0</v>
      </c>
      <c r="M136" s="6">
        <v>0</v>
      </c>
      <c r="N136" s="6">
        <v>0</v>
      </c>
      <c r="O136" s="6">
        <v>31324340</v>
      </c>
      <c r="P136" s="6">
        <v>0</v>
      </c>
      <c r="Q136" s="6">
        <v>179125.4</v>
      </c>
      <c r="R136" s="6">
        <v>26905814</v>
      </c>
      <c r="S136" s="6">
        <v>0</v>
      </c>
      <c r="T136" s="6">
        <v>584409.9</v>
      </c>
      <c r="U136" s="6">
        <v>0</v>
      </c>
      <c r="V136" s="6">
        <v>40180736</v>
      </c>
      <c r="W136" s="6">
        <v>34779676</v>
      </c>
      <c r="X136" s="6">
        <v>0</v>
      </c>
      <c r="Y136" s="6">
        <v>20370974</v>
      </c>
      <c r="Z136" s="6">
        <v>7290987</v>
      </c>
      <c r="AA136" s="6">
        <v>726001.5</v>
      </c>
      <c r="AB136" s="6">
        <v>5197663.5</v>
      </c>
      <c r="AC136" s="6">
        <v>12659836</v>
      </c>
      <c r="AD136" s="6">
        <f t="shared" si="28"/>
        <v>201750670</v>
      </c>
      <c r="AE136" s="6">
        <f t="shared" si="29"/>
        <v>12659836</v>
      </c>
      <c r="AF136" s="6">
        <f t="shared" si="30"/>
        <v>584409.9</v>
      </c>
      <c r="AG136" s="6">
        <f t="shared" si="31"/>
        <v>188506424.09999999</v>
      </c>
      <c r="AH136" s="6">
        <f t="shared" si="32"/>
        <v>0</v>
      </c>
      <c r="AI136" s="6">
        <f t="shared" si="33"/>
        <v>31503465.399999999</v>
      </c>
      <c r="AJ136" s="6">
        <f t="shared" si="34"/>
        <v>0</v>
      </c>
      <c r="AK136" s="6">
        <f t="shared" si="35"/>
        <v>21551116</v>
      </c>
      <c r="AL136" s="6">
        <f t="shared" si="36"/>
        <v>135451852</v>
      </c>
      <c r="AM136" s="3">
        <f t="shared" si="37"/>
        <v>0</v>
      </c>
      <c r="AN136" s="3">
        <f t="shared" si="38"/>
        <v>0.16712144188405936</v>
      </c>
      <c r="AO136" s="3">
        <f t="shared" si="39"/>
        <v>0</v>
      </c>
      <c r="AP136" s="3">
        <f t="shared" si="40"/>
        <v>0.11432563162180318</v>
      </c>
      <c r="AQ136" s="3">
        <f t="shared" si="41"/>
        <v>0.7185529758293262</v>
      </c>
    </row>
    <row r="137" spans="1:43" x14ac:dyDescent="0.3">
      <c r="A137" t="s">
        <v>179</v>
      </c>
      <c r="B137" t="s">
        <v>7</v>
      </c>
      <c r="C137" t="s">
        <v>166</v>
      </c>
      <c r="D137" s="6">
        <v>2022</v>
      </c>
      <c r="E137" t="s">
        <v>195</v>
      </c>
      <c r="F137" s="6">
        <v>341.9</v>
      </c>
      <c r="G137" s="7">
        <v>681.3</v>
      </c>
      <c r="H137" s="7">
        <v>854.4</v>
      </c>
      <c r="I137" s="6">
        <v>314760540</v>
      </c>
      <c r="J137" s="6">
        <v>30466772</v>
      </c>
      <c r="K137" s="6">
        <v>100022616</v>
      </c>
      <c r="L137" s="6">
        <v>32824048</v>
      </c>
      <c r="M137" s="6">
        <v>0</v>
      </c>
      <c r="N137" s="6">
        <v>293159.90000000002</v>
      </c>
      <c r="O137" s="6">
        <v>141851400</v>
      </c>
      <c r="P137" s="6">
        <v>0</v>
      </c>
      <c r="Q137" s="6">
        <v>482315</v>
      </c>
      <c r="R137" s="6">
        <v>3912289.5</v>
      </c>
      <c r="S137" s="6">
        <v>0</v>
      </c>
      <c r="T137" s="6">
        <v>2671194.7999999998</v>
      </c>
      <c r="U137" s="6">
        <v>0</v>
      </c>
      <c r="V137" s="6">
        <v>17615216</v>
      </c>
      <c r="W137" s="6">
        <v>44038.3</v>
      </c>
      <c r="X137" s="6">
        <v>0</v>
      </c>
      <c r="Y137" s="6">
        <v>7024724</v>
      </c>
      <c r="Z137" s="6">
        <v>5782792.5</v>
      </c>
      <c r="AA137" s="6">
        <v>1311220.6000000001</v>
      </c>
      <c r="AB137" s="6">
        <v>925551.6</v>
      </c>
      <c r="AC137" s="6">
        <v>0</v>
      </c>
      <c r="AD137" s="6">
        <f t="shared" si="28"/>
        <v>314760540</v>
      </c>
      <c r="AE137" s="6">
        <f t="shared" si="29"/>
        <v>0</v>
      </c>
      <c r="AF137" s="6">
        <f t="shared" si="30"/>
        <v>2671194.7999999998</v>
      </c>
      <c r="AG137" s="6">
        <f t="shared" si="31"/>
        <v>312089345.19999999</v>
      </c>
      <c r="AH137" s="6">
        <f t="shared" si="32"/>
        <v>32824048</v>
      </c>
      <c r="AI137" s="6">
        <f t="shared" si="33"/>
        <v>142333715</v>
      </c>
      <c r="AJ137" s="6">
        <f t="shared" si="34"/>
        <v>293159.90000000002</v>
      </c>
      <c r="AK137" s="6">
        <f t="shared" si="35"/>
        <v>100022616</v>
      </c>
      <c r="AL137" s="6">
        <f t="shared" si="36"/>
        <v>36615832.5</v>
      </c>
      <c r="AM137" s="3">
        <f t="shared" si="37"/>
        <v>0.1051751637947299</v>
      </c>
      <c r="AN137" s="3">
        <f t="shared" si="38"/>
        <v>0.45606720379635696</v>
      </c>
      <c r="AO137" s="3">
        <f t="shared" si="39"/>
        <v>9.3934607031243196E-4</v>
      </c>
      <c r="AP137" s="3">
        <f t="shared" si="40"/>
        <v>0.32049353026102606</v>
      </c>
      <c r="AQ137" s="3">
        <f t="shared" si="41"/>
        <v>0.1173248400278934</v>
      </c>
    </row>
    <row r="138" spans="1:43" x14ac:dyDescent="0.3">
      <c r="A138" t="s">
        <v>179</v>
      </c>
      <c r="B138" t="s">
        <v>7</v>
      </c>
      <c r="C138" t="s">
        <v>166</v>
      </c>
      <c r="D138" s="6">
        <v>2024</v>
      </c>
      <c r="E138" t="s">
        <v>195</v>
      </c>
      <c r="F138" s="6">
        <v>296.60000000000002</v>
      </c>
      <c r="G138" s="7">
        <v>586.6</v>
      </c>
      <c r="H138" s="7">
        <v>855.9</v>
      </c>
      <c r="I138" s="6">
        <v>332233540</v>
      </c>
      <c r="J138" s="6">
        <v>36131068</v>
      </c>
      <c r="K138" s="6">
        <v>100022616</v>
      </c>
      <c r="L138" s="6">
        <v>9345581</v>
      </c>
      <c r="M138" s="6">
        <v>0</v>
      </c>
      <c r="N138" s="6">
        <v>917485.2</v>
      </c>
      <c r="O138" s="6">
        <v>174904930</v>
      </c>
      <c r="P138" s="6">
        <v>0</v>
      </c>
      <c r="Q138" s="6">
        <v>1079816.3999999999</v>
      </c>
      <c r="R138" s="6">
        <v>3912473.5</v>
      </c>
      <c r="S138" s="6">
        <v>0</v>
      </c>
      <c r="T138" s="6">
        <v>2669130.7999999998</v>
      </c>
      <c r="U138" s="6">
        <v>0</v>
      </c>
      <c r="V138" s="6">
        <v>17520226</v>
      </c>
      <c r="W138" s="6">
        <v>4914641</v>
      </c>
      <c r="X138" s="6">
        <v>0</v>
      </c>
      <c r="Y138" s="6">
        <v>7247601.5</v>
      </c>
      <c r="Z138" s="6">
        <v>6448600.5</v>
      </c>
      <c r="AA138" s="6">
        <v>1977313.2</v>
      </c>
      <c r="AB138" s="6">
        <v>1273128.3999999999</v>
      </c>
      <c r="AC138" s="6">
        <v>0</v>
      </c>
      <c r="AD138" s="6">
        <f t="shared" si="28"/>
        <v>332233540</v>
      </c>
      <c r="AE138" s="6">
        <f t="shared" si="29"/>
        <v>0</v>
      </c>
      <c r="AF138" s="6">
        <f t="shared" si="30"/>
        <v>2669130.7999999998</v>
      </c>
      <c r="AG138" s="6">
        <f t="shared" si="31"/>
        <v>329564409.19999999</v>
      </c>
      <c r="AH138" s="6">
        <f t="shared" si="32"/>
        <v>9345581</v>
      </c>
      <c r="AI138" s="6">
        <f t="shared" si="33"/>
        <v>175984746.40000001</v>
      </c>
      <c r="AJ138" s="6">
        <f t="shared" si="34"/>
        <v>917485.2</v>
      </c>
      <c r="AK138" s="6">
        <f t="shared" si="35"/>
        <v>100022616</v>
      </c>
      <c r="AL138" s="6">
        <f t="shared" si="36"/>
        <v>43293984.100000001</v>
      </c>
      <c r="AM138" s="3">
        <f t="shared" si="37"/>
        <v>2.835737336651703E-2</v>
      </c>
      <c r="AN138" s="3">
        <f t="shared" si="38"/>
        <v>0.53399196480953015</v>
      </c>
      <c r="AO138" s="3">
        <f t="shared" si="39"/>
        <v>2.7839328956277359E-3</v>
      </c>
      <c r="AP138" s="3">
        <f t="shared" si="40"/>
        <v>0.30349944717270766</v>
      </c>
      <c r="AQ138" s="3">
        <f t="shared" si="41"/>
        <v>0.13136729237569625</v>
      </c>
    </row>
    <row r="139" spans="1:43" x14ac:dyDescent="0.3">
      <c r="A139" t="s">
        <v>179</v>
      </c>
      <c r="B139" t="s">
        <v>7</v>
      </c>
      <c r="C139" t="s">
        <v>166</v>
      </c>
      <c r="D139" s="6">
        <v>2026</v>
      </c>
      <c r="E139" t="s">
        <v>195</v>
      </c>
      <c r="F139" s="6">
        <v>292</v>
      </c>
      <c r="G139" s="7">
        <v>524.20000000000005</v>
      </c>
      <c r="H139" s="7">
        <v>838.2</v>
      </c>
      <c r="I139" s="6">
        <v>341348300</v>
      </c>
      <c r="J139" s="6">
        <v>44688668</v>
      </c>
      <c r="K139" s="6">
        <v>100022616</v>
      </c>
      <c r="L139" s="6">
        <v>10712904</v>
      </c>
      <c r="M139" s="6">
        <v>0</v>
      </c>
      <c r="N139" s="6">
        <v>883080.6</v>
      </c>
      <c r="O139" s="6">
        <v>173716940</v>
      </c>
      <c r="P139" s="6">
        <v>0</v>
      </c>
      <c r="Q139" s="6">
        <v>1086522</v>
      </c>
      <c r="R139" s="6">
        <v>4080175.5</v>
      </c>
      <c r="S139" s="6">
        <v>0</v>
      </c>
      <c r="T139" s="6">
        <v>2669320</v>
      </c>
      <c r="U139" s="6">
        <v>0</v>
      </c>
      <c r="V139" s="6">
        <v>17425738</v>
      </c>
      <c r="W139" s="6">
        <v>8181889.5</v>
      </c>
      <c r="X139" s="6">
        <v>0</v>
      </c>
      <c r="Y139" s="6">
        <v>11565886</v>
      </c>
      <c r="Z139" s="6">
        <v>7515156</v>
      </c>
      <c r="AA139" s="6">
        <v>1929928.8</v>
      </c>
      <c r="AB139" s="6">
        <v>1558120.2</v>
      </c>
      <c r="AC139" s="6">
        <v>0</v>
      </c>
      <c r="AD139" s="6">
        <f t="shared" si="28"/>
        <v>341348300</v>
      </c>
      <c r="AE139" s="6">
        <f t="shared" si="29"/>
        <v>0</v>
      </c>
      <c r="AF139" s="6">
        <f t="shared" si="30"/>
        <v>2669320</v>
      </c>
      <c r="AG139" s="6">
        <f t="shared" si="31"/>
        <v>338678980</v>
      </c>
      <c r="AH139" s="6">
        <f t="shared" si="32"/>
        <v>10712904</v>
      </c>
      <c r="AI139" s="6">
        <f t="shared" si="33"/>
        <v>174803462</v>
      </c>
      <c r="AJ139" s="6">
        <f t="shared" si="34"/>
        <v>883080.6</v>
      </c>
      <c r="AK139" s="6">
        <f t="shared" si="35"/>
        <v>100022616</v>
      </c>
      <c r="AL139" s="6">
        <f t="shared" si="36"/>
        <v>52256894</v>
      </c>
      <c r="AM139" s="3">
        <f t="shared" si="37"/>
        <v>3.1631440486799625E-2</v>
      </c>
      <c r="AN139" s="3">
        <f t="shared" si="38"/>
        <v>0.51613318901574579</v>
      </c>
      <c r="AO139" s="3">
        <f t="shared" si="39"/>
        <v>2.6074266551765332E-3</v>
      </c>
      <c r="AP139" s="3">
        <f t="shared" si="40"/>
        <v>0.29533163233218668</v>
      </c>
      <c r="AQ139" s="3">
        <f t="shared" si="41"/>
        <v>0.15429624241811524</v>
      </c>
    </row>
    <row r="140" spans="1:43" x14ac:dyDescent="0.3">
      <c r="A140" t="s">
        <v>179</v>
      </c>
      <c r="B140" t="s">
        <v>7</v>
      </c>
      <c r="C140" t="s">
        <v>166</v>
      </c>
      <c r="D140" s="6">
        <v>2028</v>
      </c>
      <c r="E140" t="s">
        <v>195</v>
      </c>
      <c r="F140" s="6">
        <v>277.60000000000002</v>
      </c>
      <c r="G140" s="7">
        <v>421.6</v>
      </c>
      <c r="H140" s="7">
        <v>815.3</v>
      </c>
      <c r="I140" s="6">
        <v>345889630</v>
      </c>
      <c r="J140" s="6">
        <v>57381492</v>
      </c>
      <c r="K140" s="6">
        <v>100022616</v>
      </c>
      <c r="L140" s="6">
        <v>11834962</v>
      </c>
      <c r="M140" s="6">
        <v>0</v>
      </c>
      <c r="N140" s="6">
        <v>702577.3</v>
      </c>
      <c r="O140" s="6">
        <v>164432380</v>
      </c>
      <c r="P140" s="6">
        <v>0</v>
      </c>
      <c r="Q140" s="6">
        <v>966177.4</v>
      </c>
      <c r="R140" s="6">
        <v>4079586</v>
      </c>
      <c r="S140" s="6">
        <v>0</v>
      </c>
      <c r="T140" s="6">
        <v>2669959.7999999998</v>
      </c>
      <c r="U140" s="6">
        <v>0</v>
      </c>
      <c r="V140" s="6">
        <v>17331764</v>
      </c>
      <c r="W140" s="6">
        <v>19682794</v>
      </c>
      <c r="X140" s="6">
        <v>0</v>
      </c>
      <c r="Y140" s="6">
        <v>11321174</v>
      </c>
      <c r="Z140" s="6">
        <v>9045761</v>
      </c>
      <c r="AA140" s="6">
        <v>1845244.8</v>
      </c>
      <c r="AB140" s="6">
        <v>1954651.2</v>
      </c>
      <c r="AC140" s="6">
        <v>0</v>
      </c>
      <c r="AD140" s="6">
        <f t="shared" si="28"/>
        <v>345889630</v>
      </c>
      <c r="AE140" s="6">
        <f t="shared" si="29"/>
        <v>0</v>
      </c>
      <c r="AF140" s="6">
        <f t="shared" si="30"/>
        <v>2669959.7999999998</v>
      </c>
      <c r="AG140" s="6">
        <f t="shared" si="31"/>
        <v>343219670.19999999</v>
      </c>
      <c r="AH140" s="6">
        <f t="shared" si="32"/>
        <v>11834962</v>
      </c>
      <c r="AI140" s="6">
        <f t="shared" si="33"/>
        <v>165398557.40000001</v>
      </c>
      <c r="AJ140" s="6">
        <f t="shared" si="34"/>
        <v>702577.3</v>
      </c>
      <c r="AK140" s="6">
        <f t="shared" si="35"/>
        <v>100022616</v>
      </c>
      <c r="AL140" s="6">
        <f t="shared" si="36"/>
        <v>65260975</v>
      </c>
      <c r="AM140" s="3">
        <f t="shared" si="37"/>
        <v>3.4482178696528566E-2</v>
      </c>
      <c r="AN140" s="3">
        <f t="shared" si="38"/>
        <v>0.48190290872204217</v>
      </c>
      <c r="AO140" s="3">
        <f t="shared" si="39"/>
        <v>2.0470193319357139E-3</v>
      </c>
      <c r="AP140" s="3">
        <f t="shared" si="40"/>
        <v>0.29142448607830401</v>
      </c>
      <c r="AQ140" s="3">
        <f t="shared" si="41"/>
        <v>0.19014345815894326</v>
      </c>
    </row>
    <row r="141" spans="1:43" x14ac:dyDescent="0.3">
      <c r="A141" t="s">
        <v>179</v>
      </c>
      <c r="B141" t="s">
        <v>7</v>
      </c>
      <c r="C141" t="s">
        <v>166</v>
      </c>
      <c r="D141" s="6">
        <v>2030</v>
      </c>
      <c r="E141" t="s">
        <v>195</v>
      </c>
      <c r="F141" s="6">
        <v>268.8</v>
      </c>
      <c r="G141" s="7">
        <v>403.6</v>
      </c>
      <c r="H141" s="7">
        <v>799.4</v>
      </c>
      <c r="I141" s="6">
        <v>344794660</v>
      </c>
      <c r="J141" s="6">
        <v>60541536</v>
      </c>
      <c r="K141" s="6">
        <v>100022616</v>
      </c>
      <c r="L141" s="6">
        <v>11117669</v>
      </c>
      <c r="M141" s="6">
        <v>0</v>
      </c>
      <c r="N141" s="6">
        <v>443690.4</v>
      </c>
      <c r="O141" s="6">
        <v>161129920</v>
      </c>
      <c r="P141" s="6">
        <v>0</v>
      </c>
      <c r="Q141" s="6">
        <v>790292.7</v>
      </c>
      <c r="R141" s="6">
        <v>4074638.5</v>
      </c>
      <c r="S141" s="6">
        <v>0</v>
      </c>
      <c r="T141" s="6">
        <v>2617800</v>
      </c>
      <c r="U141" s="6">
        <v>0</v>
      </c>
      <c r="V141" s="6">
        <v>17238304</v>
      </c>
      <c r="W141" s="6">
        <v>21103100</v>
      </c>
      <c r="X141" s="6">
        <v>0</v>
      </c>
      <c r="Y141" s="6">
        <v>11166490</v>
      </c>
      <c r="Z141" s="6">
        <v>11033643</v>
      </c>
      <c r="AA141" s="6">
        <v>1852680.4</v>
      </c>
      <c r="AB141" s="6">
        <v>2203802.2000000002</v>
      </c>
      <c r="AC141" s="6">
        <v>0</v>
      </c>
      <c r="AD141" s="6">
        <f t="shared" si="28"/>
        <v>344794660</v>
      </c>
      <c r="AE141" s="6">
        <f t="shared" si="29"/>
        <v>0</v>
      </c>
      <c r="AF141" s="6">
        <f t="shared" si="30"/>
        <v>2617800</v>
      </c>
      <c r="AG141" s="6">
        <f t="shared" si="31"/>
        <v>342176860</v>
      </c>
      <c r="AH141" s="6">
        <f t="shared" si="32"/>
        <v>11117669</v>
      </c>
      <c r="AI141" s="6">
        <f t="shared" si="33"/>
        <v>161920212.69999999</v>
      </c>
      <c r="AJ141" s="6">
        <f t="shared" si="34"/>
        <v>443690.4</v>
      </c>
      <c r="AK141" s="6">
        <f t="shared" si="35"/>
        <v>100022616</v>
      </c>
      <c r="AL141" s="6">
        <f t="shared" si="36"/>
        <v>68672658.099999994</v>
      </c>
      <c r="AM141" s="3">
        <f t="shared" si="37"/>
        <v>3.2491001875462881E-2</v>
      </c>
      <c r="AN141" s="3">
        <f t="shared" si="38"/>
        <v>0.47320620307287869</v>
      </c>
      <c r="AO141" s="3">
        <f t="shared" si="39"/>
        <v>1.2966697981856518E-3</v>
      </c>
      <c r="AP141" s="3">
        <f t="shared" si="40"/>
        <v>0.29231262452989953</v>
      </c>
      <c r="AQ141" s="3">
        <f t="shared" si="41"/>
        <v>0.20069346039355201</v>
      </c>
    </row>
    <row r="142" spans="1:43" x14ac:dyDescent="0.3">
      <c r="A142" t="s">
        <v>179</v>
      </c>
      <c r="B142" t="s">
        <v>7</v>
      </c>
      <c r="C142" t="s">
        <v>166</v>
      </c>
      <c r="D142" s="6">
        <v>2032</v>
      </c>
      <c r="E142" t="s">
        <v>195</v>
      </c>
      <c r="F142" s="6">
        <v>258</v>
      </c>
      <c r="G142" s="7">
        <v>357.4</v>
      </c>
      <c r="H142" s="7">
        <v>784.8</v>
      </c>
      <c r="I142" s="6">
        <v>348440000</v>
      </c>
      <c r="J142" s="6">
        <v>66471308</v>
      </c>
      <c r="K142" s="6">
        <v>100022616</v>
      </c>
      <c r="L142" s="6">
        <v>8836262</v>
      </c>
      <c r="M142" s="6">
        <v>0</v>
      </c>
      <c r="N142" s="6">
        <v>385573.2</v>
      </c>
      <c r="O142" s="6">
        <v>161193550</v>
      </c>
      <c r="P142" s="6">
        <v>0</v>
      </c>
      <c r="Q142" s="6">
        <v>752243.4</v>
      </c>
      <c r="R142" s="6">
        <v>4074724.5</v>
      </c>
      <c r="S142" s="6">
        <v>0</v>
      </c>
      <c r="T142" s="6">
        <v>2617510.2000000002</v>
      </c>
      <c r="U142" s="6">
        <v>0</v>
      </c>
      <c r="V142" s="6">
        <v>17085254</v>
      </c>
      <c r="W142" s="6">
        <v>25696968</v>
      </c>
      <c r="X142" s="6">
        <v>0</v>
      </c>
      <c r="Y142" s="6">
        <v>11002863</v>
      </c>
      <c r="Z142" s="6">
        <v>12686223</v>
      </c>
      <c r="AA142" s="6">
        <v>1883710.4</v>
      </c>
      <c r="AB142" s="6">
        <v>2202503.5</v>
      </c>
      <c r="AC142" s="6">
        <v>0</v>
      </c>
      <c r="AD142" s="6">
        <f t="shared" si="28"/>
        <v>348440000</v>
      </c>
      <c r="AE142" s="6">
        <f t="shared" si="29"/>
        <v>0</v>
      </c>
      <c r="AF142" s="6">
        <f t="shared" si="30"/>
        <v>2617510.2000000002</v>
      </c>
      <c r="AG142" s="6">
        <f t="shared" si="31"/>
        <v>345822489.80000001</v>
      </c>
      <c r="AH142" s="6">
        <f t="shared" si="32"/>
        <v>8836262</v>
      </c>
      <c r="AI142" s="6">
        <f t="shared" si="33"/>
        <v>161945793.40000001</v>
      </c>
      <c r="AJ142" s="6">
        <f t="shared" si="34"/>
        <v>385573.2</v>
      </c>
      <c r="AK142" s="6">
        <f t="shared" si="35"/>
        <v>100022616</v>
      </c>
      <c r="AL142" s="6">
        <f t="shared" si="36"/>
        <v>74632246.400000006</v>
      </c>
      <c r="AM142" s="3">
        <f t="shared" si="37"/>
        <v>2.5551438268547218E-2</v>
      </c>
      <c r="AN142" s="3">
        <f t="shared" si="38"/>
        <v>0.46829167615344608</v>
      </c>
      <c r="AO142" s="3">
        <f t="shared" si="39"/>
        <v>1.1149454167165042E-3</v>
      </c>
      <c r="AP142" s="3">
        <f t="shared" si="40"/>
        <v>0.28923109095029131</v>
      </c>
      <c r="AQ142" s="3">
        <f t="shared" si="41"/>
        <v>0.21581085268098721</v>
      </c>
    </row>
    <row r="143" spans="1:43" x14ac:dyDescent="0.3">
      <c r="A143" t="s">
        <v>179</v>
      </c>
      <c r="B143" t="s">
        <v>7</v>
      </c>
      <c r="C143" t="s">
        <v>166</v>
      </c>
      <c r="D143" s="6">
        <v>2034</v>
      </c>
      <c r="E143" t="s">
        <v>195</v>
      </c>
      <c r="F143" s="6">
        <v>246.7</v>
      </c>
      <c r="G143" s="7">
        <v>347.3</v>
      </c>
      <c r="H143" s="7">
        <v>777.5</v>
      </c>
      <c r="I143" s="6">
        <v>349842370</v>
      </c>
      <c r="J143" s="6">
        <v>74181336</v>
      </c>
      <c r="K143" s="6">
        <v>100022616</v>
      </c>
      <c r="L143" s="6">
        <v>8210273</v>
      </c>
      <c r="M143" s="6">
        <v>0</v>
      </c>
      <c r="N143" s="6">
        <v>331751</v>
      </c>
      <c r="O143" s="6">
        <v>155920340</v>
      </c>
      <c r="P143" s="6">
        <v>0</v>
      </c>
      <c r="Q143" s="6">
        <v>667565.4</v>
      </c>
      <c r="R143" s="6">
        <v>4074555.2</v>
      </c>
      <c r="S143" s="6">
        <v>0</v>
      </c>
      <c r="T143" s="6">
        <v>2335487.7999999998</v>
      </c>
      <c r="U143" s="6">
        <v>0</v>
      </c>
      <c r="V143" s="6">
        <v>16760730</v>
      </c>
      <c r="W143" s="6">
        <v>33817276</v>
      </c>
      <c r="X143" s="6">
        <v>0</v>
      </c>
      <c r="Y143" s="6">
        <v>10843890</v>
      </c>
      <c r="Z143" s="6">
        <v>12759439</v>
      </c>
      <c r="AA143" s="6">
        <v>1848056</v>
      </c>
      <c r="AB143" s="6">
        <v>2250405.5</v>
      </c>
      <c r="AC143" s="6">
        <v>0</v>
      </c>
      <c r="AD143" s="6">
        <f t="shared" si="28"/>
        <v>349842370</v>
      </c>
      <c r="AE143" s="6">
        <f t="shared" si="29"/>
        <v>0</v>
      </c>
      <c r="AF143" s="6">
        <f t="shared" si="30"/>
        <v>2335487.7999999998</v>
      </c>
      <c r="AG143" s="6">
        <f t="shared" si="31"/>
        <v>347506882.19999999</v>
      </c>
      <c r="AH143" s="6">
        <f t="shared" si="32"/>
        <v>8210273</v>
      </c>
      <c r="AI143" s="6">
        <f t="shared" si="33"/>
        <v>156587905.40000001</v>
      </c>
      <c r="AJ143" s="6">
        <f t="shared" si="34"/>
        <v>331751</v>
      </c>
      <c r="AK143" s="6">
        <f t="shared" si="35"/>
        <v>100022616</v>
      </c>
      <c r="AL143" s="6">
        <f t="shared" si="36"/>
        <v>82354351.700000003</v>
      </c>
      <c r="AM143" s="3">
        <f t="shared" si="37"/>
        <v>2.3626216977408687E-2</v>
      </c>
      <c r="AN143" s="3">
        <f t="shared" si="38"/>
        <v>0.45060375325136515</v>
      </c>
      <c r="AO143" s="3">
        <f t="shared" si="39"/>
        <v>9.5466022974781829E-4</v>
      </c>
      <c r="AP143" s="3">
        <f t="shared" si="40"/>
        <v>0.28782916576148315</v>
      </c>
      <c r="AQ143" s="3">
        <f t="shared" si="41"/>
        <v>0.23698624665684392</v>
      </c>
    </row>
    <row r="144" spans="1:43" x14ac:dyDescent="0.3">
      <c r="A144" t="s">
        <v>179</v>
      </c>
      <c r="B144" t="s">
        <v>7</v>
      </c>
      <c r="C144" t="s">
        <v>166</v>
      </c>
      <c r="D144" s="6">
        <v>2036</v>
      </c>
      <c r="E144" t="s">
        <v>195</v>
      </c>
      <c r="F144" s="6">
        <v>242.9</v>
      </c>
      <c r="G144" s="7">
        <v>350.3</v>
      </c>
      <c r="H144" s="7">
        <v>760.5</v>
      </c>
      <c r="I144" s="6">
        <v>350351870</v>
      </c>
      <c r="J144" s="6">
        <v>79917704</v>
      </c>
      <c r="K144" s="6">
        <v>100022616</v>
      </c>
      <c r="L144" s="6">
        <v>10321719</v>
      </c>
      <c r="M144" s="6">
        <v>0</v>
      </c>
      <c r="N144" s="6">
        <v>262167.8</v>
      </c>
      <c r="O144" s="6">
        <v>148949340</v>
      </c>
      <c r="P144" s="6">
        <v>0</v>
      </c>
      <c r="Q144" s="6">
        <v>532380.69999999995</v>
      </c>
      <c r="R144" s="6">
        <v>4071058.5</v>
      </c>
      <c r="S144" s="6">
        <v>0</v>
      </c>
      <c r="T144" s="6">
        <v>2333372.2000000002</v>
      </c>
      <c r="U144" s="6">
        <v>0</v>
      </c>
      <c r="V144" s="6">
        <v>16669939</v>
      </c>
      <c r="W144" s="6">
        <v>39512030</v>
      </c>
      <c r="X144" s="6">
        <v>0</v>
      </c>
      <c r="Y144" s="6">
        <v>10931105</v>
      </c>
      <c r="Z144" s="6">
        <v>12804631</v>
      </c>
      <c r="AA144" s="6">
        <v>1778231.4</v>
      </c>
      <c r="AB144" s="6">
        <v>2163287.2000000002</v>
      </c>
      <c r="AC144" s="6">
        <v>0</v>
      </c>
      <c r="AD144" s="6">
        <f t="shared" si="28"/>
        <v>350351870</v>
      </c>
      <c r="AE144" s="6">
        <f t="shared" si="29"/>
        <v>0</v>
      </c>
      <c r="AF144" s="6">
        <f t="shared" si="30"/>
        <v>2333372.2000000002</v>
      </c>
      <c r="AG144" s="6">
        <f t="shared" si="31"/>
        <v>348018497.80000001</v>
      </c>
      <c r="AH144" s="6">
        <f t="shared" si="32"/>
        <v>10321719</v>
      </c>
      <c r="AI144" s="6">
        <f t="shared" si="33"/>
        <v>149481720.69999999</v>
      </c>
      <c r="AJ144" s="6">
        <f t="shared" si="34"/>
        <v>262167.8</v>
      </c>
      <c r="AK144" s="6">
        <f t="shared" si="35"/>
        <v>100022616</v>
      </c>
      <c r="AL144" s="6">
        <f t="shared" si="36"/>
        <v>87930282.100000009</v>
      </c>
      <c r="AM144" s="3">
        <f t="shared" si="37"/>
        <v>2.9658535581438279E-2</v>
      </c>
      <c r="AN144" s="3">
        <f t="shared" si="38"/>
        <v>0.42952234333792355</v>
      </c>
      <c r="AO144" s="3">
        <f t="shared" si="39"/>
        <v>7.5331570493319901E-4</v>
      </c>
      <c r="AP144" s="3">
        <f t="shared" si="40"/>
        <v>0.28740603339274567</v>
      </c>
      <c r="AQ144" s="3">
        <f t="shared" si="41"/>
        <v>0.25265979439556102</v>
      </c>
    </row>
    <row r="145" spans="1:43" x14ac:dyDescent="0.3">
      <c r="A145" t="s">
        <v>179</v>
      </c>
      <c r="B145" t="s">
        <v>7</v>
      </c>
      <c r="C145" t="s">
        <v>166</v>
      </c>
      <c r="D145" s="6">
        <v>2038</v>
      </c>
      <c r="E145" t="s">
        <v>195</v>
      </c>
      <c r="F145" s="6">
        <v>242.5</v>
      </c>
      <c r="G145" s="7">
        <v>352.4</v>
      </c>
      <c r="H145" s="7">
        <v>752</v>
      </c>
      <c r="I145" s="6">
        <v>352273900</v>
      </c>
      <c r="J145" s="6">
        <v>79488696</v>
      </c>
      <c r="K145" s="6">
        <v>100022616</v>
      </c>
      <c r="L145" s="6">
        <v>9044023</v>
      </c>
      <c r="M145" s="6">
        <v>0</v>
      </c>
      <c r="N145" s="6">
        <v>286414.5</v>
      </c>
      <c r="O145" s="6">
        <v>152655730</v>
      </c>
      <c r="P145" s="6">
        <v>0</v>
      </c>
      <c r="Q145" s="6">
        <v>574712.4</v>
      </c>
      <c r="R145" s="6">
        <v>4074276.8</v>
      </c>
      <c r="S145" s="6">
        <v>0</v>
      </c>
      <c r="T145" s="6">
        <v>2240432.7999999998</v>
      </c>
      <c r="U145" s="6">
        <v>0</v>
      </c>
      <c r="V145" s="6">
        <v>16081104</v>
      </c>
      <c r="W145" s="6">
        <v>39465650</v>
      </c>
      <c r="X145" s="6">
        <v>0</v>
      </c>
      <c r="Y145" s="6">
        <v>11092706</v>
      </c>
      <c r="Z145" s="6">
        <v>12849236</v>
      </c>
      <c r="AA145" s="6">
        <v>1798136.4</v>
      </c>
      <c r="AB145" s="6">
        <v>2088855</v>
      </c>
      <c r="AC145" s="6">
        <v>0</v>
      </c>
      <c r="AD145" s="6">
        <f t="shared" si="28"/>
        <v>352273900</v>
      </c>
      <c r="AE145" s="6">
        <f t="shared" si="29"/>
        <v>0</v>
      </c>
      <c r="AF145" s="6">
        <f t="shared" si="30"/>
        <v>2240432.7999999998</v>
      </c>
      <c r="AG145" s="6">
        <f t="shared" si="31"/>
        <v>350033467.19999999</v>
      </c>
      <c r="AH145" s="6">
        <f t="shared" si="32"/>
        <v>9044023</v>
      </c>
      <c r="AI145" s="6">
        <f t="shared" si="33"/>
        <v>153230442.40000001</v>
      </c>
      <c r="AJ145" s="6">
        <f t="shared" si="34"/>
        <v>286414.5</v>
      </c>
      <c r="AK145" s="6">
        <f t="shared" si="35"/>
        <v>100022616</v>
      </c>
      <c r="AL145" s="6">
        <f t="shared" si="36"/>
        <v>87449964.200000003</v>
      </c>
      <c r="AM145" s="3">
        <f t="shared" si="37"/>
        <v>2.5837595108677083E-2</v>
      </c>
      <c r="AN145" s="3">
        <f t="shared" si="38"/>
        <v>0.43775940519552703</v>
      </c>
      <c r="AO145" s="3">
        <f t="shared" si="39"/>
        <v>8.1824890142961741E-4</v>
      </c>
      <c r="AP145" s="3">
        <f t="shared" si="40"/>
        <v>0.28575157912786003</v>
      </c>
      <c r="AQ145" s="3">
        <f t="shared" si="41"/>
        <v>0.24983315138273157</v>
      </c>
    </row>
    <row r="146" spans="1:43" x14ac:dyDescent="0.3">
      <c r="A146" t="s">
        <v>179</v>
      </c>
      <c r="B146" t="s">
        <v>7</v>
      </c>
      <c r="C146" t="s">
        <v>166</v>
      </c>
      <c r="D146" s="6">
        <v>2040</v>
      </c>
      <c r="E146" t="s">
        <v>195</v>
      </c>
      <c r="F146" s="6">
        <v>252.5</v>
      </c>
      <c r="G146" s="7">
        <v>348.4</v>
      </c>
      <c r="H146" s="7">
        <v>752.7</v>
      </c>
      <c r="I146" s="6">
        <v>354428960</v>
      </c>
      <c r="J146" s="6">
        <v>78234490</v>
      </c>
      <c r="K146" s="6">
        <v>100022616</v>
      </c>
      <c r="L146" s="6">
        <v>12523301</v>
      </c>
      <c r="M146" s="6">
        <v>0</v>
      </c>
      <c r="N146" s="6">
        <v>255223</v>
      </c>
      <c r="O146" s="6">
        <v>153305390</v>
      </c>
      <c r="P146" s="6">
        <v>0</v>
      </c>
      <c r="Q146" s="6">
        <v>546919.6</v>
      </c>
      <c r="R146" s="6">
        <v>4074221.2</v>
      </c>
      <c r="S146" s="6">
        <v>0</v>
      </c>
      <c r="T146" s="6">
        <v>1631509.5</v>
      </c>
      <c r="U146" s="6">
        <v>0</v>
      </c>
      <c r="V146" s="6">
        <v>14637755</v>
      </c>
      <c r="W146" s="6">
        <v>39368064</v>
      </c>
      <c r="X146" s="6">
        <v>0</v>
      </c>
      <c r="Y146" s="6">
        <v>11348355</v>
      </c>
      <c r="Z146" s="6">
        <v>12880316</v>
      </c>
      <c r="AA146" s="6">
        <v>1672569.5</v>
      </c>
      <c r="AB146" s="6">
        <v>2162710.2000000002</v>
      </c>
      <c r="AC146" s="6">
        <v>0</v>
      </c>
      <c r="AD146" s="6">
        <f t="shared" si="28"/>
        <v>354428960</v>
      </c>
      <c r="AE146" s="6">
        <f t="shared" si="29"/>
        <v>0</v>
      </c>
      <c r="AF146" s="6">
        <f t="shared" si="30"/>
        <v>1631509.5</v>
      </c>
      <c r="AG146" s="6">
        <f t="shared" si="31"/>
        <v>352797450.5</v>
      </c>
      <c r="AH146" s="6">
        <f t="shared" si="32"/>
        <v>12523301</v>
      </c>
      <c r="AI146" s="6">
        <f t="shared" si="33"/>
        <v>153852309.59999999</v>
      </c>
      <c r="AJ146" s="6">
        <f t="shared" si="34"/>
        <v>255223</v>
      </c>
      <c r="AK146" s="6">
        <f t="shared" si="35"/>
        <v>100022616</v>
      </c>
      <c r="AL146" s="6">
        <f t="shared" si="36"/>
        <v>86143990.900000006</v>
      </c>
      <c r="AM146" s="3">
        <f t="shared" si="37"/>
        <v>3.5497141439801871E-2</v>
      </c>
      <c r="AN146" s="3">
        <f t="shared" si="38"/>
        <v>0.43609246433599153</v>
      </c>
      <c r="AO146" s="3">
        <f t="shared" si="39"/>
        <v>7.2342642963628791E-4</v>
      </c>
      <c r="AP146" s="3">
        <f t="shared" si="40"/>
        <v>0.28351286512485724</v>
      </c>
      <c r="AQ146" s="3">
        <f t="shared" si="41"/>
        <v>0.24417407432483701</v>
      </c>
    </row>
    <row r="147" spans="1:43" x14ac:dyDescent="0.3">
      <c r="A147" t="s">
        <v>179</v>
      </c>
      <c r="B147" t="s">
        <v>7</v>
      </c>
      <c r="C147" t="s">
        <v>166</v>
      </c>
      <c r="D147" s="6">
        <v>2042</v>
      </c>
      <c r="E147" t="s">
        <v>195</v>
      </c>
      <c r="F147" s="6">
        <v>256.3</v>
      </c>
      <c r="G147" s="7">
        <v>349.5</v>
      </c>
      <c r="H147" s="7">
        <v>740.1</v>
      </c>
      <c r="I147" s="6">
        <v>361678720</v>
      </c>
      <c r="J147" s="6">
        <v>76053610</v>
      </c>
      <c r="K147" s="6">
        <v>100022616</v>
      </c>
      <c r="L147" s="6">
        <v>11778700</v>
      </c>
      <c r="M147" s="6">
        <v>0</v>
      </c>
      <c r="N147" s="6">
        <v>194698.4</v>
      </c>
      <c r="O147" s="6">
        <v>163013600</v>
      </c>
      <c r="P147" s="6">
        <v>0</v>
      </c>
      <c r="Q147" s="6">
        <v>451243</v>
      </c>
      <c r="R147" s="6">
        <v>4074468.5</v>
      </c>
      <c r="S147" s="6">
        <v>0</v>
      </c>
      <c r="T147" s="6">
        <v>1138801</v>
      </c>
      <c r="U147" s="6">
        <v>0</v>
      </c>
      <c r="V147" s="6">
        <v>12632779</v>
      </c>
      <c r="W147" s="6">
        <v>39215580</v>
      </c>
      <c r="X147" s="6">
        <v>0</v>
      </c>
      <c r="Y147" s="6">
        <v>11298694</v>
      </c>
      <c r="Z147" s="6">
        <v>12906556</v>
      </c>
      <c r="AA147" s="6">
        <v>1483749.9</v>
      </c>
      <c r="AB147" s="6">
        <v>3467242</v>
      </c>
      <c r="AC147" s="6">
        <v>0</v>
      </c>
      <c r="AD147" s="6">
        <f t="shared" si="28"/>
        <v>361678720</v>
      </c>
      <c r="AE147" s="6">
        <f t="shared" si="29"/>
        <v>0</v>
      </c>
      <c r="AF147" s="6">
        <f t="shared" si="30"/>
        <v>1138801</v>
      </c>
      <c r="AG147" s="6">
        <f t="shared" si="31"/>
        <v>360539919</v>
      </c>
      <c r="AH147" s="6">
        <f t="shared" si="32"/>
        <v>11778700</v>
      </c>
      <c r="AI147" s="6">
        <f t="shared" si="33"/>
        <v>163464843</v>
      </c>
      <c r="AJ147" s="6">
        <f t="shared" si="34"/>
        <v>194698.4</v>
      </c>
      <c r="AK147" s="6">
        <f t="shared" si="35"/>
        <v>100022616</v>
      </c>
      <c r="AL147" s="6">
        <f t="shared" si="36"/>
        <v>85079069.400000006</v>
      </c>
      <c r="AM147" s="3">
        <f t="shared" si="37"/>
        <v>3.2669614040713203E-2</v>
      </c>
      <c r="AN147" s="3">
        <f t="shared" si="38"/>
        <v>0.4533890268056559</v>
      </c>
      <c r="AO147" s="3">
        <f t="shared" si="39"/>
        <v>5.4001898192027943E-4</v>
      </c>
      <c r="AP147" s="3">
        <f t="shared" si="40"/>
        <v>0.27742452563207015</v>
      </c>
      <c r="AQ147" s="3">
        <f t="shared" si="41"/>
        <v>0.2359768361738607</v>
      </c>
    </row>
    <row r="148" spans="1:43" x14ac:dyDescent="0.3">
      <c r="A148" t="s">
        <v>179</v>
      </c>
      <c r="B148" t="s">
        <v>7</v>
      </c>
      <c r="C148" t="s">
        <v>166</v>
      </c>
      <c r="D148" s="6">
        <v>2044</v>
      </c>
      <c r="E148" t="s">
        <v>195</v>
      </c>
      <c r="F148" s="6">
        <v>255.5</v>
      </c>
      <c r="G148" s="7">
        <v>355.5</v>
      </c>
      <c r="H148" s="7">
        <v>730.8</v>
      </c>
      <c r="I148" s="6">
        <v>369696060</v>
      </c>
      <c r="J148" s="6">
        <v>76071816</v>
      </c>
      <c r="K148" s="6">
        <v>100022616</v>
      </c>
      <c r="L148" s="6">
        <v>10473605</v>
      </c>
      <c r="M148" s="6">
        <v>0</v>
      </c>
      <c r="N148" s="6">
        <v>166941.5</v>
      </c>
      <c r="O148" s="6">
        <v>171437060</v>
      </c>
      <c r="P148" s="6">
        <v>0</v>
      </c>
      <c r="Q148" s="6">
        <v>389269.2</v>
      </c>
      <c r="R148" s="6">
        <v>4074246.8</v>
      </c>
      <c r="S148" s="6">
        <v>0</v>
      </c>
      <c r="T148" s="6">
        <v>938384.6</v>
      </c>
      <c r="U148" s="6">
        <v>0</v>
      </c>
      <c r="V148" s="6">
        <v>12564652</v>
      </c>
      <c r="W148" s="6">
        <v>39065132</v>
      </c>
      <c r="X148" s="6">
        <v>0</v>
      </c>
      <c r="Y148" s="6">
        <v>11504967</v>
      </c>
      <c r="Z148" s="6">
        <v>12937069</v>
      </c>
      <c r="AA148" s="6">
        <v>1328621.2</v>
      </c>
      <c r="AB148" s="6">
        <v>4793513.5</v>
      </c>
      <c r="AC148" s="6">
        <v>0</v>
      </c>
      <c r="AD148" s="6">
        <f t="shared" si="28"/>
        <v>369696060</v>
      </c>
      <c r="AE148" s="6">
        <f t="shared" si="29"/>
        <v>0</v>
      </c>
      <c r="AF148" s="6">
        <f t="shared" si="30"/>
        <v>938384.6</v>
      </c>
      <c r="AG148" s="6">
        <f t="shared" si="31"/>
        <v>368757675.39999998</v>
      </c>
      <c r="AH148" s="6">
        <f t="shared" si="32"/>
        <v>10473605</v>
      </c>
      <c r="AI148" s="6">
        <f t="shared" si="33"/>
        <v>171826329.19999999</v>
      </c>
      <c r="AJ148" s="6">
        <f t="shared" si="34"/>
        <v>166941.5</v>
      </c>
      <c r="AK148" s="6">
        <f t="shared" si="35"/>
        <v>100022616</v>
      </c>
      <c r="AL148" s="6">
        <f t="shared" si="36"/>
        <v>86268201.5</v>
      </c>
      <c r="AM148" s="3">
        <f t="shared" si="37"/>
        <v>2.8402405424209919E-2</v>
      </c>
      <c r="AN148" s="3">
        <f t="shared" si="38"/>
        <v>0.46596000751337852</v>
      </c>
      <c r="AO148" s="3">
        <f t="shared" si="39"/>
        <v>4.5271328879843573E-4</v>
      </c>
      <c r="AP148" s="3">
        <f t="shared" si="40"/>
        <v>0.27124212639507272</v>
      </c>
      <c r="AQ148" s="3">
        <f t="shared" si="41"/>
        <v>0.23394279564872211</v>
      </c>
    </row>
    <row r="149" spans="1:43" x14ac:dyDescent="0.3">
      <c r="A149" t="s">
        <v>179</v>
      </c>
      <c r="B149" t="s">
        <v>7</v>
      </c>
      <c r="C149" t="s">
        <v>166</v>
      </c>
      <c r="D149" s="6">
        <v>2046</v>
      </c>
      <c r="E149" t="s">
        <v>195</v>
      </c>
      <c r="F149" s="6">
        <v>258.3</v>
      </c>
      <c r="G149" s="7">
        <v>367.3</v>
      </c>
      <c r="H149" s="7">
        <v>703.4</v>
      </c>
      <c r="I149" s="6">
        <v>378770660</v>
      </c>
      <c r="J149" s="6">
        <v>75715220</v>
      </c>
      <c r="K149" s="6">
        <v>100022616</v>
      </c>
      <c r="L149" s="6">
        <v>9501481</v>
      </c>
      <c r="M149" s="6">
        <v>0</v>
      </c>
      <c r="N149" s="6">
        <v>105899.1</v>
      </c>
      <c r="O149" s="6">
        <v>181812530</v>
      </c>
      <c r="P149" s="6">
        <v>0</v>
      </c>
      <c r="Q149" s="6">
        <v>552162.80000000005</v>
      </c>
      <c r="R149" s="6">
        <v>4071512</v>
      </c>
      <c r="S149" s="6">
        <v>0</v>
      </c>
      <c r="T149" s="6">
        <v>692249.2</v>
      </c>
      <c r="U149" s="6">
        <v>0</v>
      </c>
      <c r="V149" s="6">
        <v>12362856</v>
      </c>
      <c r="W149" s="6">
        <v>38887360</v>
      </c>
      <c r="X149" s="6">
        <v>0</v>
      </c>
      <c r="Y149" s="6">
        <v>11473235</v>
      </c>
      <c r="Z149" s="6">
        <v>12991769</v>
      </c>
      <c r="AA149" s="6">
        <v>1283714.6000000001</v>
      </c>
      <c r="AB149" s="6">
        <v>5013269.5</v>
      </c>
      <c r="AC149" s="6">
        <v>0</v>
      </c>
      <c r="AD149" s="6">
        <f t="shared" si="28"/>
        <v>378770660</v>
      </c>
      <c r="AE149" s="6">
        <f t="shared" si="29"/>
        <v>0</v>
      </c>
      <c r="AF149" s="6">
        <f t="shared" si="30"/>
        <v>692249.2</v>
      </c>
      <c r="AG149" s="6">
        <f t="shared" si="31"/>
        <v>378078410.80000001</v>
      </c>
      <c r="AH149" s="6">
        <f t="shared" si="32"/>
        <v>9501481</v>
      </c>
      <c r="AI149" s="6">
        <f t="shared" si="33"/>
        <v>182364692.80000001</v>
      </c>
      <c r="AJ149" s="6">
        <f t="shared" si="34"/>
        <v>105899.1</v>
      </c>
      <c r="AK149" s="6">
        <f t="shared" si="35"/>
        <v>100022616</v>
      </c>
      <c r="AL149" s="6">
        <f t="shared" si="36"/>
        <v>86083716.099999994</v>
      </c>
      <c r="AM149" s="3">
        <f t="shared" si="37"/>
        <v>2.5130980052246874E-2</v>
      </c>
      <c r="AN149" s="3">
        <f t="shared" si="38"/>
        <v>0.48234622128812654</v>
      </c>
      <c r="AO149" s="3">
        <f t="shared" si="39"/>
        <v>2.8009824675236388E-4</v>
      </c>
      <c r="AP149" s="3">
        <f t="shared" si="40"/>
        <v>0.2645552169677074</v>
      </c>
      <c r="AQ149" s="3">
        <f t="shared" si="41"/>
        <v>0.22768746810443372</v>
      </c>
    </row>
    <row r="150" spans="1:43" x14ac:dyDescent="0.3">
      <c r="A150" t="s">
        <v>179</v>
      </c>
      <c r="B150" t="s">
        <v>7</v>
      </c>
      <c r="C150" t="s">
        <v>166</v>
      </c>
      <c r="D150" s="6">
        <v>2048</v>
      </c>
      <c r="E150" t="s">
        <v>195</v>
      </c>
      <c r="F150" s="6">
        <v>253.7</v>
      </c>
      <c r="G150" s="7">
        <v>362</v>
      </c>
      <c r="H150" s="7">
        <v>683</v>
      </c>
      <c r="I150" s="6">
        <v>388276320</v>
      </c>
      <c r="J150" s="6">
        <v>75489030</v>
      </c>
      <c r="K150" s="6">
        <v>100022616</v>
      </c>
      <c r="L150" s="6">
        <v>4558846.5</v>
      </c>
      <c r="M150" s="6">
        <v>0</v>
      </c>
      <c r="N150" s="6">
        <v>91078.7</v>
      </c>
      <c r="O150" s="6">
        <v>195882600</v>
      </c>
      <c r="P150" s="6">
        <v>0</v>
      </c>
      <c r="Q150" s="6">
        <v>985725</v>
      </c>
      <c r="R150" s="6">
        <v>4073860.5</v>
      </c>
      <c r="S150" s="6">
        <v>0</v>
      </c>
      <c r="T150" s="6">
        <v>643402.19999999995</v>
      </c>
      <c r="U150" s="6">
        <v>0</v>
      </c>
      <c r="V150" s="6">
        <v>12298512</v>
      </c>
      <c r="W150" s="6">
        <v>38730090</v>
      </c>
      <c r="X150" s="6">
        <v>0</v>
      </c>
      <c r="Y150" s="6">
        <v>11453203</v>
      </c>
      <c r="Z150" s="6">
        <v>13007227</v>
      </c>
      <c r="AA150" s="6">
        <v>1220059.6000000001</v>
      </c>
      <c r="AB150" s="6">
        <v>5309095.5</v>
      </c>
      <c r="AC150" s="6">
        <v>0</v>
      </c>
      <c r="AD150" s="6">
        <f t="shared" si="28"/>
        <v>388276320</v>
      </c>
      <c r="AE150" s="6">
        <f t="shared" si="29"/>
        <v>0</v>
      </c>
      <c r="AF150" s="6">
        <f t="shared" si="30"/>
        <v>643402.19999999995</v>
      </c>
      <c r="AG150" s="6">
        <f t="shared" si="31"/>
        <v>387632917.80000001</v>
      </c>
      <c r="AH150" s="6">
        <f t="shared" si="32"/>
        <v>4558846.5</v>
      </c>
      <c r="AI150" s="6">
        <f t="shared" si="33"/>
        <v>196868325</v>
      </c>
      <c r="AJ150" s="6">
        <f t="shared" si="34"/>
        <v>91078.7</v>
      </c>
      <c r="AK150" s="6">
        <f t="shared" si="35"/>
        <v>100022616</v>
      </c>
      <c r="AL150" s="6">
        <f t="shared" si="36"/>
        <v>86092047.599999994</v>
      </c>
      <c r="AM150" s="3">
        <f t="shared" si="37"/>
        <v>1.1760731069676972E-2</v>
      </c>
      <c r="AN150" s="3">
        <f t="shared" si="38"/>
        <v>0.50787308290874977</v>
      </c>
      <c r="AO150" s="3">
        <f t="shared" si="39"/>
        <v>2.3496121154239084E-4</v>
      </c>
      <c r="AP150" s="3">
        <f t="shared" si="40"/>
        <v>0.25803437068161189</v>
      </c>
      <c r="AQ150" s="3">
        <f t="shared" si="41"/>
        <v>0.22209684380937783</v>
      </c>
    </row>
    <row r="151" spans="1:43" x14ac:dyDescent="0.3">
      <c r="A151" t="s">
        <v>179</v>
      </c>
      <c r="B151" t="s">
        <v>7</v>
      </c>
      <c r="C151" t="s">
        <v>166</v>
      </c>
      <c r="D151" s="6">
        <v>2050</v>
      </c>
      <c r="E151" t="s">
        <v>195</v>
      </c>
      <c r="F151" s="6">
        <v>255.5</v>
      </c>
      <c r="G151" s="7">
        <v>355.3</v>
      </c>
      <c r="H151" s="7">
        <v>673</v>
      </c>
      <c r="I151" s="6">
        <v>394015550</v>
      </c>
      <c r="J151" s="6">
        <v>75490370</v>
      </c>
      <c r="K151" s="6">
        <v>100022616</v>
      </c>
      <c r="L151" s="6">
        <v>4219111.5</v>
      </c>
      <c r="M151" s="6">
        <v>0</v>
      </c>
      <c r="N151" s="6">
        <v>23750.6</v>
      </c>
      <c r="O151" s="6">
        <v>201122060</v>
      </c>
      <c r="P151" s="6">
        <v>0</v>
      </c>
      <c r="Q151" s="6">
        <v>1255755.2</v>
      </c>
      <c r="R151" s="6">
        <v>4074484.5</v>
      </c>
      <c r="S151" s="6">
        <v>0</v>
      </c>
      <c r="T151" s="6">
        <v>642903.4</v>
      </c>
      <c r="U151" s="6">
        <v>0</v>
      </c>
      <c r="V151" s="6">
        <v>12294753</v>
      </c>
      <c r="W151" s="6">
        <v>38563970</v>
      </c>
      <c r="X151" s="6">
        <v>0</v>
      </c>
      <c r="Y151" s="6">
        <v>11576760</v>
      </c>
      <c r="Z151" s="6">
        <v>13054888</v>
      </c>
      <c r="AA151" s="6">
        <v>1095682.6000000001</v>
      </c>
      <c r="AB151" s="6">
        <v>6068819</v>
      </c>
      <c r="AC151" s="6">
        <v>0</v>
      </c>
      <c r="AD151" s="6">
        <f t="shared" si="28"/>
        <v>394015550</v>
      </c>
      <c r="AE151" s="6">
        <f t="shared" si="29"/>
        <v>0</v>
      </c>
      <c r="AF151" s="6">
        <f t="shared" si="30"/>
        <v>642903.4</v>
      </c>
      <c r="AG151" s="6">
        <f t="shared" si="31"/>
        <v>393372646.60000002</v>
      </c>
      <c r="AH151" s="6">
        <f t="shared" si="32"/>
        <v>4219111.5</v>
      </c>
      <c r="AI151" s="6">
        <f t="shared" si="33"/>
        <v>202377815.19999999</v>
      </c>
      <c r="AJ151" s="6">
        <f t="shared" si="34"/>
        <v>23750.6</v>
      </c>
      <c r="AK151" s="6">
        <f t="shared" si="35"/>
        <v>100022616</v>
      </c>
      <c r="AL151" s="6">
        <f t="shared" si="36"/>
        <v>86729357.099999994</v>
      </c>
      <c r="AM151" s="3">
        <f t="shared" si="37"/>
        <v>1.0725482659932358E-2</v>
      </c>
      <c r="AN151" s="3">
        <f t="shared" si="38"/>
        <v>0.51446844855429752</v>
      </c>
      <c r="AO151" s="3">
        <f t="shared" si="39"/>
        <v>6.0376846751499564E-5</v>
      </c>
      <c r="AP151" s="3">
        <f t="shared" si="40"/>
        <v>0.25426937247547804</v>
      </c>
      <c r="AQ151" s="3">
        <f t="shared" si="41"/>
        <v>0.22047632912359186</v>
      </c>
    </row>
    <row r="152" spans="1:43" x14ac:dyDescent="0.3">
      <c r="A152" t="s">
        <v>179</v>
      </c>
      <c r="B152" t="s">
        <v>7</v>
      </c>
      <c r="C152" t="s">
        <v>167</v>
      </c>
      <c r="D152" s="6">
        <v>2022</v>
      </c>
      <c r="E152" t="s">
        <v>195</v>
      </c>
      <c r="F152" s="6">
        <v>603.9</v>
      </c>
      <c r="G152" s="7">
        <v>609</v>
      </c>
      <c r="H152" s="7">
        <v>936</v>
      </c>
      <c r="I152" s="6">
        <v>110915500</v>
      </c>
      <c r="J152" s="6">
        <v>10832329</v>
      </c>
      <c r="K152" s="6">
        <v>20889362</v>
      </c>
      <c r="L152" s="6">
        <v>42983708</v>
      </c>
      <c r="M152" s="6">
        <v>0</v>
      </c>
      <c r="N152" s="6">
        <v>1379526.9</v>
      </c>
      <c r="O152" s="6">
        <v>28463318</v>
      </c>
      <c r="P152" s="6">
        <v>0</v>
      </c>
      <c r="Q152" s="6">
        <v>1081993.8999999999</v>
      </c>
      <c r="R152" s="6">
        <v>953464.4</v>
      </c>
      <c r="S152" s="6">
        <v>0</v>
      </c>
      <c r="T152" s="6">
        <v>1860933.2</v>
      </c>
      <c r="U152" s="6">
        <v>0</v>
      </c>
      <c r="V152" s="6">
        <v>10329084</v>
      </c>
      <c r="W152" s="6">
        <v>0</v>
      </c>
      <c r="X152" s="6">
        <v>0</v>
      </c>
      <c r="Y152" s="6">
        <v>391290.7</v>
      </c>
      <c r="Z152" s="6">
        <v>111955</v>
      </c>
      <c r="AA152" s="6">
        <v>1281348.6000000001</v>
      </c>
      <c r="AB152" s="6">
        <v>0</v>
      </c>
      <c r="AC152" s="6">
        <v>1189522.8</v>
      </c>
      <c r="AD152" s="6">
        <f t="shared" si="28"/>
        <v>110915500</v>
      </c>
      <c r="AE152" s="6">
        <f t="shared" si="29"/>
        <v>1189522.8</v>
      </c>
      <c r="AF152" s="6">
        <f t="shared" si="30"/>
        <v>1860933.2</v>
      </c>
      <c r="AG152" s="6">
        <f t="shared" si="31"/>
        <v>107865044</v>
      </c>
      <c r="AH152" s="6">
        <f t="shared" si="32"/>
        <v>42983708</v>
      </c>
      <c r="AI152" s="6">
        <f t="shared" si="33"/>
        <v>29545311.899999999</v>
      </c>
      <c r="AJ152" s="6">
        <f t="shared" si="34"/>
        <v>1379526.9</v>
      </c>
      <c r="AK152" s="6">
        <f t="shared" si="35"/>
        <v>20889362</v>
      </c>
      <c r="AL152" s="6">
        <f t="shared" si="36"/>
        <v>13067142.699999999</v>
      </c>
      <c r="AM152" s="3">
        <f t="shared" si="37"/>
        <v>0.39849525301264421</v>
      </c>
      <c r="AN152" s="3">
        <f t="shared" si="38"/>
        <v>0.2739099786581462</v>
      </c>
      <c r="AO152" s="3">
        <f t="shared" si="39"/>
        <v>1.2789378735153531E-2</v>
      </c>
      <c r="AP152" s="3">
        <f t="shared" si="40"/>
        <v>0.19366201714060396</v>
      </c>
      <c r="AQ152" s="3">
        <f t="shared" si="41"/>
        <v>0.12114344198478239</v>
      </c>
    </row>
    <row r="153" spans="1:43" x14ac:dyDescent="0.3">
      <c r="A153" t="s">
        <v>179</v>
      </c>
      <c r="B153" t="s">
        <v>7</v>
      </c>
      <c r="C153" t="s">
        <v>167</v>
      </c>
      <c r="D153" s="6">
        <v>2024</v>
      </c>
      <c r="E153" t="s">
        <v>195</v>
      </c>
      <c r="F153" s="6">
        <v>566.79999999999995</v>
      </c>
      <c r="G153" s="7">
        <v>560.4</v>
      </c>
      <c r="H153" s="7">
        <v>984.4</v>
      </c>
      <c r="I153" s="6">
        <v>114928340</v>
      </c>
      <c r="J153" s="6">
        <v>10827577</v>
      </c>
      <c r="K153" s="6">
        <v>20889362</v>
      </c>
      <c r="L153" s="6">
        <v>36556276</v>
      </c>
      <c r="M153" s="6">
        <v>0</v>
      </c>
      <c r="N153" s="6">
        <v>2385505.2000000002</v>
      </c>
      <c r="O153" s="6">
        <v>36748364</v>
      </c>
      <c r="P153" s="6">
        <v>0</v>
      </c>
      <c r="Q153" s="6">
        <v>1678313.6</v>
      </c>
      <c r="R153" s="6">
        <v>953425.1</v>
      </c>
      <c r="S153" s="6">
        <v>0</v>
      </c>
      <c r="T153" s="6">
        <v>1860933.2</v>
      </c>
      <c r="U153" s="6">
        <v>0</v>
      </c>
      <c r="V153" s="6">
        <v>10273381</v>
      </c>
      <c r="W153" s="6">
        <v>0</v>
      </c>
      <c r="X153" s="6">
        <v>0</v>
      </c>
      <c r="Y153" s="6">
        <v>385831.8</v>
      </c>
      <c r="Z153" s="6">
        <v>168363.8</v>
      </c>
      <c r="AA153" s="6">
        <v>1348287.8</v>
      </c>
      <c r="AB153" s="6">
        <v>0</v>
      </c>
      <c r="AC153" s="6">
        <v>1680284.2</v>
      </c>
      <c r="AD153" s="6">
        <f t="shared" si="28"/>
        <v>114928340</v>
      </c>
      <c r="AE153" s="6">
        <f t="shared" si="29"/>
        <v>1680284.2</v>
      </c>
      <c r="AF153" s="6">
        <f t="shared" si="30"/>
        <v>1860933.2</v>
      </c>
      <c r="AG153" s="6">
        <f t="shared" si="31"/>
        <v>111387122.59999999</v>
      </c>
      <c r="AH153" s="6">
        <f t="shared" si="32"/>
        <v>36556276</v>
      </c>
      <c r="AI153" s="6">
        <f t="shared" si="33"/>
        <v>38426677.600000001</v>
      </c>
      <c r="AJ153" s="6">
        <f t="shared" si="34"/>
        <v>2385505.2000000002</v>
      </c>
      <c r="AK153" s="6">
        <f t="shared" si="35"/>
        <v>20889362</v>
      </c>
      <c r="AL153" s="6">
        <f t="shared" si="36"/>
        <v>13129289.500000002</v>
      </c>
      <c r="AM153" s="3">
        <f t="shared" si="37"/>
        <v>0.32819122306692933</v>
      </c>
      <c r="AN153" s="3">
        <f t="shared" si="38"/>
        <v>0.3449831246471215</v>
      </c>
      <c r="AO153" s="3">
        <f t="shared" si="39"/>
        <v>2.1416346381139036E-2</v>
      </c>
      <c r="AP153" s="3">
        <f t="shared" si="40"/>
        <v>0.18753839323972268</v>
      </c>
      <c r="AQ153" s="3">
        <f t="shared" si="41"/>
        <v>0.11787080223939642</v>
      </c>
    </row>
    <row r="154" spans="1:43" x14ac:dyDescent="0.3">
      <c r="A154" t="s">
        <v>179</v>
      </c>
      <c r="B154" t="s">
        <v>7</v>
      </c>
      <c r="C154" t="s">
        <v>167</v>
      </c>
      <c r="D154" s="6">
        <v>2026</v>
      </c>
      <c r="E154" t="s">
        <v>195</v>
      </c>
      <c r="F154" s="6">
        <v>561.70000000000005</v>
      </c>
      <c r="G154" s="7">
        <v>456.2</v>
      </c>
      <c r="H154" s="7">
        <v>975.9</v>
      </c>
      <c r="I154" s="6">
        <v>119276530</v>
      </c>
      <c r="J154" s="6">
        <v>10889466</v>
      </c>
      <c r="K154" s="6">
        <v>20889362</v>
      </c>
      <c r="L154" s="6">
        <v>35754056</v>
      </c>
      <c r="M154" s="6">
        <v>0</v>
      </c>
      <c r="N154" s="6">
        <v>2523156.7999999998</v>
      </c>
      <c r="O154" s="6">
        <v>42856384</v>
      </c>
      <c r="P154" s="6">
        <v>0</v>
      </c>
      <c r="Q154" s="6">
        <v>1689661.2</v>
      </c>
      <c r="R154" s="6">
        <v>953447.1</v>
      </c>
      <c r="S154" s="6">
        <v>0</v>
      </c>
      <c r="T154" s="6">
        <v>1860933.2</v>
      </c>
      <c r="U154" s="6">
        <v>0</v>
      </c>
      <c r="V154" s="6">
        <v>10217980</v>
      </c>
      <c r="W154" s="6">
        <v>0</v>
      </c>
      <c r="X154" s="6">
        <v>0</v>
      </c>
      <c r="Y154" s="6">
        <v>380449</v>
      </c>
      <c r="Z154" s="6">
        <v>291037.5</v>
      </c>
      <c r="AA154" s="6">
        <v>1261656</v>
      </c>
      <c r="AB154" s="6">
        <v>12137</v>
      </c>
      <c r="AC154" s="6">
        <v>586277.4</v>
      </c>
      <c r="AD154" s="6">
        <f t="shared" si="28"/>
        <v>119276530</v>
      </c>
      <c r="AE154" s="6">
        <f t="shared" si="29"/>
        <v>586277.4</v>
      </c>
      <c r="AF154" s="6">
        <f t="shared" si="30"/>
        <v>1860933.2</v>
      </c>
      <c r="AG154" s="6">
        <f t="shared" si="31"/>
        <v>116829319.39999999</v>
      </c>
      <c r="AH154" s="6">
        <f t="shared" si="32"/>
        <v>35754056</v>
      </c>
      <c r="AI154" s="6">
        <f t="shared" si="33"/>
        <v>44546045.200000003</v>
      </c>
      <c r="AJ154" s="6">
        <f t="shared" si="34"/>
        <v>2523156.7999999998</v>
      </c>
      <c r="AK154" s="6">
        <f t="shared" si="35"/>
        <v>20889362</v>
      </c>
      <c r="AL154" s="6">
        <f t="shared" si="36"/>
        <v>13116706.6</v>
      </c>
      <c r="AM154" s="3">
        <f t="shared" si="37"/>
        <v>0.30603667113377025</v>
      </c>
      <c r="AN154" s="3">
        <f t="shared" si="38"/>
        <v>0.38129166059320557</v>
      </c>
      <c r="AO154" s="3">
        <f t="shared" si="39"/>
        <v>2.1596948548174115E-2</v>
      </c>
      <c r="AP154" s="3">
        <f t="shared" si="40"/>
        <v>0.17880239401617196</v>
      </c>
      <c r="AQ154" s="3">
        <f t="shared" si="41"/>
        <v>0.11227238733704376</v>
      </c>
    </row>
    <row r="155" spans="1:43" x14ac:dyDescent="0.3">
      <c r="A155" t="s">
        <v>179</v>
      </c>
      <c r="B155" t="s">
        <v>7</v>
      </c>
      <c r="C155" t="s">
        <v>167</v>
      </c>
      <c r="D155" s="6">
        <v>2028</v>
      </c>
      <c r="E155" t="s">
        <v>195</v>
      </c>
      <c r="F155" s="6">
        <v>552.1</v>
      </c>
      <c r="G155" s="7">
        <v>402.2</v>
      </c>
      <c r="H155" s="7">
        <v>941.5</v>
      </c>
      <c r="I155" s="6">
        <v>120137150</v>
      </c>
      <c r="J155" s="6">
        <v>11083214</v>
      </c>
      <c r="K155" s="6">
        <v>20889362</v>
      </c>
      <c r="L155" s="6">
        <v>36527040</v>
      </c>
      <c r="M155" s="6">
        <v>0</v>
      </c>
      <c r="N155" s="6">
        <v>2052051.2</v>
      </c>
      <c r="O155" s="6">
        <v>40817116</v>
      </c>
      <c r="P155" s="6">
        <v>0</v>
      </c>
      <c r="Q155" s="6">
        <v>1454062.6</v>
      </c>
      <c r="R155" s="6">
        <v>953399</v>
      </c>
      <c r="S155" s="6">
        <v>0</v>
      </c>
      <c r="T155" s="6">
        <v>1860933.2</v>
      </c>
      <c r="U155" s="6">
        <v>0</v>
      </c>
      <c r="V155" s="6">
        <v>10162879</v>
      </c>
      <c r="W155" s="6">
        <v>0</v>
      </c>
      <c r="X155" s="6">
        <v>0</v>
      </c>
      <c r="Y155" s="6">
        <v>375141.4</v>
      </c>
      <c r="Z155" s="6">
        <v>545193.19999999995</v>
      </c>
      <c r="AA155" s="6">
        <v>1266555.1000000001</v>
      </c>
      <c r="AB155" s="6">
        <v>13862.6</v>
      </c>
      <c r="AC155" s="6">
        <v>3219556.2</v>
      </c>
      <c r="AD155" s="6">
        <f t="shared" si="28"/>
        <v>120137150</v>
      </c>
      <c r="AE155" s="6">
        <f t="shared" si="29"/>
        <v>3219556.2</v>
      </c>
      <c r="AF155" s="6">
        <f t="shared" si="30"/>
        <v>1860933.2</v>
      </c>
      <c r="AG155" s="6">
        <f t="shared" si="31"/>
        <v>115056660.59999999</v>
      </c>
      <c r="AH155" s="6">
        <f t="shared" si="32"/>
        <v>36527040</v>
      </c>
      <c r="AI155" s="6">
        <f t="shared" si="33"/>
        <v>42271178.600000001</v>
      </c>
      <c r="AJ155" s="6">
        <f t="shared" si="34"/>
        <v>2052051.2</v>
      </c>
      <c r="AK155" s="6">
        <f t="shared" si="35"/>
        <v>20889362</v>
      </c>
      <c r="AL155" s="6">
        <f t="shared" si="36"/>
        <v>13317030.299999999</v>
      </c>
      <c r="AM155" s="3">
        <f t="shared" si="37"/>
        <v>0.31747001702915756</v>
      </c>
      <c r="AN155" s="3">
        <f t="shared" si="38"/>
        <v>0.36739445052171105</v>
      </c>
      <c r="AO155" s="3">
        <f t="shared" si="39"/>
        <v>1.7835136091199921E-2</v>
      </c>
      <c r="AP155" s="3">
        <f t="shared" si="40"/>
        <v>0.18155717271008648</v>
      </c>
      <c r="AQ155" s="3">
        <f t="shared" si="41"/>
        <v>0.11574323668489993</v>
      </c>
    </row>
    <row r="156" spans="1:43" x14ac:dyDescent="0.3">
      <c r="A156" t="s">
        <v>179</v>
      </c>
      <c r="B156" t="s">
        <v>7</v>
      </c>
      <c r="C156" t="s">
        <v>167</v>
      </c>
      <c r="D156" s="6">
        <v>2030</v>
      </c>
      <c r="E156" t="s">
        <v>195</v>
      </c>
      <c r="F156" s="6">
        <v>476.2</v>
      </c>
      <c r="G156" s="7">
        <v>393.1</v>
      </c>
      <c r="H156" s="7">
        <v>908.3</v>
      </c>
      <c r="I156" s="6">
        <v>119395520</v>
      </c>
      <c r="J156" s="6">
        <v>18889516</v>
      </c>
      <c r="K156" s="6">
        <v>20889362</v>
      </c>
      <c r="L156" s="6">
        <v>30051012</v>
      </c>
      <c r="M156" s="6">
        <v>0</v>
      </c>
      <c r="N156" s="6">
        <v>1772910.4</v>
      </c>
      <c r="O156" s="6">
        <v>39206188</v>
      </c>
      <c r="P156" s="6">
        <v>0</v>
      </c>
      <c r="Q156" s="6">
        <v>1206358.5</v>
      </c>
      <c r="R156" s="6">
        <v>951809.6</v>
      </c>
      <c r="S156" s="6">
        <v>0</v>
      </c>
      <c r="T156" s="6">
        <v>1860338.2</v>
      </c>
      <c r="U156" s="6">
        <v>0</v>
      </c>
      <c r="V156" s="6">
        <v>10108071</v>
      </c>
      <c r="W156" s="6">
        <v>0</v>
      </c>
      <c r="X156" s="6">
        <v>0</v>
      </c>
      <c r="Y156" s="6">
        <v>7706021</v>
      </c>
      <c r="Z156" s="6">
        <v>1075423.8</v>
      </c>
      <c r="AA156" s="6">
        <v>1365756.5</v>
      </c>
      <c r="AB156" s="6">
        <v>56568.4</v>
      </c>
      <c r="AC156" s="6">
        <v>3145704.8</v>
      </c>
      <c r="AD156" s="6">
        <f t="shared" si="28"/>
        <v>119395520</v>
      </c>
      <c r="AE156" s="6">
        <f t="shared" si="29"/>
        <v>3145704.8</v>
      </c>
      <c r="AF156" s="6">
        <f t="shared" si="30"/>
        <v>1860338.2</v>
      </c>
      <c r="AG156" s="6">
        <f t="shared" si="31"/>
        <v>114389477</v>
      </c>
      <c r="AH156" s="6">
        <f t="shared" si="32"/>
        <v>30051012</v>
      </c>
      <c r="AI156" s="6">
        <f t="shared" si="33"/>
        <v>40412546.5</v>
      </c>
      <c r="AJ156" s="6">
        <f t="shared" si="34"/>
        <v>1772910.4</v>
      </c>
      <c r="AK156" s="6">
        <f t="shared" si="35"/>
        <v>20889362</v>
      </c>
      <c r="AL156" s="6">
        <f t="shared" si="36"/>
        <v>21263650.300000001</v>
      </c>
      <c r="AM156" s="3">
        <f t="shared" si="37"/>
        <v>0.26270783631609751</v>
      </c>
      <c r="AN156" s="3">
        <f t="shared" si="38"/>
        <v>0.35328902238096604</v>
      </c>
      <c r="AO156" s="3">
        <f t="shared" si="39"/>
        <v>1.5498894185869911E-2</v>
      </c>
      <c r="AP156" s="3">
        <f t="shared" si="40"/>
        <v>0.18261611599115887</v>
      </c>
      <c r="AQ156" s="3">
        <f t="shared" si="41"/>
        <v>0.18588816784257176</v>
      </c>
    </row>
    <row r="157" spans="1:43" x14ac:dyDescent="0.3">
      <c r="A157" t="s">
        <v>179</v>
      </c>
      <c r="B157" t="s">
        <v>7</v>
      </c>
      <c r="C157" t="s">
        <v>167</v>
      </c>
      <c r="D157" s="6">
        <v>2032</v>
      </c>
      <c r="E157" t="s">
        <v>195</v>
      </c>
      <c r="F157" s="6">
        <v>465.5</v>
      </c>
      <c r="G157" s="7">
        <v>392</v>
      </c>
      <c r="H157" s="7">
        <v>901.1</v>
      </c>
      <c r="I157" s="6">
        <v>122860264</v>
      </c>
      <c r="J157" s="6">
        <v>19348288</v>
      </c>
      <c r="K157" s="6">
        <v>20889362</v>
      </c>
      <c r="L157" s="6">
        <v>29422928</v>
      </c>
      <c r="M157" s="6">
        <v>0</v>
      </c>
      <c r="N157" s="6">
        <v>1411942.9</v>
      </c>
      <c r="O157" s="6">
        <v>43486844</v>
      </c>
      <c r="P157" s="6">
        <v>0</v>
      </c>
      <c r="Q157" s="6">
        <v>772998.8</v>
      </c>
      <c r="R157" s="6">
        <v>952016.6</v>
      </c>
      <c r="S157" s="6">
        <v>0</v>
      </c>
      <c r="T157" s="6">
        <v>1860338.2</v>
      </c>
      <c r="U157" s="6">
        <v>0</v>
      </c>
      <c r="V157" s="6">
        <v>10049431</v>
      </c>
      <c r="W157" s="6">
        <v>0</v>
      </c>
      <c r="X157" s="6">
        <v>0</v>
      </c>
      <c r="Y157" s="6">
        <v>7598511</v>
      </c>
      <c r="Z157" s="6">
        <v>1700345</v>
      </c>
      <c r="AA157" s="6">
        <v>1423143.1</v>
      </c>
      <c r="AB157" s="6">
        <v>145327</v>
      </c>
      <c r="AC157" s="6">
        <v>3147073.2</v>
      </c>
      <c r="AD157" s="6">
        <f t="shared" si="28"/>
        <v>122860264</v>
      </c>
      <c r="AE157" s="6">
        <f t="shared" si="29"/>
        <v>3147073.2</v>
      </c>
      <c r="AF157" s="6">
        <f t="shared" si="30"/>
        <v>1860338.2</v>
      </c>
      <c r="AG157" s="6">
        <f t="shared" si="31"/>
        <v>117852852.59999999</v>
      </c>
      <c r="AH157" s="6">
        <f t="shared" si="32"/>
        <v>29422928</v>
      </c>
      <c r="AI157" s="6">
        <f t="shared" si="33"/>
        <v>44259842.799999997</v>
      </c>
      <c r="AJ157" s="6">
        <f t="shared" si="34"/>
        <v>1411942.9</v>
      </c>
      <c r="AK157" s="6">
        <f t="shared" si="35"/>
        <v>20889362</v>
      </c>
      <c r="AL157" s="6">
        <f t="shared" si="36"/>
        <v>21868773.700000003</v>
      </c>
      <c r="AM157" s="3">
        <f t="shared" si="37"/>
        <v>0.24965817416285435</v>
      </c>
      <c r="AN157" s="3">
        <f t="shared" si="38"/>
        <v>0.37555173102360695</v>
      </c>
      <c r="AO157" s="3">
        <f t="shared" si="39"/>
        <v>1.1980557694197043E-2</v>
      </c>
      <c r="AP157" s="3">
        <f t="shared" si="40"/>
        <v>0.17724952378454351</v>
      </c>
      <c r="AQ157" s="3">
        <f t="shared" si="41"/>
        <v>0.18555998618229461</v>
      </c>
    </row>
    <row r="158" spans="1:43" x14ac:dyDescent="0.3">
      <c r="A158" t="s">
        <v>179</v>
      </c>
      <c r="B158" t="s">
        <v>7</v>
      </c>
      <c r="C158" t="s">
        <v>167</v>
      </c>
      <c r="D158" s="6">
        <v>2034</v>
      </c>
      <c r="E158" t="s">
        <v>195</v>
      </c>
      <c r="F158" s="6">
        <v>456.4</v>
      </c>
      <c r="G158" s="7">
        <v>437.1</v>
      </c>
      <c r="H158" s="7">
        <v>881.5</v>
      </c>
      <c r="I158" s="6">
        <v>123768620</v>
      </c>
      <c r="J158" s="6">
        <v>19817496</v>
      </c>
      <c r="K158" s="6">
        <v>20889362</v>
      </c>
      <c r="L158" s="6">
        <v>29082698</v>
      </c>
      <c r="M158" s="6">
        <v>0</v>
      </c>
      <c r="N158" s="6">
        <v>1287904.8999999999</v>
      </c>
      <c r="O158" s="6">
        <v>43646132</v>
      </c>
      <c r="P158" s="6">
        <v>0</v>
      </c>
      <c r="Q158" s="6">
        <v>721200</v>
      </c>
      <c r="R158" s="6">
        <v>952097.1</v>
      </c>
      <c r="S158" s="6">
        <v>0</v>
      </c>
      <c r="T158" s="6">
        <v>1860338.2</v>
      </c>
      <c r="U158" s="6">
        <v>0</v>
      </c>
      <c r="V158" s="6">
        <v>9995525</v>
      </c>
      <c r="W158" s="6">
        <v>0</v>
      </c>
      <c r="X158" s="6">
        <v>0</v>
      </c>
      <c r="Y158" s="6">
        <v>7492507</v>
      </c>
      <c r="Z158" s="6">
        <v>2329463.2000000002</v>
      </c>
      <c r="AA158" s="6">
        <v>1392391.5</v>
      </c>
      <c r="AB158" s="6">
        <v>145042.79999999999</v>
      </c>
      <c r="AC158" s="6">
        <v>3973963.5</v>
      </c>
      <c r="AD158" s="6">
        <f t="shared" si="28"/>
        <v>123768620</v>
      </c>
      <c r="AE158" s="6">
        <f t="shared" si="29"/>
        <v>3973963.5</v>
      </c>
      <c r="AF158" s="6">
        <f t="shared" si="30"/>
        <v>1860338.2</v>
      </c>
      <c r="AG158" s="6">
        <f t="shared" si="31"/>
        <v>117934318.3</v>
      </c>
      <c r="AH158" s="6">
        <f t="shared" si="32"/>
        <v>29082698</v>
      </c>
      <c r="AI158" s="6">
        <f t="shared" si="33"/>
        <v>44367332</v>
      </c>
      <c r="AJ158" s="6">
        <f t="shared" si="34"/>
        <v>1287904.8999999999</v>
      </c>
      <c r="AK158" s="6">
        <f t="shared" si="35"/>
        <v>20889362</v>
      </c>
      <c r="AL158" s="6">
        <f t="shared" si="36"/>
        <v>22307026.600000001</v>
      </c>
      <c r="AM158" s="3">
        <f t="shared" si="37"/>
        <v>0.24660080644227542</v>
      </c>
      <c r="AN158" s="3">
        <f t="shared" si="38"/>
        <v>0.37620374323221911</v>
      </c>
      <c r="AO158" s="3">
        <f t="shared" si="39"/>
        <v>1.0920526938764693E-2</v>
      </c>
      <c r="AP158" s="3">
        <f t="shared" si="40"/>
        <v>0.17712708481395445</v>
      </c>
      <c r="AQ158" s="3">
        <f t="shared" si="41"/>
        <v>0.18914788266512583</v>
      </c>
    </row>
    <row r="159" spans="1:43" x14ac:dyDescent="0.3">
      <c r="A159" t="s">
        <v>179</v>
      </c>
      <c r="B159" t="s">
        <v>7</v>
      </c>
      <c r="C159" t="s">
        <v>167</v>
      </c>
      <c r="D159" s="6">
        <v>2036</v>
      </c>
      <c r="E159" t="s">
        <v>195</v>
      </c>
      <c r="F159" s="6">
        <v>452.4</v>
      </c>
      <c r="G159" s="7">
        <v>443.1</v>
      </c>
      <c r="H159" s="7">
        <v>871.6</v>
      </c>
      <c r="I159" s="6">
        <v>125175530</v>
      </c>
      <c r="J159" s="6">
        <v>20218522</v>
      </c>
      <c r="K159" s="6">
        <v>20889362</v>
      </c>
      <c r="L159" s="6">
        <v>28294774</v>
      </c>
      <c r="M159" s="6">
        <v>0</v>
      </c>
      <c r="N159" s="6">
        <v>1246432.3999999999</v>
      </c>
      <c r="O159" s="6">
        <v>45999476</v>
      </c>
      <c r="P159" s="6">
        <v>0</v>
      </c>
      <c r="Q159" s="6">
        <v>686015.4</v>
      </c>
      <c r="R159" s="6">
        <v>952018.5</v>
      </c>
      <c r="S159" s="6">
        <v>0</v>
      </c>
      <c r="T159" s="6">
        <v>1860338.2</v>
      </c>
      <c r="U159" s="6">
        <v>0</v>
      </c>
      <c r="V159" s="6">
        <v>9943034</v>
      </c>
      <c r="W159" s="6">
        <v>0</v>
      </c>
      <c r="X159" s="6">
        <v>0</v>
      </c>
      <c r="Y159" s="6">
        <v>7387980</v>
      </c>
      <c r="Z159" s="6">
        <v>2887508.2</v>
      </c>
      <c r="AA159" s="6">
        <v>1343224.5</v>
      </c>
      <c r="AB159" s="6">
        <v>141871.5</v>
      </c>
      <c r="AC159" s="6">
        <v>3543492</v>
      </c>
      <c r="AD159" s="6">
        <f t="shared" si="28"/>
        <v>125175530</v>
      </c>
      <c r="AE159" s="6">
        <f t="shared" si="29"/>
        <v>3543492</v>
      </c>
      <c r="AF159" s="6">
        <f t="shared" si="30"/>
        <v>1860338.2</v>
      </c>
      <c r="AG159" s="6">
        <f t="shared" si="31"/>
        <v>119771699.8</v>
      </c>
      <c r="AH159" s="6">
        <f t="shared" si="32"/>
        <v>28294774</v>
      </c>
      <c r="AI159" s="6">
        <f t="shared" si="33"/>
        <v>46685491.399999999</v>
      </c>
      <c r="AJ159" s="6">
        <f t="shared" si="34"/>
        <v>1246432.3999999999</v>
      </c>
      <c r="AK159" s="6">
        <f t="shared" si="35"/>
        <v>20889362</v>
      </c>
      <c r="AL159" s="6">
        <f t="shared" si="36"/>
        <v>22655636.699999999</v>
      </c>
      <c r="AM159" s="3">
        <f t="shared" si="37"/>
        <v>0.23623922885997148</v>
      </c>
      <c r="AN159" s="3">
        <f t="shared" si="38"/>
        <v>0.38978733271680593</v>
      </c>
      <c r="AO159" s="3">
        <f t="shared" si="39"/>
        <v>1.0406735498296734E-2</v>
      </c>
      <c r="AP159" s="3">
        <f t="shared" si="40"/>
        <v>0.17440983166208684</v>
      </c>
      <c r="AQ159" s="3">
        <f t="shared" si="41"/>
        <v>0.18915684371042049</v>
      </c>
    </row>
    <row r="160" spans="1:43" x14ac:dyDescent="0.3">
      <c r="A160" t="s">
        <v>179</v>
      </c>
      <c r="B160" t="s">
        <v>7</v>
      </c>
      <c r="C160" t="s">
        <v>167</v>
      </c>
      <c r="D160" s="6">
        <v>2038</v>
      </c>
      <c r="E160" t="s">
        <v>195</v>
      </c>
      <c r="F160" s="6">
        <v>434.5</v>
      </c>
      <c r="G160" s="7">
        <v>445.1</v>
      </c>
      <c r="H160" s="7">
        <v>850.8</v>
      </c>
      <c r="I160" s="6">
        <v>125543210</v>
      </c>
      <c r="J160" s="6">
        <v>20525330</v>
      </c>
      <c r="K160" s="6">
        <v>20889362</v>
      </c>
      <c r="L160" s="6">
        <v>24955684</v>
      </c>
      <c r="M160" s="6">
        <v>0</v>
      </c>
      <c r="N160" s="6">
        <v>1259744.5</v>
      </c>
      <c r="O160" s="6">
        <v>49834508</v>
      </c>
      <c r="P160" s="6">
        <v>0</v>
      </c>
      <c r="Q160" s="6">
        <v>685049.8</v>
      </c>
      <c r="R160" s="6">
        <v>952051.4</v>
      </c>
      <c r="S160" s="6">
        <v>0</v>
      </c>
      <c r="T160" s="6">
        <v>1432353.2</v>
      </c>
      <c r="U160" s="6">
        <v>0</v>
      </c>
      <c r="V160" s="6">
        <v>9890406</v>
      </c>
      <c r="W160" s="6">
        <v>0</v>
      </c>
      <c r="X160" s="6">
        <v>0</v>
      </c>
      <c r="Y160" s="6">
        <v>7284909.5</v>
      </c>
      <c r="Z160" s="6">
        <v>3350014.5</v>
      </c>
      <c r="AA160" s="6">
        <v>1321802.8</v>
      </c>
      <c r="AB160" s="6">
        <v>138140.6</v>
      </c>
      <c r="AC160" s="6">
        <v>3549183.2</v>
      </c>
      <c r="AD160" s="6">
        <f t="shared" si="28"/>
        <v>125543210</v>
      </c>
      <c r="AE160" s="6">
        <f t="shared" si="29"/>
        <v>3549183.2</v>
      </c>
      <c r="AF160" s="6">
        <f t="shared" si="30"/>
        <v>1432353.2</v>
      </c>
      <c r="AG160" s="6">
        <f t="shared" si="31"/>
        <v>120561673.59999999</v>
      </c>
      <c r="AH160" s="6">
        <f t="shared" si="32"/>
        <v>24955684</v>
      </c>
      <c r="AI160" s="6">
        <f t="shared" si="33"/>
        <v>50519557.799999997</v>
      </c>
      <c r="AJ160" s="6">
        <f t="shared" si="34"/>
        <v>1259744.5</v>
      </c>
      <c r="AK160" s="6">
        <f t="shared" si="35"/>
        <v>20889362</v>
      </c>
      <c r="AL160" s="6">
        <f t="shared" si="36"/>
        <v>22937324.800000001</v>
      </c>
      <c r="AM160" s="3">
        <f t="shared" si="37"/>
        <v>0.20699516898544448</v>
      </c>
      <c r="AN160" s="3">
        <f t="shared" si="38"/>
        <v>0.41903497431210179</v>
      </c>
      <c r="AO160" s="3">
        <f t="shared" si="39"/>
        <v>1.0448963276501829E-2</v>
      </c>
      <c r="AP160" s="3">
        <f t="shared" si="40"/>
        <v>0.17326702073916797</v>
      </c>
      <c r="AQ160" s="3">
        <f t="shared" si="41"/>
        <v>0.19025386853952897</v>
      </c>
    </row>
    <row r="161" spans="1:43" x14ac:dyDescent="0.3">
      <c r="A161" t="s">
        <v>179</v>
      </c>
      <c r="B161" t="s">
        <v>7</v>
      </c>
      <c r="C161" t="s">
        <v>167</v>
      </c>
      <c r="D161" s="6">
        <v>2040</v>
      </c>
      <c r="E161" t="s">
        <v>195</v>
      </c>
      <c r="F161" s="6">
        <v>427.5</v>
      </c>
      <c r="G161" s="7">
        <v>401</v>
      </c>
      <c r="H161" s="7">
        <v>837.5</v>
      </c>
      <c r="I161" s="6">
        <v>126313384</v>
      </c>
      <c r="J161" s="6">
        <v>21277592</v>
      </c>
      <c r="K161" s="6">
        <v>20889362</v>
      </c>
      <c r="L161" s="6">
        <v>24425418</v>
      </c>
      <c r="M161" s="6">
        <v>0</v>
      </c>
      <c r="N161" s="6">
        <v>1204809.6000000001</v>
      </c>
      <c r="O161" s="6">
        <v>50618740</v>
      </c>
      <c r="P161" s="6">
        <v>0</v>
      </c>
      <c r="Q161" s="6">
        <v>676668.4</v>
      </c>
      <c r="R161" s="6">
        <v>951994.5</v>
      </c>
      <c r="S161" s="6">
        <v>0</v>
      </c>
      <c r="T161" s="6">
        <v>1432295.5</v>
      </c>
      <c r="U161" s="6">
        <v>0</v>
      </c>
      <c r="V161" s="6">
        <v>10389190</v>
      </c>
      <c r="W161" s="6">
        <v>0</v>
      </c>
      <c r="X161" s="6">
        <v>0</v>
      </c>
      <c r="Y161" s="6">
        <v>7183275</v>
      </c>
      <c r="Z161" s="6">
        <v>3705125.5</v>
      </c>
      <c r="AA161" s="6">
        <v>1305648.2</v>
      </c>
      <c r="AB161" s="6">
        <v>344638.7</v>
      </c>
      <c r="AC161" s="6">
        <v>3186217.8</v>
      </c>
      <c r="AD161" s="6">
        <f t="shared" si="28"/>
        <v>126313384</v>
      </c>
      <c r="AE161" s="6">
        <f t="shared" si="29"/>
        <v>3186217.8</v>
      </c>
      <c r="AF161" s="6">
        <f t="shared" si="30"/>
        <v>1432295.5</v>
      </c>
      <c r="AG161" s="6">
        <f t="shared" si="31"/>
        <v>121694870.7</v>
      </c>
      <c r="AH161" s="6">
        <f t="shared" si="32"/>
        <v>24425418</v>
      </c>
      <c r="AI161" s="6">
        <f t="shared" si="33"/>
        <v>51295408.399999999</v>
      </c>
      <c r="AJ161" s="6">
        <f t="shared" si="34"/>
        <v>1204809.6000000001</v>
      </c>
      <c r="AK161" s="6">
        <f t="shared" si="35"/>
        <v>20889362</v>
      </c>
      <c r="AL161" s="6">
        <f t="shared" si="36"/>
        <v>23879871.899999999</v>
      </c>
      <c r="AM161" s="3">
        <f t="shared" si="37"/>
        <v>0.20071033281438047</v>
      </c>
      <c r="AN161" s="3">
        <f t="shared" si="38"/>
        <v>0.4215083849051659</v>
      </c>
      <c r="AO161" s="3">
        <f t="shared" si="39"/>
        <v>9.9002496413351307E-3</v>
      </c>
      <c r="AP161" s="3">
        <f t="shared" si="40"/>
        <v>0.17165359459969418</v>
      </c>
      <c r="AQ161" s="3">
        <f t="shared" si="41"/>
        <v>0.1962274314656057</v>
      </c>
    </row>
    <row r="162" spans="1:43" x14ac:dyDescent="0.3">
      <c r="A162" t="s">
        <v>179</v>
      </c>
      <c r="B162" t="s">
        <v>7</v>
      </c>
      <c r="C162" t="s">
        <v>167</v>
      </c>
      <c r="D162" s="6">
        <v>2042</v>
      </c>
      <c r="E162" t="s">
        <v>195</v>
      </c>
      <c r="F162" s="6">
        <v>409.5</v>
      </c>
      <c r="G162" s="7">
        <v>354</v>
      </c>
      <c r="H162" s="7">
        <v>825.2</v>
      </c>
      <c r="I162" s="6">
        <v>128124210</v>
      </c>
      <c r="J162" s="6">
        <v>22837018</v>
      </c>
      <c r="K162" s="6">
        <v>20889362</v>
      </c>
      <c r="L162" s="6">
        <v>22457510</v>
      </c>
      <c r="M162" s="6">
        <v>0</v>
      </c>
      <c r="N162" s="6">
        <v>1099621.2</v>
      </c>
      <c r="O162" s="6">
        <v>52893930</v>
      </c>
      <c r="P162" s="6">
        <v>0</v>
      </c>
      <c r="Q162" s="6">
        <v>608780</v>
      </c>
      <c r="R162" s="6">
        <v>951891.3</v>
      </c>
      <c r="S162" s="6">
        <v>0</v>
      </c>
      <c r="T162" s="6">
        <v>1101173.5</v>
      </c>
      <c r="U162" s="6">
        <v>0</v>
      </c>
      <c r="V162" s="6">
        <v>11756325</v>
      </c>
      <c r="W162" s="6">
        <v>0</v>
      </c>
      <c r="X162" s="6">
        <v>0</v>
      </c>
      <c r="Y162" s="6">
        <v>7083065.5</v>
      </c>
      <c r="Z162" s="6">
        <v>3997627.2</v>
      </c>
      <c r="AA162" s="6">
        <v>1146623</v>
      </c>
      <c r="AB162" s="6">
        <v>946762.4</v>
      </c>
      <c r="AC162" s="6">
        <v>3191542.8</v>
      </c>
      <c r="AD162" s="6">
        <f t="shared" si="28"/>
        <v>128124210</v>
      </c>
      <c r="AE162" s="6">
        <f t="shared" si="29"/>
        <v>3191542.8</v>
      </c>
      <c r="AF162" s="6">
        <f t="shared" si="30"/>
        <v>1101173.5</v>
      </c>
      <c r="AG162" s="6">
        <f t="shared" si="31"/>
        <v>123831493.7</v>
      </c>
      <c r="AH162" s="6">
        <f t="shared" si="32"/>
        <v>22457510</v>
      </c>
      <c r="AI162" s="6">
        <f t="shared" si="33"/>
        <v>53502710</v>
      </c>
      <c r="AJ162" s="6">
        <f t="shared" si="34"/>
        <v>1099621.2</v>
      </c>
      <c r="AK162" s="6">
        <f t="shared" si="35"/>
        <v>20889362</v>
      </c>
      <c r="AL162" s="6">
        <f t="shared" si="36"/>
        <v>25882294.399999999</v>
      </c>
      <c r="AM162" s="3">
        <f t="shared" si="37"/>
        <v>0.18135539941403453</v>
      </c>
      <c r="AN162" s="3">
        <f t="shared" si="38"/>
        <v>0.43206060430489662</v>
      </c>
      <c r="AO162" s="3">
        <f t="shared" si="39"/>
        <v>8.8799801015401938E-3</v>
      </c>
      <c r="AP162" s="3">
        <f t="shared" si="40"/>
        <v>0.1686918357829677</v>
      </c>
      <c r="AQ162" s="3">
        <f t="shared" si="41"/>
        <v>0.20901221189097227</v>
      </c>
    </row>
    <row r="163" spans="1:43" x14ac:dyDescent="0.3">
      <c r="A163" t="s">
        <v>179</v>
      </c>
      <c r="B163" t="s">
        <v>7</v>
      </c>
      <c r="C163" t="s">
        <v>167</v>
      </c>
      <c r="D163" s="6">
        <v>2044</v>
      </c>
      <c r="E163" t="s">
        <v>195</v>
      </c>
      <c r="F163" s="6">
        <v>415.5</v>
      </c>
      <c r="G163" s="7">
        <v>367.6</v>
      </c>
      <c r="H163" s="7">
        <v>803.8</v>
      </c>
      <c r="I163" s="6">
        <v>129501940</v>
      </c>
      <c r="J163" s="6">
        <v>21291404</v>
      </c>
      <c r="K163" s="6">
        <v>20889362</v>
      </c>
      <c r="L163" s="6">
        <v>22485318</v>
      </c>
      <c r="M163" s="6">
        <v>0</v>
      </c>
      <c r="N163" s="6">
        <v>946382.6</v>
      </c>
      <c r="O163" s="6">
        <v>56366910</v>
      </c>
      <c r="P163" s="6">
        <v>0</v>
      </c>
      <c r="Q163" s="6">
        <v>566459</v>
      </c>
      <c r="R163" s="6">
        <v>951853.7</v>
      </c>
      <c r="S163" s="6">
        <v>0</v>
      </c>
      <c r="T163" s="6">
        <v>766406.1</v>
      </c>
      <c r="U163" s="6">
        <v>0</v>
      </c>
      <c r="V163" s="6">
        <v>10136556</v>
      </c>
      <c r="W163" s="6">
        <v>0</v>
      </c>
      <c r="X163" s="6">
        <v>0</v>
      </c>
      <c r="Y163" s="6">
        <v>6984249.5</v>
      </c>
      <c r="Z163" s="6">
        <v>4170598.5</v>
      </c>
      <c r="AA163" s="6">
        <v>1096779.5</v>
      </c>
      <c r="AB163" s="6">
        <v>954576.9</v>
      </c>
      <c r="AC163" s="6">
        <v>3186487.8</v>
      </c>
      <c r="AD163" s="6">
        <f t="shared" si="28"/>
        <v>129501940</v>
      </c>
      <c r="AE163" s="6">
        <f t="shared" si="29"/>
        <v>3186487.8</v>
      </c>
      <c r="AF163" s="6">
        <f t="shared" si="30"/>
        <v>766406.1</v>
      </c>
      <c r="AG163" s="6">
        <f t="shared" si="31"/>
        <v>125549046.10000001</v>
      </c>
      <c r="AH163" s="6">
        <f t="shared" si="32"/>
        <v>22485318</v>
      </c>
      <c r="AI163" s="6">
        <f t="shared" si="33"/>
        <v>56933369</v>
      </c>
      <c r="AJ163" s="6">
        <f t="shared" si="34"/>
        <v>946382.6</v>
      </c>
      <c r="AK163" s="6">
        <f t="shared" si="35"/>
        <v>20889362</v>
      </c>
      <c r="AL163" s="6">
        <f t="shared" si="36"/>
        <v>24294614.099999998</v>
      </c>
      <c r="AM163" s="3">
        <f t="shared" si="37"/>
        <v>0.17909588880580113</v>
      </c>
      <c r="AN163" s="3">
        <f t="shared" si="38"/>
        <v>0.45347512202245238</v>
      </c>
      <c r="AO163" s="3">
        <f t="shared" si="39"/>
        <v>7.5379513377282431E-3</v>
      </c>
      <c r="AP163" s="3">
        <f t="shared" si="40"/>
        <v>0.16638407577674139</v>
      </c>
      <c r="AQ163" s="3">
        <f t="shared" si="41"/>
        <v>0.19350695887127092</v>
      </c>
    </row>
    <row r="164" spans="1:43" x14ac:dyDescent="0.3">
      <c r="A164" t="s">
        <v>179</v>
      </c>
      <c r="B164" t="s">
        <v>7</v>
      </c>
      <c r="C164" t="s">
        <v>167</v>
      </c>
      <c r="D164" s="6">
        <v>2046</v>
      </c>
      <c r="E164" t="s">
        <v>195</v>
      </c>
      <c r="F164" s="6">
        <v>381.5</v>
      </c>
      <c r="G164" s="7">
        <v>381.2</v>
      </c>
      <c r="H164" s="7">
        <v>752</v>
      </c>
      <c r="I164" s="6">
        <v>130432664</v>
      </c>
      <c r="J164" s="6">
        <v>24740424</v>
      </c>
      <c r="K164" s="6">
        <v>20889362</v>
      </c>
      <c r="L164" s="6">
        <v>18350758</v>
      </c>
      <c r="M164" s="6">
        <v>0</v>
      </c>
      <c r="N164" s="6">
        <v>888933.9</v>
      </c>
      <c r="O164" s="6">
        <v>57987336</v>
      </c>
      <c r="P164" s="6">
        <v>0</v>
      </c>
      <c r="Q164" s="6">
        <v>696031.9</v>
      </c>
      <c r="R164" s="6">
        <v>951876.6</v>
      </c>
      <c r="S164" s="6">
        <v>0</v>
      </c>
      <c r="T164" s="6">
        <v>373719.4</v>
      </c>
      <c r="U164" s="6">
        <v>0</v>
      </c>
      <c r="V164" s="6">
        <v>13363884</v>
      </c>
      <c r="W164" s="6">
        <v>0</v>
      </c>
      <c r="X164" s="6">
        <v>0</v>
      </c>
      <c r="Y164" s="6">
        <v>6872807</v>
      </c>
      <c r="Z164" s="6">
        <v>4503732.5</v>
      </c>
      <c r="AA164" s="6">
        <v>958105.5</v>
      </c>
      <c r="AB164" s="6">
        <v>1404454.8</v>
      </c>
      <c r="AC164" s="6">
        <v>3191672.8</v>
      </c>
      <c r="AD164" s="6">
        <f t="shared" si="28"/>
        <v>130432664</v>
      </c>
      <c r="AE164" s="6">
        <f t="shared" si="29"/>
        <v>3191672.8</v>
      </c>
      <c r="AF164" s="6">
        <f t="shared" si="30"/>
        <v>373719.4</v>
      </c>
      <c r="AG164" s="6">
        <f t="shared" si="31"/>
        <v>126867271.8</v>
      </c>
      <c r="AH164" s="6">
        <f t="shared" si="32"/>
        <v>18350758</v>
      </c>
      <c r="AI164" s="6">
        <f t="shared" si="33"/>
        <v>58683367.899999999</v>
      </c>
      <c r="AJ164" s="6">
        <f t="shared" si="34"/>
        <v>888933.9</v>
      </c>
      <c r="AK164" s="6">
        <f t="shared" si="35"/>
        <v>20889362</v>
      </c>
      <c r="AL164" s="6">
        <f t="shared" si="36"/>
        <v>28054860.400000002</v>
      </c>
      <c r="AM164" s="3">
        <f t="shared" si="37"/>
        <v>0.144645326880908</v>
      </c>
      <c r="AN164" s="3">
        <f t="shared" si="38"/>
        <v>0.46255718332551077</v>
      </c>
      <c r="AO164" s="3">
        <f t="shared" si="39"/>
        <v>7.0068023642958169E-3</v>
      </c>
      <c r="AP164" s="3">
        <f t="shared" si="40"/>
        <v>0.16465524720142993</v>
      </c>
      <c r="AQ164" s="3">
        <f t="shared" si="41"/>
        <v>0.22113552220329216</v>
      </c>
    </row>
    <row r="165" spans="1:43" x14ac:dyDescent="0.3">
      <c r="A165" t="s">
        <v>179</v>
      </c>
      <c r="B165" t="s">
        <v>7</v>
      </c>
      <c r="C165" t="s">
        <v>167</v>
      </c>
      <c r="D165" s="6">
        <v>2048</v>
      </c>
      <c r="E165" t="s">
        <v>195</v>
      </c>
      <c r="F165" s="6">
        <v>335.4</v>
      </c>
      <c r="G165" s="7">
        <v>411.1</v>
      </c>
      <c r="H165" s="7">
        <v>733.2</v>
      </c>
      <c r="I165" s="6">
        <v>132831080</v>
      </c>
      <c r="J165" s="6">
        <v>24935716</v>
      </c>
      <c r="K165" s="6">
        <v>20889362</v>
      </c>
      <c r="L165" s="6">
        <v>9368601</v>
      </c>
      <c r="M165" s="6">
        <v>0</v>
      </c>
      <c r="N165" s="6">
        <v>1066908</v>
      </c>
      <c r="O165" s="6">
        <v>68519700</v>
      </c>
      <c r="P165" s="6">
        <v>0</v>
      </c>
      <c r="Q165" s="6">
        <v>1205623.6000000001</v>
      </c>
      <c r="R165" s="6">
        <v>951853.4</v>
      </c>
      <c r="S165" s="6">
        <v>0</v>
      </c>
      <c r="T165" s="6">
        <v>318767.2</v>
      </c>
      <c r="U165" s="6">
        <v>0</v>
      </c>
      <c r="V165" s="6">
        <v>13457816</v>
      </c>
      <c r="W165" s="6">
        <v>0</v>
      </c>
      <c r="X165" s="6">
        <v>0</v>
      </c>
      <c r="Y165" s="6">
        <v>6652306.5</v>
      </c>
      <c r="Z165" s="6">
        <v>4825593</v>
      </c>
      <c r="AA165" s="6">
        <v>1011437.8</v>
      </c>
      <c r="AB165" s="6">
        <v>1376298.5</v>
      </c>
      <c r="AC165" s="6">
        <v>3186811.8</v>
      </c>
      <c r="AD165" s="6">
        <f t="shared" si="28"/>
        <v>132831080</v>
      </c>
      <c r="AE165" s="6">
        <f t="shared" si="29"/>
        <v>3186811.8</v>
      </c>
      <c r="AF165" s="6">
        <f t="shared" si="30"/>
        <v>318767.2</v>
      </c>
      <c r="AG165" s="6">
        <f t="shared" si="31"/>
        <v>129325501</v>
      </c>
      <c r="AH165" s="6">
        <f t="shared" si="32"/>
        <v>9368601</v>
      </c>
      <c r="AI165" s="6">
        <f t="shared" si="33"/>
        <v>69725323.599999994</v>
      </c>
      <c r="AJ165" s="6">
        <f t="shared" si="34"/>
        <v>1066908</v>
      </c>
      <c r="AK165" s="6">
        <f t="shared" si="35"/>
        <v>20889362</v>
      </c>
      <c r="AL165" s="6">
        <f t="shared" si="36"/>
        <v>28275305.199999999</v>
      </c>
      <c r="AM165" s="3">
        <f t="shared" si="37"/>
        <v>7.2442023634611705E-2</v>
      </c>
      <c r="AN165" s="3">
        <f t="shared" si="38"/>
        <v>0.53914597709542211</v>
      </c>
      <c r="AO165" s="3">
        <f t="shared" si="39"/>
        <v>8.2497882610174465E-3</v>
      </c>
      <c r="AP165" s="3">
        <f t="shared" si="40"/>
        <v>0.16152546743275326</v>
      </c>
      <c r="AQ165" s="3">
        <f t="shared" si="41"/>
        <v>0.21863673429728295</v>
      </c>
    </row>
    <row r="166" spans="1:43" x14ac:dyDescent="0.3">
      <c r="A166" t="s">
        <v>179</v>
      </c>
      <c r="B166" t="s">
        <v>7</v>
      </c>
      <c r="C166" t="s">
        <v>167</v>
      </c>
      <c r="D166" s="6">
        <v>2050</v>
      </c>
      <c r="E166" t="s">
        <v>195</v>
      </c>
      <c r="F166" s="6">
        <v>306.8</v>
      </c>
      <c r="G166" s="7">
        <v>374.3</v>
      </c>
      <c r="H166" s="7">
        <v>675.7</v>
      </c>
      <c r="I166" s="6">
        <v>144856140</v>
      </c>
      <c r="J166" s="6">
        <v>26589746</v>
      </c>
      <c r="K166" s="6">
        <v>20889362</v>
      </c>
      <c r="L166" s="6">
        <v>2913097.2</v>
      </c>
      <c r="M166" s="6">
        <v>0</v>
      </c>
      <c r="N166" s="6">
        <v>1105498.8</v>
      </c>
      <c r="O166" s="6">
        <v>85099770</v>
      </c>
      <c r="P166" s="6">
        <v>0</v>
      </c>
      <c r="Q166" s="6">
        <v>1486537.6</v>
      </c>
      <c r="R166" s="6">
        <v>951894.1</v>
      </c>
      <c r="S166" s="6">
        <v>0</v>
      </c>
      <c r="T166" s="6">
        <v>314904.5</v>
      </c>
      <c r="U166" s="6">
        <v>0</v>
      </c>
      <c r="V166" s="6">
        <v>15103342</v>
      </c>
      <c r="W166" s="6">
        <v>0</v>
      </c>
      <c r="X166" s="6">
        <v>0</v>
      </c>
      <c r="Y166" s="6">
        <v>6417085.5</v>
      </c>
      <c r="Z166" s="6">
        <v>5069319.5</v>
      </c>
      <c r="AA166" s="6">
        <v>925800.7</v>
      </c>
      <c r="AB166" s="6">
        <v>1387659.1</v>
      </c>
      <c r="AC166" s="6">
        <v>3191875</v>
      </c>
      <c r="AD166" s="6">
        <f t="shared" si="28"/>
        <v>144856140</v>
      </c>
      <c r="AE166" s="6">
        <f t="shared" si="29"/>
        <v>3191875</v>
      </c>
      <c r="AF166" s="6">
        <f t="shared" si="30"/>
        <v>314904.5</v>
      </c>
      <c r="AG166" s="6">
        <f t="shared" si="31"/>
        <v>141349360.5</v>
      </c>
      <c r="AH166" s="6">
        <f t="shared" si="32"/>
        <v>2913097.2</v>
      </c>
      <c r="AI166" s="6">
        <f t="shared" si="33"/>
        <v>86586307.599999994</v>
      </c>
      <c r="AJ166" s="6">
        <f t="shared" si="34"/>
        <v>1105498.8</v>
      </c>
      <c r="AK166" s="6">
        <f t="shared" si="35"/>
        <v>20889362</v>
      </c>
      <c r="AL166" s="6">
        <f t="shared" si="36"/>
        <v>29855100.900000002</v>
      </c>
      <c r="AM166" s="3">
        <f t="shared" si="37"/>
        <v>2.0609199714065916E-2</v>
      </c>
      <c r="AN166" s="3">
        <f t="shared" si="38"/>
        <v>0.61256950363068674</v>
      </c>
      <c r="AO166" s="3">
        <f t="shared" si="39"/>
        <v>7.8210385677691136E-3</v>
      </c>
      <c r="AP166" s="3">
        <f t="shared" si="40"/>
        <v>0.14778533080098372</v>
      </c>
      <c r="AQ166" s="3">
        <f t="shared" si="41"/>
        <v>0.21121496973451112</v>
      </c>
    </row>
    <row r="167" spans="1:43" x14ac:dyDescent="0.3">
      <c r="A167" t="s">
        <v>179</v>
      </c>
      <c r="B167" t="s">
        <v>7</v>
      </c>
      <c r="C167" t="s">
        <v>168</v>
      </c>
      <c r="D167" s="6">
        <v>2022</v>
      </c>
      <c r="E167" t="s">
        <v>195</v>
      </c>
      <c r="F167" s="6">
        <v>635</v>
      </c>
      <c r="G167" s="7">
        <v>675.3</v>
      </c>
      <c r="H167" s="7">
        <v>904.6</v>
      </c>
      <c r="I167" s="6">
        <v>432614820</v>
      </c>
      <c r="J167" s="6">
        <v>31653700</v>
      </c>
      <c r="K167" s="6">
        <v>71187540</v>
      </c>
      <c r="L167" s="6">
        <v>179891170</v>
      </c>
      <c r="M167" s="6">
        <v>0</v>
      </c>
      <c r="N167" s="6">
        <v>443927.6</v>
      </c>
      <c r="O167" s="6">
        <v>141222400</v>
      </c>
      <c r="P167" s="6">
        <v>0</v>
      </c>
      <c r="Q167" s="6">
        <v>2332784.2000000002</v>
      </c>
      <c r="R167" s="6">
        <v>4252741</v>
      </c>
      <c r="S167" s="6">
        <v>0</v>
      </c>
      <c r="T167" s="6">
        <v>1251218.5</v>
      </c>
      <c r="U167" s="6">
        <v>0</v>
      </c>
      <c r="V167" s="6">
        <v>24161472</v>
      </c>
      <c r="W167" s="6">
        <v>78155.399999999994</v>
      </c>
      <c r="X167" s="6">
        <v>0</v>
      </c>
      <c r="Y167" s="6">
        <v>6173566.5</v>
      </c>
      <c r="Z167" s="6">
        <v>1240506.2</v>
      </c>
      <c r="AA167" s="6">
        <v>0</v>
      </c>
      <c r="AB167" s="6">
        <v>379316.6</v>
      </c>
      <c r="AC167" s="6">
        <v>0</v>
      </c>
      <c r="AD167" s="6">
        <f t="shared" si="28"/>
        <v>432614820</v>
      </c>
      <c r="AE167" s="6">
        <f t="shared" si="29"/>
        <v>0</v>
      </c>
      <c r="AF167" s="6">
        <f t="shared" si="30"/>
        <v>1251218.5</v>
      </c>
      <c r="AG167" s="6">
        <f t="shared" si="31"/>
        <v>431363601.5</v>
      </c>
      <c r="AH167" s="6">
        <f t="shared" si="32"/>
        <v>179891170</v>
      </c>
      <c r="AI167" s="6">
        <f t="shared" si="33"/>
        <v>143555184.19999999</v>
      </c>
      <c r="AJ167" s="6">
        <f t="shared" si="34"/>
        <v>443927.6</v>
      </c>
      <c r="AK167" s="6">
        <f t="shared" si="35"/>
        <v>71187540</v>
      </c>
      <c r="AL167" s="6">
        <f t="shared" si="36"/>
        <v>36285757.700000003</v>
      </c>
      <c r="AM167" s="3">
        <f t="shared" si="37"/>
        <v>0.41702908955335211</v>
      </c>
      <c r="AN167" s="3">
        <f t="shared" si="38"/>
        <v>0.33279392072212188</v>
      </c>
      <c r="AO167" s="3">
        <f t="shared" si="39"/>
        <v>1.0291262370221098E-3</v>
      </c>
      <c r="AP167" s="3">
        <f t="shared" si="40"/>
        <v>0.1650290839385993</v>
      </c>
      <c r="AQ167" s="3">
        <f t="shared" si="41"/>
        <v>8.4118728547846661E-2</v>
      </c>
    </row>
    <row r="168" spans="1:43" x14ac:dyDescent="0.3">
      <c r="A168" t="s">
        <v>179</v>
      </c>
      <c r="B168" t="s">
        <v>7</v>
      </c>
      <c r="C168" t="s">
        <v>168</v>
      </c>
      <c r="D168" s="6">
        <v>2024</v>
      </c>
      <c r="E168" t="s">
        <v>195</v>
      </c>
      <c r="F168" s="6">
        <v>550.5</v>
      </c>
      <c r="G168" s="7">
        <v>586.4</v>
      </c>
      <c r="H168" s="7">
        <v>941.8</v>
      </c>
      <c r="I168" s="6">
        <v>434735300</v>
      </c>
      <c r="J168" s="6">
        <v>43871900</v>
      </c>
      <c r="K168" s="6">
        <v>71187540</v>
      </c>
      <c r="L168" s="6">
        <v>132272280</v>
      </c>
      <c r="M168" s="6">
        <v>0</v>
      </c>
      <c r="N168" s="6">
        <v>732055</v>
      </c>
      <c r="O168" s="6">
        <v>176081400</v>
      </c>
      <c r="P168" s="6">
        <v>0</v>
      </c>
      <c r="Q168" s="6">
        <v>4599666</v>
      </c>
      <c r="R168" s="6">
        <v>4252127.5</v>
      </c>
      <c r="S168" s="6">
        <v>0</v>
      </c>
      <c r="T168" s="6">
        <v>1246944.8999999999</v>
      </c>
      <c r="U168" s="6">
        <v>0</v>
      </c>
      <c r="V168" s="6">
        <v>28469104</v>
      </c>
      <c r="W168" s="6">
        <v>80058.600000000006</v>
      </c>
      <c r="X168" s="6">
        <v>0</v>
      </c>
      <c r="Y168" s="6">
        <v>13690253</v>
      </c>
      <c r="Z168" s="6">
        <v>1632484.4</v>
      </c>
      <c r="AA168" s="6">
        <v>0</v>
      </c>
      <c r="AB168" s="6">
        <v>491408.6</v>
      </c>
      <c r="AC168" s="6">
        <v>0</v>
      </c>
      <c r="AD168" s="6">
        <f t="shared" si="28"/>
        <v>434735300</v>
      </c>
      <c r="AE168" s="6">
        <f t="shared" si="29"/>
        <v>0</v>
      </c>
      <c r="AF168" s="6">
        <f t="shared" si="30"/>
        <v>1246944.8999999999</v>
      </c>
      <c r="AG168" s="6">
        <f t="shared" si="31"/>
        <v>433488355.10000002</v>
      </c>
      <c r="AH168" s="6">
        <f t="shared" si="32"/>
        <v>132272280</v>
      </c>
      <c r="AI168" s="6">
        <f t="shared" si="33"/>
        <v>180681066</v>
      </c>
      <c r="AJ168" s="6">
        <f t="shared" si="34"/>
        <v>732055</v>
      </c>
      <c r="AK168" s="6">
        <f t="shared" si="35"/>
        <v>71187540</v>
      </c>
      <c r="AL168" s="6">
        <f t="shared" si="36"/>
        <v>48615436.100000001</v>
      </c>
      <c r="AM168" s="3">
        <f t="shared" si="37"/>
        <v>0.30513456346361723</v>
      </c>
      <c r="AN168" s="3">
        <f t="shared" si="38"/>
        <v>0.41680719648932502</v>
      </c>
      <c r="AO168" s="3">
        <f t="shared" si="39"/>
        <v>1.68875355332469E-3</v>
      </c>
      <c r="AP168" s="3">
        <f t="shared" si="40"/>
        <v>0.164220189913932</v>
      </c>
      <c r="AQ168" s="3">
        <f t="shared" si="41"/>
        <v>0.11214934733087596</v>
      </c>
    </row>
    <row r="169" spans="1:43" x14ac:dyDescent="0.3">
      <c r="A169" t="s">
        <v>179</v>
      </c>
      <c r="B169" t="s">
        <v>7</v>
      </c>
      <c r="C169" t="s">
        <v>168</v>
      </c>
      <c r="D169" s="6">
        <v>2026</v>
      </c>
      <c r="E169" t="s">
        <v>195</v>
      </c>
      <c r="F169" s="6">
        <v>515</v>
      </c>
      <c r="G169" s="7">
        <v>463.5</v>
      </c>
      <c r="H169" s="7">
        <v>928.9</v>
      </c>
      <c r="I169" s="6">
        <v>442983360</v>
      </c>
      <c r="J169" s="6">
        <v>54600130</v>
      </c>
      <c r="K169" s="6">
        <v>71187540</v>
      </c>
      <c r="L169" s="6">
        <v>117053400</v>
      </c>
      <c r="M169" s="6">
        <v>0</v>
      </c>
      <c r="N169" s="6">
        <v>844897.9</v>
      </c>
      <c r="O169" s="6">
        <v>187719970</v>
      </c>
      <c r="P169" s="6">
        <v>0</v>
      </c>
      <c r="Q169" s="6">
        <v>5139581</v>
      </c>
      <c r="R169" s="6">
        <v>4628022</v>
      </c>
      <c r="S169" s="6">
        <v>0</v>
      </c>
      <c r="T169" s="6">
        <v>1247125.3999999999</v>
      </c>
      <c r="U169" s="6">
        <v>0</v>
      </c>
      <c r="V169" s="6">
        <v>28583756</v>
      </c>
      <c r="W169" s="6">
        <v>79626.899999999994</v>
      </c>
      <c r="X169" s="6">
        <v>0</v>
      </c>
      <c r="Y169" s="6">
        <v>23612848</v>
      </c>
      <c r="Z169" s="6">
        <v>2323893</v>
      </c>
      <c r="AA169" s="6">
        <v>0</v>
      </c>
      <c r="AB169" s="6">
        <v>562756.1</v>
      </c>
      <c r="AC169" s="6">
        <v>0</v>
      </c>
      <c r="AD169" s="6">
        <f t="shared" si="28"/>
        <v>442983360</v>
      </c>
      <c r="AE169" s="6">
        <f t="shared" si="29"/>
        <v>0</v>
      </c>
      <c r="AF169" s="6">
        <f t="shared" si="30"/>
        <v>1247125.3999999999</v>
      </c>
      <c r="AG169" s="6">
        <f t="shared" si="31"/>
        <v>441736234.60000002</v>
      </c>
      <c r="AH169" s="6">
        <f t="shared" si="32"/>
        <v>117053400</v>
      </c>
      <c r="AI169" s="6">
        <f t="shared" si="33"/>
        <v>192859551</v>
      </c>
      <c r="AJ169" s="6">
        <f t="shared" si="34"/>
        <v>844897.9</v>
      </c>
      <c r="AK169" s="6">
        <f t="shared" si="35"/>
        <v>71187540</v>
      </c>
      <c r="AL169" s="6">
        <f t="shared" si="36"/>
        <v>59790902</v>
      </c>
      <c r="AM169" s="3">
        <f t="shared" si="37"/>
        <v>0.26498482766756482</v>
      </c>
      <c r="AN169" s="3">
        <f t="shared" si="38"/>
        <v>0.43659436535614454</v>
      </c>
      <c r="AO169" s="3">
        <f t="shared" si="39"/>
        <v>1.9126751074995468E-3</v>
      </c>
      <c r="AP169" s="3">
        <f t="shared" si="40"/>
        <v>0.16115395211910016</v>
      </c>
      <c r="AQ169" s="3">
        <f t="shared" si="41"/>
        <v>0.13535430720131375</v>
      </c>
    </row>
    <row r="170" spans="1:43" x14ac:dyDescent="0.3">
      <c r="A170" t="s">
        <v>179</v>
      </c>
      <c r="B170" t="s">
        <v>7</v>
      </c>
      <c r="C170" t="s">
        <v>168</v>
      </c>
      <c r="D170" s="6">
        <v>2028</v>
      </c>
      <c r="E170" t="s">
        <v>195</v>
      </c>
      <c r="F170" s="6">
        <v>511.1</v>
      </c>
      <c r="G170" s="7">
        <v>401.3</v>
      </c>
      <c r="H170" s="7">
        <v>904.1</v>
      </c>
      <c r="I170" s="6">
        <v>437890800</v>
      </c>
      <c r="J170" s="6">
        <v>56449332</v>
      </c>
      <c r="K170" s="6">
        <v>71187540</v>
      </c>
      <c r="L170" s="6">
        <v>116869580</v>
      </c>
      <c r="M170" s="6">
        <v>0</v>
      </c>
      <c r="N170" s="6">
        <v>695495.6</v>
      </c>
      <c r="O170" s="6">
        <v>181435740</v>
      </c>
      <c r="P170" s="6">
        <v>0</v>
      </c>
      <c r="Q170" s="6">
        <v>4630690</v>
      </c>
      <c r="R170" s="6">
        <v>4627530</v>
      </c>
      <c r="S170" s="6">
        <v>0</v>
      </c>
      <c r="T170" s="6">
        <v>1247727.8</v>
      </c>
      <c r="U170" s="6">
        <v>0</v>
      </c>
      <c r="V170" s="6">
        <v>28429606</v>
      </c>
      <c r="W170" s="6">
        <v>79197.5</v>
      </c>
      <c r="X170" s="6">
        <v>0</v>
      </c>
      <c r="Y170" s="6">
        <v>24503114</v>
      </c>
      <c r="Z170" s="6">
        <v>3437413.5</v>
      </c>
      <c r="AA170" s="6">
        <v>0</v>
      </c>
      <c r="AB170" s="6">
        <v>747179.9</v>
      </c>
      <c r="AC170" s="6">
        <v>0</v>
      </c>
      <c r="AD170" s="6">
        <f t="shared" si="28"/>
        <v>437890800</v>
      </c>
      <c r="AE170" s="6">
        <f t="shared" si="29"/>
        <v>0</v>
      </c>
      <c r="AF170" s="6">
        <f t="shared" si="30"/>
        <v>1247727.8</v>
      </c>
      <c r="AG170" s="6">
        <f t="shared" si="31"/>
        <v>436643072.19999999</v>
      </c>
      <c r="AH170" s="6">
        <f t="shared" si="32"/>
        <v>116869580</v>
      </c>
      <c r="AI170" s="6">
        <f t="shared" si="33"/>
        <v>186066430</v>
      </c>
      <c r="AJ170" s="6">
        <f t="shared" si="34"/>
        <v>695495.6</v>
      </c>
      <c r="AK170" s="6">
        <f t="shared" si="35"/>
        <v>71187540</v>
      </c>
      <c r="AL170" s="6">
        <f t="shared" si="36"/>
        <v>61824040.899999999</v>
      </c>
      <c r="AM170" s="3">
        <f t="shared" si="37"/>
        <v>0.26765472176429966</v>
      </c>
      <c r="AN170" s="3">
        <f t="shared" si="38"/>
        <v>0.42612935334692342</v>
      </c>
      <c r="AO170" s="3">
        <f t="shared" si="39"/>
        <v>1.5928240805374216E-3</v>
      </c>
      <c r="AP170" s="3">
        <f t="shared" si="40"/>
        <v>0.16303370998496744</v>
      </c>
      <c r="AQ170" s="3">
        <f t="shared" si="41"/>
        <v>0.14158942357313326</v>
      </c>
    </row>
    <row r="171" spans="1:43" x14ac:dyDescent="0.3">
      <c r="A171" t="s">
        <v>179</v>
      </c>
      <c r="B171" t="s">
        <v>7</v>
      </c>
      <c r="C171" t="s">
        <v>168</v>
      </c>
      <c r="D171" s="6">
        <v>2030</v>
      </c>
      <c r="E171" t="s">
        <v>195</v>
      </c>
      <c r="F171" s="6">
        <v>472.3</v>
      </c>
      <c r="G171" s="7">
        <v>415.5</v>
      </c>
      <c r="H171" s="7">
        <v>885.3</v>
      </c>
      <c r="I171" s="6">
        <v>446701660</v>
      </c>
      <c r="J171" s="6">
        <v>78151590</v>
      </c>
      <c r="K171" s="6">
        <v>71187540</v>
      </c>
      <c r="L171" s="6">
        <v>110166720</v>
      </c>
      <c r="M171" s="6">
        <v>0</v>
      </c>
      <c r="N171" s="6">
        <v>314291.7</v>
      </c>
      <c r="O171" s="6">
        <v>175691540</v>
      </c>
      <c r="P171" s="6">
        <v>0</v>
      </c>
      <c r="Q171" s="6">
        <v>2945718.8</v>
      </c>
      <c r="R171" s="6">
        <v>4623631.5</v>
      </c>
      <c r="S171" s="6">
        <v>0</v>
      </c>
      <c r="T171" s="6">
        <v>1248738.8999999999</v>
      </c>
      <c r="U171" s="6">
        <v>0</v>
      </c>
      <c r="V171" s="6">
        <v>28276292</v>
      </c>
      <c r="W171" s="6">
        <v>78770.399999999994</v>
      </c>
      <c r="X171" s="6">
        <v>0</v>
      </c>
      <c r="Y171" s="6">
        <v>44603150</v>
      </c>
      <c r="Z171" s="6">
        <v>5193378</v>
      </c>
      <c r="AA171" s="6">
        <v>0</v>
      </c>
      <c r="AB171" s="6">
        <v>2371919.7999999998</v>
      </c>
      <c r="AC171" s="6">
        <v>0</v>
      </c>
      <c r="AD171" s="6">
        <f t="shared" si="28"/>
        <v>446701660</v>
      </c>
      <c r="AE171" s="6">
        <f t="shared" si="29"/>
        <v>0</v>
      </c>
      <c r="AF171" s="6">
        <f t="shared" si="30"/>
        <v>1248738.8999999999</v>
      </c>
      <c r="AG171" s="6">
        <f t="shared" si="31"/>
        <v>445452921.10000002</v>
      </c>
      <c r="AH171" s="6">
        <f t="shared" si="32"/>
        <v>110166720</v>
      </c>
      <c r="AI171" s="6">
        <f t="shared" si="33"/>
        <v>178637258.80000001</v>
      </c>
      <c r="AJ171" s="6">
        <f t="shared" si="34"/>
        <v>314291.7</v>
      </c>
      <c r="AK171" s="6">
        <f t="shared" si="35"/>
        <v>71187540</v>
      </c>
      <c r="AL171" s="6">
        <f t="shared" si="36"/>
        <v>85147141.700000003</v>
      </c>
      <c r="AM171" s="3">
        <f t="shared" si="37"/>
        <v>0.24731394673078955</v>
      </c>
      <c r="AN171" s="3">
        <f t="shared" si="38"/>
        <v>0.40102388005195638</v>
      </c>
      <c r="AO171" s="3">
        <f t="shared" si="39"/>
        <v>7.0555536873321894E-4</v>
      </c>
      <c r="AP171" s="3">
        <f t="shared" si="40"/>
        <v>0.15980934601171706</v>
      </c>
      <c r="AQ171" s="3">
        <f t="shared" si="41"/>
        <v>0.19114734165338487</v>
      </c>
    </row>
    <row r="172" spans="1:43" x14ac:dyDescent="0.3">
      <c r="A172" t="s">
        <v>179</v>
      </c>
      <c r="B172" t="s">
        <v>7</v>
      </c>
      <c r="C172" t="s">
        <v>168</v>
      </c>
      <c r="D172" s="6">
        <v>2032</v>
      </c>
      <c r="E172" t="s">
        <v>195</v>
      </c>
      <c r="F172" s="6">
        <v>453.7</v>
      </c>
      <c r="G172" s="7">
        <v>405.8</v>
      </c>
      <c r="H172" s="7">
        <v>870.2</v>
      </c>
      <c r="I172" s="6">
        <v>458032480</v>
      </c>
      <c r="J172" s="6">
        <v>79475860</v>
      </c>
      <c r="K172" s="6">
        <v>71187540</v>
      </c>
      <c r="L172" s="6">
        <v>102723740</v>
      </c>
      <c r="M172" s="6">
        <v>0</v>
      </c>
      <c r="N172" s="6">
        <v>176333.1</v>
      </c>
      <c r="O172" s="6">
        <v>190598320</v>
      </c>
      <c r="P172" s="6">
        <v>0</v>
      </c>
      <c r="Q172" s="6">
        <v>2123930.2000000002</v>
      </c>
      <c r="R172" s="6">
        <v>4624430.5</v>
      </c>
      <c r="S172" s="6">
        <v>0</v>
      </c>
      <c r="T172" s="6">
        <v>1245270.3999999999</v>
      </c>
      <c r="U172" s="6">
        <v>0</v>
      </c>
      <c r="V172" s="6">
        <v>28123812</v>
      </c>
      <c r="W172" s="6">
        <v>78345.600000000006</v>
      </c>
      <c r="X172" s="6">
        <v>0</v>
      </c>
      <c r="Y172" s="6">
        <v>44225376</v>
      </c>
      <c r="Z172" s="6">
        <v>7048326.5</v>
      </c>
      <c r="AA172" s="6">
        <v>0</v>
      </c>
      <c r="AB172" s="6">
        <v>5877069.5</v>
      </c>
      <c r="AC172" s="6">
        <v>0</v>
      </c>
      <c r="AD172" s="6">
        <f t="shared" si="28"/>
        <v>458032480</v>
      </c>
      <c r="AE172" s="6">
        <f t="shared" si="29"/>
        <v>0</v>
      </c>
      <c r="AF172" s="6">
        <f t="shared" si="30"/>
        <v>1245270.3999999999</v>
      </c>
      <c r="AG172" s="6">
        <f t="shared" si="31"/>
        <v>456787209.60000002</v>
      </c>
      <c r="AH172" s="6">
        <f t="shared" si="32"/>
        <v>102723740</v>
      </c>
      <c r="AI172" s="6">
        <f t="shared" si="33"/>
        <v>192722250.19999999</v>
      </c>
      <c r="AJ172" s="6">
        <f t="shared" si="34"/>
        <v>176333.1</v>
      </c>
      <c r="AK172" s="6">
        <f t="shared" si="35"/>
        <v>71187540</v>
      </c>
      <c r="AL172" s="6">
        <f t="shared" si="36"/>
        <v>89977360.099999994</v>
      </c>
      <c r="AM172" s="3">
        <f t="shared" si="37"/>
        <v>0.22488313560695636</v>
      </c>
      <c r="AN172" s="3">
        <f t="shared" si="38"/>
        <v>0.42190815799935211</v>
      </c>
      <c r="AO172" s="3">
        <f t="shared" si="39"/>
        <v>3.8602897868881132E-4</v>
      </c>
      <c r="AP172" s="3">
        <f t="shared" si="40"/>
        <v>0.15584398709923947</v>
      </c>
      <c r="AQ172" s="3">
        <f t="shared" si="41"/>
        <v>0.19697872052676668</v>
      </c>
    </row>
    <row r="173" spans="1:43" x14ac:dyDescent="0.3">
      <c r="A173" t="s">
        <v>179</v>
      </c>
      <c r="B173" t="s">
        <v>7</v>
      </c>
      <c r="C173" t="s">
        <v>168</v>
      </c>
      <c r="D173" s="6">
        <v>2034</v>
      </c>
      <c r="E173" t="s">
        <v>195</v>
      </c>
      <c r="F173" s="6">
        <v>443.8</v>
      </c>
      <c r="G173" s="7">
        <v>423</v>
      </c>
      <c r="H173" s="7">
        <v>853.5</v>
      </c>
      <c r="I173" s="6">
        <v>465480640</v>
      </c>
      <c r="J173" s="6">
        <v>80284540</v>
      </c>
      <c r="K173" s="6">
        <v>71187540</v>
      </c>
      <c r="L173" s="6">
        <v>96703544</v>
      </c>
      <c r="M173" s="6">
        <v>0</v>
      </c>
      <c r="N173" s="6">
        <v>25694.799999999999</v>
      </c>
      <c r="O173" s="6">
        <v>203496020</v>
      </c>
      <c r="P173" s="6">
        <v>0</v>
      </c>
      <c r="Q173" s="6">
        <v>2188331.2000000002</v>
      </c>
      <c r="R173" s="6">
        <v>4624568.5</v>
      </c>
      <c r="S173" s="6">
        <v>0</v>
      </c>
      <c r="T173" s="6">
        <v>1244698</v>
      </c>
      <c r="U173" s="6">
        <v>0</v>
      </c>
      <c r="V173" s="6">
        <v>27647724</v>
      </c>
      <c r="W173" s="6">
        <v>77923.199999999997</v>
      </c>
      <c r="X173" s="6">
        <v>0</v>
      </c>
      <c r="Y173" s="6">
        <v>43702930</v>
      </c>
      <c r="Z173" s="6">
        <v>8855967</v>
      </c>
      <c r="AA173" s="6">
        <v>0</v>
      </c>
      <c r="AB173" s="6">
        <v>5725748.5</v>
      </c>
      <c r="AC173" s="6">
        <v>0</v>
      </c>
      <c r="AD173" s="6">
        <f t="shared" si="28"/>
        <v>465480640</v>
      </c>
      <c r="AE173" s="6">
        <f t="shared" si="29"/>
        <v>0</v>
      </c>
      <c r="AF173" s="6">
        <f t="shared" si="30"/>
        <v>1244698</v>
      </c>
      <c r="AG173" s="6">
        <f t="shared" si="31"/>
        <v>464235942</v>
      </c>
      <c r="AH173" s="6">
        <f t="shared" si="32"/>
        <v>96703544</v>
      </c>
      <c r="AI173" s="6">
        <f t="shared" si="33"/>
        <v>205684351.19999999</v>
      </c>
      <c r="AJ173" s="6">
        <f t="shared" si="34"/>
        <v>25694.799999999999</v>
      </c>
      <c r="AK173" s="6">
        <f t="shared" si="35"/>
        <v>71187540</v>
      </c>
      <c r="AL173" s="6">
        <f t="shared" si="36"/>
        <v>90634861.200000003</v>
      </c>
      <c r="AM173" s="3">
        <f t="shared" si="37"/>
        <v>0.2083068871905657</v>
      </c>
      <c r="AN173" s="3">
        <f t="shared" si="38"/>
        <v>0.44305994558258477</v>
      </c>
      <c r="AO173" s="3">
        <f t="shared" si="39"/>
        <v>5.5348579623763814E-5</v>
      </c>
      <c r="AP173" s="3">
        <f t="shared" si="40"/>
        <v>0.15334344793148308</v>
      </c>
      <c r="AQ173" s="3">
        <f t="shared" si="41"/>
        <v>0.19523447669633473</v>
      </c>
    </row>
    <row r="174" spans="1:43" x14ac:dyDescent="0.3">
      <c r="A174" t="s">
        <v>179</v>
      </c>
      <c r="B174" t="s">
        <v>7</v>
      </c>
      <c r="C174" t="s">
        <v>168</v>
      </c>
      <c r="D174" s="6">
        <v>2036</v>
      </c>
      <c r="E174" t="s">
        <v>195</v>
      </c>
      <c r="F174" s="6">
        <v>432.5</v>
      </c>
      <c r="G174" s="7">
        <v>420.7</v>
      </c>
      <c r="H174" s="7">
        <v>826.4</v>
      </c>
      <c r="I174" s="6">
        <v>484351040</v>
      </c>
      <c r="J174" s="6">
        <v>82826590</v>
      </c>
      <c r="K174" s="6">
        <v>71187540</v>
      </c>
      <c r="L174" s="6">
        <v>90736150</v>
      </c>
      <c r="M174" s="6">
        <v>0</v>
      </c>
      <c r="N174" s="6">
        <v>17898</v>
      </c>
      <c r="O174" s="6">
        <v>225919520</v>
      </c>
      <c r="P174" s="6">
        <v>0</v>
      </c>
      <c r="Q174" s="6">
        <v>2013029.6</v>
      </c>
      <c r="R174" s="6">
        <v>4624052.5</v>
      </c>
      <c r="S174" s="6">
        <v>0</v>
      </c>
      <c r="T174" s="6">
        <v>1201228.3999999999</v>
      </c>
      <c r="U174" s="6">
        <v>0</v>
      </c>
      <c r="V174" s="6">
        <v>27491184</v>
      </c>
      <c r="W174" s="6">
        <v>77502.899999999994</v>
      </c>
      <c r="X174" s="6">
        <v>0</v>
      </c>
      <c r="Y174" s="6">
        <v>44355892</v>
      </c>
      <c r="Z174" s="6">
        <v>10902019</v>
      </c>
      <c r="AA174" s="6">
        <v>0</v>
      </c>
      <c r="AB174" s="6">
        <v>5825040.5</v>
      </c>
      <c r="AC174" s="6">
        <v>0</v>
      </c>
      <c r="AD174" s="6">
        <f t="shared" si="28"/>
        <v>484351040</v>
      </c>
      <c r="AE174" s="6">
        <f t="shared" si="29"/>
        <v>0</v>
      </c>
      <c r="AF174" s="6">
        <f t="shared" si="30"/>
        <v>1201228.3999999999</v>
      </c>
      <c r="AG174" s="6">
        <f t="shared" si="31"/>
        <v>483149811.60000002</v>
      </c>
      <c r="AH174" s="6">
        <f t="shared" si="32"/>
        <v>90736150</v>
      </c>
      <c r="AI174" s="6">
        <f t="shared" si="33"/>
        <v>227932549.59999999</v>
      </c>
      <c r="AJ174" s="6">
        <f t="shared" si="34"/>
        <v>17898</v>
      </c>
      <c r="AK174" s="6">
        <f t="shared" si="35"/>
        <v>71187540</v>
      </c>
      <c r="AL174" s="6">
        <f t="shared" si="36"/>
        <v>93275690.900000006</v>
      </c>
      <c r="AM174" s="3">
        <f t="shared" si="37"/>
        <v>0.18780127368676386</v>
      </c>
      <c r="AN174" s="3">
        <f t="shared" si="38"/>
        <v>0.47176371412663504</v>
      </c>
      <c r="AO174" s="3">
        <f t="shared" si="39"/>
        <v>3.7044410595398854E-5</v>
      </c>
      <c r="AP174" s="3">
        <f t="shared" si="40"/>
        <v>0.1473405107294882</v>
      </c>
      <c r="AQ174" s="3">
        <f t="shared" si="41"/>
        <v>0.19305749202531616</v>
      </c>
    </row>
    <row r="175" spans="1:43" x14ac:dyDescent="0.3">
      <c r="A175" t="s">
        <v>179</v>
      </c>
      <c r="B175" t="s">
        <v>7</v>
      </c>
      <c r="C175" t="s">
        <v>168</v>
      </c>
      <c r="D175" s="6">
        <v>2038</v>
      </c>
      <c r="E175" t="s">
        <v>195</v>
      </c>
      <c r="F175" s="6">
        <v>416.5</v>
      </c>
      <c r="G175" s="7">
        <v>438</v>
      </c>
      <c r="H175" s="7">
        <v>807.2</v>
      </c>
      <c r="I175" s="6">
        <v>501653300</v>
      </c>
      <c r="J175" s="6">
        <v>83949660</v>
      </c>
      <c r="K175" s="6">
        <v>71187540</v>
      </c>
      <c r="L175" s="6">
        <v>79928080</v>
      </c>
      <c r="M175" s="6">
        <v>0</v>
      </c>
      <c r="N175" s="6">
        <v>16933.599999999999</v>
      </c>
      <c r="O175" s="6">
        <v>252904140</v>
      </c>
      <c r="P175" s="6">
        <v>0</v>
      </c>
      <c r="Q175" s="6">
        <v>1885904.4</v>
      </c>
      <c r="R175" s="6">
        <v>4624635.5</v>
      </c>
      <c r="S175" s="6">
        <v>0</v>
      </c>
      <c r="T175" s="6">
        <v>1186720.6000000001</v>
      </c>
      <c r="U175" s="6">
        <v>0</v>
      </c>
      <c r="V175" s="6">
        <v>27130036</v>
      </c>
      <c r="W175" s="6">
        <v>77084.899999999994</v>
      </c>
      <c r="X175" s="6">
        <v>0</v>
      </c>
      <c r="Y175" s="6">
        <v>43776536</v>
      </c>
      <c r="Z175" s="6">
        <v>12966006</v>
      </c>
      <c r="AA175" s="6">
        <v>0</v>
      </c>
      <c r="AB175" s="6">
        <v>5969704.5</v>
      </c>
      <c r="AC175" s="6">
        <v>0</v>
      </c>
      <c r="AD175" s="6">
        <f t="shared" si="28"/>
        <v>501653300</v>
      </c>
      <c r="AE175" s="6">
        <f t="shared" si="29"/>
        <v>0</v>
      </c>
      <c r="AF175" s="6">
        <f t="shared" si="30"/>
        <v>1186720.6000000001</v>
      </c>
      <c r="AG175" s="6">
        <f t="shared" si="31"/>
        <v>500466579.39999998</v>
      </c>
      <c r="AH175" s="6">
        <f t="shared" si="32"/>
        <v>79928080</v>
      </c>
      <c r="AI175" s="6">
        <f t="shared" si="33"/>
        <v>254790044.40000001</v>
      </c>
      <c r="AJ175" s="6">
        <f t="shared" si="34"/>
        <v>16933.599999999999</v>
      </c>
      <c r="AK175" s="6">
        <f t="shared" si="35"/>
        <v>71187540</v>
      </c>
      <c r="AL175" s="6">
        <f t="shared" si="36"/>
        <v>94544002.900000006</v>
      </c>
      <c r="AM175" s="3">
        <f t="shared" si="37"/>
        <v>0.15970712788818842</v>
      </c>
      <c r="AN175" s="3">
        <f t="shared" si="38"/>
        <v>0.50910501297701638</v>
      </c>
      <c r="AO175" s="3">
        <f t="shared" si="39"/>
        <v>3.3835625987855922E-5</v>
      </c>
      <c r="AP175" s="3">
        <f t="shared" si="40"/>
        <v>0.14224234530374719</v>
      </c>
      <c r="AQ175" s="3">
        <f t="shared" si="41"/>
        <v>0.18891172116497179</v>
      </c>
    </row>
    <row r="176" spans="1:43" x14ac:dyDescent="0.3">
      <c r="A176" t="s">
        <v>179</v>
      </c>
      <c r="B176" t="s">
        <v>7</v>
      </c>
      <c r="C176" t="s">
        <v>168</v>
      </c>
      <c r="D176" s="6">
        <v>2040</v>
      </c>
      <c r="E176" t="s">
        <v>195</v>
      </c>
      <c r="F176" s="6">
        <v>409.2</v>
      </c>
      <c r="G176" s="7">
        <v>415.1</v>
      </c>
      <c r="H176" s="7">
        <v>797.6</v>
      </c>
      <c r="I176" s="6">
        <v>512210750</v>
      </c>
      <c r="J176" s="6">
        <v>80927120</v>
      </c>
      <c r="K176" s="6">
        <v>71187540</v>
      </c>
      <c r="L176" s="6">
        <v>73937540</v>
      </c>
      <c r="M176" s="6">
        <v>0</v>
      </c>
      <c r="N176" s="6">
        <v>13047.8</v>
      </c>
      <c r="O176" s="6">
        <v>270262940</v>
      </c>
      <c r="P176" s="6">
        <v>0</v>
      </c>
      <c r="Q176" s="6">
        <v>1809549.6</v>
      </c>
      <c r="R176" s="6">
        <v>4624052</v>
      </c>
      <c r="S176" s="6">
        <v>0</v>
      </c>
      <c r="T176" s="6">
        <v>1172339.2</v>
      </c>
      <c r="U176" s="6">
        <v>0</v>
      </c>
      <c r="V176" s="6">
        <v>21913648</v>
      </c>
      <c r="W176" s="6">
        <v>76645.3</v>
      </c>
      <c r="X176" s="6">
        <v>0</v>
      </c>
      <c r="Y176" s="6">
        <v>44058056</v>
      </c>
      <c r="Z176" s="6">
        <v>14878770</v>
      </c>
      <c r="AA176" s="6">
        <v>0</v>
      </c>
      <c r="AB176" s="6">
        <v>8276635</v>
      </c>
      <c r="AC176" s="6">
        <v>0</v>
      </c>
      <c r="AD176" s="6">
        <f t="shared" si="28"/>
        <v>512210750</v>
      </c>
      <c r="AE176" s="6">
        <f t="shared" si="29"/>
        <v>0</v>
      </c>
      <c r="AF176" s="6">
        <f t="shared" si="30"/>
        <v>1172339.2</v>
      </c>
      <c r="AG176" s="6">
        <f t="shared" si="31"/>
        <v>511038410.80000001</v>
      </c>
      <c r="AH176" s="6">
        <f t="shared" si="32"/>
        <v>73937540</v>
      </c>
      <c r="AI176" s="6">
        <f t="shared" si="33"/>
        <v>272072489.60000002</v>
      </c>
      <c r="AJ176" s="6">
        <f t="shared" si="34"/>
        <v>13047.8</v>
      </c>
      <c r="AK176" s="6">
        <f t="shared" si="35"/>
        <v>71187540</v>
      </c>
      <c r="AL176" s="6">
        <f t="shared" si="36"/>
        <v>93827806.299999997</v>
      </c>
      <c r="AM176" s="3">
        <f t="shared" si="37"/>
        <v>0.14468098373320942</v>
      </c>
      <c r="AN176" s="3">
        <f t="shared" si="38"/>
        <v>0.5323914677452265</v>
      </c>
      <c r="AO176" s="3">
        <f t="shared" si="39"/>
        <v>2.5531936003742751E-5</v>
      </c>
      <c r="AP176" s="3">
        <f t="shared" si="40"/>
        <v>0.13929978353008762</v>
      </c>
      <c r="AQ176" s="3">
        <f t="shared" si="41"/>
        <v>0.18360225829819365</v>
      </c>
    </row>
    <row r="177" spans="1:43" x14ac:dyDescent="0.3">
      <c r="A177" t="s">
        <v>179</v>
      </c>
      <c r="B177" t="s">
        <v>7</v>
      </c>
      <c r="C177" t="s">
        <v>168</v>
      </c>
      <c r="D177" s="6">
        <v>2042</v>
      </c>
      <c r="E177" t="s">
        <v>195</v>
      </c>
      <c r="F177" s="6">
        <v>392.1</v>
      </c>
      <c r="G177" s="7">
        <v>410.1</v>
      </c>
      <c r="H177" s="7">
        <v>790.4</v>
      </c>
      <c r="I177" s="6">
        <v>524311700</v>
      </c>
      <c r="J177" s="6">
        <v>85744150</v>
      </c>
      <c r="K177" s="6">
        <v>71187540</v>
      </c>
      <c r="L177" s="6">
        <v>66023468</v>
      </c>
      <c r="M177" s="6">
        <v>0</v>
      </c>
      <c r="N177" s="6">
        <v>7707.5</v>
      </c>
      <c r="O177" s="6">
        <v>282149440</v>
      </c>
      <c r="P177" s="6">
        <v>0</v>
      </c>
      <c r="Q177" s="6">
        <v>1463062.8</v>
      </c>
      <c r="R177" s="6">
        <v>4624269</v>
      </c>
      <c r="S177" s="6">
        <v>0</v>
      </c>
      <c r="T177" s="6">
        <v>1156649</v>
      </c>
      <c r="U177" s="6">
        <v>0</v>
      </c>
      <c r="V177" s="6">
        <v>26270482</v>
      </c>
      <c r="W177" s="6">
        <v>76255.8</v>
      </c>
      <c r="X177" s="6">
        <v>0</v>
      </c>
      <c r="Y177" s="6">
        <v>43801950</v>
      </c>
      <c r="Z177" s="6">
        <v>15595459</v>
      </c>
      <c r="AA177" s="6">
        <v>0</v>
      </c>
      <c r="AB177" s="6">
        <v>11955442</v>
      </c>
      <c r="AC177" s="6">
        <v>0</v>
      </c>
      <c r="AD177" s="6">
        <f t="shared" si="28"/>
        <v>524311700</v>
      </c>
      <c r="AE177" s="6">
        <f t="shared" si="29"/>
        <v>0</v>
      </c>
      <c r="AF177" s="6">
        <f t="shared" si="30"/>
        <v>1156649</v>
      </c>
      <c r="AG177" s="6">
        <f t="shared" si="31"/>
        <v>523155051</v>
      </c>
      <c r="AH177" s="6">
        <f t="shared" si="32"/>
        <v>66023468</v>
      </c>
      <c r="AI177" s="6">
        <f t="shared" si="33"/>
        <v>283612502.80000001</v>
      </c>
      <c r="AJ177" s="6">
        <f t="shared" si="34"/>
        <v>7707.5</v>
      </c>
      <c r="AK177" s="6">
        <f t="shared" si="35"/>
        <v>71187540</v>
      </c>
      <c r="AL177" s="6">
        <f t="shared" si="36"/>
        <v>102323857.8</v>
      </c>
      <c r="AM177" s="3">
        <f t="shared" si="37"/>
        <v>0.12620248600065603</v>
      </c>
      <c r="AN177" s="3">
        <f t="shared" si="38"/>
        <v>0.54211940085043742</v>
      </c>
      <c r="AO177" s="3">
        <f t="shared" si="39"/>
        <v>1.4732725958140467E-5</v>
      </c>
      <c r="AP177" s="3">
        <f t="shared" si="40"/>
        <v>0.13607350223213271</v>
      </c>
      <c r="AQ177" s="3">
        <f t="shared" si="41"/>
        <v>0.19558992616894375</v>
      </c>
    </row>
    <row r="178" spans="1:43" x14ac:dyDescent="0.3">
      <c r="A178" t="s">
        <v>179</v>
      </c>
      <c r="B178" t="s">
        <v>7</v>
      </c>
      <c r="C178" t="s">
        <v>168</v>
      </c>
      <c r="D178" s="6">
        <v>2044</v>
      </c>
      <c r="E178" t="s">
        <v>195</v>
      </c>
      <c r="F178" s="6">
        <v>389.3</v>
      </c>
      <c r="G178" s="7">
        <v>419</v>
      </c>
      <c r="H178" s="7">
        <v>768.4</v>
      </c>
      <c r="I178" s="6">
        <v>529276740</v>
      </c>
      <c r="J178" s="6">
        <v>85747510</v>
      </c>
      <c r="K178" s="6">
        <v>71187540</v>
      </c>
      <c r="L178" s="6">
        <v>64504696</v>
      </c>
      <c r="M178" s="6">
        <v>0</v>
      </c>
      <c r="N178" s="6">
        <v>5339</v>
      </c>
      <c r="O178" s="6">
        <v>289222460</v>
      </c>
      <c r="P178" s="6">
        <v>0</v>
      </c>
      <c r="Q178" s="6">
        <v>1427202.4</v>
      </c>
      <c r="R178" s="6">
        <v>4623500</v>
      </c>
      <c r="S178" s="6">
        <v>0</v>
      </c>
      <c r="T178" s="6">
        <v>1072932.2</v>
      </c>
      <c r="U178" s="6">
        <v>0</v>
      </c>
      <c r="V178" s="6">
        <v>26110836</v>
      </c>
      <c r="W178" s="6">
        <v>75844.600000000006</v>
      </c>
      <c r="X178" s="6">
        <v>0</v>
      </c>
      <c r="Y178" s="6">
        <v>43236788</v>
      </c>
      <c r="Z178" s="6">
        <v>16324042</v>
      </c>
      <c r="AA178" s="6">
        <v>0</v>
      </c>
      <c r="AB178" s="6">
        <v>11485551</v>
      </c>
      <c r="AC178" s="6">
        <v>0</v>
      </c>
      <c r="AD178" s="6">
        <f t="shared" si="28"/>
        <v>529276740</v>
      </c>
      <c r="AE178" s="6">
        <f t="shared" si="29"/>
        <v>0</v>
      </c>
      <c r="AF178" s="6">
        <f t="shared" si="30"/>
        <v>1072932.2</v>
      </c>
      <c r="AG178" s="6">
        <f t="shared" si="31"/>
        <v>528203807.80000001</v>
      </c>
      <c r="AH178" s="6">
        <f t="shared" si="32"/>
        <v>64504696</v>
      </c>
      <c r="AI178" s="6">
        <f t="shared" si="33"/>
        <v>290649662.39999998</v>
      </c>
      <c r="AJ178" s="6">
        <f t="shared" si="34"/>
        <v>5339</v>
      </c>
      <c r="AK178" s="6">
        <f t="shared" si="35"/>
        <v>71187540</v>
      </c>
      <c r="AL178" s="6">
        <f t="shared" si="36"/>
        <v>101856561.59999999</v>
      </c>
      <c r="AM178" s="3">
        <f t="shared" si="37"/>
        <v>0.12212084624809098</v>
      </c>
      <c r="AN178" s="3">
        <f t="shared" si="38"/>
        <v>0.55026044513115679</v>
      </c>
      <c r="AO178" s="3">
        <f t="shared" si="39"/>
        <v>1.0107840801521765E-5</v>
      </c>
      <c r="AP178" s="3">
        <f t="shared" si="40"/>
        <v>0.13477286408914826</v>
      </c>
      <c r="AQ178" s="3">
        <f t="shared" si="41"/>
        <v>0.19283572003056657</v>
      </c>
    </row>
    <row r="179" spans="1:43" x14ac:dyDescent="0.3">
      <c r="A179" t="s">
        <v>179</v>
      </c>
      <c r="B179" t="s">
        <v>7</v>
      </c>
      <c r="C179" t="s">
        <v>168</v>
      </c>
      <c r="D179" s="6">
        <v>2046</v>
      </c>
      <c r="E179" t="s">
        <v>195</v>
      </c>
      <c r="F179" s="6">
        <v>376.7</v>
      </c>
      <c r="G179" s="7">
        <v>438.4</v>
      </c>
      <c r="H179" s="7">
        <v>734.9</v>
      </c>
      <c r="I179" s="6">
        <v>552346430</v>
      </c>
      <c r="J179" s="6">
        <v>93471880</v>
      </c>
      <c r="K179" s="6">
        <v>71187540</v>
      </c>
      <c r="L179" s="6">
        <v>57873524</v>
      </c>
      <c r="M179" s="6">
        <v>0</v>
      </c>
      <c r="N179" s="6">
        <v>6031.4</v>
      </c>
      <c r="O179" s="6">
        <v>311468580</v>
      </c>
      <c r="P179" s="6">
        <v>0</v>
      </c>
      <c r="Q179" s="6">
        <v>1692572.4</v>
      </c>
      <c r="R179" s="6">
        <v>4619834.5</v>
      </c>
      <c r="S179" s="6">
        <v>0</v>
      </c>
      <c r="T179" s="6">
        <v>1045240.7</v>
      </c>
      <c r="U179" s="6">
        <v>0</v>
      </c>
      <c r="V179" s="6">
        <v>30693350</v>
      </c>
      <c r="W179" s="6">
        <v>75404.7</v>
      </c>
      <c r="X179" s="6">
        <v>0</v>
      </c>
      <c r="Y179" s="6">
        <v>45569468</v>
      </c>
      <c r="Z179" s="6">
        <v>17133660</v>
      </c>
      <c r="AA179" s="6">
        <v>0</v>
      </c>
      <c r="AB179" s="6">
        <v>10981250</v>
      </c>
      <c r="AC179" s="6">
        <v>0</v>
      </c>
      <c r="AD179" s="6">
        <f t="shared" si="28"/>
        <v>552346430</v>
      </c>
      <c r="AE179" s="6">
        <f t="shared" si="29"/>
        <v>0</v>
      </c>
      <c r="AF179" s="6">
        <f t="shared" si="30"/>
        <v>1045240.7</v>
      </c>
      <c r="AG179" s="6">
        <f t="shared" si="31"/>
        <v>551301189.29999995</v>
      </c>
      <c r="AH179" s="6">
        <f t="shared" si="32"/>
        <v>57873524</v>
      </c>
      <c r="AI179" s="6">
        <f t="shared" si="33"/>
        <v>313161152.39999998</v>
      </c>
      <c r="AJ179" s="6">
        <f t="shared" si="34"/>
        <v>6031.4</v>
      </c>
      <c r="AK179" s="6">
        <f t="shared" si="35"/>
        <v>71187540</v>
      </c>
      <c r="AL179" s="6">
        <f t="shared" si="36"/>
        <v>109072967.2</v>
      </c>
      <c r="AM179" s="3">
        <f t="shared" si="37"/>
        <v>0.10497623644433521</v>
      </c>
      <c r="AN179" s="3">
        <f t="shared" si="38"/>
        <v>0.56804004503895233</v>
      </c>
      <c r="AO179" s="3">
        <f t="shared" si="39"/>
        <v>1.094029927208793E-5</v>
      </c>
      <c r="AP179" s="3">
        <f t="shared" si="40"/>
        <v>0.1291264038272591</v>
      </c>
      <c r="AQ179" s="3">
        <f t="shared" si="41"/>
        <v>0.19784642100716762</v>
      </c>
    </row>
    <row r="180" spans="1:43" x14ac:dyDescent="0.3">
      <c r="A180" t="s">
        <v>179</v>
      </c>
      <c r="B180" t="s">
        <v>7</v>
      </c>
      <c r="C180" t="s">
        <v>168</v>
      </c>
      <c r="D180" s="6">
        <v>2048</v>
      </c>
      <c r="E180" t="s">
        <v>195</v>
      </c>
      <c r="F180" s="6">
        <v>363.9</v>
      </c>
      <c r="G180" s="7">
        <v>405</v>
      </c>
      <c r="H180" s="7">
        <v>720.3</v>
      </c>
      <c r="I180" s="6">
        <v>563997300</v>
      </c>
      <c r="J180" s="6">
        <v>103992800</v>
      </c>
      <c r="K180" s="6">
        <v>71187540</v>
      </c>
      <c r="L180" s="6">
        <v>53055064</v>
      </c>
      <c r="M180" s="6">
        <v>0</v>
      </c>
      <c r="N180" s="6">
        <v>3805.6</v>
      </c>
      <c r="O180" s="6">
        <v>316060220</v>
      </c>
      <c r="P180" s="6">
        <v>0</v>
      </c>
      <c r="Q180" s="6">
        <v>2372616.5</v>
      </c>
      <c r="R180" s="6">
        <v>4623579</v>
      </c>
      <c r="S180" s="6">
        <v>0</v>
      </c>
      <c r="T180" s="6">
        <v>1033511.8</v>
      </c>
      <c r="U180" s="6">
        <v>0</v>
      </c>
      <c r="V180" s="6">
        <v>40506910</v>
      </c>
      <c r="W180" s="6">
        <v>75028.800000000003</v>
      </c>
      <c r="X180" s="6">
        <v>0</v>
      </c>
      <c r="Y180" s="6">
        <v>45507028</v>
      </c>
      <c r="Z180" s="6">
        <v>17903832</v>
      </c>
      <c r="AA180" s="6">
        <v>0</v>
      </c>
      <c r="AB180" s="6">
        <v>11668147</v>
      </c>
      <c r="AC180" s="6">
        <v>0</v>
      </c>
      <c r="AD180" s="6">
        <f t="shared" si="28"/>
        <v>563997300</v>
      </c>
      <c r="AE180" s="6">
        <f t="shared" si="29"/>
        <v>0</v>
      </c>
      <c r="AF180" s="6">
        <f t="shared" si="30"/>
        <v>1033511.8</v>
      </c>
      <c r="AG180" s="6">
        <f t="shared" si="31"/>
        <v>562963788.20000005</v>
      </c>
      <c r="AH180" s="6">
        <f t="shared" si="32"/>
        <v>53055064</v>
      </c>
      <c r="AI180" s="6">
        <f t="shared" si="33"/>
        <v>318432836.5</v>
      </c>
      <c r="AJ180" s="6">
        <f t="shared" si="34"/>
        <v>3805.6</v>
      </c>
      <c r="AK180" s="6">
        <f t="shared" si="35"/>
        <v>71187540</v>
      </c>
      <c r="AL180" s="6">
        <f t="shared" si="36"/>
        <v>120284524.8</v>
      </c>
      <c r="AM180" s="3">
        <f t="shared" si="37"/>
        <v>9.4242409746524425E-2</v>
      </c>
      <c r="AN180" s="3">
        <f t="shared" si="38"/>
        <v>0.56563644620579523</v>
      </c>
      <c r="AO180" s="3">
        <f t="shared" si="39"/>
        <v>6.7599374591532561E-6</v>
      </c>
      <c r="AP180" s="3">
        <f t="shared" si="40"/>
        <v>0.12645136595306147</v>
      </c>
      <c r="AQ180" s="3">
        <f t="shared" si="41"/>
        <v>0.21366298742694156</v>
      </c>
    </row>
    <row r="181" spans="1:43" x14ac:dyDescent="0.3">
      <c r="A181" t="s">
        <v>179</v>
      </c>
      <c r="B181" t="s">
        <v>7</v>
      </c>
      <c r="C181" t="s">
        <v>168</v>
      </c>
      <c r="D181" s="6">
        <v>2050</v>
      </c>
      <c r="E181" t="s">
        <v>195</v>
      </c>
      <c r="F181" s="6">
        <v>329</v>
      </c>
      <c r="G181" s="7">
        <v>354.7</v>
      </c>
      <c r="H181" s="7">
        <v>698.7</v>
      </c>
      <c r="I181" s="6">
        <v>572864300</v>
      </c>
      <c r="J181" s="6">
        <v>122087064</v>
      </c>
      <c r="K181" s="6">
        <v>71187540</v>
      </c>
      <c r="L181" s="6">
        <v>34210776</v>
      </c>
      <c r="M181" s="6">
        <v>0</v>
      </c>
      <c r="N181" s="6">
        <v>2028.9</v>
      </c>
      <c r="O181" s="6">
        <v>324032480</v>
      </c>
      <c r="P181" s="6">
        <v>0</v>
      </c>
      <c r="Q181" s="6">
        <v>3928181.2</v>
      </c>
      <c r="R181" s="6">
        <v>4626593</v>
      </c>
      <c r="S181" s="6">
        <v>0</v>
      </c>
      <c r="T181" s="6">
        <v>959178.4</v>
      </c>
      <c r="U181" s="6">
        <v>0</v>
      </c>
      <c r="V181" s="6">
        <v>55020972</v>
      </c>
      <c r="W181" s="6">
        <v>74624.2</v>
      </c>
      <c r="X181" s="6">
        <v>0</v>
      </c>
      <c r="Y181" s="6">
        <v>48365040</v>
      </c>
      <c r="Z181" s="6">
        <v>18626430</v>
      </c>
      <c r="AA181" s="6">
        <v>0</v>
      </c>
      <c r="AB181" s="6">
        <v>11830480</v>
      </c>
      <c r="AC181" s="6">
        <v>0</v>
      </c>
      <c r="AD181" s="6">
        <f t="shared" si="28"/>
        <v>572864300</v>
      </c>
      <c r="AE181" s="6">
        <f t="shared" si="29"/>
        <v>0</v>
      </c>
      <c r="AF181" s="6">
        <f t="shared" si="30"/>
        <v>959178.4</v>
      </c>
      <c r="AG181" s="6">
        <f t="shared" si="31"/>
        <v>571905121.60000002</v>
      </c>
      <c r="AH181" s="6">
        <f t="shared" si="32"/>
        <v>34210776</v>
      </c>
      <c r="AI181" s="6">
        <f t="shared" si="33"/>
        <v>327960661.19999999</v>
      </c>
      <c r="AJ181" s="6">
        <f t="shared" si="34"/>
        <v>2028.9</v>
      </c>
      <c r="AK181" s="6">
        <f t="shared" si="35"/>
        <v>71187540</v>
      </c>
      <c r="AL181" s="6">
        <f t="shared" si="36"/>
        <v>138544139.19999999</v>
      </c>
      <c r="AM181" s="3">
        <f t="shared" si="37"/>
        <v>5.9818971203282188E-2</v>
      </c>
      <c r="AN181" s="3">
        <f t="shared" si="38"/>
        <v>0.57345291869825421</v>
      </c>
      <c r="AO181" s="3">
        <f t="shared" si="39"/>
        <v>3.5476164198771531E-6</v>
      </c>
      <c r="AP181" s="3">
        <f t="shared" si="40"/>
        <v>0.12447438799086284</v>
      </c>
      <c r="AQ181" s="3">
        <f t="shared" si="41"/>
        <v>0.24225021593162102</v>
      </c>
    </row>
    <row r="182" spans="1:43" x14ac:dyDescent="0.3">
      <c r="A182" t="s">
        <v>179</v>
      </c>
      <c r="B182" t="s">
        <v>7</v>
      </c>
      <c r="C182" t="s">
        <v>169</v>
      </c>
      <c r="D182" s="6">
        <v>2022</v>
      </c>
      <c r="E182" t="s">
        <v>195</v>
      </c>
      <c r="F182" s="6">
        <v>560.79999999999995</v>
      </c>
      <c r="G182" s="7">
        <v>630.4</v>
      </c>
      <c r="H182" s="7">
        <v>971.2</v>
      </c>
      <c r="I182" s="6">
        <v>79516460</v>
      </c>
      <c r="J182" s="6">
        <v>32917178</v>
      </c>
      <c r="K182" s="6">
        <v>0</v>
      </c>
      <c r="L182" s="6">
        <v>36247000</v>
      </c>
      <c r="M182" s="6">
        <v>0</v>
      </c>
      <c r="N182" s="6">
        <v>4381.3</v>
      </c>
      <c r="O182" s="6">
        <v>7427765.5</v>
      </c>
      <c r="P182" s="6">
        <v>0</v>
      </c>
      <c r="Q182" s="6">
        <v>13520.5</v>
      </c>
      <c r="R182" s="6">
        <v>2383466.7999999998</v>
      </c>
      <c r="S182" s="6">
        <v>0</v>
      </c>
      <c r="T182" s="6">
        <v>129552.7</v>
      </c>
      <c r="U182" s="6">
        <v>0</v>
      </c>
      <c r="V182" s="6">
        <v>28017028</v>
      </c>
      <c r="W182" s="6">
        <v>0</v>
      </c>
      <c r="X182" s="6">
        <v>58178.400000000001</v>
      </c>
      <c r="Y182" s="6">
        <v>3722722</v>
      </c>
      <c r="Z182" s="6">
        <v>1119249.6000000001</v>
      </c>
      <c r="AA182" s="6">
        <v>204001.8</v>
      </c>
      <c r="AB182" s="6">
        <v>189598.6</v>
      </c>
      <c r="AC182" s="6">
        <v>0</v>
      </c>
      <c r="AD182" s="6">
        <f t="shared" si="28"/>
        <v>79516460</v>
      </c>
      <c r="AE182" s="6">
        <f t="shared" si="29"/>
        <v>0</v>
      </c>
      <c r="AF182" s="6">
        <f t="shared" si="30"/>
        <v>129552.7</v>
      </c>
      <c r="AG182" s="6">
        <f t="shared" si="31"/>
        <v>79386907.299999997</v>
      </c>
      <c r="AH182" s="6">
        <f t="shared" si="32"/>
        <v>36247000</v>
      </c>
      <c r="AI182" s="6">
        <f t="shared" si="33"/>
        <v>7441286</v>
      </c>
      <c r="AJ182" s="6">
        <f t="shared" si="34"/>
        <v>4381.3</v>
      </c>
      <c r="AK182" s="6">
        <f t="shared" si="35"/>
        <v>0</v>
      </c>
      <c r="AL182" s="6">
        <f t="shared" si="36"/>
        <v>35694245.200000003</v>
      </c>
      <c r="AM182" s="3">
        <f t="shared" si="37"/>
        <v>0.45658662407673867</v>
      </c>
      <c r="AN182" s="3">
        <f t="shared" si="38"/>
        <v>9.3734423635873268E-2</v>
      </c>
      <c r="AO182" s="3">
        <f t="shared" si="39"/>
        <v>5.5189201204718051E-5</v>
      </c>
      <c r="AP182" s="3">
        <f t="shared" si="40"/>
        <v>0</v>
      </c>
      <c r="AQ182" s="3">
        <f t="shared" si="41"/>
        <v>0.4496238285881683</v>
      </c>
    </row>
    <row r="183" spans="1:43" x14ac:dyDescent="0.3">
      <c r="A183" t="s">
        <v>179</v>
      </c>
      <c r="B183" t="s">
        <v>7</v>
      </c>
      <c r="C183" t="s">
        <v>169</v>
      </c>
      <c r="D183" s="6">
        <v>2024</v>
      </c>
      <c r="E183" t="s">
        <v>195</v>
      </c>
      <c r="F183" s="6">
        <v>481.9</v>
      </c>
      <c r="G183" s="7">
        <v>464.9</v>
      </c>
      <c r="H183" s="7">
        <v>873</v>
      </c>
      <c r="I183" s="6">
        <v>80759530</v>
      </c>
      <c r="J183" s="6">
        <v>37270616</v>
      </c>
      <c r="K183" s="6">
        <v>0</v>
      </c>
      <c r="L183" s="6">
        <v>29934378</v>
      </c>
      <c r="M183" s="6">
        <v>0</v>
      </c>
      <c r="N183" s="6">
        <v>4740</v>
      </c>
      <c r="O183" s="6">
        <v>10744450</v>
      </c>
      <c r="P183" s="6">
        <v>0</v>
      </c>
      <c r="Q183" s="6">
        <v>13515</v>
      </c>
      <c r="R183" s="6">
        <v>2385110.2000000002</v>
      </c>
      <c r="S183" s="6">
        <v>0</v>
      </c>
      <c r="T183" s="6">
        <v>129637.5</v>
      </c>
      <c r="U183" s="6">
        <v>0</v>
      </c>
      <c r="V183" s="6">
        <v>32302716</v>
      </c>
      <c r="W183" s="6">
        <v>0</v>
      </c>
      <c r="X183" s="6">
        <v>58125.5</v>
      </c>
      <c r="Y183" s="6">
        <v>3670787.2</v>
      </c>
      <c r="Z183" s="6">
        <v>1238986.2</v>
      </c>
      <c r="AA183" s="6">
        <v>154222.70000000001</v>
      </c>
      <c r="AB183" s="6">
        <v>122857.60000000001</v>
      </c>
      <c r="AC183" s="6">
        <v>0</v>
      </c>
      <c r="AD183" s="6">
        <f t="shared" si="28"/>
        <v>80759530</v>
      </c>
      <c r="AE183" s="6">
        <f t="shared" si="29"/>
        <v>0</v>
      </c>
      <c r="AF183" s="6">
        <f t="shared" si="30"/>
        <v>129637.5</v>
      </c>
      <c r="AG183" s="6">
        <f t="shared" si="31"/>
        <v>80629892.5</v>
      </c>
      <c r="AH183" s="6">
        <f t="shared" si="32"/>
        <v>29934378</v>
      </c>
      <c r="AI183" s="6">
        <f t="shared" si="33"/>
        <v>10757965</v>
      </c>
      <c r="AJ183" s="6">
        <f t="shared" si="34"/>
        <v>4740</v>
      </c>
      <c r="AK183" s="6">
        <f t="shared" si="35"/>
        <v>0</v>
      </c>
      <c r="AL183" s="6">
        <f t="shared" si="36"/>
        <v>39932805.400000013</v>
      </c>
      <c r="AM183" s="3">
        <f t="shared" si="37"/>
        <v>0.37125657832174341</v>
      </c>
      <c r="AN183" s="3">
        <f t="shared" si="38"/>
        <v>0.13342402757141217</v>
      </c>
      <c r="AO183" s="3">
        <f t="shared" si="39"/>
        <v>5.8787130343749376E-5</v>
      </c>
      <c r="AP183" s="3">
        <f t="shared" si="40"/>
        <v>0</v>
      </c>
      <c r="AQ183" s="3">
        <f t="shared" si="41"/>
        <v>0.49526055612687331</v>
      </c>
    </row>
    <row r="184" spans="1:43" x14ac:dyDescent="0.3">
      <c r="A184" t="s">
        <v>179</v>
      </c>
      <c r="B184" t="s">
        <v>7</v>
      </c>
      <c r="C184" t="s">
        <v>169</v>
      </c>
      <c r="D184" s="6">
        <v>2026</v>
      </c>
      <c r="E184" t="s">
        <v>195</v>
      </c>
      <c r="F184" s="6">
        <v>472.3</v>
      </c>
      <c r="G184" s="7">
        <v>286</v>
      </c>
      <c r="H184" s="7">
        <v>870</v>
      </c>
      <c r="I184" s="6">
        <v>86237090</v>
      </c>
      <c r="J184" s="6">
        <v>42848064</v>
      </c>
      <c r="K184" s="6">
        <v>0</v>
      </c>
      <c r="L184" s="6">
        <v>33016806</v>
      </c>
      <c r="M184" s="6">
        <v>0</v>
      </c>
      <c r="N184" s="6">
        <v>3689.5</v>
      </c>
      <c r="O184" s="6">
        <v>7572283</v>
      </c>
      <c r="P184" s="6">
        <v>0</v>
      </c>
      <c r="Q184" s="6">
        <v>10191.299999999999</v>
      </c>
      <c r="R184" s="6">
        <v>2376505.7999999998</v>
      </c>
      <c r="S184" s="6">
        <v>0</v>
      </c>
      <c r="T184" s="6">
        <v>129107.8</v>
      </c>
      <c r="U184" s="6">
        <v>0</v>
      </c>
      <c r="V184" s="6">
        <v>37737000</v>
      </c>
      <c r="W184" s="6">
        <v>0</v>
      </c>
      <c r="X184" s="6">
        <v>58668.2</v>
      </c>
      <c r="Y184" s="6">
        <v>3619575.5</v>
      </c>
      <c r="Z184" s="6">
        <v>1432820.9</v>
      </c>
      <c r="AA184" s="6">
        <v>151515.79999999999</v>
      </c>
      <c r="AB184" s="6">
        <v>128922.3</v>
      </c>
      <c r="AC184" s="6">
        <v>0</v>
      </c>
      <c r="AD184" s="6">
        <f t="shared" si="28"/>
        <v>86237090</v>
      </c>
      <c r="AE184" s="6">
        <f t="shared" si="29"/>
        <v>0</v>
      </c>
      <c r="AF184" s="6">
        <f t="shared" si="30"/>
        <v>129107.8</v>
      </c>
      <c r="AG184" s="6">
        <f t="shared" si="31"/>
        <v>86107982.200000003</v>
      </c>
      <c r="AH184" s="6">
        <f t="shared" si="32"/>
        <v>33016806</v>
      </c>
      <c r="AI184" s="6">
        <f t="shared" si="33"/>
        <v>7582474.2999999998</v>
      </c>
      <c r="AJ184" s="6">
        <f t="shared" si="34"/>
        <v>3689.5</v>
      </c>
      <c r="AK184" s="6">
        <f t="shared" si="35"/>
        <v>0</v>
      </c>
      <c r="AL184" s="6">
        <f t="shared" si="36"/>
        <v>45505008.499999993</v>
      </c>
      <c r="AM184" s="3">
        <f t="shared" si="37"/>
        <v>0.38343490529499363</v>
      </c>
      <c r="AN184" s="3">
        <f t="shared" si="38"/>
        <v>8.8057739901376983E-2</v>
      </c>
      <c r="AO184" s="3">
        <f t="shared" si="39"/>
        <v>4.2847363342349926E-5</v>
      </c>
      <c r="AP184" s="3">
        <f t="shared" si="40"/>
        <v>0</v>
      </c>
      <c r="AQ184" s="3">
        <f t="shared" si="41"/>
        <v>0.52846446214831855</v>
      </c>
    </row>
    <row r="185" spans="1:43" x14ac:dyDescent="0.3">
      <c r="A185" t="s">
        <v>179</v>
      </c>
      <c r="B185" t="s">
        <v>7</v>
      </c>
      <c r="C185" t="s">
        <v>169</v>
      </c>
      <c r="D185" s="6">
        <v>2028</v>
      </c>
      <c r="E185" t="s">
        <v>195</v>
      </c>
      <c r="F185" s="6">
        <v>452.9</v>
      </c>
      <c r="G185" s="7">
        <v>242</v>
      </c>
      <c r="H185" s="7">
        <v>839.6</v>
      </c>
      <c r="I185" s="6">
        <v>86873410</v>
      </c>
      <c r="J185" s="6">
        <v>45194170</v>
      </c>
      <c r="K185" s="6">
        <v>0</v>
      </c>
      <c r="L185" s="6">
        <v>32065574</v>
      </c>
      <c r="M185" s="6">
        <v>0</v>
      </c>
      <c r="N185" s="6">
        <v>22.1</v>
      </c>
      <c r="O185" s="6">
        <v>6726579</v>
      </c>
      <c r="P185" s="6">
        <v>0</v>
      </c>
      <c r="Q185" s="6">
        <v>18729.599999999999</v>
      </c>
      <c r="R185" s="6">
        <v>2362697.7999999998</v>
      </c>
      <c r="S185" s="6">
        <v>0</v>
      </c>
      <c r="T185" s="6">
        <v>128747.5</v>
      </c>
      <c r="U185" s="6">
        <v>0</v>
      </c>
      <c r="V185" s="6">
        <v>39850390</v>
      </c>
      <c r="W185" s="6">
        <v>0</v>
      </c>
      <c r="X185" s="6">
        <v>58655.4</v>
      </c>
      <c r="Y185" s="6">
        <v>3569078.5</v>
      </c>
      <c r="Z185" s="6">
        <v>1716043.8</v>
      </c>
      <c r="AA185" s="6">
        <v>207927.6</v>
      </c>
      <c r="AB185" s="6">
        <v>168961.9</v>
      </c>
      <c r="AC185" s="6">
        <v>0</v>
      </c>
      <c r="AD185" s="6">
        <f t="shared" si="28"/>
        <v>86873410</v>
      </c>
      <c r="AE185" s="6">
        <f t="shared" si="29"/>
        <v>0</v>
      </c>
      <c r="AF185" s="6">
        <f t="shared" si="30"/>
        <v>128747.5</v>
      </c>
      <c r="AG185" s="6">
        <f t="shared" si="31"/>
        <v>86744662.5</v>
      </c>
      <c r="AH185" s="6">
        <f t="shared" si="32"/>
        <v>32065574</v>
      </c>
      <c r="AI185" s="6">
        <f t="shared" si="33"/>
        <v>6745308.5999999996</v>
      </c>
      <c r="AJ185" s="6">
        <f t="shared" si="34"/>
        <v>22.1</v>
      </c>
      <c r="AK185" s="6">
        <f t="shared" si="35"/>
        <v>0</v>
      </c>
      <c r="AL185" s="6">
        <f t="shared" si="36"/>
        <v>47933754.999999993</v>
      </c>
      <c r="AM185" s="3">
        <f t="shared" si="37"/>
        <v>0.36965472083080614</v>
      </c>
      <c r="AN185" s="3">
        <f t="shared" si="38"/>
        <v>7.7760503131820924E-2</v>
      </c>
      <c r="AO185" s="3">
        <f t="shared" si="39"/>
        <v>2.5477071860185059E-7</v>
      </c>
      <c r="AP185" s="3">
        <f t="shared" si="40"/>
        <v>0</v>
      </c>
      <c r="AQ185" s="3">
        <f t="shared" si="41"/>
        <v>0.55258448898801116</v>
      </c>
    </row>
    <row r="186" spans="1:43" x14ac:dyDescent="0.3">
      <c r="A186" t="s">
        <v>179</v>
      </c>
      <c r="B186" t="s">
        <v>7</v>
      </c>
      <c r="C186" t="s">
        <v>169</v>
      </c>
      <c r="D186" s="6">
        <v>2030</v>
      </c>
      <c r="E186" t="s">
        <v>195</v>
      </c>
      <c r="F186" s="6">
        <v>408.6</v>
      </c>
      <c r="G186" s="7">
        <v>327.3</v>
      </c>
      <c r="H186" s="7">
        <v>787.6</v>
      </c>
      <c r="I186" s="6">
        <v>84497130</v>
      </c>
      <c r="J186" s="6">
        <v>45989004</v>
      </c>
      <c r="K186" s="6">
        <v>0</v>
      </c>
      <c r="L186" s="6">
        <v>27510588</v>
      </c>
      <c r="M186" s="6">
        <v>0</v>
      </c>
      <c r="N186" s="6">
        <v>0</v>
      </c>
      <c r="O186" s="6">
        <v>7722145.5</v>
      </c>
      <c r="P186" s="6">
        <v>0</v>
      </c>
      <c r="Q186" s="6">
        <v>29291.4</v>
      </c>
      <c r="R186" s="6">
        <v>2340956.5</v>
      </c>
      <c r="S186" s="6">
        <v>0</v>
      </c>
      <c r="T186" s="6">
        <v>127508</v>
      </c>
      <c r="U186" s="6">
        <v>0</v>
      </c>
      <c r="V186" s="6">
        <v>39420252</v>
      </c>
      <c r="W186" s="6">
        <v>0</v>
      </c>
      <c r="X186" s="6">
        <v>58683.5</v>
      </c>
      <c r="Y186" s="6">
        <v>4380308.5</v>
      </c>
      <c r="Z186" s="6">
        <v>2129757.5</v>
      </c>
      <c r="AA186" s="6">
        <v>244829.4</v>
      </c>
      <c r="AB186" s="6">
        <v>532807.80000000005</v>
      </c>
      <c r="AC186" s="6">
        <v>0</v>
      </c>
      <c r="AD186" s="6">
        <f t="shared" si="28"/>
        <v>84497130</v>
      </c>
      <c r="AE186" s="6">
        <f t="shared" si="29"/>
        <v>0</v>
      </c>
      <c r="AF186" s="6">
        <f t="shared" si="30"/>
        <v>127508</v>
      </c>
      <c r="AG186" s="6">
        <f t="shared" si="31"/>
        <v>84369622</v>
      </c>
      <c r="AH186" s="6">
        <f t="shared" si="32"/>
        <v>27510588</v>
      </c>
      <c r="AI186" s="6">
        <f t="shared" si="33"/>
        <v>7751436.9000000004</v>
      </c>
      <c r="AJ186" s="6">
        <f t="shared" si="34"/>
        <v>0</v>
      </c>
      <c r="AK186" s="6">
        <f t="shared" si="35"/>
        <v>0</v>
      </c>
      <c r="AL186" s="6">
        <f t="shared" si="36"/>
        <v>49107595.199999996</v>
      </c>
      <c r="AM186" s="3">
        <f t="shared" si="37"/>
        <v>0.32607219693363093</v>
      </c>
      <c r="AN186" s="3">
        <f t="shared" si="38"/>
        <v>9.1874737805510143E-2</v>
      </c>
      <c r="AO186" s="3">
        <f t="shared" si="39"/>
        <v>0</v>
      </c>
      <c r="AP186" s="3">
        <f t="shared" si="40"/>
        <v>0</v>
      </c>
      <c r="AQ186" s="3">
        <f t="shared" si="41"/>
        <v>0.58205304274090497</v>
      </c>
    </row>
    <row r="187" spans="1:43" x14ac:dyDescent="0.3">
      <c r="A187" t="s">
        <v>179</v>
      </c>
      <c r="B187" t="s">
        <v>7</v>
      </c>
      <c r="C187" t="s">
        <v>169</v>
      </c>
      <c r="D187" s="6">
        <v>2032</v>
      </c>
      <c r="E187" t="s">
        <v>195</v>
      </c>
      <c r="F187" s="6">
        <v>418.3</v>
      </c>
      <c r="G187" s="7">
        <v>317.60000000000002</v>
      </c>
      <c r="H187" s="7">
        <v>771.9</v>
      </c>
      <c r="I187" s="6">
        <v>86184296</v>
      </c>
      <c r="J187" s="6">
        <v>46125170</v>
      </c>
      <c r="K187" s="6">
        <v>0</v>
      </c>
      <c r="L187" s="6">
        <v>28681190</v>
      </c>
      <c r="M187" s="6">
        <v>0</v>
      </c>
      <c r="N187" s="6">
        <v>0</v>
      </c>
      <c r="O187" s="6">
        <v>8024861</v>
      </c>
      <c r="P187" s="6">
        <v>0</v>
      </c>
      <c r="Q187" s="6">
        <v>28815.200000000001</v>
      </c>
      <c r="R187" s="6">
        <v>2349108.5</v>
      </c>
      <c r="S187" s="6">
        <v>0</v>
      </c>
      <c r="T187" s="6">
        <v>127815.2</v>
      </c>
      <c r="U187" s="6">
        <v>0</v>
      </c>
      <c r="V187" s="6">
        <v>39214290</v>
      </c>
      <c r="W187" s="6">
        <v>0</v>
      </c>
      <c r="X187" s="6">
        <v>58551.8</v>
      </c>
      <c r="Y187" s="6">
        <v>4319524</v>
      </c>
      <c r="Z187" s="6">
        <v>2532803</v>
      </c>
      <c r="AA187" s="6">
        <v>251009.2</v>
      </c>
      <c r="AB187" s="6">
        <v>596327</v>
      </c>
      <c r="AC187" s="6">
        <v>0</v>
      </c>
      <c r="AD187" s="6">
        <f t="shared" si="28"/>
        <v>86184296</v>
      </c>
      <c r="AE187" s="6">
        <f t="shared" si="29"/>
        <v>0</v>
      </c>
      <c r="AF187" s="6">
        <f t="shared" si="30"/>
        <v>127815.2</v>
      </c>
      <c r="AG187" s="6">
        <f t="shared" si="31"/>
        <v>86056480.799999997</v>
      </c>
      <c r="AH187" s="6">
        <f t="shared" si="32"/>
        <v>28681190</v>
      </c>
      <c r="AI187" s="6">
        <f t="shared" si="33"/>
        <v>8053676.2000000002</v>
      </c>
      <c r="AJ187" s="6">
        <f t="shared" si="34"/>
        <v>0</v>
      </c>
      <c r="AK187" s="6">
        <f t="shared" si="35"/>
        <v>0</v>
      </c>
      <c r="AL187" s="6">
        <f t="shared" si="36"/>
        <v>49321613.5</v>
      </c>
      <c r="AM187" s="3">
        <f t="shared" si="37"/>
        <v>0.33328332431646451</v>
      </c>
      <c r="AN187" s="3">
        <f t="shared" si="38"/>
        <v>9.3585934785285804E-2</v>
      </c>
      <c r="AO187" s="3">
        <f t="shared" si="39"/>
        <v>0</v>
      </c>
      <c r="AP187" s="3">
        <f t="shared" si="40"/>
        <v>0</v>
      </c>
      <c r="AQ187" s="3">
        <f t="shared" si="41"/>
        <v>0.5731307281159469</v>
      </c>
    </row>
    <row r="188" spans="1:43" x14ac:dyDescent="0.3">
      <c r="A188" t="s">
        <v>179</v>
      </c>
      <c r="B188" t="s">
        <v>7</v>
      </c>
      <c r="C188" t="s">
        <v>169</v>
      </c>
      <c r="D188" s="6">
        <v>2034</v>
      </c>
      <c r="E188" t="s">
        <v>195</v>
      </c>
      <c r="F188" s="6">
        <v>390.1</v>
      </c>
      <c r="G188" s="7">
        <v>278.2</v>
      </c>
      <c r="H188" s="7">
        <v>790.4</v>
      </c>
      <c r="I188" s="6">
        <v>91074184</v>
      </c>
      <c r="J188" s="6">
        <v>52080680</v>
      </c>
      <c r="K188" s="6">
        <v>0</v>
      </c>
      <c r="L188" s="6">
        <v>28748294</v>
      </c>
      <c r="M188" s="6">
        <v>0</v>
      </c>
      <c r="N188" s="6">
        <v>0</v>
      </c>
      <c r="O188" s="6">
        <v>6576780.5</v>
      </c>
      <c r="P188" s="6">
        <v>0</v>
      </c>
      <c r="Q188" s="6">
        <v>26005.4</v>
      </c>
      <c r="R188" s="6">
        <v>2333532.7999999998</v>
      </c>
      <c r="S188" s="6">
        <v>0</v>
      </c>
      <c r="T188" s="6">
        <v>127243.1</v>
      </c>
      <c r="U188" s="6">
        <v>0</v>
      </c>
      <c r="V188" s="6">
        <v>44174412</v>
      </c>
      <c r="W188" s="6">
        <v>0</v>
      </c>
      <c r="X188" s="6">
        <v>58219.8</v>
      </c>
      <c r="Y188" s="6">
        <v>4922812.5</v>
      </c>
      <c r="Z188" s="6">
        <v>2925237</v>
      </c>
      <c r="AA188" s="6">
        <v>341530.6</v>
      </c>
      <c r="AB188" s="6">
        <v>840117</v>
      </c>
      <c r="AC188" s="6">
        <v>0</v>
      </c>
      <c r="AD188" s="6">
        <f t="shared" si="28"/>
        <v>91074184</v>
      </c>
      <c r="AE188" s="6">
        <f t="shared" si="29"/>
        <v>0</v>
      </c>
      <c r="AF188" s="6">
        <f t="shared" si="30"/>
        <v>127243.1</v>
      </c>
      <c r="AG188" s="6">
        <f t="shared" si="31"/>
        <v>90946940.900000006</v>
      </c>
      <c r="AH188" s="6">
        <f t="shared" si="32"/>
        <v>28748294</v>
      </c>
      <c r="AI188" s="6">
        <f t="shared" si="33"/>
        <v>6602785.9000000004</v>
      </c>
      <c r="AJ188" s="6">
        <f t="shared" si="34"/>
        <v>0</v>
      </c>
      <c r="AK188" s="6">
        <f t="shared" si="35"/>
        <v>0</v>
      </c>
      <c r="AL188" s="6">
        <f t="shared" si="36"/>
        <v>55595861.699999996</v>
      </c>
      <c r="AM188" s="3">
        <f t="shared" si="37"/>
        <v>0.3160996259523447</v>
      </c>
      <c r="AN188" s="3">
        <f t="shared" si="38"/>
        <v>7.2600417723340929E-2</v>
      </c>
      <c r="AO188" s="3">
        <f t="shared" si="39"/>
        <v>0</v>
      </c>
      <c r="AP188" s="3">
        <f t="shared" si="40"/>
        <v>0</v>
      </c>
      <c r="AQ188" s="3">
        <f t="shared" si="41"/>
        <v>0.61129996402110975</v>
      </c>
    </row>
    <row r="189" spans="1:43" x14ac:dyDescent="0.3">
      <c r="A189" t="s">
        <v>179</v>
      </c>
      <c r="B189" t="s">
        <v>7</v>
      </c>
      <c r="C189" t="s">
        <v>169</v>
      </c>
      <c r="D189" s="6">
        <v>2036</v>
      </c>
      <c r="E189" t="s">
        <v>195</v>
      </c>
      <c r="F189" s="6">
        <v>374.5</v>
      </c>
      <c r="G189" s="7">
        <v>194.8</v>
      </c>
      <c r="H189" s="7">
        <v>745.6</v>
      </c>
      <c r="I189" s="6">
        <v>92888920</v>
      </c>
      <c r="J189" s="6">
        <v>53823720</v>
      </c>
      <c r="K189" s="6">
        <v>0</v>
      </c>
      <c r="L189" s="6">
        <v>28376092</v>
      </c>
      <c r="M189" s="6">
        <v>0</v>
      </c>
      <c r="N189" s="6">
        <v>0</v>
      </c>
      <c r="O189" s="6">
        <v>6306521.5</v>
      </c>
      <c r="P189" s="6">
        <v>0</v>
      </c>
      <c r="Q189" s="6">
        <v>26948.9</v>
      </c>
      <c r="R189" s="6">
        <v>2337536.5</v>
      </c>
      <c r="S189" s="6">
        <v>0</v>
      </c>
      <c r="T189" s="6">
        <v>90848.7</v>
      </c>
      <c r="U189" s="6">
        <v>0</v>
      </c>
      <c r="V189" s="6">
        <v>43922916</v>
      </c>
      <c r="W189" s="6">
        <v>0</v>
      </c>
      <c r="X189" s="6">
        <v>58266.6</v>
      </c>
      <c r="Y189" s="6">
        <v>6551454</v>
      </c>
      <c r="Z189" s="6">
        <v>3291080.2</v>
      </c>
      <c r="AA189" s="6">
        <v>330652.5</v>
      </c>
      <c r="AB189" s="6">
        <v>1596603.9</v>
      </c>
      <c r="AC189" s="6">
        <v>0</v>
      </c>
      <c r="AD189" s="6">
        <f t="shared" si="28"/>
        <v>92888920</v>
      </c>
      <c r="AE189" s="6">
        <f t="shared" si="29"/>
        <v>0</v>
      </c>
      <c r="AF189" s="6">
        <f t="shared" si="30"/>
        <v>90848.7</v>
      </c>
      <c r="AG189" s="6">
        <f t="shared" si="31"/>
        <v>92798071.299999997</v>
      </c>
      <c r="AH189" s="6">
        <f t="shared" si="32"/>
        <v>28376092</v>
      </c>
      <c r="AI189" s="6">
        <f t="shared" si="33"/>
        <v>6333470.4000000004</v>
      </c>
      <c r="AJ189" s="6">
        <f t="shared" si="34"/>
        <v>0</v>
      </c>
      <c r="AK189" s="6">
        <f t="shared" si="35"/>
        <v>0</v>
      </c>
      <c r="AL189" s="6">
        <f t="shared" si="36"/>
        <v>58088509.700000003</v>
      </c>
      <c r="AM189" s="3">
        <f t="shared" si="37"/>
        <v>0.30578320866459646</v>
      </c>
      <c r="AN189" s="3">
        <f t="shared" si="38"/>
        <v>6.8250021916134371E-2</v>
      </c>
      <c r="AO189" s="3">
        <f t="shared" si="39"/>
        <v>0</v>
      </c>
      <c r="AP189" s="3">
        <f t="shared" si="40"/>
        <v>0</v>
      </c>
      <c r="AQ189" s="3">
        <f t="shared" si="41"/>
        <v>0.62596677804013801</v>
      </c>
    </row>
    <row r="190" spans="1:43" x14ac:dyDescent="0.3">
      <c r="A190" t="s">
        <v>179</v>
      </c>
      <c r="B190" t="s">
        <v>7</v>
      </c>
      <c r="C190" t="s">
        <v>169</v>
      </c>
      <c r="D190" s="6">
        <v>2038</v>
      </c>
      <c r="E190" t="s">
        <v>195</v>
      </c>
      <c r="F190" s="6">
        <v>346.5</v>
      </c>
      <c r="G190" s="7">
        <v>200.3</v>
      </c>
      <c r="H190" s="7">
        <v>743.9</v>
      </c>
      <c r="I190" s="6">
        <v>97416750</v>
      </c>
      <c r="J190" s="6">
        <v>59144876</v>
      </c>
      <c r="K190" s="6">
        <v>0</v>
      </c>
      <c r="L190" s="6">
        <v>27500298</v>
      </c>
      <c r="M190" s="6">
        <v>0</v>
      </c>
      <c r="N190" s="6">
        <v>0</v>
      </c>
      <c r="O190" s="6">
        <v>6001128</v>
      </c>
      <c r="P190" s="6">
        <v>0</v>
      </c>
      <c r="Q190" s="6">
        <v>20499.099999999999</v>
      </c>
      <c r="R190" s="6">
        <v>2336146.7999999998</v>
      </c>
      <c r="S190" s="6">
        <v>0</v>
      </c>
      <c r="T190" s="6">
        <v>91155.9</v>
      </c>
      <c r="U190" s="6">
        <v>0</v>
      </c>
      <c r="V190" s="6">
        <v>48392644</v>
      </c>
      <c r="W190" s="6">
        <v>0</v>
      </c>
      <c r="X190" s="6">
        <v>58678.400000000001</v>
      </c>
      <c r="Y190" s="6">
        <v>7089111</v>
      </c>
      <c r="Z190" s="6">
        <v>3604443.2</v>
      </c>
      <c r="AA190" s="6">
        <v>329699.8</v>
      </c>
      <c r="AB190" s="6">
        <v>1992951.2</v>
      </c>
      <c r="AC190" s="6">
        <v>0</v>
      </c>
      <c r="AD190" s="6">
        <f t="shared" si="28"/>
        <v>97416750</v>
      </c>
      <c r="AE190" s="6">
        <f t="shared" si="29"/>
        <v>0</v>
      </c>
      <c r="AF190" s="6">
        <f t="shared" si="30"/>
        <v>91155.9</v>
      </c>
      <c r="AG190" s="6">
        <f t="shared" si="31"/>
        <v>97325594.099999994</v>
      </c>
      <c r="AH190" s="6">
        <f t="shared" si="32"/>
        <v>27500298</v>
      </c>
      <c r="AI190" s="6">
        <f t="shared" si="33"/>
        <v>6021627.0999999996</v>
      </c>
      <c r="AJ190" s="6">
        <f t="shared" si="34"/>
        <v>0</v>
      </c>
      <c r="AK190" s="6">
        <f t="shared" si="35"/>
        <v>0</v>
      </c>
      <c r="AL190" s="6">
        <f t="shared" si="36"/>
        <v>63803674.399999999</v>
      </c>
      <c r="AM190" s="3">
        <f t="shared" si="37"/>
        <v>0.28255977530169529</v>
      </c>
      <c r="AN190" s="3">
        <f t="shared" si="38"/>
        <v>6.1870951373930526E-2</v>
      </c>
      <c r="AO190" s="3">
        <f t="shared" si="39"/>
        <v>0</v>
      </c>
      <c r="AP190" s="3">
        <f t="shared" si="40"/>
        <v>0</v>
      </c>
      <c r="AQ190" s="3">
        <f t="shared" si="41"/>
        <v>0.65556932880823793</v>
      </c>
    </row>
    <row r="191" spans="1:43" x14ac:dyDescent="0.3">
      <c r="A191" t="s">
        <v>179</v>
      </c>
      <c r="B191" t="s">
        <v>7</v>
      </c>
      <c r="C191" t="s">
        <v>169</v>
      </c>
      <c r="D191" s="6">
        <v>2040</v>
      </c>
      <c r="E191" t="s">
        <v>195</v>
      </c>
      <c r="F191" s="6">
        <v>296.10000000000002</v>
      </c>
      <c r="G191" s="7">
        <v>134.4</v>
      </c>
      <c r="H191" s="7">
        <v>754.8</v>
      </c>
      <c r="I191" s="6">
        <v>102644240</v>
      </c>
      <c r="J191" s="6">
        <v>67342100</v>
      </c>
      <c r="K191" s="6">
        <v>0</v>
      </c>
      <c r="L191" s="6">
        <v>24688630</v>
      </c>
      <c r="M191" s="6">
        <v>0</v>
      </c>
      <c r="N191" s="6">
        <v>0</v>
      </c>
      <c r="O191" s="6">
        <v>5730070</v>
      </c>
      <c r="P191" s="6">
        <v>0</v>
      </c>
      <c r="Q191" s="6">
        <v>20527.599999999999</v>
      </c>
      <c r="R191" s="6">
        <v>2319940.5</v>
      </c>
      <c r="S191" s="6">
        <v>0</v>
      </c>
      <c r="T191" s="6">
        <v>90403.7</v>
      </c>
      <c r="U191" s="6">
        <v>0</v>
      </c>
      <c r="V191" s="6">
        <v>56057504</v>
      </c>
      <c r="W191" s="6">
        <v>0</v>
      </c>
      <c r="X191" s="6">
        <v>58475.5</v>
      </c>
      <c r="Y191" s="6">
        <v>7324665.5</v>
      </c>
      <c r="Z191" s="6">
        <v>3901455.2</v>
      </c>
      <c r="AA191" s="6">
        <v>370184</v>
      </c>
      <c r="AB191" s="6">
        <v>2082381.8</v>
      </c>
      <c r="AC191" s="6">
        <v>0</v>
      </c>
      <c r="AD191" s="6">
        <f t="shared" si="28"/>
        <v>102644240</v>
      </c>
      <c r="AE191" s="6">
        <f t="shared" si="29"/>
        <v>0</v>
      </c>
      <c r="AF191" s="6">
        <f t="shared" si="30"/>
        <v>90403.7</v>
      </c>
      <c r="AG191" s="6">
        <f t="shared" si="31"/>
        <v>102553836.3</v>
      </c>
      <c r="AH191" s="6">
        <f t="shared" si="32"/>
        <v>24688630</v>
      </c>
      <c r="AI191" s="6">
        <f t="shared" si="33"/>
        <v>5750597.5999999996</v>
      </c>
      <c r="AJ191" s="6">
        <f t="shared" si="34"/>
        <v>0</v>
      </c>
      <c r="AK191" s="6">
        <f t="shared" si="35"/>
        <v>0</v>
      </c>
      <c r="AL191" s="6">
        <f t="shared" si="36"/>
        <v>72114606.5</v>
      </c>
      <c r="AM191" s="3">
        <f t="shared" si="37"/>
        <v>0.24073823945287165</v>
      </c>
      <c r="AN191" s="3">
        <f t="shared" si="38"/>
        <v>5.6073939381241847E-2</v>
      </c>
      <c r="AO191" s="3">
        <f t="shared" si="39"/>
        <v>0</v>
      </c>
      <c r="AP191" s="3">
        <f t="shared" si="40"/>
        <v>0</v>
      </c>
      <c r="AQ191" s="3">
        <f t="shared" si="41"/>
        <v>0.70318779971373924</v>
      </c>
    </row>
    <row r="192" spans="1:43" x14ac:dyDescent="0.3">
      <c r="A192" t="s">
        <v>179</v>
      </c>
      <c r="B192" t="s">
        <v>7</v>
      </c>
      <c r="C192" t="s">
        <v>169</v>
      </c>
      <c r="D192" s="6">
        <v>2042</v>
      </c>
      <c r="E192" t="s">
        <v>195</v>
      </c>
      <c r="F192" s="6">
        <v>273.39999999999998</v>
      </c>
      <c r="G192" s="7">
        <v>137.19999999999999</v>
      </c>
      <c r="H192" s="7">
        <v>752.2</v>
      </c>
      <c r="I192" s="6">
        <v>108154024</v>
      </c>
      <c r="J192" s="6">
        <v>73688850</v>
      </c>
      <c r="K192" s="6">
        <v>0</v>
      </c>
      <c r="L192" s="6">
        <v>24157726</v>
      </c>
      <c r="M192" s="6">
        <v>0</v>
      </c>
      <c r="N192" s="6">
        <v>0</v>
      </c>
      <c r="O192" s="6">
        <v>5446687</v>
      </c>
      <c r="P192" s="6">
        <v>0</v>
      </c>
      <c r="Q192" s="6">
        <v>12782.7</v>
      </c>
      <c r="R192" s="6">
        <v>2303576.5</v>
      </c>
      <c r="S192" s="6">
        <v>0</v>
      </c>
      <c r="T192" s="6">
        <v>89164.2</v>
      </c>
      <c r="U192" s="6">
        <v>0</v>
      </c>
      <c r="V192" s="6">
        <v>62013096</v>
      </c>
      <c r="W192" s="6">
        <v>0</v>
      </c>
      <c r="X192" s="6">
        <v>0</v>
      </c>
      <c r="Y192" s="6">
        <v>7522867</v>
      </c>
      <c r="Z192" s="6">
        <v>4152886.5</v>
      </c>
      <c r="AA192" s="6">
        <v>383834.1</v>
      </c>
      <c r="AB192" s="6">
        <v>2071407.2</v>
      </c>
      <c r="AC192" s="6">
        <v>0</v>
      </c>
      <c r="AD192" s="6">
        <f t="shared" si="28"/>
        <v>108154024</v>
      </c>
      <c r="AE192" s="6">
        <f t="shared" si="29"/>
        <v>0</v>
      </c>
      <c r="AF192" s="6">
        <f t="shared" si="30"/>
        <v>89164.2</v>
      </c>
      <c r="AG192" s="6">
        <f t="shared" si="31"/>
        <v>108064859.8</v>
      </c>
      <c r="AH192" s="6">
        <f t="shared" si="32"/>
        <v>24157726</v>
      </c>
      <c r="AI192" s="6">
        <f t="shared" si="33"/>
        <v>5459469.7000000002</v>
      </c>
      <c r="AJ192" s="6">
        <f t="shared" si="34"/>
        <v>0</v>
      </c>
      <c r="AK192" s="6">
        <f t="shared" si="35"/>
        <v>0</v>
      </c>
      <c r="AL192" s="6">
        <f t="shared" si="36"/>
        <v>78447667.299999997</v>
      </c>
      <c r="AM192" s="3">
        <f t="shared" si="37"/>
        <v>0.22354839533137488</v>
      </c>
      <c r="AN192" s="3">
        <f t="shared" si="38"/>
        <v>5.0520305213961884E-2</v>
      </c>
      <c r="AO192" s="3">
        <f t="shared" si="39"/>
        <v>0</v>
      </c>
      <c r="AP192" s="3">
        <f t="shared" si="40"/>
        <v>0</v>
      </c>
      <c r="AQ192" s="3">
        <f t="shared" si="41"/>
        <v>0.72593132906650937</v>
      </c>
    </row>
    <row r="193" spans="1:43" x14ac:dyDescent="0.3">
      <c r="A193" t="s">
        <v>179</v>
      </c>
      <c r="B193" t="s">
        <v>7</v>
      </c>
      <c r="C193" t="s">
        <v>169</v>
      </c>
      <c r="D193" s="6">
        <v>2044</v>
      </c>
      <c r="E193" t="s">
        <v>195</v>
      </c>
      <c r="F193" s="6">
        <v>262</v>
      </c>
      <c r="G193" s="7">
        <v>146.9</v>
      </c>
      <c r="H193" s="7">
        <v>747.2</v>
      </c>
      <c r="I193" s="6">
        <v>110957590</v>
      </c>
      <c r="J193" s="6">
        <v>76949760</v>
      </c>
      <c r="K193" s="6">
        <v>0</v>
      </c>
      <c r="L193" s="6">
        <v>23896794</v>
      </c>
      <c r="M193" s="6">
        <v>0</v>
      </c>
      <c r="N193" s="6">
        <v>0</v>
      </c>
      <c r="O193" s="6">
        <v>4979948</v>
      </c>
      <c r="P193" s="6">
        <v>0</v>
      </c>
      <c r="Q193" s="6">
        <v>6309.8</v>
      </c>
      <c r="R193" s="6">
        <v>2288731.5</v>
      </c>
      <c r="S193" s="6">
        <v>0</v>
      </c>
      <c r="T193" s="6">
        <v>88486.1</v>
      </c>
      <c r="U193" s="6">
        <v>0</v>
      </c>
      <c r="V193" s="6">
        <v>63428470</v>
      </c>
      <c r="W193" s="6">
        <v>0</v>
      </c>
      <c r="X193" s="6">
        <v>0</v>
      </c>
      <c r="Y193" s="6">
        <v>9193148</v>
      </c>
      <c r="Z193" s="6">
        <v>4328134</v>
      </c>
      <c r="AA193" s="6">
        <v>533654.6</v>
      </c>
      <c r="AB193" s="6">
        <v>2213912.5</v>
      </c>
      <c r="AC193" s="6">
        <v>0</v>
      </c>
      <c r="AD193" s="6">
        <f t="shared" si="28"/>
        <v>110957590</v>
      </c>
      <c r="AE193" s="6">
        <f t="shared" si="29"/>
        <v>0</v>
      </c>
      <c r="AF193" s="6">
        <f t="shared" si="30"/>
        <v>88486.1</v>
      </c>
      <c r="AG193" s="6">
        <f t="shared" si="31"/>
        <v>110869103.90000001</v>
      </c>
      <c r="AH193" s="6">
        <f t="shared" si="32"/>
        <v>23896794</v>
      </c>
      <c r="AI193" s="6">
        <f t="shared" si="33"/>
        <v>4986257.8</v>
      </c>
      <c r="AJ193" s="6">
        <f t="shared" si="34"/>
        <v>0</v>
      </c>
      <c r="AK193" s="6">
        <f t="shared" si="35"/>
        <v>0</v>
      </c>
      <c r="AL193" s="6">
        <f t="shared" si="36"/>
        <v>81986050.599999994</v>
      </c>
      <c r="AM193" s="3">
        <f t="shared" si="37"/>
        <v>0.21554060743157138</v>
      </c>
      <c r="AN193" s="3">
        <f t="shared" si="38"/>
        <v>4.4974277094342055E-2</v>
      </c>
      <c r="AO193" s="3">
        <f t="shared" si="39"/>
        <v>0</v>
      </c>
      <c r="AP193" s="3">
        <f t="shared" si="40"/>
        <v>0</v>
      </c>
      <c r="AQ193" s="3">
        <f t="shared" si="41"/>
        <v>0.73948510194461836</v>
      </c>
    </row>
    <row r="194" spans="1:43" x14ac:dyDescent="0.3">
      <c r="A194" t="s">
        <v>179</v>
      </c>
      <c r="B194" t="s">
        <v>7</v>
      </c>
      <c r="C194" t="s">
        <v>169</v>
      </c>
      <c r="D194" s="6">
        <v>2046</v>
      </c>
      <c r="E194" t="s">
        <v>195</v>
      </c>
      <c r="F194" s="6">
        <v>234.4</v>
      </c>
      <c r="G194" s="7">
        <v>182.2</v>
      </c>
      <c r="H194" s="7">
        <v>714.1</v>
      </c>
      <c r="I194" s="6">
        <v>109855340</v>
      </c>
      <c r="J194" s="6">
        <v>78450570</v>
      </c>
      <c r="K194" s="6">
        <v>0</v>
      </c>
      <c r="L194" s="6">
        <v>20899926</v>
      </c>
      <c r="M194" s="6">
        <v>0</v>
      </c>
      <c r="N194" s="6">
        <v>0</v>
      </c>
      <c r="O194" s="6">
        <v>5089597.5</v>
      </c>
      <c r="P194" s="6">
        <v>0</v>
      </c>
      <c r="Q194" s="6">
        <v>7203.9</v>
      </c>
      <c r="R194" s="6">
        <v>2285932.5</v>
      </c>
      <c r="S194" s="6">
        <v>0</v>
      </c>
      <c r="T194" s="6">
        <v>87988.2</v>
      </c>
      <c r="U194" s="6">
        <v>0</v>
      </c>
      <c r="V194" s="6">
        <v>64499930</v>
      </c>
      <c r="W194" s="6">
        <v>0</v>
      </c>
      <c r="X194" s="6">
        <v>0</v>
      </c>
      <c r="Y194" s="6">
        <v>9464265</v>
      </c>
      <c r="Z194" s="6">
        <v>4486375</v>
      </c>
      <c r="AA194" s="6">
        <v>540726.19999999995</v>
      </c>
      <c r="AB194" s="6">
        <v>2493411.2000000002</v>
      </c>
      <c r="AC194" s="6">
        <v>0</v>
      </c>
      <c r="AD194" s="6">
        <f t="shared" si="28"/>
        <v>109855340</v>
      </c>
      <c r="AE194" s="6">
        <f t="shared" si="29"/>
        <v>0</v>
      </c>
      <c r="AF194" s="6">
        <f t="shared" si="30"/>
        <v>87988.2</v>
      </c>
      <c r="AG194" s="6">
        <f t="shared" si="31"/>
        <v>109767351.8</v>
      </c>
      <c r="AH194" s="6">
        <f t="shared" si="32"/>
        <v>20899926</v>
      </c>
      <c r="AI194" s="6">
        <f t="shared" si="33"/>
        <v>5096801.4000000004</v>
      </c>
      <c r="AJ194" s="6">
        <f t="shared" si="34"/>
        <v>0</v>
      </c>
      <c r="AK194" s="6">
        <f t="shared" si="35"/>
        <v>0</v>
      </c>
      <c r="AL194" s="6">
        <f t="shared" si="36"/>
        <v>83770639.900000006</v>
      </c>
      <c r="AM194" s="3">
        <f t="shared" si="37"/>
        <v>0.19040202443874574</v>
      </c>
      <c r="AN194" s="3">
        <f t="shared" si="38"/>
        <v>4.6432762715151892E-2</v>
      </c>
      <c r="AO194" s="3">
        <f t="shared" si="39"/>
        <v>0</v>
      </c>
      <c r="AP194" s="3">
        <f t="shared" si="40"/>
        <v>0</v>
      </c>
      <c r="AQ194" s="3">
        <f t="shared" si="41"/>
        <v>0.76316535405384545</v>
      </c>
    </row>
    <row r="195" spans="1:43" x14ac:dyDescent="0.3">
      <c r="A195" t="s">
        <v>179</v>
      </c>
      <c r="B195" t="s">
        <v>7</v>
      </c>
      <c r="C195" t="s">
        <v>169</v>
      </c>
      <c r="D195" s="6">
        <v>2048</v>
      </c>
      <c r="E195" t="s">
        <v>195</v>
      </c>
      <c r="F195" s="6">
        <v>236.5</v>
      </c>
      <c r="G195" s="7">
        <v>208.5</v>
      </c>
      <c r="H195" s="7">
        <v>695.3</v>
      </c>
      <c r="I195" s="6">
        <v>111138344</v>
      </c>
      <c r="J195" s="6">
        <v>78504010</v>
      </c>
      <c r="K195" s="6">
        <v>0</v>
      </c>
      <c r="L195" s="6">
        <v>21130746</v>
      </c>
      <c r="M195" s="6">
        <v>0</v>
      </c>
      <c r="N195" s="6">
        <v>0</v>
      </c>
      <c r="O195" s="6">
        <v>5787259</v>
      </c>
      <c r="P195" s="6">
        <v>0</v>
      </c>
      <c r="Q195" s="6">
        <v>8753.2999999999993</v>
      </c>
      <c r="R195" s="6">
        <v>2287345</v>
      </c>
      <c r="S195" s="6">
        <v>0</v>
      </c>
      <c r="T195" s="6">
        <v>88072.9</v>
      </c>
      <c r="U195" s="6">
        <v>0</v>
      </c>
      <c r="V195" s="6">
        <v>64070850</v>
      </c>
      <c r="W195" s="6">
        <v>0</v>
      </c>
      <c r="X195" s="6">
        <v>0</v>
      </c>
      <c r="Y195" s="6">
        <v>9757576</v>
      </c>
      <c r="Z195" s="6">
        <v>4675581.5</v>
      </c>
      <c r="AA195" s="6">
        <v>555562.5</v>
      </c>
      <c r="AB195" s="6">
        <v>2776601.5</v>
      </c>
      <c r="AC195" s="6">
        <v>0</v>
      </c>
      <c r="AD195" s="6">
        <f t="shared" ref="AD195:AD258" si="42">I195</f>
        <v>111138344</v>
      </c>
      <c r="AE195" s="6">
        <f t="shared" ref="AE195:AE258" si="43">AC195</f>
        <v>0</v>
      </c>
      <c r="AF195" s="6">
        <f t="shared" ref="AF195:AF258" si="44">SUM(T195,U195)</f>
        <v>88072.9</v>
      </c>
      <c r="AG195" s="6">
        <f t="shared" ref="AG195:AG258" si="45">AD195-AE195-AF195</f>
        <v>111050271.09999999</v>
      </c>
      <c r="AH195" s="6">
        <f t="shared" ref="AH195:AH258" si="46">L195</f>
        <v>21130746</v>
      </c>
      <c r="AI195" s="6">
        <f t="shared" ref="AI195:AI258" si="47">SUM(O195,P195,Q195)</f>
        <v>5796012.2999999998</v>
      </c>
      <c r="AJ195" s="6">
        <f t="shared" ref="AJ195:AJ258" si="48">N195</f>
        <v>0</v>
      </c>
      <c r="AK195" s="6">
        <f t="shared" ref="AK195:AK258" si="49">K195</f>
        <v>0</v>
      </c>
      <c r="AL195" s="6">
        <f t="shared" ref="AL195:AL258" si="50">SUM(R195,S195,V195,W195,X195,Y195,Z195,AA195,AB195)</f>
        <v>84123516.5</v>
      </c>
      <c r="AM195" s="3">
        <f t="shared" ref="AM195:AM258" si="51">AH195/AG195</f>
        <v>0.19028090423094879</v>
      </c>
      <c r="AN195" s="3">
        <f t="shared" ref="AN195:AN258" si="52">AI195/AG195</f>
        <v>5.2192689334191099E-2</v>
      </c>
      <c r="AO195" s="3">
        <f t="shared" ref="AO195:AO258" si="53">AJ195/AG195</f>
        <v>0</v>
      </c>
      <c r="AP195" s="3">
        <f t="shared" ref="AP195:AP258" si="54">AK195/AG195</f>
        <v>0</v>
      </c>
      <c r="AQ195" s="3">
        <f t="shared" ref="AQ195:AQ258" si="55">AL195/AG195</f>
        <v>0.75752643975310385</v>
      </c>
    </row>
    <row r="196" spans="1:43" x14ac:dyDescent="0.3">
      <c r="A196" t="s">
        <v>179</v>
      </c>
      <c r="B196" t="s">
        <v>7</v>
      </c>
      <c r="C196" t="s">
        <v>169</v>
      </c>
      <c r="D196" s="6">
        <v>2050</v>
      </c>
      <c r="E196" t="s">
        <v>195</v>
      </c>
      <c r="F196" s="6">
        <v>218</v>
      </c>
      <c r="G196" s="7">
        <v>214.7</v>
      </c>
      <c r="H196" s="7">
        <v>686.8</v>
      </c>
      <c r="I196" s="6">
        <v>113461656</v>
      </c>
      <c r="J196" s="6">
        <v>82217460</v>
      </c>
      <c r="K196" s="6">
        <v>0</v>
      </c>
      <c r="L196" s="6">
        <v>20105356</v>
      </c>
      <c r="M196" s="6">
        <v>0</v>
      </c>
      <c r="N196" s="6">
        <v>0</v>
      </c>
      <c r="O196" s="6">
        <v>4957117.5</v>
      </c>
      <c r="P196" s="6">
        <v>0</v>
      </c>
      <c r="Q196" s="6">
        <v>7159.6</v>
      </c>
      <c r="R196" s="6">
        <v>2241072.2000000002</v>
      </c>
      <c r="S196" s="6">
        <v>0</v>
      </c>
      <c r="T196" s="6">
        <v>86112.9</v>
      </c>
      <c r="U196" s="6">
        <v>0</v>
      </c>
      <c r="V196" s="6">
        <v>65676904</v>
      </c>
      <c r="W196" s="6">
        <v>0</v>
      </c>
      <c r="X196" s="6">
        <v>0</v>
      </c>
      <c r="Y196" s="6">
        <v>11692492</v>
      </c>
      <c r="Z196" s="6">
        <v>4848066.5</v>
      </c>
      <c r="AA196" s="6">
        <v>837190.3</v>
      </c>
      <c r="AB196" s="6">
        <v>3010184.8</v>
      </c>
      <c r="AC196" s="6">
        <v>0</v>
      </c>
      <c r="AD196" s="6">
        <f t="shared" si="42"/>
        <v>113461656</v>
      </c>
      <c r="AE196" s="6">
        <f t="shared" si="43"/>
        <v>0</v>
      </c>
      <c r="AF196" s="6">
        <f t="shared" si="44"/>
        <v>86112.9</v>
      </c>
      <c r="AG196" s="6">
        <f t="shared" si="45"/>
        <v>113375543.09999999</v>
      </c>
      <c r="AH196" s="6">
        <f t="shared" si="46"/>
        <v>20105356</v>
      </c>
      <c r="AI196" s="6">
        <f t="shared" si="47"/>
        <v>4964277.0999999996</v>
      </c>
      <c r="AJ196" s="6">
        <f t="shared" si="48"/>
        <v>0</v>
      </c>
      <c r="AK196" s="6">
        <f t="shared" si="49"/>
        <v>0</v>
      </c>
      <c r="AL196" s="6">
        <f t="shared" si="50"/>
        <v>88305909.799999997</v>
      </c>
      <c r="AM196" s="3">
        <f t="shared" si="51"/>
        <v>0.17733415382422102</v>
      </c>
      <c r="AN196" s="3">
        <f t="shared" si="52"/>
        <v>4.378613732964777E-2</v>
      </c>
      <c r="AO196" s="3">
        <f t="shared" si="53"/>
        <v>0</v>
      </c>
      <c r="AP196" s="3">
        <f t="shared" si="54"/>
        <v>0</v>
      </c>
      <c r="AQ196" s="3">
        <f t="shared" si="55"/>
        <v>0.77887970708208232</v>
      </c>
    </row>
    <row r="197" spans="1:43" x14ac:dyDescent="0.3">
      <c r="A197" t="s">
        <v>179</v>
      </c>
      <c r="B197" t="s">
        <v>7</v>
      </c>
      <c r="C197" t="s">
        <v>170</v>
      </c>
      <c r="D197" s="6">
        <v>2022</v>
      </c>
      <c r="E197" t="s">
        <v>195</v>
      </c>
      <c r="F197" s="6">
        <v>547.4</v>
      </c>
      <c r="G197" s="7">
        <v>743.4</v>
      </c>
      <c r="H197" s="7">
        <v>912.3</v>
      </c>
      <c r="I197" s="6">
        <v>84173280</v>
      </c>
      <c r="J197" s="6">
        <v>32160730</v>
      </c>
      <c r="K197" s="6">
        <v>9784525</v>
      </c>
      <c r="L197" s="6">
        <v>37738330</v>
      </c>
      <c r="M197" s="6">
        <v>0</v>
      </c>
      <c r="N197" s="6">
        <v>82151.199999999997</v>
      </c>
      <c r="O197" s="6">
        <v>3544404.5</v>
      </c>
      <c r="P197" s="6">
        <v>0</v>
      </c>
      <c r="Q197" s="6">
        <v>102070.2</v>
      </c>
      <c r="R197" s="6">
        <v>531134.1</v>
      </c>
      <c r="S197" s="6">
        <v>0</v>
      </c>
      <c r="T197" s="6">
        <v>36110.5</v>
      </c>
      <c r="U197" s="6">
        <v>0</v>
      </c>
      <c r="V197" s="6">
        <v>31713338</v>
      </c>
      <c r="W197" s="6">
        <v>0</v>
      </c>
      <c r="X197" s="6">
        <v>0</v>
      </c>
      <c r="Y197" s="6">
        <v>218215.7</v>
      </c>
      <c r="Z197" s="6">
        <v>229175.8</v>
      </c>
      <c r="AA197" s="6">
        <v>187613.6</v>
      </c>
      <c r="AB197" s="6">
        <v>6218.2</v>
      </c>
      <c r="AC197" s="6">
        <v>0</v>
      </c>
      <c r="AD197" s="6">
        <f t="shared" si="42"/>
        <v>84173280</v>
      </c>
      <c r="AE197" s="6">
        <f t="shared" si="43"/>
        <v>0</v>
      </c>
      <c r="AF197" s="6">
        <f t="shared" si="44"/>
        <v>36110.5</v>
      </c>
      <c r="AG197" s="6">
        <f t="shared" si="45"/>
        <v>84137169.5</v>
      </c>
      <c r="AH197" s="6">
        <f t="shared" si="46"/>
        <v>37738330</v>
      </c>
      <c r="AI197" s="6">
        <f t="shared" si="47"/>
        <v>3646474.7</v>
      </c>
      <c r="AJ197" s="6">
        <f t="shared" si="48"/>
        <v>82151.199999999997</v>
      </c>
      <c r="AK197" s="6">
        <f t="shared" si="49"/>
        <v>9784525</v>
      </c>
      <c r="AL197" s="6">
        <f t="shared" si="50"/>
        <v>32885695.400000002</v>
      </c>
      <c r="AM197" s="3">
        <f t="shared" si="51"/>
        <v>0.44853339165397049</v>
      </c>
      <c r="AN197" s="3">
        <f t="shared" si="52"/>
        <v>4.3339640751760736E-2</v>
      </c>
      <c r="AO197" s="3">
        <f t="shared" si="53"/>
        <v>9.7639605049941686E-4</v>
      </c>
      <c r="AP197" s="3">
        <f t="shared" si="54"/>
        <v>0.11629253822236081</v>
      </c>
      <c r="AQ197" s="3">
        <f t="shared" si="55"/>
        <v>0.39085811414181221</v>
      </c>
    </row>
    <row r="198" spans="1:43" x14ac:dyDescent="0.3">
      <c r="A198" t="s">
        <v>179</v>
      </c>
      <c r="B198" t="s">
        <v>7</v>
      </c>
      <c r="C198" t="s">
        <v>170</v>
      </c>
      <c r="D198" s="6">
        <v>2024</v>
      </c>
      <c r="E198" t="s">
        <v>195</v>
      </c>
      <c r="F198" s="6">
        <v>517</v>
      </c>
      <c r="G198" s="7">
        <v>634.20000000000005</v>
      </c>
      <c r="H198" s="7">
        <v>910.7</v>
      </c>
      <c r="I198" s="6">
        <v>81992824</v>
      </c>
      <c r="J198" s="6">
        <v>32114444</v>
      </c>
      <c r="K198" s="6">
        <v>9784525</v>
      </c>
      <c r="L198" s="6">
        <v>33920100</v>
      </c>
      <c r="M198" s="6">
        <v>0</v>
      </c>
      <c r="N198" s="6">
        <v>100040.5</v>
      </c>
      <c r="O198" s="6">
        <v>5151200</v>
      </c>
      <c r="P198" s="6">
        <v>0</v>
      </c>
      <c r="Q198" s="6">
        <v>166744.70000000001</v>
      </c>
      <c r="R198" s="6">
        <v>530102</v>
      </c>
      <c r="S198" s="6">
        <v>0</v>
      </c>
      <c r="T198" s="6">
        <v>36830</v>
      </c>
      <c r="U198" s="6">
        <v>0</v>
      </c>
      <c r="V198" s="6">
        <v>31646396</v>
      </c>
      <c r="W198" s="6">
        <v>0</v>
      </c>
      <c r="X198" s="6">
        <v>0</v>
      </c>
      <c r="Y198" s="6">
        <v>215026.8</v>
      </c>
      <c r="Z198" s="6">
        <v>253024.3</v>
      </c>
      <c r="AA198" s="6">
        <v>182556.1</v>
      </c>
      <c r="AB198" s="6">
        <v>6275.9</v>
      </c>
      <c r="AC198" s="6">
        <v>0</v>
      </c>
      <c r="AD198" s="6">
        <f t="shared" si="42"/>
        <v>81992824</v>
      </c>
      <c r="AE198" s="6">
        <f t="shared" si="43"/>
        <v>0</v>
      </c>
      <c r="AF198" s="6">
        <f t="shared" si="44"/>
        <v>36830</v>
      </c>
      <c r="AG198" s="6">
        <f t="shared" si="45"/>
        <v>81955994</v>
      </c>
      <c r="AH198" s="6">
        <f t="shared" si="46"/>
        <v>33920100</v>
      </c>
      <c r="AI198" s="6">
        <f t="shared" si="47"/>
        <v>5317944.7</v>
      </c>
      <c r="AJ198" s="6">
        <f t="shared" si="48"/>
        <v>100040.5</v>
      </c>
      <c r="AK198" s="6">
        <f t="shared" si="49"/>
        <v>9784525</v>
      </c>
      <c r="AL198" s="6">
        <f t="shared" si="50"/>
        <v>32833381.100000001</v>
      </c>
      <c r="AM198" s="3">
        <f t="shared" si="51"/>
        <v>0.41388186933587801</v>
      </c>
      <c r="AN198" s="3">
        <f t="shared" si="52"/>
        <v>6.4887806741749723E-2</v>
      </c>
      <c r="AO198" s="3">
        <f t="shared" si="53"/>
        <v>1.2206611758012477E-3</v>
      </c>
      <c r="AP198" s="3">
        <f t="shared" si="54"/>
        <v>0.11938754595545507</v>
      </c>
      <c r="AQ198" s="3">
        <f t="shared" si="55"/>
        <v>0.40062208384660675</v>
      </c>
    </row>
    <row r="199" spans="1:43" x14ac:dyDescent="0.3">
      <c r="A199" t="s">
        <v>179</v>
      </c>
      <c r="B199" t="s">
        <v>7</v>
      </c>
      <c r="C199" t="s">
        <v>170</v>
      </c>
      <c r="D199" s="6">
        <v>2026</v>
      </c>
      <c r="E199" t="s">
        <v>195</v>
      </c>
      <c r="F199" s="6">
        <v>504.1</v>
      </c>
      <c r="G199" s="7">
        <v>462.7</v>
      </c>
      <c r="H199" s="7">
        <v>857.2</v>
      </c>
      <c r="I199" s="6">
        <v>86074640</v>
      </c>
      <c r="J199" s="6">
        <v>35460430</v>
      </c>
      <c r="K199" s="6">
        <v>9784525</v>
      </c>
      <c r="L199" s="6">
        <v>34835028</v>
      </c>
      <c r="M199" s="6">
        <v>0</v>
      </c>
      <c r="N199" s="6">
        <v>80609.399999999994</v>
      </c>
      <c r="O199" s="6">
        <v>4976596</v>
      </c>
      <c r="P199" s="6">
        <v>0</v>
      </c>
      <c r="Q199" s="6">
        <v>232188.7</v>
      </c>
      <c r="R199" s="6">
        <v>526329</v>
      </c>
      <c r="S199" s="6">
        <v>0</v>
      </c>
      <c r="T199" s="6">
        <v>36529</v>
      </c>
      <c r="U199" s="6">
        <v>0</v>
      </c>
      <c r="V199" s="6">
        <v>31412428</v>
      </c>
      <c r="W199" s="6">
        <v>0</v>
      </c>
      <c r="X199" s="6">
        <v>0</v>
      </c>
      <c r="Y199" s="6">
        <v>3751426.8</v>
      </c>
      <c r="Z199" s="6">
        <v>296575.90000000002</v>
      </c>
      <c r="AA199" s="6">
        <v>136386.79999999999</v>
      </c>
      <c r="AB199" s="6">
        <v>6016.2</v>
      </c>
      <c r="AC199" s="6">
        <v>0</v>
      </c>
      <c r="AD199" s="6">
        <f t="shared" si="42"/>
        <v>86074640</v>
      </c>
      <c r="AE199" s="6">
        <f t="shared" si="43"/>
        <v>0</v>
      </c>
      <c r="AF199" s="6">
        <f t="shared" si="44"/>
        <v>36529</v>
      </c>
      <c r="AG199" s="6">
        <f t="shared" si="45"/>
        <v>86038111</v>
      </c>
      <c r="AH199" s="6">
        <f t="shared" si="46"/>
        <v>34835028</v>
      </c>
      <c r="AI199" s="6">
        <f t="shared" si="47"/>
        <v>5208784.7</v>
      </c>
      <c r="AJ199" s="6">
        <f t="shared" si="48"/>
        <v>80609.399999999994</v>
      </c>
      <c r="AK199" s="6">
        <f t="shared" si="49"/>
        <v>9784525</v>
      </c>
      <c r="AL199" s="6">
        <f t="shared" si="50"/>
        <v>36129162.699999996</v>
      </c>
      <c r="AM199" s="3">
        <f t="shared" si="51"/>
        <v>0.4048790424978066</v>
      </c>
      <c r="AN199" s="3">
        <f t="shared" si="52"/>
        <v>6.054043538914982E-2</v>
      </c>
      <c r="AO199" s="3">
        <f t="shared" si="53"/>
        <v>9.3690341481346558E-4</v>
      </c>
      <c r="AP199" s="3">
        <f t="shared" si="54"/>
        <v>0.11372314996548448</v>
      </c>
      <c r="AQ199" s="3">
        <f t="shared" si="55"/>
        <v>0.41992045478543799</v>
      </c>
    </row>
    <row r="200" spans="1:43" x14ac:dyDescent="0.3">
      <c r="A200" t="s">
        <v>179</v>
      </c>
      <c r="B200" t="s">
        <v>7</v>
      </c>
      <c r="C200" t="s">
        <v>170</v>
      </c>
      <c r="D200" s="6">
        <v>2028</v>
      </c>
      <c r="E200" t="s">
        <v>195</v>
      </c>
      <c r="F200" s="6">
        <v>523.5</v>
      </c>
      <c r="G200" s="7">
        <v>355.9</v>
      </c>
      <c r="H200" s="7">
        <v>875</v>
      </c>
      <c r="I200" s="6">
        <v>87545500</v>
      </c>
      <c r="J200" s="6">
        <v>35388972</v>
      </c>
      <c r="K200" s="6">
        <v>9784525</v>
      </c>
      <c r="L200" s="6">
        <v>37487708</v>
      </c>
      <c r="M200" s="6">
        <v>0</v>
      </c>
      <c r="N200" s="6">
        <v>37056</v>
      </c>
      <c r="O200" s="6">
        <v>4041710.5</v>
      </c>
      <c r="P200" s="6">
        <v>0</v>
      </c>
      <c r="Q200" s="6">
        <v>93422.9</v>
      </c>
      <c r="R200" s="6">
        <v>539017</v>
      </c>
      <c r="S200" s="6">
        <v>0</v>
      </c>
      <c r="T200" s="6">
        <v>38316</v>
      </c>
      <c r="U200" s="6">
        <v>0</v>
      </c>
      <c r="V200" s="6">
        <v>31300074</v>
      </c>
      <c r="W200" s="6">
        <v>0</v>
      </c>
      <c r="X200" s="6">
        <v>0</v>
      </c>
      <c r="Y200" s="6">
        <v>3714859.2</v>
      </c>
      <c r="Z200" s="6">
        <v>374037.3</v>
      </c>
      <c r="AA200" s="6">
        <v>129258.9</v>
      </c>
      <c r="AB200" s="6">
        <v>5520.8</v>
      </c>
      <c r="AC200" s="6">
        <v>0</v>
      </c>
      <c r="AD200" s="6">
        <f t="shared" si="42"/>
        <v>87545500</v>
      </c>
      <c r="AE200" s="6">
        <f t="shared" si="43"/>
        <v>0</v>
      </c>
      <c r="AF200" s="6">
        <f t="shared" si="44"/>
        <v>38316</v>
      </c>
      <c r="AG200" s="6">
        <f t="shared" si="45"/>
        <v>87507184</v>
      </c>
      <c r="AH200" s="6">
        <f t="shared" si="46"/>
        <v>37487708</v>
      </c>
      <c r="AI200" s="6">
        <f t="shared" si="47"/>
        <v>4135133.4</v>
      </c>
      <c r="AJ200" s="6">
        <f t="shared" si="48"/>
        <v>37056</v>
      </c>
      <c r="AK200" s="6">
        <f t="shared" si="49"/>
        <v>9784525</v>
      </c>
      <c r="AL200" s="6">
        <f t="shared" si="50"/>
        <v>36062767.199999996</v>
      </c>
      <c r="AM200" s="3">
        <f t="shared" si="51"/>
        <v>0.42839577605422657</v>
      </c>
      <c r="AN200" s="3">
        <f t="shared" si="52"/>
        <v>4.7254787675489587E-2</v>
      </c>
      <c r="AO200" s="3">
        <f t="shared" si="53"/>
        <v>4.2346237538623115E-4</v>
      </c>
      <c r="AP200" s="3">
        <f t="shared" si="54"/>
        <v>0.11181396261134401</v>
      </c>
      <c r="AQ200" s="3">
        <f t="shared" si="55"/>
        <v>0.41211207527829941</v>
      </c>
    </row>
    <row r="201" spans="1:43" x14ac:dyDescent="0.3">
      <c r="A201" t="s">
        <v>179</v>
      </c>
      <c r="B201" t="s">
        <v>7</v>
      </c>
      <c r="C201" t="s">
        <v>170</v>
      </c>
      <c r="D201" s="6">
        <v>2030</v>
      </c>
      <c r="E201" t="s">
        <v>195</v>
      </c>
      <c r="F201" s="6">
        <v>466.4</v>
      </c>
      <c r="G201" s="7">
        <v>340.9</v>
      </c>
      <c r="H201" s="7">
        <v>853</v>
      </c>
      <c r="I201" s="6">
        <v>87101490</v>
      </c>
      <c r="J201" s="6">
        <v>39822356</v>
      </c>
      <c r="K201" s="6">
        <v>9784525</v>
      </c>
      <c r="L201" s="6">
        <v>33682136</v>
      </c>
      <c r="M201" s="6">
        <v>0</v>
      </c>
      <c r="N201" s="6">
        <v>2913.6</v>
      </c>
      <c r="O201" s="6">
        <v>3036334.5</v>
      </c>
      <c r="P201" s="6">
        <v>0</v>
      </c>
      <c r="Q201" s="6">
        <v>26552.7</v>
      </c>
      <c r="R201" s="6">
        <v>537814.30000000005</v>
      </c>
      <c r="S201" s="6">
        <v>0</v>
      </c>
      <c r="T201" s="6">
        <v>35786</v>
      </c>
      <c r="U201" s="6">
        <v>0</v>
      </c>
      <c r="V201" s="6">
        <v>35609896</v>
      </c>
      <c r="W201" s="6">
        <v>0</v>
      </c>
      <c r="X201" s="6">
        <v>0</v>
      </c>
      <c r="Y201" s="6">
        <v>3671024.8</v>
      </c>
      <c r="Z201" s="6">
        <v>541437.6</v>
      </c>
      <c r="AA201" s="6">
        <v>159727.4</v>
      </c>
      <c r="AB201" s="6">
        <v>13344.1</v>
      </c>
      <c r="AC201" s="6">
        <v>0</v>
      </c>
      <c r="AD201" s="6">
        <f t="shared" si="42"/>
        <v>87101490</v>
      </c>
      <c r="AE201" s="6">
        <f t="shared" si="43"/>
        <v>0</v>
      </c>
      <c r="AF201" s="6">
        <f t="shared" si="44"/>
        <v>35786</v>
      </c>
      <c r="AG201" s="6">
        <f t="shared" si="45"/>
        <v>87065704</v>
      </c>
      <c r="AH201" s="6">
        <f t="shared" si="46"/>
        <v>33682136</v>
      </c>
      <c r="AI201" s="6">
        <f t="shared" si="47"/>
        <v>3062887.2</v>
      </c>
      <c r="AJ201" s="6">
        <f t="shared" si="48"/>
        <v>2913.6</v>
      </c>
      <c r="AK201" s="6">
        <f t="shared" si="49"/>
        <v>9784525</v>
      </c>
      <c r="AL201" s="6">
        <f t="shared" si="50"/>
        <v>40533244.199999996</v>
      </c>
      <c r="AM201" s="3">
        <f t="shared" si="51"/>
        <v>0.38685882560600443</v>
      </c>
      <c r="AN201" s="3">
        <f t="shared" si="52"/>
        <v>3.5179032147951164E-2</v>
      </c>
      <c r="AO201" s="3">
        <f t="shared" si="53"/>
        <v>3.3464382255497522E-5</v>
      </c>
      <c r="AP201" s="3">
        <f t="shared" si="54"/>
        <v>0.11238093245073859</v>
      </c>
      <c r="AQ201" s="3">
        <f t="shared" si="55"/>
        <v>0.46554776838420781</v>
      </c>
    </row>
    <row r="202" spans="1:43" x14ac:dyDescent="0.3">
      <c r="A202" t="s">
        <v>179</v>
      </c>
      <c r="B202" t="s">
        <v>7</v>
      </c>
      <c r="C202" t="s">
        <v>170</v>
      </c>
      <c r="D202" s="6">
        <v>2032</v>
      </c>
      <c r="E202" t="s">
        <v>195</v>
      </c>
      <c r="F202" s="6">
        <v>475.8</v>
      </c>
      <c r="G202" s="7">
        <v>246.1</v>
      </c>
      <c r="H202" s="7">
        <v>855.9</v>
      </c>
      <c r="I202" s="6">
        <v>87373020</v>
      </c>
      <c r="J202" s="6">
        <v>39387850</v>
      </c>
      <c r="K202" s="6">
        <v>9784525</v>
      </c>
      <c r="L202" s="6">
        <v>34714492</v>
      </c>
      <c r="M202" s="6">
        <v>0</v>
      </c>
      <c r="N202" s="6">
        <v>1389</v>
      </c>
      <c r="O202" s="6">
        <v>2737711.2</v>
      </c>
      <c r="P202" s="6">
        <v>0</v>
      </c>
      <c r="Q202" s="6">
        <v>16167.7</v>
      </c>
      <c r="R202" s="6">
        <v>533773.69999999995</v>
      </c>
      <c r="S202" s="6">
        <v>0</v>
      </c>
      <c r="T202" s="6">
        <v>36872.300000000003</v>
      </c>
      <c r="U202" s="6">
        <v>0</v>
      </c>
      <c r="V202" s="6">
        <v>35070380</v>
      </c>
      <c r="W202" s="6">
        <v>0</v>
      </c>
      <c r="X202" s="6">
        <v>0</v>
      </c>
      <c r="Y202" s="6">
        <v>3629618.8</v>
      </c>
      <c r="Z202" s="6">
        <v>687850.4</v>
      </c>
      <c r="AA202" s="6">
        <v>148310.1</v>
      </c>
      <c r="AB202" s="6">
        <v>11928.7</v>
      </c>
      <c r="AC202" s="6">
        <v>0</v>
      </c>
      <c r="AD202" s="6">
        <f t="shared" si="42"/>
        <v>87373020</v>
      </c>
      <c r="AE202" s="6">
        <f t="shared" si="43"/>
        <v>0</v>
      </c>
      <c r="AF202" s="6">
        <f t="shared" si="44"/>
        <v>36872.300000000003</v>
      </c>
      <c r="AG202" s="6">
        <f t="shared" si="45"/>
        <v>87336147.700000003</v>
      </c>
      <c r="AH202" s="6">
        <f t="shared" si="46"/>
        <v>34714492</v>
      </c>
      <c r="AI202" s="6">
        <f t="shared" si="47"/>
        <v>2753878.9000000004</v>
      </c>
      <c r="AJ202" s="6">
        <f t="shared" si="48"/>
        <v>1389</v>
      </c>
      <c r="AK202" s="6">
        <f t="shared" si="49"/>
        <v>9784525</v>
      </c>
      <c r="AL202" s="6">
        <f t="shared" si="50"/>
        <v>40081861.700000003</v>
      </c>
      <c r="AM202" s="3">
        <f t="shared" si="51"/>
        <v>0.3974813741412595</v>
      </c>
      <c r="AN202" s="3">
        <f t="shared" si="52"/>
        <v>3.1531948368727976E-2</v>
      </c>
      <c r="AO202" s="3">
        <f t="shared" si="53"/>
        <v>1.5904067634986837E-5</v>
      </c>
      <c r="AP202" s="3">
        <f t="shared" si="54"/>
        <v>0.11203293547604</v>
      </c>
      <c r="AQ202" s="3">
        <f t="shared" si="55"/>
        <v>0.4589378253513236</v>
      </c>
    </row>
    <row r="203" spans="1:43" x14ac:dyDescent="0.3">
      <c r="A203" t="s">
        <v>179</v>
      </c>
      <c r="B203" t="s">
        <v>7</v>
      </c>
      <c r="C203" t="s">
        <v>170</v>
      </c>
      <c r="D203" s="6">
        <v>2034</v>
      </c>
      <c r="E203" t="s">
        <v>195</v>
      </c>
      <c r="F203" s="6">
        <v>341.1</v>
      </c>
      <c r="G203" s="7">
        <v>251.9</v>
      </c>
      <c r="H203" s="7">
        <v>762.2</v>
      </c>
      <c r="I203" s="6">
        <v>101538390</v>
      </c>
      <c r="J203" s="6">
        <v>59684630</v>
      </c>
      <c r="K203" s="6">
        <v>9784525</v>
      </c>
      <c r="L203" s="6">
        <v>29030054</v>
      </c>
      <c r="M203" s="6">
        <v>0</v>
      </c>
      <c r="N203" s="6">
        <v>2106</v>
      </c>
      <c r="O203" s="6">
        <v>2307031.7999999998</v>
      </c>
      <c r="P203" s="6">
        <v>0</v>
      </c>
      <c r="Q203" s="6">
        <v>33252</v>
      </c>
      <c r="R203" s="6">
        <v>499353.8</v>
      </c>
      <c r="S203" s="6">
        <v>0</v>
      </c>
      <c r="T203" s="6">
        <v>31807.7</v>
      </c>
      <c r="U203" s="6">
        <v>0</v>
      </c>
      <c r="V203" s="6">
        <v>53867404</v>
      </c>
      <c r="W203" s="6">
        <v>0</v>
      </c>
      <c r="X203" s="6">
        <v>0</v>
      </c>
      <c r="Y203" s="6">
        <v>5006142.5</v>
      </c>
      <c r="Z203" s="6">
        <v>811084.2</v>
      </c>
      <c r="AA203" s="6">
        <v>153883.79999999999</v>
      </c>
      <c r="AB203" s="6">
        <v>11741.1</v>
      </c>
      <c r="AC203" s="6">
        <v>0</v>
      </c>
      <c r="AD203" s="6">
        <f t="shared" si="42"/>
        <v>101538390</v>
      </c>
      <c r="AE203" s="6">
        <f t="shared" si="43"/>
        <v>0</v>
      </c>
      <c r="AF203" s="6">
        <f t="shared" si="44"/>
        <v>31807.7</v>
      </c>
      <c r="AG203" s="6">
        <f t="shared" si="45"/>
        <v>101506582.3</v>
      </c>
      <c r="AH203" s="6">
        <f t="shared" si="46"/>
        <v>29030054</v>
      </c>
      <c r="AI203" s="6">
        <f t="shared" si="47"/>
        <v>2340283.7999999998</v>
      </c>
      <c r="AJ203" s="6">
        <f t="shared" si="48"/>
        <v>2106</v>
      </c>
      <c r="AK203" s="6">
        <f t="shared" si="49"/>
        <v>9784525</v>
      </c>
      <c r="AL203" s="6">
        <f t="shared" si="50"/>
        <v>60349609.399999999</v>
      </c>
      <c r="AM203" s="3">
        <f t="shared" si="51"/>
        <v>0.2859918375953438</v>
      </c>
      <c r="AN203" s="3">
        <f t="shared" si="52"/>
        <v>2.3055488097149735E-2</v>
      </c>
      <c r="AO203" s="3">
        <f t="shared" si="53"/>
        <v>2.0747422997414818E-5</v>
      </c>
      <c r="AP203" s="3">
        <f t="shared" si="54"/>
        <v>9.6393009973304952E-2</v>
      </c>
      <c r="AQ203" s="3">
        <f t="shared" si="55"/>
        <v>0.5945388765197348</v>
      </c>
    </row>
    <row r="204" spans="1:43" x14ac:dyDescent="0.3">
      <c r="A204" t="s">
        <v>179</v>
      </c>
      <c r="B204" t="s">
        <v>7</v>
      </c>
      <c r="C204" t="s">
        <v>170</v>
      </c>
      <c r="D204" s="6">
        <v>2036</v>
      </c>
      <c r="E204" t="s">
        <v>195</v>
      </c>
      <c r="F204" s="6">
        <v>333.2</v>
      </c>
      <c r="G204" s="7">
        <v>223.1</v>
      </c>
      <c r="H204" s="7">
        <v>778.2</v>
      </c>
      <c r="I204" s="6">
        <v>104622620</v>
      </c>
      <c r="J204" s="6">
        <v>62681516</v>
      </c>
      <c r="K204" s="6">
        <v>9784525</v>
      </c>
      <c r="L204" s="6">
        <v>29267226</v>
      </c>
      <c r="M204" s="6">
        <v>0</v>
      </c>
      <c r="N204" s="6">
        <v>290.39999999999998</v>
      </c>
      <c r="O204" s="6">
        <v>2054970.8</v>
      </c>
      <c r="P204" s="6">
        <v>0</v>
      </c>
      <c r="Q204" s="6">
        <v>4779.7</v>
      </c>
      <c r="R204" s="6">
        <v>499283.5</v>
      </c>
      <c r="S204" s="6">
        <v>0</v>
      </c>
      <c r="T204" s="6">
        <v>33528.800000000003</v>
      </c>
      <c r="U204" s="6">
        <v>0</v>
      </c>
      <c r="V204" s="6">
        <v>56723468</v>
      </c>
      <c r="W204" s="6">
        <v>0</v>
      </c>
      <c r="X204" s="6">
        <v>0</v>
      </c>
      <c r="Y204" s="6">
        <v>4961438</v>
      </c>
      <c r="Z204" s="6">
        <v>996612.6</v>
      </c>
      <c r="AA204" s="6">
        <v>171107.6</v>
      </c>
      <c r="AB204" s="6">
        <v>125390.6</v>
      </c>
      <c r="AC204" s="6">
        <v>0</v>
      </c>
      <c r="AD204" s="6">
        <f t="shared" si="42"/>
        <v>104622620</v>
      </c>
      <c r="AE204" s="6">
        <f t="shared" si="43"/>
        <v>0</v>
      </c>
      <c r="AF204" s="6">
        <f t="shared" si="44"/>
        <v>33528.800000000003</v>
      </c>
      <c r="AG204" s="6">
        <f t="shared" si="45"/>
        <v>104589091.2</v>
      </c>
      <c r="AH204" s="6">
        <f t="shared" si="46"/>
        <v>29267226</v>
      </c>
      <c r="AI204" s="6">
        <f t="shared" si="47"/>
        <v>2059750.5</v>
      </c>
      <c r="AJ204" s="6">
        <f t="shared" si="48"/>
        <v>290.39999999999998</v>
      </c>
      <c r="AK204" s="6">
        <f t="shared" si="49"/>
        <v>9784525</v>
      </c>
      <c r="AL204" s="6">
        <f t="shared" si="50"/>
        <v>63477300.300000004</v>
      </c>
      <c r="AM204" s="3">
        <f t="shared" si="51"/>
        <v>0.27983057950120138</v>
      </c>
      <c r="AN204" s="3">
        <f t="shared" si="52"/>
        <v>1.9693741253198688E-2</v>
      </c>
      <c r="AO204" s="3">
        <f t="shared" si="53"/>
        <v>2.7765802022763917E-6</v>
      </c>
      <c r="AP204" s="3">
        <f t="shared" si="54"/>
        <v>9.3552060618727312E-2</v>
      </c>
      <c r="AQ204" s="3">
        <f t="shared" si="55"/>
        <v>0.60692085160789699</v>
      </c>
    </row>
    <row r="205" spans="1:43" x14ac:dyDescent="0.3">
      <c r="A205" t="s">
        <v>179</v>
      </c>
      <c r="B205" t="s">
        <v>7</v>
      </c>
      <c r="C205" t="s">
        <v>170</v>
      </c>
      <c r="D205" s="6">
        <v>2038</v>
      </c>
      <c r="E205" t="s">
        <v>195</v>
      </c>
      <c r="F205" s="6">
        <v>307.8</v>
      </c>
      <c r="G205" s="7">
        <v>258.8</v>
      </c>
      <c r="H205" s="7">
        <v>761</v>
      </c>
      <c r="I205" s="6">
        <v>107014584</v>
      </c>
      <c r="J205" s="6">
        <v>66394732</v>
      </c>
      <c r="K205" s="6">
        <v>9784525</v>
      </c>
      <c r="L205" s="6">
        <v>27546260</v>
      </c>
      <c r="M205" s="6">
        <v>0</v>
      </c>
      <c r="N205" s="6">
        <v>7.8</v>
      </c>
      <c r="O205" s="6">
        <v>2214057.5</v>
      </c>
      <c r="P205" s="6">
        <v>0</v>
      </c>
      <c r="Q205" s="6">
        <v>3380.8</v>
      </c>
      <c r="R205" s="6">
        <v>483217</v>
      </c>
      <c r="S205" s="6">
        <v>0</v>
      </c>
      <c r="T205" s="6">
        <v>33632.300000000003</v>
      </c>
      <c r="U205" s="6">
        <v>0</v>
      </c>
      <c r="V205" s="6">
        <v>60305324</v>
      </c>
      <c r="W205" s="6">
        <v>0</v>
      </c>
      <c r="X205" s="6">
        <v>0</v>
      </c>
      <c r="Y205" s="6">
        <v>4892557.5</v>
      </c>
      <c r="Z205" s="6">
        <v>1196852.3999999999</v>
      </c>
      <c r="AA205" s="6">
        <v>168337.1</v>
      </c>
      <c r="AB205" s="6">
        <v>386437.7</v>
      </c>
      <c r="AC205" s="6">
        <v>0</v>
      </c>
      <c r="AD205" s="6">
        <f t="shared" si="42"/>
        <v>107014584</v>
      </c>
      <c r="AE205" s="6">
        <f t="shared" si="43"/>
        <v>0</v>
      </c>
      <c r="AF205" s="6">
        <f t="shared" si="44"/>
        <v>33632.300000000003</v>
      </c>
      <c r="AG205" s="6">
        <f t="shared" si="45"/>
        <v>106980951.7</v>
      </c>
      <c r="AH205" s="6">
        <f t="shared" si="46"/>
        <v>27546260</v>
      </c>
      <c r="AI205" s="6">
        <f t="shared" si="47"/>
        <v>2217438.2999999998</v>
      </c>
      <c r="AJ205" s="6">
        <f t="shared" si="48"/>
        <v>7.8</v>
      </c>
      <c r="AK205" s="6">
        <f t="shared" si="49"/>
        <v>9784525</v>
      </c>
      <c r="AL205" s="6">
        <f t="shared" si="50"/>
        <v>67432725.700000003</v>
      </c>
      <c r="AM205" s="3">
        <f t="shared" si="51"/>
        <v>0.25748752055642815</v>
      </c>
      <c r="AN205" s="3">
        <f t="shared" si="52"/>
        <v>2.072741235484821E-2</v>
      </c>
      <c r="AO205" s="3">
        <f t="shared" si="53"/>
        <v>7.291017584020988E-8</v>
      </c>
      <c r="AP205" s="3">
        <f t="shared" si="54"/>
        <v>9.1460440802939691E-2</v>
      </c>
      <c r="AQ205" s="3">
        <f t="shared" si="55"/>
        <v>0.63032460104764609</v>
      </c>
    </row>
    <row r="206" spans="1:43" x14ac:dyDescent="0.3">
      <c r="A206" t="s">
        <v>179</v>
      </c>
      <c r="B206" t="s">
        <v>7</v>
      </c>
      <c r="C206" t="s">
        <v>170</v>
      </c>
      <c r="D206" s="6">
        <v>2040</v>
      </c>
      <c r="E206" t="s">
        <v>195</v>
      </c>
      <c r="F206" s="6">
        <v>296.8</v>
      </c>
      <c r="G206" s="7">
        <v>229.6</v>
      </c>
      <c r="H206" s="7">
        <v>758.5</v>
      </c>
      <c r="I206" s="6">
        <v>109441200</v>
      </c>
      <c r="J206" s="6">
        <v>69258536</v>
      </c>
      <c r="K206" s="6">
        <v>9784525</v>
      </c>
      <c r="L206" s="6">
        <v>27139162</v>
      </c>
      <c r="M206" s="6">
        <v>0</v>
      </c>
      <c r="N206" s="6">
        <v>86.3</v>
      </c>
      <c r="O206" s="6">
        <v>2138801.2000000002</v>
      </c>
      <c r="P206" s="6">
        <v>0</v>
      </c>
      <c r="Q206" s="6">
        <v>2653.4</v>
      </c>
      <c r="R206" s="6">
        <v>479252.3</v>
      </c>
      <c r="S206" s="6">
        <v>0</v>
      </c>
      <c r="T206" s="6">
        <v>34826.699999999997</v>
      </c>
      <c r="U206" s="6">
        <v>0</v>
      </c>
      <c r="V206" s="6">
        <v>63011596</v>
      </c>
      <c r="W206" s="6">
        <v>0</v>
      </c>
      <c r="X206" s="6">
        <v>0</v>
      </c>
      <c r="Y206" s="6">
        <v>4845488</v>
      </c>
      <c r="Z206" s="6">
        <v>1401452.9</v>
      </c>
      <c r="AA206" s="6">
        <v>163659.6</v>
      </c>
      <c r="AB206" s="6">
        <v>439697.8</v>
      </c>
      <c r="AC206" s="6">
        <v>0</v>
      </c>
      <c r="AD206" s="6">
        <f t="shared" si="42"/>
        <v>109441200</v>
      </c>
      <c r="AE206" s="6">
        <f t="shared" si="43"/>
        <v>0</v>
      </c>
      <c r="AF206" s="6">
        <f t="shared" si="44"/>
        <v>34826.699999999997</v>
      </c>
      <c r="AG206" s="6">
        <f t="shared" si="45"/>
        <v>109406373.3</v>
      </c>
      <c r="AH206" s="6">
        <f t="shared" si="46"/>
        <v>27139162</v>
      </c>
      <c r="AI206" s="6">
        <f t="shared" si="47"/>
        <v>2141454.6</v>
      </c>
      <c r="AJ206" s="6">
        <f t="shared" si="48"/>
        <v>86.3</v>
      </c>
      <c r="AK206" s="6">
        <f t="shared" si="49"/>
        <v>9784525</v>
      </c>
      <c r="AL206" s="6">
        <f t="shared" si="50"/>
        <v>70341146.599999994</v>
      </c>
      <c r="AM206" s="3">
        <f t="shared" si="51"/>
        <v>0.24805832769524772</v>
      </c>
      <c r="AN206" s="3">
        <f t="shared" si="52"/>
        <v>1.9573399020621773E-2</v>
      </c>
      <c r="AO206" s="3">
        <f t="shared" si="53"/>
        <v>7.8880231011185524E-7</v>
      </c>
      <c r="AP206" s="3">
        <f t="shared" si="54"/>
        <v>8.9432861220709162E-2</v>
      </c>
      <c r="AQ206" s="3">
        <f t="shared" si="55"/>
        <v>0.64293463422939356</v>
      </c>
    </row>
    <row r="207" spans="1:43" x14ac:dyDescent="0.3">
      <c r="A207" t="s">
        <v>179</v>
      </c>
      <c r="B207" t="s">
        <v>7</v>
      </c>
      <c r="C207" t="s">
        <v>170</v>
      </c>
      <c r="D207" s="6">
        <v>2042</v>
      </c>
      <c r="E207" t="s">
        <v>195</v>
      </c>
      <c r="F207" s="6">
        <v>275.39999999999998</v>
      </c>
      <c r="G207" s="7">
        <v>210.9</v>
      </c>
      <c r="H207" s="7">
        <v>757.3</v>
      </c>
      <c r="I207" s="6">
        <v>114329496</v>
      </c>
      <c r="J207" s="6">
        <v>74877090</v>
      </c>
      <c r="K207" s="6">
        <v>9784525</v>
      </c>
      <c r="L207" s="6">
        <v>26218782</v>
      </c>
      <c r="M207" s="6">
        <v>0</v>
      </c>
      <c r="N207" s="6">
        <v>31.4</v>
      </c>
      <c r="O207" s="6">
        <v>2154757</v>
      </c>
      <c r="P207" s="6">
        <v>0</v>
      </c>
      <c r="Q207" s="6">
        <v>2196.4</v>
      </c>
      <c r="R207" s="6">
        <v>474411.6</v>
      </c>
      <c r="S207" s="6">
        <v>0</v>
      </c>
      <c r="T207" s="6">
        <v>34850.199999999997</v>
      </c>
      <c r="U207" s="6">
        <v>0</v>
      </c>
      <c r="V207" s="6">
        <v>68464370</v>
      </c>
      <c r="W207" s="6">
        <v>0</v>
      </c>
      <c r="X207" s="6">
        <v>0</v>
      </c>
      <c r="Y207" s="6">
        <v>4795378</v>
      </c>
      <c r="Z207" s="6">
        <v>1617335.2</v>
      </c>
      <c r="AA207" s="6">
        <v>155554.6</v>
      </c>
      <c r="AB207" s="6">
        <v>627300.69999999995</v>
      </c>
      <c r="AC207" s="6">
        <v>0</v>
      </c>
      <c r="AD207" s="6">
        <f t="shared" si="42"/>
        <v>114329496</v>
      </c>
      <c r="AE207" s="6">
        <f t="shared" si="43"/>
        <v>0</v>
      </c>
      <c r="AF207" s="6">
        <f t="shared" si="44"/>
        <v>34850.199999999997</v>
      </c>
      <c r="AG207" s="6">
        <f t="shared" si="45"/>
        <v>114294645.8</v>
      </c>
      <c r="AH207" s="6">
        <f t="shared" si="46"/>
        <v>26218782</v>
      </c>
      <c r="AI207" s="6">
        <f t="shared" si="47"/>
        <v>2156953.4</v>
      </c>
      <c r="AJ207" s="6">
        <f t="shared" si="48"/>
        <v>31.4</v>
      </c>
      <c r="AK207" s="6">
        <f t="shared" si="49"/>
        <v>9784525</v>
      </c>
      <c r="AL207" s="6">
        <f t="shared" si="50"/>
        <v>76134350.099999994</v>
      </c>
      <c r="AM207" s="3">
        <f t="shared" si="51"/>
        <v>0.22939641499812058</v>
      </c>
      <c r="AN207" s="3">
        <f t="shared" si="52"/>
        <v>1.8871867399408836E-2</v>
      </c>
      <c r="AO207" s="3">
        <f t="shared" si="53"/>
        <v>2.747285297593529E-7</v>
      </c>
      <c r="AP207" s="3">
        <f t="shared" si="54"/>
        <v>8.560790342814116E-2</v>
      </c>
      <c r="AQ207" s="3">
        <f t="shared" si="55"/>
        <v>0.66612350532346631</v>
      </c>
    </row>
    <row r="208" spans="1:43" x14ac:dyDescent="0.3">
      <c r="A208" t="s">
        <v>179</v>
      </c>
      <c r="B208" t="s">
        <v>7</v>
      </c>
      <c r="C208" t="s">
        <v>170</v>
      </c>
      <c r="D208" s="6">
        <v>2044</v>
      </c>
      <c r="E208" t="s">
        <v>195</v>
      </c>
      <c r="F208" s="6">
        <v>250.1</v>
      </c>
      <c r="G208" s="7">
        <v>212.6</v>
      </c>
      <c r="H208" s="7">
        <v>741.1</v>
      </c>
      <c r="I208" s="6">
        <v>111631920</v>
      </c>
      <c r="J208" s="6">
        <v>75395430</v>
      </c>
      <c r="K208" s="6">
        <v>9784525</v>
      </c>
      <c r="L208" s="6">
        <v>22980550</v>
      </c>
      <c r="M208" s="6">
        <v>0</v>
      </c>
      <c r="N208" s="6">
        <v>132.30000000000001</v>
      </c>
      <c r="O208" s="6">
        <v>2108774.5</v>
      </c>
      <c r="P208" s="6">
        <v>0</v>
      </c>
      <c r="Q208" s="6">
        <v>2048.9</v>
      </c>
      <c r="R208" s="6">
        <v>478687.8</v>
      </c>
      <c r="S208" s="6">
        <v>0</v>
      </c>
      <c r="T208" s="6">
        <v>34873.699999999997</v>
      </c>
      <c r="U208" s="6">
        <v>0</v>
      </c>
      <c r="V208" s="6">
        <v>68761160</v>
      </c>
      <c r="W208" s="6">
        <v>0</v>
      </c>
      <c r="X208" s="6">
        <v>0</v>
      </c>
      <c r="Y208" s="6">
        <v>4770466</v>
      </c>
      <c r="Z208" s="6">
        <v>1863802</v>
      </c>
      <c r="AA208" s="6">
        <v>147707.29999999999</v>
      </c>
      <c r="AB208" s="6">
        <v>699199.3</v>
      </c>
      <c r="AC208" s="6">
        <v>0</v>
      </c>
      <c r="AD208" s="6">
        <f t="shared" si="42"/>
        <v>111631920</v>
      </c>
      <c r="AE208" s="6">
        <f t="shared" si="43"/>
        <v>0</v>
      </c>
      <c r="AF208" s="6">
        <f t="shared" si="44"/>
        <v>34873.699999999997</v>
      </c>
      <c r="AG208" s="6">
        <f t="shared" si="45"/>
        <v>111597046.3</v>
      </c>
      <c r="AH208" s="6">
        <f t="shared" si="46"/>
        <v>22980550</v>
      </c>
      <c r="AI208" s="6">
        <f t="shared" si="47"/>
        <v>2110823.4</v>
      </c>
      <c r="AJ208" s="6">
        <f t="shared" si="48"/>
        <v>132.30000000000001</v>
      </c>
      <c r="AK208" s="6">
        <f t="shared" si="49"/>
        <v>9784525</v>
      </c>
      <c r="AL208" s="6">
        <f t="shared" si="50"/>
        <v>76721022.399999991</v>
      </c>
      <c r="AM208" s="3">
        <f t="shared" si="51"/>
        <v>0.20592435697825454</v>
      </c>
      <c r="AN208" s="3">
        <f t="shared" si="52"/>
        <v>1.8914688784195895E-2</v>
      </c>
      <c r="AO208" s="3">
        <f t="shared" si="53"/>
        <v>1.1855152478170923E-6</v>
      </c>
      <c r="AP208" s="3">
        <f t="shared" si="54"/>
        <v>8.7677275738076599E-2</v>
      </c>
      <c r="AQ208" s="3">
        <f t="shared" si="55"/>
        <v>0.68748255391773749</v>
      </c>
    </row>
    <row r="209" spans="1:43" x14ac:dyDescent="0.3">
      <c r="A209" t="s">
        <v>179</v>
      </c>
      <c r="B209" t="s">
        <v>7</v>
      </c>
      <c r="C209" t="s">
        <v>170</v>
      </c>
      <c r="D209" s="6">
        <v>2046</v>
      </c>
      <c r="E209" t="s">
        <v>195</v>
      </c>
      <c r="F209" s="6">
        <v>208.8</v>
      </c>
      <c r="G209" s="7">
        <v>229.7</v>
      </c>
      <c r="H209" s="7">
        <v>686.3</v>
      </c>
      <c r="I209" s="6">
        <v>115439060</v>
      </c>
      <c r="J209" s="6">
        <v>81907890</v>
      </c>
      <c r="K209" s="6">
        <v>9784525</v>
      </c>
      <c r="L209" s="6">
        <v>19867194</v>
      </c>
      <c r="M209" s="6">
        <v>0</v>
      </c>
      <c r="N209" s="6">
        <v>181.7</v>
      </c>
      <c r="O209" s="6">
        <v>1898973.8</v>
      </c>
      <c r="P209" s="6">
        <v>0</v>
      </c>
      <c r="Q209" s="6">
        <v>1889.2</v>
      </c>
      <c r="R209" s="6">
        <v>460636</v>
      </c>
      <c r="S209" s="6">
        <v>0</v>
      </c>
      <c r="T209" s="6">
        <v>33425.4</v>
      </c>
      <c r="U209" s="6">
        <v>0</v>
      </c>
      <c r="V209" s="6">
        <v>74748850</v>
      </c>
      <c r="W209" s="6">
        <v>0</v>
      </c>
      <c r="X209" s="6">
        <v>0</v>
      </c>
      <c r="Y209" s="6">
        <v>5060484.5</v>
      </c>
      <c r="Z209" s="6">
        <v>2098552.5</v>
      </c>
      <c r="AA209" s="6">
        <v>140139.5</v>
      </c>
      <c r="AB209" s="6">
        <v>1344202.1</v>
      </c>
      <c r="AC209" s="6">
        <v>0</v>
      </c>
      <c r="AD209" s="6">
        <f t="shared" si="42"/>
        <v>115439060</v>
      </c>
      <c r="AE209" s="6">
        <f t="shared" si="43"/>
        <v>0</v>
      </c>
      <c r="AF209" s="6">
        <f t="shared" si="44"/>
        <v>33425.4</v>
      </c>
      <c r="AG209" s="6">
        <f t="shared" si="45"/>
        <v>115405634.59999999</v>
      </c>
      <c r="AH209" s="6">
        <f t="shared" si="46"/>
        <v>19867194</v>
      </c>
      <c r="AI209" s="6">
        <f t="shared" si="47"/>
        <v>1900863</v>
      </c>
      <c r="AJ209" s="6">
        <f t="shared" si="48"/>
        <v>181.7</v>
      </c>
      <c r="AK209" s="6">
        <f t="shared" si="49"/>
        <v>9784525</v>
      </c>
      <c r="AL209" s="6">
        <f t="shared" si="50"/>
        <v>83852864.599999994</v>
      </c>
      <c r="AM209" s="3">
        <f t="shared" si="51"/>
        <v>0.17215098785133323</v>
      </c>
      <c r="AN209" s="3">
        <f t="shared" si="52"/>
        <v>1.6471145508522685E-2</v>
      </c>
      <c r="AO209" s="3">
        <f t="shared" si="53"/>
        <v>1.5744465218685258E-6</v>
      </c>
      <c r="AP209" s="3">
        <f t="shared" si="54"/>
        <v>8.4783771900856564E-2</v>
      </c>
      <c r="AQ209" s="3">
        <f t="shared" si="55"/>
        <v>0.72659246570271019</v>
      </c>
    </row>
    <row r="210" spans="1:43" x14ac:dyDescent="0.3">
      <c r="A210" t="s">
        <v>179</v>
      </c>
      <c r="B210" t="s">
        <v>7</v>
      </c>
      <c r="C210" t="s">
        <v>170</v>
      </c>
      <c r="D210" s="6">
        <v>2048</v>
      </c>
      <c r="E210" t="s">
        <v>195</v>
      </c>
      <c r="F210" s="6">
        <v>198.2</v>
      </c>
      <c r="G210" s="7">
        <v>203.9</v>
      </c>
      <c r="H210" s="7">
        <v>685</v>
      </c>
      <c r="I210" s="6">
        <v>113264296</v>
      </c>
      <c r="J210" s="6">
        <v>80623330</v>
      </c>
      <c r="K210" s="6">
        <v>9784525</v>
      </c>
      <c r="L210" s="6">
        <v>18313986</v>
      </c>
      <c r="M210" s="6">
        <v>0</v>
      </c>
      <c r="N210" s="6">
        <v>39.200000000000003</v>
      </c>
      <c r="O210" s="6">
        <v>2300654.5</v>
      </c>
      <c r="P210" s="6">
        <v>0</v>
      </c>
      <c r="Q210" s="6">
        <v>1096.5999999999999</v>
      </c>
      <c r="R210" s="6">
        <v>467823.7</v>
      </c>
      <c r="S210" s="6">
        <v>0</v>
      </c>
      <c r="T210" s="6">
        <v>33669.9</v>
      </c>
      <c r="U210" s="6">
        <v>0</v>
      </c>
      <c r="V210" s="6">
        <v>73203040</v>
      </c>
      <c r="W210" s="6">
        <v>0</v>
      </c>
      <c r="X210" s="6">
        <v>0</v>
      </c>
      <c r="Y210" s="6">
        <v>5070917.5</v>
      </c>
      <c r="Z210" s="6">
        <v>2349367.5</v>
      </c>
      <c r="AA210" s="6">
        <v>138246.9</v>
      </c>
      <c r="AB210" s="6">
        <v>1600931.9</v>
      </c>
      <c r="AC210" s="6">
        <v>0</v>
      </c>
      <c r="AD210" s="6">
        <f t="shared" si="42"/>
        <v>113264296</v>
      </c>
      <c r="AE210" s="6">
        <f t="shared" si="43"/>
        <v>0</v>
      </c>
      <c r="AF210" s="6">
        <f t="shared" si="44"/>
        <v>33669.9</v>
      </c>
      <c r="AG210" s="6">
        <f t="shared" si="45"/>
        <v>113230626.09999999</v>
      </c>
      <c r="AH210" s="6">
        <f t="shared" si="46"/>
        <v>18313986</v>
      </c>
      <c r="AI210" s="6">
        <f t="shared" si="47"/>
        <v>2301751.1</v>
      </c>
      <c r="AJ210" s="6">
        <f t="shared" si="48"/>
        <v>39.200000000000003</v>
      </c>
      <c r="AK210" s="6">
        <f t="shared" si="49"/>
        <v>9784525</v>
      </c>
      <c r="AL210" s="6">
        <f t="shared" si="50"/>
        <v>82830327.500000015</v>
      </c>
      <c r="AM210" s="3">
        <f t="shared" si="51"/>
        <v>0.16174056993931962</v>
      </c>
      <c r="AN210" s="3">
        <f t="shared" si="52"/>
        <v>2.0327990573567978E-2</v>
      </c>
      <c r="AO210" s="3">
        <f t="shared" si="53"/>
        <v>3.4619608978740783E-7</v>
      </c>
      <c r="AP210" s="3">
        <f t="shared" si="54"/>
        <v>8.6412354475182057E-2</v>
      </c>
      <c r="AQ210" s="3">
        <f t="shared" si="55"/>
        <v>0.73151876266097959</v>
      </c>
    </row>
    <row r="211" spans="1:43" x14ac:dyDescent="0.3">
      <c r="A211" t="s">
        <v>179</v>
      </c>
      <c r="B211" t="s">
        <v>7</v>
      </c>
      <c r="C211" t="s">
        <v>170</v>
      </c>
      <c r="D211" s="6">
        <v>2050</v>
      </c>
      <c r="E211" t="s">
        <v>195</v>
      </c>
      <c r="F211" s="6">
        <v>160.80000000000001</v>
      </c>
      <c r="G211" s="7">
        <v>179.1</v>
      </c>
      <c r="H211" s="7">
        <v>639.9</v>
      </c>
      <c r="I211" s="6">
        <v>126284180</v>
      </c>
      <c r="J211" s="6">
        <v>95717450</v>
      </c>
      <c r="K211" s="6">
        <v>9784525</v>
      </c>
      <c r="L211" s="6">
        <v>16560645</v>
      </c>
      <c r="M211" s="6">
        <v>0</v>
      </c>
      <c r="N211" s="6">
        <v>23.5</v>
      </c>
      <c r="O211" s="6">
        <v>2025787.2</v>
      </c>
      <c r="P211" s="6">
        <v>0</v>
      </c>
      <c r="Q211" s="6">
        <v>860.9</v>
      </c>
      <c r="R211" s="6">
        <v>447149.8</v>
      </c>
      <c r="S211" s="6">
        <v>0</v>
      </c>
      <c r="T211" s="6">
        <v>31906.5</v>
      </c>
      <c r="U211" s="6">
        <v>0</v>
      </c>
      <c r="V211" s="6">
        <v>88305110</v>
      </c>
      <c r="W211" s="6">
        <v>0</v>
      </c>
      <c r="X211" s="6">
        <v>0</v>
      </c>
      <c r="Y211" s="6">
        <v>4851075.5</v>
      </c>
      <c r="Z211" s="6">
        <v>2561255</v>
      </c>
      <c r="AA211" s="6">
        <v>137947.79999999999</v>
      </c>
      <c r="AB211" s="6">
        <v>1577875.5</v>
      </c>
      <c r="AC211" s="6">
        <v>0</v>
      </c>
      <c r="AD211" s="6">
        <f t="shared" si="42"/>
        <v>126284180</v>
      </c>
      <c r="AE211" s="6">
        <f t="shared" si="43"/>
        <v>0</v>
      </c>
      <c r="AF211" s="6">
        <f t="shared" si="44"/>
        <v>31906.5</v>
      </c>
      <c r="AG211" s="6">
        <f t="shared" si="45"/>
        <v>126252273.5</v>
      </c>
      <c r="AH211" s="6">
        <f t="shared" si="46"/>
        <v>16560645</v>
      </c>
      <c r="AI211" s="6">
        <f t="shared" si="47"/>
        <v>2026648.0999999999</v>
      </c>
      <c r="AJ211" s="6">
        <f t="shared" si="48"/>
        <v>23.5</v>
      </c>
      <c r="AK211" s="6">
        <f t="shared" si="49"/>
        <v>9784525</v>
      </c>
      <c r="AL211" s="6">
        <f t="shared" si="50"/>
        <v>97880413.599999994</v>
      </c>
      <c r="AM211" s="3">
        <f t="shared" si="51"/>
        <v>0.1311710636244503</v>
      </c>
      <c r="AN211" s="3">
        <f t="shared" si="52"/>
        <v>1.6052369148029638E-2</v>
      </c>
      <c r="AO211" s="3">
        <f t="shared" si="53"/>
        <v>1.8613526195233228E-7</v>
      </c>
      <c r="AP211" s="3">
        <f t="shared" si="54"/>
        <v>7.7499792508686979E-2</v>
      </c>
      <c r="AQ211" s="3">
        <f t="shared" si="55"/>
        <v>0.77527644363568626</v>
      </c>
    </row>
    <row r="212" spans="1:43" x14ac:dyDescent="0.3">
      <c r="A212" t="s">
        <v>179</v>
      </c>
      <c r="B212" t="s">
        <v>7</v>
      </c>
      <c r="C212" t="s">
        <v>171</v>
      </c>
      <c r="D212" s="6">
        <v>2022</v>
      </c>
      <c r="E212" t="s">
        <v>195</v>
      </c>
      <c r="F212" s="6">
        <v>347.3</v>
      </c>
      <c r="G212" s="7">
        <v>597.4</v>
      </c>
      <c r="H212" s="7">
        <v>766.5</v>
      </c>
      <c r="I212" s="6">
        <v>142799940</v>
      </c>
      <c r="J212" s="6">
        <v>83360170</v>
      </c>
      <c r="K212" s="6">
        <v>0</v>
      </c>
      <c r="L212" s="6">
        <v>27708588</v>
      </c>
      <c r="M212" s="6">
        <v>0</v>
      </c>
      <c r="N212" s="6">
        <v>1362325.4</v>
      </c>
      <c r="O212" s="6">
        <v>24925030</v>
      </c>
      <c r="P212" s="6">
        <v>0</v>
      </c>
      <c r="Q212" s="6">
        <v>1683569.8</v>
      </c>
      <c r="R212" s="6">
        <v>3392639.2</v>
      </c>
      <c r="S212" s="6">
        <v>0</v>
      </c>
      <c r="T212" s="6">
        <v>0</v>
      </c>
      <c r="U212" s="6">
        <v>0</v>
      </c>
      <c r="V212" s="6">
        <v>81884450</v>
      </c>
      <c r="W212" s="6">
        <v>0</v>
      </c>
      <c r="X212" s="6">
        <v>0</v>
      </c>
      <c r="Y212" s="6">
        <v>1238633</v>
      </c>
      <c r="Z212" s="6">
        <v>237087.2</v>
      </c>
      <c r="AA212" s="6">
        <v>354085.2</v>
      </c>
      <c r="AB212" s="6">
        <v>13537.7</v>
      </c>
      <c r="AC212" s="6">
        <v>0</v>
      </c>
      <c r="AD212" s="6">
        <f t="shared" si="42"/>
        <v>142799940</v>
      </c>
      <c r="AE212" s="6">
        <f t="shared" si="43"/>
        <v>0</v>
      </c>
      <c r="AF212" s="6">
        <f t="shared" si="44"/>
        <v>0</v>
      </c>
      <c r="AG212" s="6">
        <f t="shared" si="45"/>
        <v>142799940</v>
      </c>
      <c r="AH212" s="6">
        <f t="shared" si="46"/>
        <v>27708588</v>
      </c>
      <c r="AI212" s="6">
        <f t="shared" si="47"/>
        <v>26608599.800000001</v>
      </c>
      <c r="AJ212" s="6">
        <f t="shared" si="48"/>
        <v>1362325.4</v>
      </c>
      <c r="AK212" s="6">
        <f t="shared" si="49"/>
        <v>0</v>
      </c>
      <c r="AL212" s="6">
        <f t="shared" si="50"/>
        <v>87120432.300000012</v>
      </c>
      <c r="AM212" s="3">
        <f t="shared" si="51"/>
        <v>0.19403781262092967</v>
      </c>
      <c r="AN212" s="3">
        <f t="shared" si="52"/>
        <v>0.1863348107849345</v>
      </c>
      <c r="AO212" s="3">
        <f t="shared" si="53"/>
        <v>9.540097845979487E-3</v>
      </c>
      <c r="AP212" s="3">
        <f t="shared" si="54"/>
        <v>0</v>
      </c>
      <c r="AQ212" s="3">
        <f t="shared" si="55"/>
        <v>0.61008731726357879</v>
      </c>
    </row>
    <row r="213" spans="1:43" x14ac:dyDescent="0.3">
      <c r="A213" t="s">
        <v>179</v>
      </c>
      <c r="B213" t="s">
        <v>7</v>
      </c>
      <c r="C213" t="s">
        <v>171</v>
      </c>
      <c r="D213" s="6">
        <v>2024</v>
      </c>
      <c r="E213" t="s">
        <v>195</v>
      </c>
      <c r="F213" s="6">
        <v>314.89999999999998</v>
      </c>
      <c r="G213" s="7">
        <v>486.2</v>
      </c>
      <c r="H213" s="7">
        <v>723.3</v>
      </c>
      <c r="I213" s="6">
        <v>149139090</v>
      </c>
      <c r="J213" s="6">
        <v>89621330</v>
      </c>
      <c r="K213" s="6">
        <v>0</v>
      </c>
      <c r="L213" s="6">
        <v>22400080</v>
      </c>
      <c r="M213" s="6">
        <v>0</v>
      </c>
      <c r="N213" s="6">
        <v>2389762.5</v>
      </c>
      <c r="O213" s="6">
        <v>28689978</v>
      </c>
      <c r="P213" s="6">
        <v>0</v>
      </c>
      <c r="Q213" s="6">
        <v>2355706.5</v>
      </c>
      <c r="R213" s="6">
        <v>3284785.5</v>
      </c>
      <c r="S213" s="6">
        <v>0</v>
      </c>
      <c r="T213" s="6">
        <v>0</v>
      </c>
      <c r="U213" s="6">
        <v>0</v>
      </c>
      <c r="V213" s="6">
        <v>87446910</v>
      </c>
      <c r="W213" s="6">
        <v>0</v>
      </c>
      <c r="X213" s="6">
        <v>0</v>
      </c>
      <c r="Y213" s="6">
        <v>1846598.2</v>
      </c>
      <c r="Z213" s="6">
        <v>327813.5</v>
      </c>
      <c r="AA213" s="6">
        <v>382929.9</v>
      </c>
      <c r="AB213" s="6">
        <v>14517.1</v>
      </c>
      <c r="AC213" s="6">
        <v>0</v>
      </c>
      <c r="AD213" s="6">
        <f t="shared" si="42"/>
        <v>149139090</v>
      </c>
      <c r="AE213" s="6">
        <f t="shared" si="43"/>
        <v>0</v>
      </c>
      <c r="AF213" s="6">
        <f t="shared" si="44"/>
        <v>0</v>
      </c>
      <c r="AG213" s="6">
        <f t="shared" si="45"/>
        <v>149139090</v>
      </c>
      <c r="AH213" s="6">
        <f t="shared" si="46"/>
        <v>22400080</v>
      </c>
      <c r="AI213" s="6">
        <f t="shared" si="47"/>
        <v>31045684.5</v>
      </c>
      <c r="AJ213" s="6">
        <f t="shared" si="48"/>
        <v>2389762.5</v>
      </c>
      <c r="AK213" s="6">
        <f t="shared" si="49"/>
        <v>0</v>
      </c>
      <c r="AL213" s="6">
        <f t="shared" si="50"/>
        <v>93303554.200000003</v>
      </c>
      <c r="AM213" s="3">
        <f t="shared" si="51"/>
        <v>0.15019590102098651</v>
      </c>
      <c r="AN213" s="3">
        <f t="shared" si="52"/>
        <v>0.20816597781306029</v>
      </c>
      <c r="AO213" s="3">
        <f t="shared" si="53"/>
        <v>1.6023716518586778E-2</v>
      </c>
      <c r="AP213" s="3">
        <f t="shared" si="54"/>
        <v>0</v>
      </c>
      <c r="AQ213" s="3">
        <f t="shared" si="55"/>
        <v>0.62561434564204466</v>
      </c>
    </row>
    <row r="214" spans="1:43" x14ac:dyDescent="0.3">
      <c r="A214" t="s">
        <v>179</v>
      </c>
      <c r="B214" t="s">
        <v>7</v>
      </c>
      <c r="C214" t="s">
        <v>171</v>
      </c>
      <c r="D214" s="6">
        <v>2026</v>
      </c>
      <c r="E214" t="s">
        <v>195</v>
      </c>
      <c r="F214" s="6">
        <v>184.8</v>
      </c>
      <c r="G214" s="7">
        <v>370.1</v>
      </c>
      <c r="H214" s="7">
        <v>605</v>
      </c>
      <c r="I214" s="6">
        <v>170303020</v>
      </c>
      <c r="J214" s="6">
        <v>129919080</v>
      </c>
      <c r="K214" s="6">
        <v>0</v>
      </c>
      <c r="L214" s="6">
        <v>15224035</v>
      </c>
      <c r="M214" s="6">
        <v>0</v>
      </c>
      <c r="N214" s="6">
        <v>1927240</v>
      </c>
      <c r="O214" s="6">
        <v>18629592</v>
      </c>
      <c r="P214" s="6">
        <v>0</v>
      </c>
      <c r="Q214" s="6">
        <v>1265487.8999999999</v>
      </c>
      <c r="R214" s="6">
        <v>2964012.5</v>
      </c>
      <c r="S214" s="6">
        <v>0</v>
      </c>
      <c r="T214" s="6">
        <v>0</v>
      </c>
      <c r="U214" s="6">
        <v>0</v>
      </c>
      <c r="V214" s="6">
        <v>104864700</v>
      </c>
      <c r="W214" s="6">
        <v>0</v>
      </c>
      <c r="X214" s="6">
        <v>0</v>
      </c>
      <c r="Y214" s="6">
        <v>24594896</v>
      </c>
      <c r="Z214" s="6">
        <v>459478.4</v>
      </c>
      <c r="AA214" s="6">
        <v>358600.9</v>
      </c>
      <c r="AB214" s="6">
        <v>14975.5</v>
      </c>
      <c r="AC214" s="6">
        <v>0</v>
      </c>
      <c r="AD214" s="6">
        <f t="shared" si="42"/>
        <v>170303020</v>
      </c>
      <c r="AE214" s="6">
        <f t="shared" si="43"/>
        <v>0</v>
      </c>
      <c r="AF214" s="6">
        <f t="shared" si="44"/>
        <v>0</v>
      </c>
      <c r="AG214" s="6">
        <f t="shared" si="45"/>
        <v>170303020</v>
      </c>
      <c r="AH214" s="6">
        <f t="shared" si="46"/>
        <v>15224035</v>
      </c>
      <c r="AI214" s="6">
        <f t="shared" si="47"/>
        <v>19895079.899999999</v>
      </c>
      <c r="AJ214" s="6">
        <f t="shared" si="48"/>
        <v>1927240</v>
      </c>
      <c r="AK214" s="6">
        <f t="shared" si="49"/>
        <v>0</v>
      </c>
      <c r="AL214" s="6">
        <f t="shared" si="50"/>
        <v>133256663.30000001</v>
      </c>
      <c r="AM214" s="3">
        <f t="shared" si="51"/>
        <v>8.9393805230230203E-2</v>
      </c>
      <c r="AN214" s="3">
        <f t="shared" si="52"/>
        <v>0.11682165060842725</v>
      </c>
      <c r="AO214" s="3">
        <f t="shared" si="53"/>
        <v>1.1316534492459382E-2</v>
      </c>
      <c r="AP214" s="3">
        <f t="shared" si="54"/>
        <v>0</v>
      </c>
      <c r="AQ214" s="3">
        <f t="shared" si="55"/>
        <v>0.78246799909948761</v>
      </c>
    </row>
    <row r="215" spans="1:43" x14ac:dyDescent="0.3">
      <c r="A215" t="s">
        <v>179</v>
      </c>
      <c r="B215" t="s">
        <v>7</v>
      </c>
      <c r="C215" t="s">
        <v>171</v>
      </c>
      <c r="D215" s="6">
        <v>2028</v>
      </c>
      <c r="E215" t="s">
        <v>195</v>
      </c>
      <c r="F215" s="6">
        <v>193.1</v>
      </c>
      <c r="G215" s="7">
        <v>324.60000000000002</v>
      </c>
      <c r="H215" s="7">
        <v>666.6</v>
      </c>
      <c r="I215" s="6">
        <v>178824020</v>
      </c>
      <c r="J215" s="6">
        <v>136241680</v>
      </c>
      <c r="K215" s="6">
        <v>0</v>
      </c>
      <c r="L215" s="6">
        <v>19404530</v>
      </c>
      <c r="M215" s="6">
        <v>0</v>
      </c>
      <c r="N215" s="6">
        <v>1104997.2</v>
      </c>
      <c r="O215" s="6">
        <v>17509906</v>
      </c>
      <c r="P215" s="6">
        <v>0</v>
      </c>
      <c r="Q215" s="6">
        <v>850533.9</v>
      </c>
      <c r="R215" s="6">
        <v>3129741.5</v>
      </c>
      <c r="S215" s="6">
        <v>0</v>
      </c>
      <c r="T215" s="6">
        <v>0</v>
      </c>
      <c r="U215" s="6">
        <v>0</v>
      </c>
      <c r="V215" s="6">
        <v>110632810</v>
      </c>
      <c r="W215" s="6">
        <v>0</v>
      </c>
      <c r="X215" s="6">
        <v>0</v>
      </c>
      <c r="Y215" s="6">
        <v>24808964</v>
      </c>
      <c r="Z215" s="6">
        <v>799913.4</v>
      </c>
      <c r="AA215" s="6">
        <v>335231.5</v>
      </c>
      <c r="AB215" s="6">
        <v>247394.5</v>
      </c>
      <c r="AC215" s="6">
        <v>0</v>
      </c>
      <c r="AD215" s="6">
        <f t="shared" si="42"/>
        <v>178824020</v>
      </c>
      <c r="AE215" s="6">
        <f t="shared" si="43"/>
        <v>0</v>
      </c>
      <c r="AF215" s="6">
        <f t="shared" si="44"/>
        <v>0</v>
      </c>
      <c r="AG215" s="6">
        <f t="shared" si="45"/>
        <v>178824020</v>
      </c>
      <c r="AH215" s="6">
        <f t="shared" si="46"/>
        <v>19404530</v>
      </c>
      <c r="AI215" s="6">
        <f t="shared" si="47"/>
        <v>18360439.899999999</v>
      </c>
      <c r="AJ215" s="6">
        <f t="shared" si="48"/>
        <v>1104997.2</v>
      </c>
      <c r="AK215" s="6">
        <f t="shared" si="49"/>
        <v>0</v>
      </c>
      <c r="AL215" s="6">
        <f t="shared" si="50"/>
        <v>139954054.90000001</v>
      </c>
      <c r="AM215" s="3">
        <f t="shared" si="51"/>
        <v>0.1085118766483384</v>
      </c>
      <c r="AN215" s="3">
        <f t="shared" si="52"/>
        <v>0.10267323092278095</v>
      </c>
      <c r="AO215" s="3">
        <f t="shared" si="53"/>
        <v>6.1792437056274654E-3</v>
      </c>
      <c r="AP215" s="3">
        <f t="shared" si="54"/>
        <v>0</v>
      </c>
      <c r="AQ215" s="3">
        <f t="shared" si="55"/>
        <v>0.782635659907433</v>
      </c>
    </row>
    <row r="216" spans="1:43" x14ac:dyDescent="0.3">
      <c r="A216" t="s">
        <v>179</v>
      </c>
      <c r="B216" t="s">
        <v>7</v>
      </c>
      <c r="C216" t="s">
        <v>171</v>
      </c>
      <c r="D216" s="6">
        <v>2030</v>
      </c>
      <c r="E216" t="s">
        <v>195</v>
      </c>
      <c r="F216" s="6">
        <v>169.8</v>
      </c>
      <c r="G216" s="7">
        <v>365.4</v>
      </c>
      <c r="H216" s="7">
        <v>715.2</v>
      </c>
      <c r="I216" s="6">
        <v>182741550</v>
      </c>
      <c r="J216" s="6">
        <v>144084900</v>
      </c>
      <c r="K216" s="6">
        <v>0</v>
      </c>
      <c r="L216" s="6">
        <v>19094064</v>
      </c>
      <c r="M216" s="6">
        <v>0</v>
      </c>
      <c r="N216" s="6">
        <v>465717</v>
      </c>
      <c r="O216" s="6">
        <v>13967629</v>
      </c>
      <c r="P216" s="6">
        <v>0</v>
      </c>
      <c r="Q216" s="6">
        <v>350241.5</v>
      </c>
      <c r="R216" s="6">
        <v>3222907.5</v>
      </c>
      <c r="S216" s="6">
        <v>0</v>
      </c>
      <c r="T216" s="6">
        <v>0</v>
      </c>
      <c r="U216" s="6">
        <v>0</v>
      </c>
      <c r="V216" s="6">
        <v>117434260</v>
      </c>
      <c r="W216" s="6">
        <v>0</v>
      </c>
      <c r="X216" s="6">
        <v>0</v>
      </c>
      <c r="Y216" s="6">
        <v>25263206</v>
      </c>
      <c r="Z216" s="6">
        <v>1387442.1</v>
      </c>
      <c r="AA216" s="6">
        <v>312889.59999999998</v>
      </c>
      <c r="AB216" s="6">
        <v>1243205.2</v>
      </c>
      <c r="AC216" s="6">
        <v>0</v>
      </c>
      <c r="AD216" s="6">
        <f t="shared" si="42"/>
        <v>182741550</v>
      </c>
      <c r="AE216" s="6">
        <f t="shared" si="43"/>
        <v>0</v>
      </c>
      <c r="AF216" s="6">
        <f t="shared" si="44"/>
        <v>0</v>
      </c>
      <c r="AG216" s="6">
        <f t="shared" si="45"/>
        <v>182741550</v>
      </c>
      <c r="AH216" s="6">
        <f t="shared" si="46"/>
        <v>19094064</v>
      </c>
      <c r="AI216" s="6">
        <f t="shared" si="47"/>
        <v>14317870.5</v>
      </c>
      <c r="AJ216" s="6">
        <f t="shared" si="48"/>
        <v>465717</v>
      </c>
      <c r="AK216" s="6">
        <f t="shared" si="49"/>
        <v>0</v>
      </c>
      <c r="AL216" s="6">
        <f t="shared" si="50"/>
        <v>148863910.39999998</v>
      </c>
      <c r="AM216" s="3">
        <f t="shared" si="51"/>
        <v>0.1044867136127498</v>
      </c>
      <c r="AN216" s="3">
        <f t="shared" si="52"/>
        <v>7.8350383369299434E-2</v>
      </c>
      <c r="AO216" s="3">
        <f t="shared" si="53"/>
        <v>2.5485008745958432E-3</v>
      </c>
      <c r="AP216" s="3">
        <f t="shared" si="54"/>
        <v>0</v>
      </c>
      <c r="AQ216" s="3">
        <f t="shared" si="55"/>
        <v>0.81461446726264486</v>
      </c>
    </row>
    <row r="217" spans="1:43" x14ac:dyDescent="0.3">
      <c r="A217" t="s">
        <v>179</v>
      </c>
      <c r="B217" t="s">
        <v>7</v>
      </c>
      <c r="C217" t="s">
        <v>171</v>
      </c>
      <c r="D217" s="6">
        <v>2032</v>
      </c>
      <c r="E217" t="s">
        <v>195</v>
      </c>
      <c r="F217" s="6">
        <v>171.4</v>
      </c>
      <c r="G217" s="7">
        <v>309.5</v>
      </c>
      <c r="H217" s="7">
        <v>741.1</v>
      </c>
      <c r="I217" s="6">
        <v>184083890</v>
      </c>
      <c r="J217" s="6">
        <v>145374450</v>
      </c>
      <c r="K217" s="6">
        <v>0</v>
      </c>
      <c r="L217" s="6">
        <v>19912736</v>
      </c>
      <c r="M217" s="6">
        <v>0</v>
      </c>
      <c r="N217" s="6">
        <v>350586.2</v>
      </c>
      <c r="O217" s="6">
        <v>13336016</v>
      </c>
      <c r="P217" s="6">
        <v>0</v>
      </c>
      <c r="Q217" s="6">
        <v>322281.59999999998</v>
      </c>
      <c r="R217" s="6">
        <v>3302207</v>
      </c>
      <c r="S217" s="6">
        <v>0</v>
      </c>
      <c r="T217" s="6">
        <v>0</v>
      </c>
      <c r="U217" s="6">
        <v>0</v>
      </c>
      <c r="V217" s="6">
        <v>117718616</v>
      </c>
      <c r="W217" s="6">
        <v>0</v>
      </c>
      <c r="X217" s="6">
        <v>0</v>
      </c>
      <c r="Y217" s="6">
        <v>25830196</v>
      </c>
      <c r="Z217" s="6">
        <v>1825638.8</v>
      </c>
      <c r="AA217" s="6">
        <v>286829.09999999998</v>
      </c>
      <c r="AB217" s="6">
        <v>1198789.5</v>
      </c>
      <c r="AC217" s="6">
        <v>0</v>
      </c>
      <c r="AD217" s="6">
        <f t="shared" si="42"/>
        <v>184083890</v>
      </c>
      <c r="AE217" s="6">
        <f t="shared" si="43"/>
        <v>0</v>
      </c>
      <c r="AF217" s="6">
        <f t="shared" si="44"/>
        <v>0</v>
      </c>
      <c r="AG217" s="6">
        <f t="shared" si="45"/>
        <v>184083890</v>
      </c>
      <c r="AH217" s="6">
        <f t="shared" si="46"/>
        <v>19912736</v>
      </c>
      <c r="AI217" s="6">
        <f t="shared" si="47"/>
        <v>13658297.6</v>
      </c>
      <c r="AJ217" s="6">
        <f t="shared" si="48"/>
        <v>350586.2</v>
      </c>
      <c r="AK217" s="6">
        <f t="shared" si="49"/>
        <v>0</v>
      </c>
      <c r="AL217" s="6">
        <f t="shared" si="50"/>
        <v>150162276.40000001</v>
      </c>
      <c r="AM217" s="3">
        <f t="shared" si="51"/>
        <v>0.10817207306951195</v>
      </c>
      <c r="AN217" s="3">
        <f t="shared" si="52"/>
        <v>7.4196050507189956E-2</v>
      </c>
      <c r="AO217" s="3">
        <f t="shared" si="53"/>
        <v>1.9044914794010491E-3</v>
      </c>
      <c r="AP217" s="3">
        <f t="shared" si="54"/>
        <v>0</v>
      </c>
      <c r="AQ217" s="3">
        <f t="shared" si="55"/>
        <v>0.81572741862419362</v>
      </c>
    </row>
    <row r="218" spans="1:43" x14ac:dyDescent="0.3">
      <c r="A218" t="s">
        <v>179</v>
      </c>
      <c r="B218" t="s">
        <v>7</v>
      </c>
      <c r="C218" t="s">
        <v>171</v>
      </c>
      <c r="D218" s="6">
        <v>2034</v>
      </c>
      <c r="E218" t="s">
        <v>195</v>
      </c>
      <c r="F218" s="6">
        <v>143.4</v>
      </c>
      <c r="G218" s="7">
        <v>310.5</v>
      </c>
      <c r="H218" s="7">
        <v>682.7</v>
      </c>
      <c r="I218" s="6">
        <v>190343520</v>
      </c>
      <c r="J218" s="6">
        <v>157078000</v>
      </c>
      <c r="K218" s="6">
        <v>0</v>
      </c>
      <c r="L218" s="6">
        <v>17452354</v>
      </c>
      <c r="M218" s="6">
        <v>0</v>
      </c>
      <c r="N218" s="6">
        <v>562330</v>
      </c>
      <c r="O218" s="6">
        <v>10269885</v>
      </c>
      <c r="P218" s="6">
        <v>0</v>
      </c>
      <c r="Q218" s="6">
        <v>431564</v>
      </c>
      <c r="R218" s="6">
        <v>3141501</v>
      </c>
      <c r="S218" s="6">
        <v>0</v>
      </c>
      <c r="T218" s="6">
        <v>0</v>
      </c>
      <c r="U218" s="6">
        <v>0</v>
      </c>
      <c r="V218" s="6">
        <v>114321450</v>
      </c>
      <c r="W218" s="6">
        <v>0</v>
      </c>
      <c r="X218" s="6">
        <v>0</v>
      </c>
      <c r="Y218" s="6">
        <v>40560970</v>
      </c>
      <c r="Z218" s="6">
        <v>2195585</v>
      </c>
      <c r="AA218" s="6">
        <v>286484.2</v>
      </c>
      <c r="AB218" s="6">
        <v>1121398.3999999999</v>
      </c>
      <c r="AC218" s="6">
        <v>0</v>
      </c>
      <c r="AD218" s="6">
        <f t="shared" si="42"/>
        <v>190343520</v>
      </c>
      <c r="AE218" s="6">
        <f t="shared" si="43"/>
        <v>0</v>
      </c>
      <c r="AF218" s="6">
        <f t="shared" si="44"/>
        <v>0</v>
      </c>
      <c r="AG218" s="6">
        <f t="shared" si="45"/>
        <v>190343520</v>
      </c>
      <c r="AH218" s="6">
        <f t="shared" si="46"/>
        <v>17452354</v>
      </c>
      <c r="AI218" s="6">
        <f t="shared" si="47"/>
        <v>10701449</v>
      </c>
      <c r="AJ218" s="6">
        <f t="shared" si="48"/>
        <v>562330</v>
      </c>
      <c r="AK218" s="6">
        <f t="shared" si="49"/>
        <v>0</v>
      </c>
      <c r="AL218" s="6">
        <f t="shared" si="50"/>
        <v>161627388.59999999</v>
      </c>
      <c r="AM218" s="3">
        <f t="shared" si="51"/>
        <v>9.1688721528318903E-2</v>
      </c>
      <c r="AN218" s="3">
        <f t="shared" si="52"/>
        <v>5.6221766835035943E-2</v>
      </c>
      <c r="AO218" s="3">
        <f t="shared" si="53"/>
        <v>2.9542902222255848E-3</v>
      </c>
      <c r="AP218" s="3">
        <f t="shared" si="54"/>
        <v>0</v>
      </c>
      <c r="AQ218" s="3">
        <f t="shared" si="55"/>
        <v>0.84913522982027434</v>
      </c>
    </row>
    <row r="219" spans="1:43" x14ac:dyDescent="0.3">
      <c r="A219" t="s">
        <v>179</v>
      </c>
      <c r="B219" t="s">
        <v>7</v>
      </c>
      <c r="C219" t="s">
        <v>171</v>
      </c>
      <c r="D219" s="6">
        <v>2036</v>
      </c>
      <c r="E219" t="s">
        <v>195</v>
      </c>
      <c r="F219" s="6">
        <v>140.19999999999999</v>
      </c>
      <c r="G219" s="7">
        <v>280.39999999999998</v>
      </c>
      <c r="H219" s="7">
        <v>720.8</v>
      </c>
      <c r="I219" s="6">
        <v>191975790</v>
      </c>
      <c r="J219" s="6">
        <v>158191740</v>
      </c>
      <c r="K219" s="6">
        <v>0</v>
      </c>
      <c r="L219" s="6">
        <v>17838866</v>
      </c>
      <c r="M219" s="6">
        <v>0</v>
      </c>
      <c r="N219" s="6">
        <v>175614.4</v>
      </c>
      <c r="O219" s="6">
        <v>9934451</v>
      </c>
      <c r="P219" s="6">
        <v>0</v>
      </c>
      <c r="Q219" s="6">
        <v>217056.8</v>
      </c>
      <c r="R219" s="6">
        <v>3240942</v>
      </c>
      <c r="S219" s="6">
        <v>0</v>
      </c>
      <c r="T219" s="6">
        <v>0</v>
      </c>
      <c r="U219" s="6">
        <v>0</v>
      </c>
      <c r="V219" s="6">
        <v>115028250</v>
      </c>
      <c r="W219" s="6">
        <v>0</v>
      </c>
      <c r="X219" s="6">
        <v>0</v>
      </c>
      <c r="Y219" s="6">
        <v>40453676</v>
      </c>
      <c r="Z219" s="6">
        <v>2709811.5</v>
      </c>
      <c r="AA219" s="6">
        <v>272520.2</v>
      </c>
      <c r="AB219" s="6">
        <v>2104602.2000000002</v>
      </c>
      <c r="AC219" s="6">
        <v>0</v>
      </c>
      <c r="AD219" s="6">
        <f t="shared" si="42"/>
        <v>191975790</v>
      </c>
      <c r="AE219" s="6">
        <f t="shared" si="43"/>
        <v>0</v>
      </c>
      <c r="AF219" s="6">
        <f t="shared" si="44"/>
        <v>0</v>
      </c>
      <c r="AG219" s="6">
        <f t="shared" si="45"/>
        <v>191975790</v>
      </c>
      <c r="AH219" s="6">
        <f t="shared" si="46"/>
        <v>17838866</v>
      </c>
      <c r="AI219" s="6">
        <f t="shared" si="47"/>
        <v>10151507.800000001</v>
      </c>
      <c r="AJ219" s="6">
        <f t="shared" si="48"/>
        <v>175614.4</v>
      </c>
      <c r="AK219" s="6">
        <f t="shared" si="49"/>
        <v>0</v>
      </c>
      <c r="AL219" s="6">
        <f t="shared" si="50"/>
        <v>163809801.89999998</v>
      </c>
      <c r="AM219" s="3">
        <f t="shared" si="51"/>
        <v>9.292247736029631E-2</v>
      </c>
      <c r="AN219" s="3">
        <f t="shared" si="52"/>
        <v>5.2879104182876398E-2</v>
      </c>
      <c r="AO219" s="3">
        <f t="shared" si="53"/>
        <v>9.1477368057711855E-4</v>
      </c>
      <c r="AP219" s="3">
        <f t="shared" si="54"/>
        <v>0</v>
      </c>
      <c r="AQ219" s="3">
        <f t="shared" si="55"/>
        <v>0.85328364529714906</v>
      </c>
    </row>
    <row r="220" spans="1:43" x14ac:dyDescent="0.3">
      <c r="A220" t="s">
        <v>179</v>
      </c>
      <c r="B220" t="s">
        <v>7</v>
      </c>
      <c r="C220" t="s">
        <v>171</v>
      </c>
      <c r="D220" s="6">
        <v>2038</v>
      </c>
      <c r="E220" t="s">
        <v>195</v>
      </c>
      <c r="F220" s="6">
        <v>128.4</v>
      </c>
      <c r="G220" s="7">
        <v>294.5</v>
      </c>
      <c r="H220" s="7">
        <v>713.2</v>
      </c>
      <c r="I220" s="6">
        <v>192486300</v>
      </c>
      <c r="J220" s="6">
        <v>159200530</v>
      </c>
      <c r="K220" s="6">
        <v>0</v>
      </c>
      <c r="L220" s="6">
        <v>15751418</v>
      </c>
      <c r="M220" s="6">
        <v>0</v>
      </c>
      <c r="N220" s="6">
        <v>126613.3</v>
      </c>
      <c r="O220" s="6">
        <v>10515552</v>
      </c>
      <c r="P220" s="6">
        <v>0</v>
      </c>
      <c r="Q220" s="6">
        <v>221423.5</v>
      </c>
      <c r="R220" s="6">
        <v>3271472.2</v>
      </c>
      <c r="S220" s="6">
        <v>0</v>
      </c>
      <c r="T220" s="6">
        <v>0</v>
      </c>
      <c r="U220" s="6">
        <v>0</v>
      </c>
      <c r="V220" s="6">
        <v>115977470</v>
      </c>
      <c r="W220" s="6">
        <v>0</v>
      </c>
      <c r="X220" s="6">
        <v>0</v>
      </c>
      <c r="Y220" s="6">
        <v>40041056</v>
      </c>
      <c r="Z220" s="6">
        <v>3182010.2</v>
      </c>
      <c r="AA220" s="6">
        <v>250083.20000000001</v>
      </c>
      <c r="AB220" s="6">
        <v>3149212.2</v>
      </c>
      <c r="AC220" s="6">
        <v>0</v>
      </c>
      <c r="AD220" s="6">
        <f t="shared" si="42"/>
        <v>192486300</v>
      </c>
      <c r="AE220" s="6">
        <f t="shared" si="43"/>
        <v>0</v>
      </c>
      <c r="AF220" s="6">
        <f t="shared" si="44"/>
        <v>0</v>
      </c>
      <c r="AG220" s="6">
        <f t="shared" si="45"/>
        <v>192486300</v>
      </c>
      <c r="AH220" s="6">
        <f t="shared" si="46"/>
        <v>15751418</v>
      </c>
      <c r="AI220" s="6">
        <f t="shared" si="47"/>
        <v>10736975.5</v>
      </c>
      <c r="AJ220" s="6">
        <f t="shared" si="48"/>
        <v>126613.3</v>
      </c>
      <c r="AK220" s="6">
        <f t="shared" si="49"/>
        <v>0</v>
      </c>
      <c r="AL220" s="6">
        <f t="shared" si="50"/>
        <v>165871303.79999995</v>
      </c>
      <c r="AM220" s="3">
        <f t="shared" si="51"/>
        <v>8.1831371895038765E-2</v>
      </c>
      <c r="AN220" s="3">
        <f t="shared" si="52"/>
        <v>5.5780465934458713E-2</v>
      </c>
      <c r="AO220" s="3">
        <f t="shared" si="53"/>
        <v>6.5777824188007145E-4</v>
      </c>
      <c r="AP220" s="3">
        <f t="shared" si="54"/>
        <v>0</v>
      </c>
      <c r="AQ220" s="3">
        <f t="shared" si="55"/>
        <v>0.86173043899747648</v>
      </c>
    </row>
    <row r="221" spans="1:43" x14ac:dyDescent="0.3">
      <c r="A221" t="s">
        <v>179</v>
      </c>
      <c r="B221" t="s">
        <v>7</v>
      </c>
      <c r="C221" t="s">
        <v>171</v>
      </c>
      <c r="D221" s="6">
        <v>2040</v>
      </c>
      <c r="E221" t="s">
        <v>195</v>
      </c>
      <c r="F221" s="6">
        <v>123.1</v>
      </c>
      <c r="G221" s="7">
        <v>269</v>
      </c>
      <c r="H221" s="7">
        <v>721.5</v>
      </c>
      <c r="I221" s="6">
        <v>195577520</v>
      </c>
      <c r="J221" s="6">
        <v>162491790</v>
      </c>
      <c r="K221" s="6">
        <v>0</v>
      </c>
      <c r="L221" s="6">
        <v>15249315</v>
      </c>
      <c r="M221" s="6">
        <v>0</v>
      </c>
      <c r="N221" s="6">
        <v>100943.9</v>
      </c>
      <c r="O221" s="6">
        <v>10538725</v>
      </c>
      <c r="P221" s="6">
        <v>0</v>
      </c>
      <c r="Q221" s="6">
        <v>247993.60000000001</v>
      </c>
      <c r="R221" s="6">
        <v>3315911.2</v>
      </c>
      <c r="S221" s="6">
        <v>0</v>
      </c>
      <c r="T221" s="6">
        <v>0</v>
      </c>
      <c r="U221" s="6">
        <v>0</v>
      </c>
      <c r="V221" s="6">
        <v>118797900</v>
      </c>
      <c r="W221" s="6">
        <v>0</v>
      </c>
      <c r="X221" s="6">
        <v>0</v>
      </c>
      <c r="Y221" s="6">
        <v>40144788</v>
      </c>
      <c r="Z221" s="6">
        <v>3549095.5</v>
      </c>
      <c r="AA221" s="6">
        <v>230798.1</v>
      </c>
      <c r="AB221" s="6">
        <v>3402046</v>
      </c>
      <c r="AC221" s="6">
        <v>0</v>
      </c>
      <c r="AD221" s="6">
        <f t="shared" si="42"/>
        <v>195577520</v>
      </c>
      <c r="AE221" s="6">
        <f t="shared" si="43"/>
        <v>0</v>
      </c>
      <c r="AF221" s="6">
        <f t="shared" si="44"/>
        <v>0</v>
      </c>
      <c r="AG221" s="6">
        <f t="shared" si="45"/>
        <v>195577520</v>
      </c>
      <c r="AH221" s="6">
        <f t="shared" si="46"/>
        <v>15249315</v>
      </c>
      <c r="AI221" s="6">
        <f t="shared" si="47"/>
        <v>10786718.6</v>
      </c>
      <c r="AJ221" s="6">
        <f t="shared" si="48"/>
        <v>100943.9</v>
      </c>
      <c r="AK221" s="6">
        <f t="shared" si="49"/>
        <v>0</v>
      </c>
      <c r="AL221" s="6">
        <f t="shared" si="50"/>
        <v>169440538.79999998</v>
      </c>
      <c r="AM221" s="3">
        <f t="shared" si="51"/>
        <v>7.7970694177940281E-2</v>
      </c>
      <c r="AN221" s="3">
        <f t="shared" si="52"/>
        <v>5.51531617744207E-2</v>
      </c>
      <c r="AO221" s="3">
        <f t="shared" si="53"/>
        <v>5.1613242667153153E-4</v>
      </c>
      <c r="AP221" s="3">
        <f t="shared" si="54"/>
        <v>0</v>
      </c>
      <c r="AQ221" s="3">
        <f t="shared" si="55"/>
        <v>0.86635999270263775</v>
      </c>
    </row>
    <row r="222" spans="1:43" x14ac:dyDescent="0.3">
      <c r="A222" t="s">
        <v>179</v>
      </c>
      <c r="B222" t="s">
        <v>7</v>
      </c>
      <c r="C222" t="s">
        <v>171</v>
      </c>
      <c r="D222" s="6">
        <v>2042</v>
      </c>
      <c r="E222" t="s">
        <v>195</v>
      </c>
      <c r="F222" s="6">
        <v>116.7</v>
      </c>
      <c r="G222" s="7">
        <v>274.89999999999998</v>
      </c>
      <c r="H222" s="7">
        <v>725.6</v>
      </c>
      <c r="I222" s="6">
        <v>206683500</v>
      </c>
      <c r="J222" s="6">
        <v>173691740</v>
      </c>
      <c r="K222" s="6">
        <v>0</v>
      </c>
      <c r="L222" s="6">
        <v>15269243</v>
      </c>
      <c r="M222" s="6">
        <v>0</v>
      </c>
      <c r="N222" s="6">
        <v>86801.5</v>
      </c>
      <c r="O222" s="6">
        <v>10508246</v>
      </c>
      <c r="P222" s="6">
        <v>0</v>
      </c>
      <c r="Q222" s="6">
        <v>275422.2</v>
      </c>
      <c r="R222" s="6">
        <v>3327338.8</v>
      </c>
      <c r="S222" s="6">
        <v>0</v>
      </c>
      <c r="T222" s="6">
        <v>0</v>
      </c>
      <c r="U222" s="6">
        <v>0</v>
      </c>
      <c r="V222" s="6">
        <v>130298920</v>
      </c>
      <c r="W222" s="6">
        <v>0</v>
      </c>
      <c r="X222" s="6">
        <v>0</v>
      </c>
      <c r="Y222" s="6">
        <v>39511070</v>
      </c>
      <c r="Z222" s="6">
        <v>3881749.2</v>
      </c>
      <c r="AA222" s="6">
        <v>218791.5</v>
      </c>
      <c r="AB222" s="6">
        <v>3305915.2</v>
      </c>
      <c r="AC222" s="6">
        <v>0</v>
      </c>
      <c r="AD222" s="6">
        <f t="shared" si="42"/>
        <v>206683500</v>
      </c>
      <c r="AE222" s="6">
        <f t="shared" si="43"/>
        <v>0</v>
      </c>
      <c r="AF222" s="6">
        <f t="shared" si="44"/>
        <v>0</v>
      </c>
      <c r="AG222" s="6">
        <f t="shared" si="45"/>
        <v>206683500</v>
      </c>
      <c r="AH222" s="6">
        <f t="shared" si="46"/>
        <v>15269243</v>
      </c>
      <c r="AI222" s="6">
        <f t="shared" si="47"/>
        <v>10783668.199999999</v>
      </c>
      <c r="AJ222" s="6">
        <f t="shared" si="48"/>
        <v>86801.5</v>
      </c>
      <c r="AK222" s="6">
        <f t="shared" si="49"/>
        <v>0</v>
      </c>
      <c r="AL222" s="6">
        <f t="shared" si="50"/>
        <v>180543784.69999999</v>
      </c>
      <c r="AM222" s="3">
        <f t="shared" si="51"/>
        <v>7.3877416436241891E-2</v>
      </c>
      <c r="AN222" s="3">
        <f t="shared" si="52"/>
        <v>5.2174789956624494E-2</v>
      </c>
      <c r="AO222" s="3">
        <f t="shared" si="53"/>
        <v>4.1997305058217031E-4</v>
      </c>
      <c r="AP222" s="3">
        <f t="shared" si="54"/>
        <v>0</v>
      </c>
      <c r="AQ222" s="3">
        <f t="shared" si="55"/>
        <v>0.87352780797693086</v>
      </c>
    </row>
    <row r="223" spans="1:43" x14ac:dyDescent="0.3">
      <c r="A223" t="s">
        <v>179</v>
      </c>
      <c r="B223" t="s">
        <v>7</v>
      </c>
      <c r="C223" t="s">
        <v>171</v>
      </c>
      <c r="D223" s="6">
        <v>2044</v>
      </c>
      <c r="E223" t="s">
        <v>195</v>
      </c>
      <c r="F223" s="6">
        <v>118.7</v>
      </c>
      <c r="G223" s="7">
        <v>257.7</v>
      </c>
      <c r="H223" s="7">
        <v>722.3</v>
      </c>
      <c r="I223" s="6">
        <v>203649200</v>
      </c>
      <c r="J223" s="6">
        <v>170691340</v>
      </c>
      <c r="K223" s="6">
        <v>0</v>
      </c>
      <c r="L223" s="6">
        <v>15437898</v>
      </c>
      <c r="M223" s="6">
        <v>0</v>
      </c>
      <c r="N223" s="6">
        <v>82082.100000000006</v>
      </c>
      <c r="O223" s="6">
        <v>10247851</v>
      </c>
      <c r="P223" s="6">
        <v>0</v>
      </c>
      <c r="Q223" s="6">
        <v>344521.2</v>
      </c>
      <c r="R223" s="6">
        <v>3345401.8</v>
      </c>
      <c r="S223" s="6">
        <v>0</v>
      </c>
      <c r="T223" s="6">
        <v>0</v>
      </c>
      <c r="U223" s="6">
        <v>0</v>
      </c>
      <c r="V223" s="6">
        <v>126577430</v>
      </c>
      <c r="W223" s="6">
        <v>0</v>
      </c>
      <c r="X223" s="6">
        <v>0</v>
      </c>
      <c r="Y223" s="6">
        <v>39682132</v>
      </c>
      <c r="Z223" s="6">
        <v>4431768.5</v>
      </c>
      <c r="AA223" s="6">
        <v>207484.6</v>
      </c>
      <c r="AB223" s="6">
        <v>3292619.5</v>
      </c>
      <c r="AC223" s="6">
        <v>0</v>
      </c>
      <c r="AD223" s="6">
        <f t="shared" si="42"/>
        <v>203649200</v>
      </c>
      <c r="AE223" s="6">
        <f t="shared" si="43"/>
        <v>0</v>
      </c>
      <c r="AF223" s="6">
        <f t="shared" si="44"/>
        <v>0</v>
      </c>
      <c r="AG223" s="6">
        <f t="shared" si="45"/>
        <v>203649200</v>
      </c>
      <c r="AH223" s="6">
        <f t="shared" si="46"/>
        <v>15437898</v>
      </c>
      <c r="AI223" s="6">
        <f t="shared" si="47"/>
        <v>10592372.199999999</v>
      </c>
      <c r="AJ223" s="6">
        <f t="shared" si="48"/>
        <v>82082.100000000006</v>
      </c>
      <c r="AK223" s="6">
        <f t="shared" si="49"/>
        <v>0</v>
      </c>
      <c r="AL223" s="6">
        <f t="shared" si="50"/>
        <v>177536836.40000001</v>
      </c>
      <c r="AM223" s="3">
        <f t="shared" si="51"/>
        <v>7.5806327743983284E-2</v>
      </c>
      <c r="AN223" s="3">
        <f t="shared" si="52"/>
        <v>5.2012834815948206E-2</v>
      </c>
      <c r="AO223" s="3">
        <f t="shared" si="53"/>
        <v>4.0305633412750951E-4</v>
      </c>
      <c r="AP223" s="3">
        <f t="shared" si="54"/>
        <v>0</v>
      </c>
      <c r="AQ223" s="3">
        <f t="shared" si="55"/>
        <v>0.87177772561836731</v>
      </c>
    </row>
    <row r="224" spans="1:43" x14ac:dyDescent="0.3">
      <c r="A224" t="s">
        <v>179</v>
      </c>
      <c r="B224" t="s">
        <v>7</v>
      </c>
      <c r="C224" t="s">
        <v>171</v>
      </c>
      <c r="D224" s="6">
        <v>2046</v>
      </c>
      <c r="E224" t="s">
        <v>195</v>
      </c>
      <c r="F224" s="6">
        <v>104.8</v>
      </c>
      <c r="G224" s="7">
        <v>240.8</v>
      </c>
      <c r="H224" s="7">
        <v>666.9</v>
      </c>
      <c r="I224" s="6">
        <v>224201140</v>
      </c>
      <c r="J224" s="6">
        <v>191530080</v>
      </c>
      <c r="K224" s="6">
        <v>0</v>
      </c>
      <c r="L224" s="6">
        <v>15181267</v>
      </c>
      <c r="M224" s="6">
        <v>0</v>
      </c>
      <c r="N224" s="6">
        <v>33745.300000000003</v>
      </c>
      <c r="O224" s="6">
        <v>9783272</v>
      </c>
      <c r="P224" s="6">
        <v>0</v>
      </c>
      <c r="Q224" s="6">
        <v>328296.40000000002</v>
      </c>
      <c r="R224" s="6">
        <v>3280597</v>
      </c>
      <c r="S224" s="6">
        <v>0</v>
      </c>
      <c r="T224" s="6">
        <v>0</v>
      </c>
      <c r="U224" s="6">
        <v>0</v>
      </c>
      <c r="V224" s="6">
        <v>141572210</v>
      </c>
      <c r="W224" s="6">
        <v>0</v>
      </c>
      <c r="X224" s="6">
        <v>0</v>
      </c>
      <c r="Y224" s="6">
        <v>45028760</v>
      </c>
      <c r="Z224" s="6">
        <v>4929113.5</v>
      </c>
      <c r="AA224" s="6">
        <v>191925.4</v>
      </c>
      <c r="AB224" s="6">
        <v>3871952.5</v>
      </c>
      <c r="AC224" s="6">
        <v>0</v>
      </c>
      <c r="AD224" s="6">
        <f t="shared" si="42"/>
        <v>224201140</v>
      </c>
      <c r="AE224" s="6">
        <f t="shared" si="43"/>
        <v>0</v>
      </c>
      <c r="AF224" s="6">
        <f t="shared" si="44"/>
        <v>0</v>
      </c>
      <c r="AG224" s="6">
        <f t="shared" si="45"/>
        <v>224201140</v>
      </c>
      <c r="AH224" s="6">
        <f t="shared" si="46"/>
        <v>15181267</v>
      </c>
      <c r="AI224" s="6">
        <f t="shared" si="47"/>
        <v>10111568.4</v>
      </c>
      <c r="AJ224" s="6">
        <f t="shared" si="48"/>
        <v>33745.300000000003</v>
      </c>
      <c r="AK224" s="6">
        <f t="shared" si="49"/>
        <v>0</v>
      </c>
      <c r="AL224" s="6">
        <f t="shared" si="50"/>
        <v>198874558.40000001</v>
      </c>
      <c r="AM224" s="3">
        <f t="shared" si="51"/>
        <v>6.7712711005840559E-2</v>
      </c>
      <c r="AN224" s="3">
        <f t="shared" si="52"/>
        <v>4.5100432584776334E-2</v>
      </c>
      <c r="AO224" s="3">
        <f t="shared" si="53"/>
        <v>1.5051350764764176E-4</v>
      </c>
      <c r="AP224" s="3">
        <f t="shared" si="54"/>
        <v>0</v>
      </c>
      <c r="AQ224" s="3">
        <f t="shared" si="55"/>
        <v>0.8870363388874829</v>
      </c>
    </row>
    <row r="225" spans="1:43" x14ac:dyDescent="0.3">
      <c r="A225" t="s">
        <v>179</v>
      </c>
      <c r="B225" t="s">
        <v>7</v>
      </c>
      <c r="C225" t="s">
        <v>171</v>
      </c>
      <c r="D225" s="6">
        <v>2048</v>
      </c>
      <c r="E225" t="s">
        <v>195</v>
      </c>
      <c r="F225" s="6">
        <v>113.8</v>
      </c>
      <c r="G225" s="7">
        <v>207.1</v>
      </c>
      <c r="H225" s="7">
        <v>676.7</v>
      </c>
      <c r="I225" s="6">
        <v>228459980</v>
      </c>
      <c r="J225" s="6">
        <v>191768590</v>
      </c>
      <c r="K225" s="6">
        <v>0</v>
      </c>
      <c r="L225" s="6">
        <v>16477906</v>
      </c>
      <c r="M225" s="6">
        <v>0</v>
      </c>
      <c r="N225" s="6">
        <v>16265.5</v>
      </c>
      <c r="O225" s="6">
        <v>11542096</v>
      </c>
      <c r="P225" s="6">
        <v>0</v>
      </c>
      <c r="Q225" s="6">
        <v>344344.4</v>
      </c>
      <c r="R225" s="6">
        <v>3311739</v>
      </c>
      <c r="S225" s="6">
        <v>0</v>
      </c>
      <c r="T225" s="6">
        <v>0</v>
      </c>
      <c r="U225" s="6">
        <v>0</v>
      </c>
      <c r="V225" s="6">
        <v>139526850</v>
      </c>
      <c r="W225" s="6">
        <v>0</v>
      </c>
      <c r="X225" s="6">
        <v>0</v>
      </c>
      <c r="Y225" s="6">
        <v>46842136</v>
      </c>
      <c r="Z225" s="6">
        <v>5399601</v>
      </c>
      <c r="AA225" s="6">
        <v>190105.8</v>
      </c>
      <c r="AB225" s="6">
        <v>4808932.5</v>
      </c>
      <c r="AC225" s="6">
        <v>0</v>
      </c>
      <c r="AD225" s="6">
        <f t="shared" si="42"/>
        <v>228459980</v>
      </c>
      <c r="AE225" s="6">
        <f t="shared" si="43"/>
        <v>0</v>
      </c>
      <c r="AF225" s="6">
        <f t="shared" si="44"/>
        <v>0</v>
      </c>
      <c r="AG225" s="6">
        <f t="shared" si="45"/>
        <v>228459980</v>
      </c>
      <c r="AH225" s="6">
        <f t="shared" si="46"/>
        <v>16477906</v>
      </c>
      <c r="AI225" s="6">
        <f t="shared" si="47"/>
        <v>11886440.4</v>
      </c>
      <c r="AJ225" s="6">
        <f t="shared" si="48"/>
        <v>16265.5</v>
      </c>
      <c r="AK225" s="6">
        <f t="shared" si="49"/>
        <v>0</v>
      </c>
      <c r="AL225" s="6">
        <f t="shared" si="50"/>
        <v>200079364.30000001</v>
      </c>
      <c r="AM225" s="3">
        <f t="shared" si="51"/>
        <v>7.2126006489189043E-2</v>
      </c>
      <c r="AN225" s="3">
        <f t="shared" si="52"/>
        <v>5.2028545218291623E-2</v>
      </c>
      <c r="AO225" s="3">
        <f t="shared" si="53"/>
        <v>7.1196276914670136E-5</v>
      </c>
      <c r="AP225" s="3">
        <f t="shared" si="54"/>
        <v>0</v>
      </c>
      <c r="AQ225" s="3">
        <f t="shared" si="55"/>
        <v>0.87577423538249466</v>
      </c>
    </row>
    <row r="226" spans="1:43" x14ac:dyDescent="0.3">
      <c r="A226" t="s">
        <v>179</v>
      </c>
      <c r="B226" t="s">
        <v>7</v>
      </c>
      <c r="C226" t="s">
        <v>171</v>
      </c>
      <c r="D226" s="6">
        <v>2050</v>
      </c>
      <c r="E226" t="s">
        <v>195</v>
      </c>
      <c r="F226" s="6">
        <v>104.3</v>
      </c>
      <c r="G226" s="7">
        <v>206</v>
      </c>
      <c r="H226" s="7">
        <v>633.70000000000005</v>
      </c>
      <c r="I226" s="6">
        <v>233368910</v>
      </c>
      <c r="J226" s="6">
        <v>198312020</v>
      </c>
      <c r="K226" s="6">
        <v>0</v>
      </c>
      <c r="L226" s="6">
        <v>15164621</v>
      </c>
      <c r="M226" s="6">
        <v>0</v>
      </c>
      <c r="N226" s="6">
        <v>3382.4</v>
      </c>
      <c r="O226" s="6">
        <v>11432770</v>
      </c>
      <c r="P226" s="6">
        <v>0</v>
      </c>
      <c r="Q226" s="6">
        <v>379293.2</v>
      </c>
      <c r="R226" s="6">
        <v>3244224</v>
      </c>
      <c r="S226" s="6">
        <v>0</v>
      </c>
      <c r="T226" s="6">
        <v>0</v>
      </c>
      <c r="U226" s="6">
        <v>0</v>
      </c>
      <c r="V226" s="6">
        <v>144776460</v>
      </c>
      <c r="W226" s="6">
        <v>0</v>
      </c>
      <c r="X226" s="6">
        <v>0</v>
      </c>
      <c r="Y226" s="6">
        <v>47787840</v>
      </c>
      <c r="Z226" s="6">
        <v>5747713.5</v>
      </c>
      <c r="AA226" s="6">
        <v>191565.2</v>
      </c>
      <c r="AB226" s="6">
        <v>4641034.5</v>
      </c>
      <c r="AC226" s="6">
        <v>0</v>
      </c>
      <c r="AD226" s="6">
        <f t="shared" si="42"/>
        <v>233368910</v>
      </c>
      <c r="AE226" s="6">
        <f t="shared" si="43"/>
        <v>0</v>
      </c>
      <c r="AF226" s="6">
        <f t="shared" si="44"/>
        <v>0</v>
      </c>
      <c r="AG226" s="6">
        <f t="shared" si="45"/>
        <v>233368910</v>
      </c>
      <c r="AH226" s="6">
        <f t="shared" si="46"/>
        <v>15164621</v>
      </c>
      <c r="AI226" s="6">
        <f t="shared" si="47"/>
        <v>11812063.199999999</v>
      </c>
      <c r="AJ226" s="6">
        <f t="shared" si="48"/>
        <v>3382.4</v>
      </c>
      <c r="AK226" s="6">
        <f t="shared" si="49"/>
        <v>0</v>
      </c>
      <c r="AL226" s="6">
        <f t="shared" si="50"/>
        <v>206388837.19999999</v>
      </c>
      <c r="AM226" s="3">
        <f t="shared" si="51"/>
        <v>6.4981325061680237E-2</v>
      </c>
      <c r="AN226" s="3">
        <f t="shared" si="52"/>
        <v>5.061541059603869E-2</v>
      </c>
      <c r="AO226" s="3">
        <f t="shared" si="53"/>
        <v>1.4493790111116344E-5</v>
      </c>
      <c r="AP226" s="3">
        <f t="shared" si="54"/>
        <v>0</v>
      </c>
      <c r="AQ226" s="3">
        <f t="shared" si="55"/>
        <v>0.88438874398479206</v>
      </c>
    </row>
    <row r="227" spans="1:43" x14ac:dyDescent="0.3">
      <c r="A227" t="s">
        <v>179</v>
      </c>
      <c r="B227" t="s">
        <v>7</v>
      </c>
      <c r="C227" t="s">
        <v>172</v>
      </c>
      <c r="D227" s="6">
        <v>2022</v>
      </c>
      <c r="E227" t="s">
        <v>195</v>
      </c>
      <c r="F227" s="6">
        <v>506.5</v>
      </c>
      <c r="G227" s="7">
        <v>682.7</v>
      </c>
      <c r="H227" s="7">
        <v>914.3</v>
      </c>
      <c r="I227" s="6">
        <v>175322480</v>
      </c>
      <c r="J227" s="6">
        <v>1869720.8</v>
      </c>
      <c r="K227" s="6">
        <v>42745996</v>
      </c>
      <c r="L227" s="6">
        <v>30715248</v>
      </c>
      <c r="M227" s="6">
        <v>0</v>
      </c>
      <c r="N227" s="6">
        <v>7423425.5</v>
      </c>
      <c r="O227" s="6">
        <v>87063704</v>
      </c>
      <c r="P227" s="6">
        <v>0</v>
      </c>
      <c r="Q227" s="6">
        <v>1382309.4</v>
      </c>
      <c r="R227" s="6">
        <v>2872617.5</v>
      </c>
      <c r="S227" s="6">
        <v>0</v>
      </c>
      <c r="T227" s="6">
        <v>1219769.6000000001</v>
      </c>
      <c r="U227" s="6">
        <v>0</v>
      </c>
      <c r="V227" s="6">
        <v>0</v>
      </c>
      <c r="W227" s="6">
        <v>0</v>
      </c>
      <c r="X227" s="6">
        <v>0</v>
      </c>
      <c r="Y227" s="6">
        <v>1613055.1</v>
      </c>
      <c r="Z227" s="6">
        <v>256665.7</v>
      </c>
      <c r="AA227" s="6">
        <v>21555.1</v>
      </c>
      <c r="AB227" s="6">
        <v>8138</v>
      </c>
      <c r="AC227" s="6">
        <v>0</v>
      </c>
      <c r="AD227" s="6">
        <f t="shared" si="42"/>
        <v>175322480</v>
      </c>
      <c r="AE227" s="6">
        <f t="shared" si="43"/>
        <v>0</v>
      </c>
      <c r="AF227" s="6">
        <f t="shared" si="44"/>
        <v>1219769.6000000001</v>
      </c>
      <c r="AG227" s="6">
        <f t="shared" si="45"/>
        <v>174102710.40000001</v>
      </c>
      <c r="AH227" s="6">
        <f t="shared" si="46"/>
        <v>30715248</v>
      </c>
      <c r="AI227" s="6">
        <f t="shared" si="47"/>
        <v>88446013.400000006</v>
      </c>
      <c r="AJ227" s="6">
        <f t="shared" si="48"/>
        <v>7423425.5</v>
      </c>
      <c r="AK227" s="6">
        <f t="shared" si="49"/>
        <v>42745996</v>
      </c>
      <c r="AL227" s="6">
        <f t="shared" si="50"/>
        <v>4772031.3999999994</v>
      </c>
      <c r="AM227" s="3">
        <f t="shared" si="51"/>
        <v>0.17642027472996766</v>
      </c>
      <c r="AN227" s="3">
        <f t="shared" si="52"/>
        <v>0.50801054846760163</v>
      </c>
      <c r="AO227" s="3">
        <f t="shared" si="53"/>
        <v>4.2638196056481378E-2</v>
      </c>
      <c r="AP227" s="3">
        <f t="shared" si="54"/>
        <v>0.2455217147498239</v>
      </c>
      <c r="AQ227" s="3">
        <f t="shared" si="55"/>
        <v>2.7409288396695743E-2</v>
      </c>
    </row>
    <row r="228" spans="1:43" x14ac:dyDescent="0.3">
      <c r="A228" t="s">
        <v>179</v>
      </c>
      <c r="B228" t="s">
        <v>7</v>
      </c>
      <c r="C228" t="s">
        <v>172</v>
      </c>
      <c r="D228" s="6">
        <v>2024</v>
      </c>
      <c r="E228" t="s">
        <v>195</v>
      </c>
      <c r="F228" s="6">
        <v>473.4</v>
      </c>
      <c r="G228" s="7">
        <v>600.29999999999995</v>
      </c>
      <c r="H228" s="7">
        <v>895.8</v>
      </c>
      <c r="I228" s="6">
        <v>204195600</v>
      </c>
      <c r="J228" s="6">
        <v>1915534</v>
      </c>
      <c r="K228" s="6">
        <v>42745996</v>
      </c>
      <c r="L228" s="6">
        <v>17353060</v>
      </c>
      <c r="M228" s="6">
        <v>0</v>
      </c>
      <c r="N228" s="6">
        <v>13028244</v>
      </c>
      <c r="O228" s="6">
        <v>123136260</v>
      </c>
      <c r="P228" s="6">
        <v>0</v>
      </c>
      <c r="Q228" s="6">
        <v>1892872.2</v>
      </c>
      <c r="R228" s="6">
        <v>2871682.2</v>
      </c>
      <c r="S228" s="6">
        <v>0</v>
      </c>
      <c r="T228" s="6">
        <v>1219769.6000000001</v>
      </c>
      <c r="U228" s="6">
        <v>0</v>
      </c>
      <c r="V228" s="6">
        <v>0</v>
      </c>
      <c r="W228" s="6">
        <v>0</v>
      </c>
      <c r="X228" s="6">
        <v>0</v>
      </c>
      <c r="Y228" s="6">
        <v>1590551.8</v>
      </c>
      <c r="Z228" s="6">
        <v>324982.2</v>
      </c>
      <c r="AA228" s="6">
        <v>23130</v>
      </c>
      <c r="AB228" s="6">
        <v>9055.1</v>
      </c>
      <c r="AC228" s="6">
        <v>0</v>
      </c>
      <c r="AD228" s="6">
        <f t="shared" si="42"/>
        <v>204195600</v>
      </c>
      <c r="AE228" s="6">
        <f t="shared" si="43"/>
        <v>0</v>
      </c>
      <c r="AF228" s="6">
        <f t="shared" si="44"/>
        <v>1219769.6000000001</v>
      </c>
      <c r="AG228" s="6">
        <f t="shared" si="45"/>
        <v>202975830.40000001</v>
      </c>
      <c r="AH228" s="6">
        <f t="shared" si="46"/>
        <v>17353060</v>
      </c>
      <c r="AI228" s="6">
        <f t="shared" si="47"/>
        <v>125029132.2</v>
      </c>
      <c r="AJ228" s="6">
        <f t="shared" si="48"/>
        <v>13028244</v>
      </c>
      <c r="AK228" s="6">
        <f t="shared" si="49"/>
        <v>42745996</v>
      </c>
      <c r="AL228" s="6">
        <f t="shared" si="50"/>
        <v>4819401.3</v>
      </c>
      <c r="AM228" s="3">
        <f t="shared" si="51"/>
        <v>8.5493233188418075E-2</v>
      </c>
      <c r="AN228" s="3">
        <f t="shared" si="52"/>
        <v>0.61598039507269331</v>
      </c>
      <c r="AO228" s="3">
        <f t="shared" si="53"/>
        <v>6.4186184011788619E-2</v>
      </c>
      <c r="AP228" s="3">
        <f t="shared" si="54"/>
        <v>0.21059648291996838</v>
      </c>
      <c r="AQ228" s="3">
        <f t="shared" si="55"/>
        <v>2.3743720079885924E-2</v>
      </c>
    </row>
    <row r="229" spans="1:43" x14ac:dyDescent="0.3">
      <c r="A229" t="s">
        <v>179</v>
      </c>
      <c r="B229" t="s">
        <v>7</v>
      </c>
      <c r="C229" t="s">
        <v>172</v>
      </c>
      <c r="D229" s="6">
        <v>2026</v>
      </c>
      <c r="E229" t="s">
        <v>195</v>
      </c>
      <c r="F229" s="6">
        <v>461.8</v>
      </c>
      <c r="G229" s="7">
        <v>440</v>
      </c>
      <c r="H229" s="7">
        <v>884.2</v>
      </c>
      <c r="I229" s="6">
        <v>206692030</v>
      </c>
      <c r="J229" s="6">
        <v>2147257.2000000002</v>
      </c>
      <c r="K229" s="6">
        <v>42745996</v>
      </c>
      <c r="L229" s="6">
        <v>17537536</v>
      </c>
      <c r="M229" s="6">
        <v>0</v>
      </c>
      <c r="N229" s="6">
        <v>10064815</v>
      </c>
      <c r="O229" s="6">
        <v>128269780</v>
      </c>
      <c r="P229" s="6">
        <v>0</v>
      </c>
      <c r="Q229" s="6">
        <v>1803615.2</v>
      </c>
      <c r="R229" s="6">
        <v>2872598.2</v>
      </c>
      <c r="S229" s="6">
        <v>0</v>
      </c>
      <c r="T229" s="6">
        <v>1219769.6000000001</v>
      </c>
      <c r="U229" s="6">
        <v>0</v>
      </c>
      <c r="V229" s="6">
        <v>0</v>
      </c>
      <c r="W229" s="6">
        <v>0</v>
      </c>
      <c r="X229" s="6">
        <v>0</v>
      </c>
      <c r="Y229" s="6">
        <v>1568361.2</v>
      </c>
      <c r="Z229" s="6">
        <v>578896</v>
      </c>
      <c r="AA229" s="6">
        <v>22314.7</v>
      </c>
      <c r="AB229" s="6">
        <v>8350.5</v>
      </c>
      <c r="AC229" s="6">
        <v>0</v>
      </c>
      <c r="AD229" s="6">
        <f t="shared" si="42"/>
        <v>206692030</v>
      </c>
      <c r="AE229" s="6">
        <f t="shared" si="43"/>
        <v>0</v>
      </c>
      <c r="AF229" s="6">
        <f t="shared" si="44"/>
        <v>1219769.6000000001</v>
      </c>
      <c r="AG229" s="6">
        <f t="shared" si="45"/>
        <v>205472260.40000001</v>
      </c>
      <c r="AH229" s="6">
        <f t="shared" si="46"/>
        <v>17537536</v>
      </c>
      <c r="AI229" s="6">
        <f t="shared" si="47"/>
        <v>130073395.2</v>
      </c>
      <c r="AJ229" s="6">
        <f t="shared" si="48"/>
        <v>10064815</v>
      </c>
      <c r="AK229" s="6">
        <f t="shared" si="49"/>
        <v>42745996</v>
      </c>
      <c r="AL229" s="6">
        <f t="shared" si="50"/>
        <v>5050520.6000000006</v>
      </c>
      <c r="AM229" s="3">
        <f t="shared" si="51"/>
        <v>8.5352329145837347E-2</v>
      </c>
      <c r="AN229" s="3">
        <f t="shared" si="52"/>
        <v>0.63304601286218198</v>
      </c>
      <c r="AO229" s="3">
        <f t="shared" si="53"/>
        <v>4.8983814070115712E-2</v>
      </c>
      <c r="AP229" s="3">
        <f t="shared" si="54"/>
        <v>0.20803779506189732</v>
      </c>
      <c r="AQ229" s="3">
        <f t="shared" si="55"/>
        <v>2.4580060540376477E-2</v>
      </c>
    </row>
    <row r="230" spans="1:43" x14ac:dyDescent="0.3">
      <c r="A230" t="s">
        <v>179</v>
      </c>
      <c r="B230" t="s">
        <v>7</v>
      </c>
      <c r="C230" t="s">
        <v>172</v>
      </c>
      <c r="D230" s="6">
        <v>2028</v>
      </c>
      <c r="E230" t="s">
        <v>195</v>
      </c>
      <c r="F230" s="6">
        <v>433</v>
      </c>
      <c r="G230" s="7">
        <v>398.1</v>
      </c>
      <c r="H230" s="7">
        <v>877.7</v>
      </c>
      <c r="I230" s="6">
        <v>201661800</v>
      </c>
      <c r="J230" s="6">
        <v>9018606</v>
      </c>
      <c r="K230" s="6">
        <v>42745996</v>
      </c>
      <c r="L230" s="6">
        <v>18645572</v>
      </c>
      <c r="M230" s="6">
        <v>0</v>
      </c>
      <c r="N230" s="6">
        <v>6915632</v>
      </c>
      <c r="O230" s="6">
        <v>118143540</v>
      </c>
      <c r="P230" s="6">
        <v>0</v>
      </c>
      <c r="Q230" s="6">
        <v>1350439.4</v>
      </c>
      <c r="R230" s="6">
        <v>2871588.8</v>
      </c>
      <c r="S230" s="6">
        <v>0</v>
      </c>
      <c r="T230" s="6">
        <v>1219769.6000000001</v>
      </c>
      <c r="U230" s="6">
        <v>0</v>
      </c>
      <c r="V230" s="6">
        <v>0</v>
      </c>
      <c r="W230" s="6">
        <v>0</v>
      </c>
      <c r="X230" s="6">
        <v>0</v>
      </c>
      <c r="Y230" s="6">
        <v>8042727</v>
      </c>
      <c r="Z230" s="6">
        <v>975877.9</v>
      </c>
      <c r="AA230" s="6">
        <v>25412.799999999999</v>
      </c>
      <c r="AB230" s="6">
        <v>725232.8</v>
      </c>
      <c r="AC230" s="6">
        <v>0</v>
      </c>
      <c r="AD230" s="6">
        <f t="shared" si="42"/>
        <v>201661800</v>
      </c>
      <c r="AE230" s="6">
        <f t="shared" si="43"/>
        <v>0</v>
      </c>
      <c r="AF230" s="6">
        <f t="shared" si="44"/>
        <v>1219769.6000000001</v>
      </c>
      <c r="AG230" s="6">
        <f t="shared" si="45"/>
        <v>200442030.40000001</v>
      </c>
      <c r="AH230" s="6">
        <f t="shared" si="46"/>
        <v>18645572</v>
      </c>
      <c r="AI230" s="6">
        <f t="shared" si="47"/>
        <v>119493979.40000001</v>
      </c>
      <c r="AJ230" s="6">
        <f t="shared" si="48"/>
        <v>6915632</v>
      </c>
      <c r="AK230" s="6">
        <f t="shared" si="49"/>
        <v>42745996</v>
      </c>
      <c r="AL230" s="6">
        <f t="shared" si="50"/>
        <v>12640839.300000003</v>
      </c>
      <c r="AM230" s="3">
        <f t="shared" si="51"/>
        <v>9.3022266651316063E-2</v>
      </c>
      <c r="AN230" s="3">
        <f t="shared" si="52"/>
        <v>0.59615230978023459</v>
      </c>
      <c r="AO230" s="3">
        <f t="shared" si="53"/>
        <v>3.4501905544457104E-2</v>
      </c>
      <c r="AP230" s="3">
        <f t="shared" si="54"/>
        <v>0.21325864597707647</v>
      </c>
      <c r="AQ230" s="3">
        <f t="shared" si="55"/>
        <v>6.3064813675924536E-2</v>
      </c>
    </row>
    <row r="231" spans="1:43" x14ac:dyDescent="0.3">
      <c r="A231" t="s">
        <v>179</v>
      </c>
      <c r="B231" t="s">
        <v>7</v>
      </c>
      <c r="C231" t="s">
        <v>172</v>
      </c>
      <c r="D231" s="6">
        <v>2030</v>
      </c>
      <c r="E231" t="s">
        <v>195</v>
      </c>
      <c r="F231" s="6">
        <v>417.2</v>
      </c>
      <c r="G231" s="7">
        <v>410.8</v>
      </c>
      <c r="H231" s="7">
        <v>866.3</v>
      </c>
      <c r="I231" s="6">
        <v>195557820</v>
      </c>
      <c r="J231" s="6">
        <v>9638450</v>
      </c>
      <c r="K231" s="6">
        <v>42745996</v>
      </c>
      <c r="L231" s="6">
        <v>18241458</v>
      </c>
      <c r="M231" s="6">
        <v>0</v>
      </c>
      <c r="N231" s="6">
        <v>4233624</v>
      </c>
      <c r="O231" s="6">
        <v>114756220</v>
      </c>
      <c r="P231" s="6">
        <v>0</v>
      </c>
      <c r="Q231" s="6">
        <v>1059027</v>
      </c>
      <c r="R231" s="6">
        <v>2871460</v>
      </c>
      <c r="S231" s="6">
        <v>0</v>
      </c>
      <c r="T231" s="6">
        <v>1219769.6000000001</v>
      </c>
      <c r="U231" s="6">
        <v>0</v>
      </c>
      <c r="V231" s="6">
        <v>0</v>
      </c>
      <c r="W231" s="6">
        <v>0</v>
      </c>
      <c r="X231" s="6">
        <v>0</v>
      </c>
      <c r="Y231" s="6">
        <v>7930521.5</v>
      </c>
      <c r="Z231" s="6">
        <v>1707928.6</v>
      </c>
      <c r="AA231" s="6">
        <v>23627.200000000001</v>
      </c>
      <c r="AB231" s="6">
        <v>768193.4</v>
      </c>
      <c r="AC231" s="6">
        <v>0</v>
      </c>
      <c r="AD231" s="6">
        <f t="shared" si="42"/>
        <v>195557820</v>
      </c>
      <c r="AE231" s="6">
        <f t="shared" si="43"/>
        <v>0</v>
      </c>
      <c r="AF231" s="6">
        <f t="shared" si="44"/>
        <v>1219769.6000000001</v>
      </c>
      <c r="AG231" s="6">
        <f t="shared" si="45"/>
        <v>194338050.40000001</v>
      </c>
      <c r="AH231" s="6">
        <f t="shared" si="46"/>
        <v>18241458</v>
      </c>
      <c r="AI231" s="6">
        <f t="shared" si="47"/>
        <v>115815247</v>
      </c>
      <c r="AJ231" s="6">
        <f t="shared" si="48"/>
        <v>4233624</v>
      </c>
      <c r="AK231" s="6">
        <f t="shared" si="49"/>
        <v>42745996</v>
      </c>
      <c r="AL231" s="6">
        <f t="shared" si="50"/>
        <v>13301730.699999999</v>
      </c>
      <c r="AM231" s="3">
        <f t="shared" si="51"/>
        <v>9.3864572390502887E-2</v>
      </c>
      <c r="AN231" s="3">
        <f t="shared" si="52"/>
        <v>0.59594735442503954</v>
      </c>
      <c r="AO231" s="3">
        <f t="shared" si="53"/>
        <v>2.1784843427656408E-2</v>
      </c>
      <c r="AP231" s="3">
        <f t="shared" si="54"/>
        <v>0.21995690453834046</v>
      </c>
      <c r="AQ231" s="3">
        <f t="shared" si="55"/>
        <v>6.8446352490525955E-2</v>
      </c>
    </row>
    <row r="232" spans="1:43" x14ac:dyDescent="0.3">
      <c r="A232" t="s">
        <v>179</v>
      </c>
      <c r="B232" t="s">
        <v>7</v>
      </c>
      <c r="C232" t="s">
        <v>172</v>
      </c>
      <c r="D232" s="6">
        <v>2032</v>
      </c>
      <c r="E232" t="s">
        <v>195</v>
      </c>
      <c r="F232" s="6">
        <v>404.9</v>
      </c>
      <c r="G232" s="7">
        <v>396.5</v>
      </c>
      <c r="H232" s="7">
        <v>848.8</v>
      </c>
      <c r="I232" s="6">
        <v>205946900</v>
      </c>
      <c r="J232" s="6">
        <v>10460067</v>
      </c>
      <c r="K232" s="6">
        <v>42745996</v>
      </c>
      <c r="L232" s="6">
        <v>17178884</v>
      </c>
      <c r="M232" s="6">
        <v>0</v>
      </c>
      <c r="N232" s="6">
        <v>2621128.7999999998</v>
      </c>
      <c r="O232" s="6">
        <v>127334510</v>
      </c>
      <c r="P232" s="6">
        <v>0</v>
      </c>
      <c r="Q232" s="6">
        <v>809249.4</v>
      </c>
      <c r="R232" s="6">
        <v>2871634.5</v>
      </c>
      <c r="S232" s="6">
        <v>0</v>
      </c>
      <c r="T232" s="6">
        <v>1219769.6000000001</v>
      </c>
      <c r="U232" s="6">
        <v>0</v>
      </c>
      <c r="V232" s="6">
        <v>0</v>
      </c>
      <c r="W232" s="6">
        <v>0</v>
      </c>
      <c r="X232" s="6">
        <v>0</v>
      </c>
      <c r="Y232" s="6">
        <v>8116287</v>
      </c>
      <c r="Z232" s="6">
        <v>2343779.5</v>
      </c>
      <c r="AA232" s="6">
        <v>20161.8</v>
      </c>
      <c r="AB232" s="6">
        <v>685503.4</v>
      </c>
      <c r="AC232" s="6">
        <v>0</v>
      </c>
      <c r="AD232" s="6">
        <f t="shared" si="42"/>
        <v>205946900</v>
      </c>
      <c r="AE232" s="6">
        <f t="shared" si="43"/>
        <v>0</v>
      </c>
      <c r="AF232" s="6">
        <f t="shared" si="44"/>
        <v>1219769.6000000001</v>
      </c>
      <c r="AG232" s="6">
        <f t="shared" si="45"/>
        <v>204727130.40000001</v>
      </c>
      <c r="AH232" s="6">
        <f t="shared" si="46"/>
        <v>17178884</v>
      </c>
      <c r="AI232" s="6">
        <f t="shared" si="47"/>
        <v>128143759.40000001</v>
      </c>
      <c r="AJ232" s="6">
        <f t="shared" si="48"/>
        <v>2621128.7999999998</v>
      </c>
      <c r="AK232" s="6">
        <f t="shared" si="49"/>
        <v>42745996</v>
      </c>
      <c r="AL232" s="6">
        <f t="shared" si="50"/>
        <v>14037366.200000001</v>
      </c>
      <c r="AM232" s="3">
        <f t="shared" si="51"/>
        <v>8.3911125830931882E-2</v>
      </c>
      <c r="AN232" s="3">
        <f t="shared" si="52"/>
        <v>0.62592465956822696</v>
      </c>
      <c r="AO232" s="3">
        <f t="shared" si="53"/>
        <v>1.2803035898948935E-2</v>
      </c>
      <c r="AP232" s="3">
        <f t="shared" si="54"/>
        <v>0.20879497464005875</v>
      </c>
      <c r="AQ232" s="3">
        <f t="shared" si="55"/>
        <v>6.8566223600035378E-2</v>
      </c>
    </row>
    <row r="233" spans="1:43" x14ac:dyDescent="0.3">
      <c r="A233" t="s">
        <v>179</v>
      </c>
      <c r="B233" t="s">
        <v>7</v>
      </c>
      <c r="C233" t="s">
        <v>172</v>
      </c>
      <c r="D233" s="6">
        <v>2034</v>
      </c>
      <c r="E233" t="s">
        <v>195</v>
      </c>
      <c r="F233" s="6">
        <v>377.9</v>
      </c>
      <c r="G233" s="7">
        <v>412</v>
      </c>
      <c r="H233" s="7">
        <v>840.5</v>
      </c>
      <c r="I233" s="6">
        <v>212666190</v>
      </c>
      <c r="J233" s="6">
        <v>20582468</v>
      </c>
      <c r="K233" s="6">
        <v>42745996</v>
      </c>
      <c r="L233" s="6">
        <v>16854494</v>
      </c>
      <c r="M233" s="6">
        <v>0</v>
      </c>
      <c r="N233" s="6">
        <v>1605363.8</v>
      </c>
      <c r="O233" s="6">
        <v>124833750</v>
      </c>
      <c r="P233" s="6">
        <v>0</v>
      </c>
      <c r="Q233" s="6">
        <v>610055.80000000005</v>
      </c>
      <c r="R233" s="6">
        <v>2869315</v>
      </c>
      <c r="S233" s="6">
        <v>0</v>
      </c>
      <c r="T233" s="6">
        <v>1137147.5</v>
      </c>
      <c r="U233" s="6">
        <v>0</v>
      </c>
      <c r="V233" s="6">
        <v>0</v>
      </c>
      <c r="W233" s="6">
        <v>0</v>
      </c>
      <c r="X233" s="6">
        <v>0</v>
      </c>
      <c r="Y233" s="6">
        <v>17663574</v>
      </c>
      <c r="Z233" s="6">
        <v>2918893.8</v>
      </c>
      <c r="AA233" s="6">
        <v>18832.3</v>
      </c>
      <c r="AB233" s="6">
        <v>1408764.9</v>
      </c>
      <c r="AC233" s="6">
        <v>0</v>
      </c>
      <c r="AD233" s="6">
        <f t="shared" si="42"/>
        <v>212666190</v>
      </c>
      <c r="AE233" s="6">
        <f t="shared" si="43"/>
        <v>0</v>
      </c>
      <c r="AF233" s="6">
        <f t="shared" si="44"/>
        <v>1137147.5</v>
      </c>
      <c r="AG233" s="6">
        <f t="shared" si="45"/>
        <v>211529042.5</v>
      </c>
      <c r="AH233" s="6">
        <f t="shared" si="46"/>
        <v>16854494</v>
      </c>
      <c r="AI233" s="6">
        <f t="shared" si="47"/>
        <v>125443805.8</v>
      </c>
      <c r="AJ233" s="6">
        <f t="shared" si="48"/>
        <v>1605363.8</v>
      </c>
      <c r="AK233" s="6">
        <f t="shared" si="49"/>
        <v>42745996</v>
      </c>
      <c r="AL233" s="6">
        <f t="shared" si="50"/>
        <v>24879380</v>
      </c>
      <c r="AM233" s="3">
        <f t="shared" si="51"/>
        <v>7.9679337649344303E-2</v>
      </c>
      <c r="AN233" s="3">
        <f t="shared" si="52"/>
        <v>0.59303348758835328</v>
      </c>
      <c r="AO233" s="3">
        <f t="shared" si="53"/>
        <v>7.5893304343775869E-3</v>
      </c>
      <c r="AP233" s="3">
        <f t="shared" si="54"/>
        <v>0.20208097902206501</v>
      </c>
      <c r="AQ233" s="3">
        <f t="shared" si="55"/>
        <v>0.11761685159615848</v>
      </c>
    </row>
    <row r="234" spans="1:43" x14ac:dyDescent="0.3">
      <c r="A234" t="s">
        <v>179</v>
      </c>
      <c r="B234" t="s">
        <v>7</v>
      </c>
      <c r="C234" t="s">
        <v>172</v>
      </c>
      <c r="D234" s="6">
        <v>2036</v>
      </c>
      <c r="E234" t="s">
        <v>195</v>
      </c>
      <c r="F234" s="6">
        <v>371.5</v>
      </c>
      <c r="G234" s="7">
        <v>403</v>
      </c>
      <c r="H234" s="7">
        <v>819</v>
      </c>
      <c r="I234" s="6">
        <v>215207710</v>
      </c>
      <c r="J234" s="6">
        <v>20844552</v>
      </c>
      <c r="K234" s="6">
        <v>42745996</v>
      </c>
      <c r="L234" s="6">
        <v>15986626</v>
      </c>
      <c r="M234" s="6">
        <v>0</v>
      </c>
      <c r="N234" s="6">
        <v>1229122.2</v>
      </c>
      <c r="O234" s="6">
        <v>127950056</v>
      </c>
      <c r="P234" s="6">
        <v>0</v>
      </c>
      <c r="Q234" s="6">
        <v>546195.6</v>
      </c>
      <c r="R234" s="6">
        <v>2869305.5</v>
      </c>
      <c r="S234" s="6">
        <v>0</v>
      </c>
      <c r="T234" s="6">
        <v>1137147.5</v>
      </c>
      <c r="U234" s="6">
        <v>0</v>
      </c>
      <c r="V234" s="6">
        <v>0</v>
      </c>
      <c r="W234" s="6">
        <v>0</v>
      </c>
      <c r="X234" s="6">
        <v>0</v>
      </c>
      <c r="Y234" s="6">
        <v>17463474</v>
      </c>
      <c r="Z234" s="6">
        <v>3381078.5</v>
      </c>
      <c r="AA234" s="6">
        <v>24551.8</v>
      </c>
      <c r="AB234" s="6">
        <v>1874148.4</v>
      </c>
      <c r="AC234" s="6">
        <v>0</v>
      </c>
      <c r="AD234" s="6">
        <f t="shared" si="42"/>
        <v>215207710</v>
      </c>
      <c r="AE234" s="6">
        <f t="shared" si="43"/>
        <v>0</v>
      </c>
      <c r="AF234" s="6">
        <f t="shared" si="44"/>
        <v>1137147.5</v>
      </c>
      <c r="AG234" s="6">
        <f t="shared" si="45"/>
        <v>214070562.5</v>
      </c>
      <c r="AH234" s="6">
        <f t="shared" si="46"/>
        <v>15986626</v>
      </c>
      <c r="AI234" s="6">
        <f t="shared" si="47"/>
        <v>128496251.59999999</v>
      </c>
      <c r="AJ234" s="6">
        <f t="shared" si="48"/>
        <v>1229122.2</v>
      </c>
      <c r="AK234" s="6">
        <f t="shared" si="49"/>
        <v>42745996</v>
      </c>
      <c r="AL234" s="6">
        <f t="shared" si="50"/>
        <v>25612558.199999999</v>
      </c>
      <c r="AM234" s="3">
        <f t="shared" si="51"/>
        <v>7.4679235730975388E-2</v>
      </c>
      <c r="AN234" s="3">
        <f t="shared" si="52"/>
        <v>0.60025185200323838</v>
      </c>
      <c r="AO234" s="3">
        <f t="shared" si="53"/>
        <v>5.7416684743844685E-3</v>
      </c>
      <c r="AP234" s="3">
        <f t="shared" si="54"/>
        <v>0.19968180351747336</v>
      </c>
      <c r="AQ234" s="3">
        <f t="shared" si="55"/>
        <v>0.11964540056739469</v>
      </c>
    </row>
    <row r="235" spans="1:43" x14ac:dyDescent="0.3">
      <c r="A235" t="s">
        <v>179</v>
      </c>
      <c r="B235" t="s">
        <v>7</v>
      </c>
      <c r="C235" t="s">
        <v>172</v>
      </c>
      <c r="D235" s="6">
        <v>2038</v>
      </c>
      <c r="E235" t="s">
        <v>195</v>
      </c>
      <c r="F235" s="6">
        <v>370.2</v>
      </c>
      <c r="G235" s="7">
        <v>442.4</v>
      </c>
      <c r="H235" s="7">
        <v>803.6</v>
      </c>
      <c r="I235" s="6">
        <v>222918240</v>
      </c>
      <c r="J235" s="6">
        <v>20972544</v>
      </c>
      <c r="K235" s="6">
        <v>42745996</v>
      </c>
      <c r="L235" s="6">
        <v>14774283</v>
      </c>
      <c r="M235" s="6">
        <v>0</v>
      </c>
      <c r="N235" s="6">
        <v>1107709</v>
      </c>
      <c r="O235" s="6">
        <v>136921570</v>
      </c>
      <c r="P235" s="6">
        <v>0</v>
      </c>
      <c r="Q235" s="6">
        <v>518189.4</v>
      </c>
      <c r="R235" s="6">
        <v>2870483.2</v>
      </c>
      <c r="S235" s="6">
        <v>0</v>
      </c>
      <c r="T235" s="6">
        <v>1138009.8</v>
      </c>
      <c r="U235" s="6">
        <v>0</v>
      </c>
      <c r="V235" s="6">
        <v>0</v>
      </c>
      <c r="W235" s="6">
        <v>0</v>
      </c>
      <c r="X235" s="6">
        <v>0</v>
      </c>
      <c r="Y235" s="6">
        <v>17229752</v>
      </c>
      <c r="Z235" s="6">
        <v>3742793.2</v>
      </c>
      <c r="AA235" s="6">
        <v>22375.7</v>
      </c>
      <c r="AB235" s="6">
        <v>1847080.6</v>
      </c>
      <c r="AC235" s="6">
        <v>0</v>
      </c>
      <c r="AD235" s="6">
        <f t="shared" si="42"/>
        <v>222918240</v>
      </c>
      <c r="AE235" s="6">
        <f t="shared" si="43"/>
        <v>0</v>
      </c>
      <c r="AF235" s="6">
        <f t="shared" si="44"/>
        <v>1138009.8</v>
      </c>
      <c r="AG235" s="6">
        <f t="shared" si="45"/>
        <v>221780230.19999999</v>
      </c>
      <c r="AH235" s="6">
        <f t="shared" si="46"/>
        <v>14774283</v>
      </c>
      <c r="AI235" s="6">
        <f t="shared" si="47"/>
        <v>137439759.40000001</v>
      </c>
      <c r="AJ235" s="6">
        <f t="shared" si="48"/>
        <v>1107709</v>
      </c>
      <c r="AK235" s="6">
        <f t="shared" si="49"/>
        <v>42745996</v>
      </c>
      <c r="AL235" s="6">
        <f t="shared" si="50"/>
        <v>25712484.699999999</v>
      </c>
      <c r="AM235" s="3">
        <f t="shared" si="51"/>
        <v>6.6616771867702748E-2</v>
      </c>
      <c r="AN235" s="3">
        <f t="shared" si="52"/>
        <v>0.61971150122830021</v>
      </c>
      <c r="AO235" s="3">
        <f t="shared" si="53"/>
        <v>4.9946246290802163E-3</v>
      </c>
      <c r="AP235" s="3">
        <f t="shared" si="54"/>
        <v>0.19274033560814657</v>
      </c>
      <c r="AQ235" s="3">
        <f t="shared" si="55"/>
        <v>0.11593677523380982</v>
      </c>
    </row>
    <row r="236" spans="1:43" x14ac:dyDescent="0.3">
      <c r="A236" t="s">
        <v>179</v>
      </c>
      <c r="B236" t="s">
        <v>7</v>
      </c>
      <c r="C236" t="s">
        <v>172</v>
      </c>
      <c r="D236" s="6">
        <v>2040</v>
      </c>
      <c r="E236" t="s">
        <v>195</v>
      </c>
      <c r="F236" s="6">
        <v>367.5</v>
      </c>
      <c r="G236" s="7">
        <v>436.1</v>
      </c>
      <c r="H236" s="7">
        <v>786.3</v>
      </c>
      <c r="I236" s="6">
        <v>226964380</v>
      </c>
      <c r="J236" s="6">
        <v>20994242</v>
      </c>
      <c r="K236" s="6">
        <v>42745996</v>
      </c>
      <c r="L236" s="6">
        <v>13568467</v>
      </c>
      <c r="M236" s="6">
        <v>0</v>
      </c>
      <c r="N236" s="6">
        <v>1013758.8</v>
      </c>
      <c r="O236" s="6">
        <v>142342130</v>
      </c>
      <c r="P236" s="6">
        <v>0</v>
      </c>
      <c r="Q236" s="6">
        <v>448373.3</v>
      </c>
      <c r="R236" s="6">
        <v>2870501.5</v>
      </c>
      <c r="S236" s="6">
        <v>0</v>
      </c>
      <c r="T236" s="6">
        <v>1137147.5</v>
      </c>
      <c r="U236" s="6">
        <v>0</v>
      </c>
      <c r="V236" s="6">
        <v>0</v>
      </c>
      <c r="W236" s="6">
        <v>0</v>
      </c>
      <c r="X236" s="6">
        <v>0</v>
      </c>
      <c r="Y236" s="6">
        <v>16989374</v>
      </c>
      <c r="Z236" s="6">
        <v>4004867.2</v>
      </c>
      <c r="AA236" s="6">
        <v>23449.1</v>
      </c>
      <c r="AB236" s="6">
        <v>1820307.8</v>
      </c>
      <c r="AC236" s="6">
        <v>0</v>
      </c>
      <c r="AD236" s="6">
        <f t="shared" si="42"/>
        <v>226964380</v>
      </c>
      <c r="AE236" s="6">
        <f t="shared" si="43"/>
        <v>0</v>
      </c>
      <c r="AF236" s="6">
        <f t="shared" si="44"/>
        <v>1137147.5</v>
      </c>
      <c r="AG236" s="6">
        <f t="shared" si="45"/>
        <v>225827232.5</v>
      </c>
      <c r="AH236" s="6">
        <f t="shared" si="46"/>
        <v>13568467</v>
      </c>
      <c r="AI236" s="6">
        <f t="shared" si="47"/>
        <v>142790503.30000001</v>
      </c>
      <c r="AJ236" s="6">
        <f t="shared" si="48"/>
        <v>1013758.8</v>
      </c>
      <c r="AK236" s="6">
        <f t="shared" si="49"/>
        <v>42745996</v>
      </c>
      <c r="AL236" s="6">
        <f t="shared" si="50"/>
        <v>25708499.600000001</v>
      </c>
      <c r="AM236" s="3">
        <f t="shared" si="51"/>
        <v>6.0083395832254201E-2</v>
      </c>
      <c r="AN236" s="3">
        <f t="shared" si="52"/>
        <v>0.63229975286527951</v>
      </c>
      <c r="AO236" s="3">
        <f t="shared" si="53"/>
        <v>4.489090127781644E-3</v>
      </c>
      <c r="AP236" s="3">
        <f t="shared" si="54"/>
        <v>0.18928627662299319</v>
      </c>
      <c r="AQ236" s="3">
        <f t="shared" si="55"/>
        <v>0.11384145001201307</v>
      </c>
    </row>
    <row r="237" spans="1:43" x14ac:dyDescent="0.3">
      <c r="A237" t="s">
        <v>179</v>
      </c>
      <c r="B237" t="s">
        <v>7</v>
      </c>
      <c r="C237" t="s">
        <v>172</v>
      </c>
      <c r="D237" s="6">
        <v>2042</v>
      </c>
      <c r="E237" t="s">
        <v>195</v>
      </c>
      <c r="F237" s="6">
        <v>366.5</v>
      </c>
      <c r="G237" s="7">
        <v>437.7</v>
      </c>
      <c r="H237" s="7">
        <v>797.2</v>
      </c>
      <c r="I237" s="6">
        <v>228864300</v>
      </c>
      <c r="J237" s="6">
        <v>21003256</v>
      </c>
      <c r="K237" s="6">
        <v>42745996</v>
      </c>
      <c r="L237" s="6">
        <v>13277418</v>
      </c>
      <c r="M237" s="6">
        <v>0</v>
      </c>
      <c r="N237" s="6">
        <v>871565.2</v>
      </c>
      <c r="O237" s="6">
        <v>144859700</v>
      </c>
      <c r="P237" s="6">
        <v>0</v>
      </c>
      <c r="Q237" s="6">
        <v>330225.59999999998</v>
      </c>
      <c r="R237" s="6">
        <v>2868821.5</v>
      </c>
      <c r="S237" s="6">
        <v>0</v>
      </c>
      <c r="T237" s="6">
        <v>1138009.8</v>
      </c>
      <c r="U237" s="6">
        <v>0</v>
      </c>
      <c r="V237" s="6">
        <v>0</v>
      </c>
      <c r="W237" s="6">
        <v>0</v>
      </c>
      <c r="X237" s="6">
        <v>0</v>
      </c>
      <c r="Y237" s="6">
        <v>16752360</v>
      </c>
      <c r="Z237" s="6">
        <v>4250897.5</v>
      </c>
      <c r="AA237" s="6">
        <v>20374.5</v>
      </c>
      <c r="AB237" s="6">
        <v>1748946.4</v>
      </c>
      <c r="AC237" s="6">
        <v>0</v>
      </c>
      <c r="AD237" s="6">
        <f t="shared" si="42"/>
        <v>228864300</v>
      </c>
      <c r="AE237" s="6">
        <f t="shared" si="43"/>
        <v>0</v>
      </c>
      <c r="AF237" s="6">
        <f t="shared" si="44"/>
        <v>1138009.8</v>
      </c>
      <c r="AG237" s="6">
        <f t="shared" si="45"/>
        <v>227726290.19999999</v>
      </c>
      <c r="AH237" s="6">
        <f t="shared" si="46"/>
        <v>13277418</v>
      </c>
      <c r="AI237" s="6">
        <f t="shared" si="47"/>
        <v>145189925.59999999</v>
      </c>
      <c r="AJ237" s="6">
        <f t="shared" si="48"/>
        <v>871565.2</v>
      </c>
      <c r="AK237" s="6">
        <f t="shared" si="49"/>
        <v>42745996</v>
      </c>
      <c r="AL237" s="6">
        <f t="shared" si="50"/>
        <v>25641399.899999999</v>
      </c>
      <c r="AM237" s="3">
        <f t="shared" si="51"/>
        <v>5.8304282691028532E-2</v>
      </c>
      <c r="AN237" s="3">
        <f t="shared" si="52"/>
        <v>0.63756330229806735</v>
      </c>
      <c r="AO237" s="3">
        <f t="shared" si="53"/>
        <v>3.8272489278007834E-3</v>
      </c>
      <c r="AP237" s="3">
        <f t="shared" si="54"/>
        <v>0.18770777832659746</v>
      </c>
      <c r="AQ237" s="3">
        <f t="shared" si="55"/>
        <v>0.11259745142943535</v>
      </c>
    </row>
    <row r="238" spans="1:43" x14ac:dyDescent="0.3">
      <c r="A238" t="s">
        <v>179</v>
      </c>
      <c r="B238" t="s">
        <v>7</v>
      </c>
      <c r="C238" t="s">
        <v>172</v>
      </c>
      <c r="D238" s="6">
        <v>2044</v>
      </c>
      <c r="E238" t="s">
        <v>195</v>
      </c>
      <c r="F238" s="6">
        <v>367.6</v>
      </c>
      <c r="G238" s="7">
        <v>427.6</v>
      </c>
      <c r="H238" s="7">
        <v>777.5</v>
      </c>
      <c r="I238" s="6">
        <v>240160050</v>
      </c>
      <c r="J238" s="6">
        <v>21235746</v>
      </c>
      <c r="K238" s="6">
        <v>42745996</v>
      </c>
      <c r="L238" s="6">
        <v>12991147</v>
      </c>
      <c r="M238" s="6">
        <v>0</v>
      </c>
      <c r="N238" s="6">
        <v>667936.80000000005</v>
      </c>
      <c r="O238" s="6">
        <v>157218020</v>
      </c>
      <c r="P238" s="6">
        <v>0</v>
      </c>
      <c r="Q238" s="6">
        <v>278961.09999999998</v>
      </c>
      <c r="R238" s="6">
        <v>2868456</v>
      </c>
      <c r="S238" s="6">
        <v>0</v>
      </c>
      <c r="T238" s="6">
        <v>1138009.8</v>
      </c>
      <c r="U238" s="6">
        <v>0</v>
      </c>
      <c r="V238" s="6">
        <v>0</v>
      </c>
      <c r="W238" s="6">
        <v>0</v>
      </c>
      <c r="X238" s="6">
        <v>0</v>
      </c>
      <c r="Y238" s="6">
        <v>16664019</v>
      </c>
      <c r="Z238" s="6">
        <v>4571726.5</v>
      </c>
      <c r="AA238" s="6">
        <v>21591.599999999999</v>
      </c>
      <c r="AB238" s="6">
        <v>994176.2</v>
      </c>
      <c r="AC238" s="6">
        <v>0</v>
      </c>
      <c r="AD238" s="6">
        <f t="shared" si="42"/>
        <v>240160050</v>
      </c>
      <c r="AE238" s="6">
        <f t="shared" si="43"/>
        <v>0</v>
      </c>
      <c r="AF238" s="6">
        <f t="shared" si="44"/>
        <v>1138009.8</v>
      </c>
      <c r="AG238" s="6">
        <f t="shared" si="45"/>
        <v>239022040.19999999</v>
      </c>
      <c r="AH238" s="6">
        <f t="shared" si="46"/>
        <v>12991147</v>
      </c>
      <c r="AI238" s="6">
        <f t="shared" si="47"/>
        <v>157496981.09999999</v>
      </c>
      <c r="AJ238" s="6">
        <f t="shared" si="48"/>
        <v>667936.80000000005</v>
      </c>
      <c r="AK238" s="6">
        <f t="shared" si="49"/>
        <v>42745996</v>
      </c>
      <c r="AL238" s="6">
        <f t="shared" si="50"/>
        <v>25119969.300000001</v>
      </c>
      <c r="AM238" s="3">
        <f t="shared" si="51"/>
        <v>5.4351251412337334E-2</v>
      </c>
      <c r="AN238" s="3">
        <f t="shared" si="52"/>
        <v>0.65892241974093901</v>
      </c>
      <c r="AO238" s="3">
        <f t="shared" si="53"/>
        <v>2.7944569439751609E-3</v>
      </c>
      <c r="AP238" s="3">
        <f t="shared" si="54"/>
        <v>0.17883704768076028</v>
      </c>
      <c r="AQ238" s="3">
        <f t="shared" si="55"/>
        <v>0.1050947823848422</v>
      </c>
    </row>
    <row r="239" spans="1:43" x14ac:dyDescent="0.3">
      <c r="A239" t="s">
        <v>179</v>
      </c>
      <c r="B239" t="s">
        <v>7</v>
      </c>
      <c r="C239" t="s">
        <v>172</v>
      </c>
      <c r="D239" s="6">
        <v>2046</v>
      </c>
      <c r="E239" t="s">
        <v>195</v>
      </c>
      <c r="F239" s="6">
        <v>366.7</v>
      </c>
      <c r="G239" s="7">
        <v>404.8</v>
      </c>
      <c r="H239" s="7">
        <v>734.7</v>
      </c>
      <c r="I239" s="6">
        <v>242758480</v>
      </c>
      <c r="J239" s="6">
        <v>21433424</v>
      </c>
      <c r="K239" s="6">
        <v>42745996</v>
      </c>
      <c r="L239" s="6">
        <v>13180774</v>
      </c>
      <c r="M239" s="6">
        <v>0</v>
      </c>
      <c r="N239" s="6">
        <v>375870</v>
      </c>
      <c r="O239" s="6">
        <v>159788450</v>
      </c>
      <c r="P239" s="6">
        <v>0</v>
      </c>
      <c r="Q239" s="6">
        <v>219302.6</v>
      </c>
      <c r="R239" s="6">
        <v>2857645</v>
      </c>
      <c r="S239" s="6">
        <v>0</v>
      </c>
      <c r="T239" s="6">
        <v>1135792.5</v>
      </c>
      <c r="U239" s="6">
        <v>0</v>
      </c>
      <c r="V239" s="6">
        <v>0</v>
      </c>
      <c r="W239" s="6">
        <v>0</v>
      </c>
      <c r="X239" s="6">
        <v>0</v>
      </c>
      <c r="Y239" s="6">
        <v>16500685</v>
      </c>
      <c r="Z239" s="6">
        <v>4932738</v>
      </c>
      <c r="AA239" s="6">
        <v>20672.599999999999</v>
      </c>
      <c r="AB239" s="6">
        <v>1000553.2</v>
      </c>
      <c r="AC239" s="6">
        <v>0</v>
      </c>
      <c r="AD239" s="6">
        <f t="shared" si="42"/>
        <v>242758480</v>
      </c>
      <c r="AE239" s="6">
        <f t="shared" si="43"/>
        <v>0</v>
      </c>
      <c r="AF239" s="6">
        <f t="shared" si="44"/>
        <v>1135792.5</v>
      </c>
      <c r="AG239" s="6">
        <f t="shared" si="45"/>
        <v>241622687.5</v>
      </c>
      <c r="AH239" s="6">
        <f t="shared" si="46"/>
        <v>13180774</v>
      </c>
      <c r="AI239" s="6">
        <f t="shared" si="47"/>
        <v>160007752.59999999</v>
      </c>
      <c r="AJ239" s="6">
        <f t="shared" si="48"/>
        <v>375870</v>
      </c>
      <c r="AK239" s="6">
        <f t="shared" si="49"/>
        <v>42745996</v>
      </c>
      <c r="AL239" s="6">
        <f t="shared" si="50"/>
        <v>25312293.800000001</v>
      </c>
      <c r="AM239" s="3">
        <f t="shared" si="51"/>
        <v>5.4551061145696425E-2</v>
      </c>
      <c r="AN239" s="3">
        <f t="shared" si="52"/>
        <v>0.66222155814734907</v>
      </c>
      <c r="AO239" s="3">
        <f t="shared" si="53"/>
        <v>1.5556072316263761E-3</v>
      </c>
      <c r="AP239" s="3">
        <f t="shared" si="54"/>
        <v>0.17691217841453732</v>
      </c>
      <c r="AQ239" s="3">
        <f t="shared" si="55"/>
        <v>0.10475959050823819</v>
      </c>
    </row>
    <row r="240" spans="1:43" x14ac:dyDescent="0.3">
      <c r="A240" t="s">
        <v>179</v>
      </c>
      <c r="B240" t="s">
        <v>7</v>
      </c>
      <c r="C240" t="s">
        <v>172</v>
      </c>
      <c r="D240" s="6">
        <v>2048</v>
      </c>
      <c r="E240" t="s">
        <v>195</v>
      </c>
      <c r="F240" s="6">
        <v>369.4</v>
      </c>
      <c r="G240" s="7">
        <v>382.6</v>
      </c>
      <c r="H240" s="7">
        <v>715.8</v>
      </c>
      <c r="I240" s="6">
        <v>252610080</v>
      </c>
      <c r="J240" s="6">
        <v>23945716</v>
      </c>
      <c r="K240" s="6">
        <v>42745996</v>
      </c>
      <c r="L240" s="6">
        <v>14986690</v>
      </c>
      <c r="M240" s="6">
        <v>0</v>
      </c>
      <c r="N240" s="6">
        <v>227617.2</v>
      </c>
      <c r="O240" s="6">
        <v>164223580</v>
      </c>
      <c r="P240" s="6">
        <v>0</v>
      </c>
      <c r="Q240" s="6">
        <v>281009.90000000002</v>
      </c>
      <c r="R240" s="6">
        <v>2858895.8</v>
      </c>
      <c r="S240" s="6">
        <v>0</v>
      </c>
      <c r="T240" s="6">
        <v>1076866.6000000001</v>
      </c>
      <c r="U240" s="6">
        <v>0</v>
      </c>
      <c r="V240" s="6">
        <v>0</v>
      </c>
      <c r="W240" s="6">
        <v>0</v>
      </c>
      <c r="X240" s="6">
        <v>0</v>
      </c>
      <c r="Y240" s="6">
        <v>18613600</v>
      </c>
      <c r="Z240" s="6">
        <v>5332116.5</v>
      </c>
      <c r="AA240" s="6">
        <v>18705.400000000001</v>
      </c>
      <c r="AB240" s="6">
        <v>2244996.7999999998</v>
      </c>
      <c r="AC240" s="6">
        <v>0</v>
      </c>
      <c r="AD240" s="6">
        <f t="shared" si="42"/>
        <v>252610080</v>
      </c>
      <c r="AE240" s="6">
        <f t="shared" si="43"/>
        <v>0</v>
      </c>
      <c r="AF240" s="6">
        <f t="shared" si="44"/>
        <v>1076866.6000000001</v>
      </c>
      <c r="AG240" s="6">
        <f t="shared" si="45"/>
        <v>251533213.40000001</v>
      </c>
      <c r="AH240" s="6">
        <f t="shared" si="46"/>
        <v>14986690</v>
      </c>
      <c r="AI240" s="6">
        <f t="shared" si="47"/>
        <v>164504589.90000001</v>
      </c>
      <c r="AJ240" s="6">
        <f t="shared" si="48"/>
        <v>227617.2</v>
      </c>
      <c r="AK240" s="6">
        <f t="shared" si="49"/>
        <v>42745996</v>
      </c>
      <c r="AL240" s="6">
        <f t="shared" si="50"/>
        <v>29068314.5</v>
      </c>
      <c r="AM240" s="3">
        <f t="shared" si="51"/>
        <v>5.9581356264738913E-2</v>
      </c>
      <c r="AN240" s="3">
        <f t="shared" si="52"/>
        <v>0.65400742779203891</v>
      </c>
      <c r="AO240" s="3">
        <f t="shared" si="53"/>
        <v>9.0491906386148849E-4</v>
      </c>
      <c r="AP240" s="3">
        <f t="shared" si="54"/>
        <v>0.16994175608937695</v>
      </c>
      <c r="AQ240" s="3">
        <f t="shared" si="55"/>
        <v>0.11556451773139872</v>
      </c>
    </row>
    <row r="241" spans="1:43" x14ac:dyDescent="0.3">
      <c r="A241" t="s">
        <v>179</v>
      </c>
      <c r="B241" t="s">
        <v>7</v>
      </c>
      <c r="C241" t="s">
        <v>172</v>
      </c>
      <c r="D241" s="6">
        <v>2050</v>
      </c>
      <c r="E241" t="s">
        <v>195</v>
      </c>
      <c r="F241" s="6">
        <v>361.3</v>
      </c>
      <c r="G241" s="7">
        <v>373.7</v>
      </c>
      <c r="H241" s="7">
        <v>702.4</v>
      </c>
      <c r="I241" s="6">
        <v>251865340</v>
      </c>
      <c r="J241" s="6">
        <v>25809054</v>
      </c>
      <c r="K241" s="6">
        <v>42745996</v>
      </c>
      <c r="L241" s="6">
        <v>13490846</v>
      </c>
      <c r="M241" s="6">
        <v>0</v>
      </c>
      <c r="N241" s="6">
        <v>60280.800000000003</v>
      </c>
      <c r="O241" s="6">
        <v>163137420</v>
      </c>
      <c r="P241" s="6">
        <v>0</v>
      </c>
      <c r="Q241" s="6">
        <v>500383.3</v>
      </c>
      <c r="R241" s="6">
        <v>2831403</v>
      </c>
      <c r="S241" s="6">
        <v>0</v>
      </c>
      <c r="T241" s="6">
        <v>1076373.8999999999</v>
      </c>
      <c r="U241" s="6">
        <v>0</v>
      </c>
      <c r="V241" s="6">
        <v>947678</v>
      </c>
      <c r="W241" s="6">
        <v>0</v>
      </c>
      <c r="X241" s="6">
        <v>0</v>
      </c>
      <c r="Y241" s="6">
        <v>19072856</v>
      </c>
      <c r="Z241" s="6">
        <v>5788519</v>
      </c>
      <c r="AA241" s="6">
        <v>21040.2</v>
      </c>
      <c r="AB241" s="6">
        <v>2192549.7999999998</v>
      </c>
      <c r="AC241" s="6">
        <v>0</v>
      </c>
      <c r="AD241" s="6">
        <f t="shared" si="42"/>
        <v>251865340</v>
      </c>
      <c r="AE241" s="6">
        <f t="shared" si="43"/>
        <v>0</v>
      </c>
      <c r="AF241" s="6">
        <f t="shared" si="44"/>
        <v>1076373.8999999999</v>
      </c>
      <c r="AG241" s="6">
        <f t="shared" si="45"/>
        <v>250788966.09999999</v>
      </c>
      <c r="AH241" s="6">
        <f t="shared" si="46"/>
        <v>13490846</v>
      </c>
      <c r="AI241" s="6">
        <f t="shared" si="47"/>
        <v>163637803.30000001</v>
      </c>
      <c r="AJ241" s="6">
        <f t="shared" si="48"/>
        <v>60280.800000000003</v>
      </c>
      <c r="AK241" s="6">
        <f t="shared" si="49"/>
        <v>42745996</v>
      </c>
      <c r="AL241" s="6">
        <f t="shared" si="50"/>
        <v>30854046</v>
      </c>
      <c r="AM241" s="3">
        <f t="shared" si="51"/>
        <v>5.3793618634005766E-2</v>
      </c>
      <c r="AN241" s="3">
        <f t="shared" si="52"/>
        <v>0.65249203680974865</v>
      </c>
      <c r="AO241" s="3">
        <f t="shared" si="53"/>
        <v>2.4036464178397521E-4</v>
      </c>
      <c r="AP241" s="3">
        <f t="shared" si="54"/>
        <v>0.1704460792862609</v>
      </c>
      <c r="AQ241" s="3">
        <f t="shared" si="55"/>
        <v>0.12302792455269826</v>
      </c>
    </row>
    <row r="242" spans="1:43" x14ac:dyDescent="0.3">
      <c r="A242" t="s">
        <v>179</v>
      </c>
      <c r="B242" t="s">
        <v>7</v>
      </c>
      <c r="C242" t="s">
        <v>173</v>
      </c>
      <c r="D242" s="6">
        <v>2022</v>
      </c>
      <c r="E242" t="s">
        <v>195</v>
      </c>
      <c r="F242" s="6">
        <v>696.7</v>
      </c>
      <c r="G242" s="7">
        <v>692.5</v>
      </c>
      <c r="H242" s="7">
        <v>920.1</v>
      </c>
      <c r="I242" s="6">
        <v>146135500</v>
      </c>
      <c r="J242" s="6">
        <v>18271366</v>
      </c>
      <c r="K242" s="6">
        <v>32540538</v>
      </c>
      <c r="L242" s="6">
        <v>83236730</v>
      </c>
      <c r="M242" s="6">
        <v>0</v>
      </c>
      <c r="N242" s="6">
        <v>11916.4</v>
      </c>
      <c r="O242" s="6">
        <v>10634560</v>
      </c>
      <c r="P242" s="6">
        <v>0</v>
      </c>
      <c r="Q242" s="6">
        <v>443217.8</v>
      </c>
      <c r="R242" s="6">
        <v>604683.9</v>
      </c>
      <c r="S242" s="6">
        <v>0</v>
      </c>
      <c r="T242" s="6">
        <v>29293.4</v>
      </c>
      <c r="U242" s="6">
        <v>0</v>
      </c>
      <c r="V242" s="6">
        <v>17291800</v>
      </c>
      <c r="W242" s="6">
        <v>0</v>
      </c>
      <c r="X242" s="6">
        <v>0</v>
      </c>
      <c r="Y242" s="6">
        <v>825038.3</v>
      </c>
      <c r="Z242" s="6">
        <v>154528.4</v>
      </c>
      <c r="AA242" s="6">
        <v>359919.8</v>
      </c>
      <c r="AB242" s="6">
        <v>3278.6</v>
      </c>
      <c r="AC242" s="6">
        <v>0</v>
      </c>
      <c r="AD242" s="6">
        <f t="shared" si="42"/>
        <v>146135500</v>
      </c>
      <c r="AE242" s="6">
        <f t="shared" si="43"/>
        <v>0</v>
      </c>
      <c r="AF242" s="6">
        <f t="shared" si="44"/>
        <v>29293.4</v>
      </c>
      <c r="AG242" s="6">
        <f t="shared" si="45"/>
        <v>146106206.59999999</v>
      </c>
      <c r="AH242" s="6">
        <f t="shared" si="46"/>
        <v>83236730</v>
      </c>
      <c r="AI242" s="6">
        <f t="shared" si="47"/>
        <v>11077777.800000001</v>
      </c>
      <c r="AJ242" s="6">
        <f t="shared" si="48"/>
        <v>11916.4</v>
      </c>
      <c r="AK242" s="6">
        <f t="shared" si="49"/>
        <v>32540538</v>
      </c>
      <c r="AL242" s="6">
        <f t="shared" si="50"/>
        <v>19239249</v>
      </c>
      <c r="AM242" s="3">
        <f t="shared" si="51"/>
        <v>0.56970016494836573</v>
      </c>
      <c r="AN242" s="3">
        <f t="shared" si="52"/>
        <v>7.5820035697237803E-2</v>
      </c>
      <c r="AO242" s="3">
        <f t="shared" si="53"/>
        <v>8.1559847985266908E-5</v>
      </c>
      <c r="AP242" s="3">
        <f t="shared" si="54"/>
        <v>0.22271838245097522</v>
      </c>
      <c r="AQ242" s="3">
        <f t="shared" si="55"/>
        <v>0.13167988853938256</v>
      </c>
    </row>
    <row r="243" spans="1:43" x14ac:dyDescent="0.3">
      <c r="A243" t="s">
        <v>179</v>
      </c>
      <c r="B243" t="s">
        <v>7</v>
      </c>
      <c r="C243" t="s">
        <v>173</v>
      </c>
      <c r="D243" s="6">
        <v>2024</v>
      </c>
      <c r="E243" t="s">
        <v>195</v>
      </c>
      <c r="F243" s="6">
        <v>611.79999999999995</v>
      </c>
      <c r="G243" s="7">
        <v>604.5</v>
      </c>
      <c r="H243" s="7">
        <v>937.9</v>
      </c>
      <c r="I243" s="6">
        <v>129302680</v>
      </c>
      <c r="J243" s="6">
        <v>18184906</v>
      </c>
      <c r="K243" s="6">
        <v>32540538</v>
      </c>
      <c r="L243" s="6">
        <v>62399610</v>
      </c>
      <c r="M243" s="6">
        <v>0</v>
      </c>
      <c r="N243" s="6">
        <v>26252.3</v>
      </c>
      <c r="O243" s="6">
        <v>13960227</v>
      </c>
      <c r="P243" s="6">
        <v>0</v>
      </c>
      <c r="Q243" s="6">
        <v>1177719</v>
      </c>
      <c r="R243" s="6">
        <v>605274</v>
      </c>
      <c r="S243" s="6">
        <v>0</v>
      </c>
      <c r="T243" s="6">
        <v>29293.4</v>
      </c>
      <c r="U243" s="6">
        <v>0</v>
      </c>
      <c r="V243" s="6">
        <v>17198552</v>
      </c>
      <c r="W243" s="6">
        <v>0</v>
      </c>
      <c r="X243" s="6">
        <v>0</v>
      </c>
      <c r="Y243" s="6">
        <v>817269.8</v>
      </c>
      <c r="Z243" s="6">
        <v>169085.5</v>
      </c>
      <c r="AA243" s="6">
        <v>375316.2</v>
      </c>
      <c r="AB243" s="6">
        <v>3541</v>
      </c>
      <c r="AC243" s="6">
        <v>0</v>
      </c>
      <c r="AD243" s="6">
        <f t="shared" si="42"/>
        <v>129302680</v>
      </c>
      <c r="AE243" s="6">
        <f t="shared" si="43"/>
        <v>0</v>
      </c>
      <c r="AF243" s="6">
        <f t="shared" si="44"/>
        <v>29293.4</v>
      </c>
      <c r="AG243" s="6">
        <f t="shared" si="45"/>
        <v>129273386.59999999</v>
      </c>
      <c r="AH243" s="6">
        <f t="shared" si="46"/>
        <v>62399610</v>
      </c>
      <c r="AI243" s="6">
        <f t="shared" si="47"/>
        <v>15137946</v>
      </c>
      <c r="AJ243" s="6">
        <f t="shared" si="48"/>
        <v>26252.3</v>
      </c>
      <c r="AK243" s="6">
        <f t="shared" si="49"/>
        <v>32540538</v>
      </c>
      <c r="AL243" s="6">
        <f t="shared" si="50"/>
        <v>19169038.5</v>
      </c>
      <c r="AM243" s="3">
        <f t="shared" si="51"/>
        <v>0.48269494318330175</v>
      </c>
      <c r="AN243" s="3">
        <f t="shared" si="52"/>
        <v>0.11710025085704687</v>
      </c>
      <c r="AO243" s="3">
        <f t="shared" si="53"/>
        <v>2.0307582782858727E-4</v>
      </c>
      <c r="AP243" s="3">
        <f t="shared" si="54"/>
        <v>0.25171877101578155</v>
      </c>
      <c r="AQ243" s="3">
        <f t="shared" si="55"/>
        <v>0.14828294519206167</v>
      </c>
    </row>
    <row r="244" spans="1:43" x14ac:dyDescent="0.3">
      <c r="A244" t="s">
        <v>179</v>
      </c>
      <c r="B244" t="s">
        <v>7</v>
      </c>
      <c r="C244" t="s">
        <v>173</v>
      </c>
      <c r="D244" s="6">
        <v>2026</v>
      </c>
      <c r="E244" t="s">
        <v>195</v>
      </c>
      <c r="F244" s="6">
        <v>574</v>
      </c>
      <c r="G244" s="7">
        <v>452.1</v>
      </c>
      <c r="H244" s="7">
        <v>914</v>
      </c>
      <c r="I244" s="6">
        <v>121433360</v>
      </c>
      <c r="J244" s="6">
        <v>18113176</v>
      </c>
      <c r="K244" s="6">
        <v>32540538</v>
      </c>
      <c r="L244" s="6">
        <v>54416250</v>
      </c>
      <c r="M244" s="6">
        <v>0</v>
      </c>
      <c r="N244" s="6">
        <v>29624.6</v>
      </c>
      <c r="O244" s="6">
        <v>14038256</v>
      </c>
      <c r="P244" s="6">
        <v>0</v>
      </c>
      <c r="Q244" s="6">
        <v>1296572.2</v>
      </c>
      <c r="R244" s="6">
        <v>607241.80000000005</v>
      </c>
      <c r="S244" s="6">
        <v>0</v>
      </c>
      <c r="T244" s="6">
        <v>29293.4</v>
      </c>
      <c r="U244" s="6">
        <v>0</v>
      </c>
      <c r="V244" s="6">
        <v>17105810</v>
      </c>
      <c r="W244" s="6">
        <v>0</v>
      </c>
      <c r="X244" s="6">
        <v>0</v>
      </c>
      <c r="Y244" s="6">
        <v>805868.2</v>
      </c>
      <c r="Z244" s="6">
        <v>201498.8</v>
      </c>
      <c r="AA244" s="6">
        <v>358967.4</v>
      </c>
      <c r="AB244" s="6">
        <v>3427.5</v>
      </c>
      <c r="AC244" s="6">
        <v>0</v>
      </c>
      <c r="AD244" s="6">
        <f t="shared" si="42"/>
        <v>121433360</v>
      </c>
      <c r="AE244" s="6">
        <f t="shared" si="43"/>
        <v>0</v>
      </c>
      <c r="AF244" s="6">
        <f t="shared" si="44"/>
        <v>29293.4</v>
      </c>
      <c r="AG244" s="6">
        <f t="shared" si="45"/>
        <v>121404066.59999999</v>
      </c>
      <c r="AH244" s="6">
        <f t="shared" si="46"/>
        <v>54416250</v>
      </c>
      <c r="AI244" s="6">
        <f t="shared" si="47"/>
        <v>15334828.199999999</v>
      </c>
      <c r="AJ244" s="6">
        <f t="shared" si="48"/>
        <v>29624.6</v>
      </c>
      <c r="AK244" s="6">
        <f t="shared" si="49"/>
        <v>32540538</v>
      </c>
      <c r="AL244" s="6">
        <f t="shared" si="50"/>
        <v>19082813.699999999</v>
      </c>
      <c r="AM244" s="3">
        <f t="shared" si="51"/>
        <v>0.4482242771923754</v>
      </c>
      <c r="AN244" s="3">
        <f t="shared" si="52"/>
        <v>0.12631231085961003</v>
      </c>
      <c r="AO244" s="3">
        <f t="shared" si="53"/>
        <v>2.4401653774586165E-4</v>
      </c>
      <c r="AP244" s="3">
        <f t="shared" si="54"/>
        <v>0.26803499183609719</v>
      </c>
      <c r="AQ244" s="3">
        <f t="shared" si="55"/>
        <v>0.15718430390699945</v>
      </c>
    </row>
    <row r="245" spans="1:43" x14ac:dyDescent="0.3">
      <c r="A245" t="s">
        <v>179</v>
      </c>
      <c r="B245" t="s">
        <v>7</v>
      </c>
      <c r="C245" t="s">
        <v>173</v>
      </c>
      <c r="D245" s="6">
        <v>2028</v>
      </c>
      <c r="E245" t="s">
        <v>195</v>
      </c>
      <c r="F245" s="6">
        <v>521.1</v>
      </c>
      <c r="G245" s="7">
        <v>383.4</v>
      </c>
      <c r="H245" s="7">
        <v>907.2</v>
      </c>
      <c r="I245" s="6">
        <v>130450970</v>
      </c>
      <c r="J245" s="6">
        <v>29881334</v>
      </c>
      <c r="K245" s="6">
        <v>32540538</v>
      </c>
      <c r="L245" s="6">
        <v>54024824</v>
      </c>
      <c r="M245" s="6">
        <v>0</v>
      </c>
      <c r="N245" s="6">
        <v>18425.400000000001</v>
      </c>
      <c r="O245" s="6">
        <v>12115518</v>
      </c>
      <c r="P245" s="6">
        <v>0</v>
      </c>
      <c r="Q245" s="6">
        <v>785834.1</v>
      </c>
      <c r="R245" s="6">
        <v>606372</v>
      </c>
      <c r="S245" s="6">
        <v>0</v>
      </c>
      <c r="T245" s="6">
        <v>29246.6</v>
      </c>
      <c r="U245" s="6">
        <v>0</v>
      </c>
      <c r="V245" s="6">
        <v>17012112</v>
      </c>
      <c r="W245" s="6">
        <v>0</v>
      </c>
      <c r="X245" s="6">
        <v>0</v>
      </c>
      <c r="Y245" s="6">
        <v>12612754</v>
      </c>
      <c r="Z245" s="6">
        <v>256467</v>
      </c>
      <c r="AA245" s="6">
        <v>428870.7</v>
      </c>
      <c r="AB245" s="6">
        <v>20014.2</v>
      </c>
      <c r="AC245" s="6">
        <v>0</v>
      </c>
      <c r="AD245" s="6">
        <f t="shared" si="42"/>
        <v>130450970</v>
      </c>
      <c r="AE245" s="6">
        <f t="shared" si="43"/>
        <v>0</v>
      </c>
      <c r="AF245" s="6">
        <f t="shared" si="44"/>
        <v>29246.6</v>
      </c>
      <c r="AG245" s="6">
        <f t="shared" si="45"/>
        <v>130421723.40000001</v>
      </c>
      <c r="AH245" s="6">
        <f t="shared" si="46"/>
        <v>54024824</v>
      </c>
      <c r="AI245" s="6">
        <f t="shared" si="47"/>
        <v>12901352.1</v>
      </c>
      <c r="AJ245" s="6">
        <f t="shared" si="48"/>
        <v>18425.400000000001</v>
      </c>
      <c r="AK245" s="6">
        <f t="shared" si="49"/>
        <v>32540538</v>
      </c>
      <c r="AL245" s="6">
        <f t="shared" si="50"/>
        <v>30936589.899999999</v>
      </c>
      <c r="AM245" s="3">
        <f t="shared" si="51"/>
        <v>0.4142317904687341</v>
      </c>
      <c r="AN245" s="3">
        <f t="shared" si="52"/>
        <v>9.8920270056790244E-2</v>
      </c>
      <c r="AO245" s="3">
        <f t="shared" si="53"/>
        <v>1.4127554459228992E-4</v>
      </c>
      <c r="AP245" s="3">
        <f t="shared" si="54"/>
        <v>0.24950243833382743</v>
      </c>
      <c r="AQ245" s="3">
        <f t="shared" si="55"/>
        <v>0.23720427160066188</v>
      </c>
    </row>
    <row r="246" spans="1:43" x14ac:dyDescent="0.3">
      <c r="A246" t="s">
        <v>179</v>
      </c>
      <c r="B246" t="s">
        <v>7</v>
      </c>
      <c r="C246" t="s">
        <v>173</v>
      </c>
      <c r="D246" s="6">
        <v>2030</v>
      </c>
      <c r="E246" t="s">
        <v>195</v>
      </c>
      <c r="F246" s="6">
        <v>521.4</v>
      </c>
      <c r="G246" s="7">
        <v>372.5</v>
      </c>
      <c r="H246" s="7">
        <v>900.8</v>
      </c>
      <c r="I246" s="6">
        <v>129622220</v>
      </c>
      <c r="J246" s="6">
        <v>29737052</v>
      </c>
      <c r="K246" s="6">
        <v>32540538</v>
      </c>
      <c r="L246" s="6">
        <v>54867770</v>
      </c>
      <c r="M246" s="6">
        <v>0</v>
      </c>
      <c r="N246" s="6">
        <v>4584.3999999999996</v>
      </c>
      <c r="O246" s="6">
        <v>10715146</v>
      </c>
      <c r="P246" s="6">
        <v>0</v>
      </c>
      <c r="Q246" s="6">
        <v>402625.4</v>
      </c>
      <c r="R246" s="6">
        <v>604411.19999999995</v>
      </c>
      <c r="S246" s="6">
        <v>0</v>
      </c>
      <c r="T246" s="6">
        <v>29243.3</v>
      </c>
      <c r="U246" s="6">
        <v>0</v>
      </c>
      <c r="V246" s="6">
        <v>16921722</v>
      </c>
      <c r="W246" s="6">
        <v>0</v>
      </c>
      <c r="X246" s="6">
        <v>0</v>
      </c>
      <c r="Y246" s="6">
        <v>12436820</v>
      </c>
      <c r="Z246" s="6">
        <v>378508.4</v>
      </c>
      <c r="AA246" s="6">
        <v>416634.8</v>
      </c>
      <c r="AB246" s="6">
        <v>304212</v>
      </c>
      <c r="AC246" s="6">
        <v>0</v>
      </c>
      <c r="AD246" s="6">
        <f t="shared" si="42"/>
        <v>129622220</v>
      </c>
      <c r="AE246" s="6">
        <f t="shared" si="43"/>
        <v>0</v>
      </c>
      <c r="AF246" s="6">
        <f t="shared" si="44"/>
        <v>29243.3</v>
      </c>
      <c r="AG246" s="6">
        <f t="shared" si="45"/>
        <v>129592976.7</v>
      </c>
      <c r="AH246" s="6">
        <f t="shared" si="46"/>
        <v>54867770</v>
      </c>
      <c r="AI246" s="6">
        <f t="shared" si="47"/>
        <v>11117771.4</v>
      </c>
      <c r="AJ246" s="6">
        <f t="shared" si="48"/>
        <v>4584.3999999999996</v>
      </c>
      <c r="AK246" s="6">
        <f t="shared" si="49"/>
        <v>32540538</v>
      </c>
      <c r="AL246" s="6">
        <f t="shared" si="50"/>
        <v>31062308.399999999</v>
      </c>
      <c r="AM246" s="3">
        <f t="shared" si="51"/>
        <v>0.4233853669941976</v>
      </c>
      <c r="AN246" s="3">
        <f t="shared" si="52"/>
        <v>8.5789922286737624E-2</v>
      </c>
      <c r="AO246" s="3">
        <f t="shared" si="53"/>
        <v>3.5375373856969206E-5</v>
      </c>
      <c r="AP246" s="3">
        <f t="shared" si="54"/>
        <v>0.2510980056838219</v>
      </c>
      <c r="AQ246" s="3">
        <f t="shared" si="55"/>
        <v>0.23969129493728186</v>
      </c>
    </row>
    <row r="247" spans="1:43" x14ac:dyDescent="0.3">
      <c r="A247" t="s">
        <v>179</v>
      </c>
      <c r="B247" t="s">
        <v>7</v>
      </c>
      <c r="C247" t="s">
        <v>173</v>
      </c>
      <c r="D247" s="6">
        <v>2032</v>
      </c>
      <c r="E247" t="s">
        <v>195</v>
      </c>
      <c r="F247" s="6">
        <v>512.29999999999995</v>
      </c>
      <c r="G247" s="7">
        <v>320.2</v>
      </c>
      <c r="H247" s="7">
        <v>894.9</v>
      </c>
      <c r="I247" s="6">
        <v>127937980</v>
      </c>
      <c r="J247" s="6">
        <v>30348332</v>
      </c>
      <c r="K247" s="6">
        <v>32540538</v>
      </c>
      <c r="L247" s="6">
        <v>53643812</v>
      </c>
      <c r="M247" s="6">
        <v>0</v>
      </c>
      <c r="N247" s="6">
        <v>1665.6</v>
      </c>
      <c r="O247" s="6">
        <v>9785516</v>
      </c>
      <c r="P247" s="6">
        <v>0</v>
      </c>
      <c r="Q247" s="6">
        <v>240238.3</v>
      </c>
      <c r="R247" s="6">
        <v>605119.30000000005</v>
      </c>
      <c r="S247" s="6">
        <v>0</v>
      </c>
      <c r="T247" s="6">
        <v>29243.3</v>
      </c>
      <c r="U247" s="6">
        <v>0</v>
      </c>
      <c r="V247" s="6">
        <v>17498538</v>
      </c>
      <c r="W247" s="6">
        <v>0</v>
      </c>
      <c r="X247" s="6">
        <v>0</v>
      </c>
      <c r="Y247" s="6">
        <v>12314633</v>
      </c>
      <c r="Z247" s="6">
        <v>535159.9</v>
      </c>
      <c r="AA247" s="6">
        <v>357681.5</v>
      </c>
      <c r="AB247" s="6">
        <v>385839.8</v>
      </c>
      <c r="AC247" s="6">
        <v>0</v>
      </c>
      <c r="AD247" s="6">
        <f t="shared" si="42"/>
        <v>127937980</v>
      </c>
      <c r="AE247" s="6">
        <f t="shared" si="43"/>
        <v>0</v>
      </c>
      <c r="AF247" s="6">
        <f t="shared" si="44"/>
        <v>29243.3</v>
      </c>
      <c r="AG247" s="6">
        <f t="shared" si="45"/>
        <v>127908736.7</v>
      </c>
      <c r="AH247" s="6">
        <f t="shared" si="46"/>
        <v>53643812</v>
      </c>
      <c r="AI247" s="6">
        <f t="shared" si="47"/>
        <v>10025754.300000001</v>
      </c>
      <c r="AJ247" s="6">
        <f t="shared" si="48"/>
        <v>1665.6</v>
      </c>
      <c r="AK247" s="6">
        <f t="shared" si="49"/>
        <v>32540538</v>
      </c>
      <c r="AL247" s="6">
        <f t="shared" si="50"/>
        <v>31696971.5</v>
      </c>
      <c r="AM247" s="3">
        <f t="shared" si="51"/>
        <v>0.41939130495688803</v>
      </c>
      <c r="AN247" s="3">
        <f t="shared" si="52"/>
        <v>7.8382091471316986E-2</v>
      </c>
      <c r="AO247" s="3">
        <f t="shared" si="53"/>
        <v>1.3021784461107885E-5</v>
      </c>
      <c r="AP247" s="3">
        <f t="shared" si="54"/>
        <v>0.25440434202959333</v>
      </c>
      <c r="AQ247" s="3">
        <f t="shared" si="55"/>
        <v>0.24780927650268944</v>
      </c>
    </row>
    <row r="248" spans="1:43" x14ac:dyDescent="0.3">
      <c r="A248" t="s">
        <v>179</v>
      </c>
      <c r="B248" t="s">
        <v>7</v>
      </c>
      <c r="C248" t="s">
        <v>173</v>
      </c>
      <c r="D248" s="6">
        <v>2034</v>
      </c>
      <c r="E248" t="s">
        <v>195</v>
      </c>
      <c r="F248" s="6">
        <v>486.6</v>
      </c>
      <c r="G248" s="7">
        <v>322</v>
      </c>
      <c r="H248" s="7">
        <v>888.4</v>
      </c>
      <c r="I248" s="6">
        <v>127962344</v>
      </c>
      <c r="J248" s="6">
        <v>33635320</v>
      </c>
      <c r="K248" s="6">
        <v>32540538</v>
      </c>
      <c r="L248" s="6">
        <v>51183560</v>
      </c>
      <c r="M248" s="6">
        <v>0</v>
      </c>
      <c r="N248" s="6">
        <v>1212.7</v>
      </c>
      <c r="O248" s="6">
        <v>9027116</v>
      </c>
      <c r="P248" s="6">
        <v>0</v>
      </c>
      <c r="Q248" s="6">
        <v>187745.8</v>
      </c>
      <c r="R248" s="6">
        <v>603774.6</v>
      </c>
      <c r="S248" s="6">
        <v>0</v>
      </c>
      <c r="T248" s="6">
        <v>29042.6</v>
      </c>
      <c r="U248" s="6">
        <v>0</v>
      </c>
      <c r="V248" s="6">
        <v>20685410</v>
      </c>
      <c r="W248" s="6">
        <v>0</v>
      </c>
      <c r="X248" s="6">
        <v>0</v>
      </c>
      <c r="Y248" s="6">
        <v>12162068</v>
      </c>
      <c r="Z248" s="6">
        <v>787841.2</v>
      </c>
      <c r="AA248" s="6">
        <v>355774.5</v>
      </c>
      <c r="AB248" s="6">
        <v>398260.8</v>
      </c>
      <c r="AC248" s="6">
        <v>0</v>
      </c>
      <c r="AD248" s="6">
        <f t="shared" si="42"/>
        <v>127962344</v>
      </c>
      <c r="AE248" s="6">
        <f t="shared" si="43"/>
        <v>0</v>
      </c>
      <c r="AF248" s="6">
        <f t="shared" si="44"/>
        <v>29042.6</v>
      </c>
      <c r="AG248" s="6">
        <f t="shared" si="45"/>
        <v>127933301.40000001</v>
      </c>
      <c r="AH248" s="6">
        <f t="shared" si="46"/>
        <v>51183560</v>
      </c>
      <c r="AI248" s="6">
        <f t="shared" si="47"/>
        <v>9214861.8000000007</v>
      </c>
      <c r="AJ248" s="6">
        <f t="shared" si="48"/>
        <v>1212.7</v>
      </c>
      <c r="AK248" s="6">
        <f t="shared" si="49"/>
        <v>32540538</v>
      </c>
      <c r="AL248" s="6">
        <f t="shared" si="50"/>
        <v>34993129.100000001</v>
      </c>
      <c r="AM248" s="3">
        <f t="shared" si="51"/>
        <v>0.40008003733107755</v>
      </c>
      <c r="AN248" s="3">
        <f t="shared" si="52"/>
        <v>7.2028640699176083E-2</v>
      </c>
      <c r="AO248" s="3">
        <f t="shared" si="53"/>
        <v>9.4791581764026927E-6</v>
      </c>
      <c r="AP248" s="3">
        <f t="shared" si="54"/>
        <v>0.25435549340087615</v>
      </c>
      <c r="AQ248" s="3">
        <f t="shared" si="55"/>
        <v>0.2735263509740084</v>
      </c>
    </row>
    <row r="249" spans="1:43" x14ac:dyDescent="0.3">
      <c r="A249" t="s">
        <v>179</v>
      </c>
      <c r="B249" t="s">
        <v>7</v>
      </c>
      <c r="C249" t="s">
        <v>173</v>
      </c>
      <c r="D249" s="6">
        <v>2036</v>
      </c>
      <c r="E249" t="s">
        <v>195</v>
      </c>
      <c r="F249" s="6">
        <v>472.8</v>
      </c>
      <c r="G249" s="7">
        <v>319.39999999999998</v>
      </c>
      <c r="H249" s="7">
        <v>876.7</v>
      </c>
      <c r="I249" s="6">
        <v>127114024</v>
      </c>
      <c r="J249" s="6">
        <v>33995590</v>
      </c>
      <c r="K249" s="6">
        <v>32540538</v>
      </c>
      <c r="L249" s="6">
        <v>49406116</v>
      </c>
      <c r="M249" s="6">
        <v>0</v>
      </c>
      <c r="N249" s="6">
        <v>895.8</v>
      </c>
      <c r="O249" s="6">
        <v>8425083</v>
      </c>
      <c r="P249" s="6">
        <v>0</v>
      </c>
      <c r="Q249" s="6">
        <v>135509.6</v>
      </c>
      <c r="R249" s="6">
        <v>603175.1</v>
      </c>
      <c r="S249" s="6">
        <v>0</v>
      </c>
      <c r="T249" s="6">
        <v>29046</v>
      </c>
      <c r="U249" s="6">
        <v>0</v>
      </c>
      <c r="V249" s="6">
        <v>20787490</v>
      </c>
      <c r="W249" s="6">
        <v>0</v>
      </c>
      <c r="X249" s="6">
        <v>0</v>
      </c>
      <c r="Y249" s="6">
        <v>12008137</v>
      </c>
      <c r="Z249" s="6">
        <v>1199966.1000000001</v>
      </c>
      <c r="AA249" s="6">
        <v>353408.1</v>
      </c>
      <c r="AB249" s="6">
        <v>1624663.2</v>
      </c>
      <c r="AC249" s="6">
        <v>0</v>
      </c>
      <c r="AD249" s="6">
        <f t="shared" si="42"/>
        <v>127114024</v>
      </c>
      <c r="AE249" s="6">
        <f t="shared" si="43"/>
        <v>0</v>
      </c>
      <c r="AF249" s="6">
        <f t="shared" si="44"/>
        <v>29046</v>
      </c>
      <c r="AG249" s="6">
        <f t="shared" si="45"/>
        <v>127084978</v>
      </c>
      <c r="AH249" s="6">
        <f t="shared" si="46"/>
        <v>49406116</v>
      </c>
      <c r="AI249" s="6">
        <f t="shared" si="47"/>
        <v>8560592.5999999996</v>
      </c>
      <c r="AJ249" s="6">
        <f t="shared" si="48"/>
        <v>895.8</v>
      </c>
      <c r="AK249" s="6">
        <f t="shared" si="49"/>
        <v>32540538</v>
      </c>
      <c r="AL249" s="6">
        <f t="shared" si="50"/>
        <v>36576839.500000007</v>
      </c>
      <c r="AM249" s="3">
        <f t="shared" si="51"/>
        <v>0.3887644061283152</v>
      </c>
      <c r="AN249" s="3">
        <f t="shared" si="52"/>
        <v>6.7361168367200727E-2</v>
      </c>
      <c r="AO249" s="3">
        <f t="shared" si="53"/>
        <v>7.0488268094125172E-6</v>
      </c>
      <c r="AP249" s="3">
        <f t="shared" si="54"/>
        <v>0.25605337870853628</v>
      </c>
      <c r="AQ249" s="3">
        <f t="shared" si="55"/>
        <v>0.28781402865726591</v>
      </c>
    </row>
    <row r="250" spans="1:43" x14ac:dyDescent="0.3">
      <c r="A250" t="s">
        <v>179</v>
      </c>
      <c r="B250" t="s">
        <v>7</v>
      </c>
      <c r="C250" t="s">
        <v>173</v>
      </c>
      <c r="D250" s="6">
        <v>2038</v>
      </c>
      <c r="E250" t="s">
        <v>195</v>
      </c>
      <c r="F250" s="6">
        <v>465.2</v>
      </c>
      <c r="G250" s="7">
        <v>363</v>
      </c>
      <c r="H250" s="7">
        <v>862.9</v>
      </c>
      <c r="I250" s="6">
        <v>123782290</v>
      </c>
      <c r="J250" s="6">
        <v>32867712</v>
      </c>
      <c r="K250" s="6">
        <v>32540538</v>
      </c>
      <c r="L250" s="6">
        <v>47037628</v>
      </c>
      <c r="M250" s="6">
        <v>0</v>
      </c>
      <c r="N250" s="6">
        <v>679.3</v>
      </c>
      <c r="O250" s="6">
        <v>8710771</v>
      </c>
      <c r="P250" s="6">
        <v>0</v>
      </c>
      <c r="Q250" s="6">
        <v>107448.3</v>
      </c>
      <c r="R250" s="6">
        <v>603623.4</v>
      </c>
      <c r="S250" s="6">
        <v>0</v>
      </c>
      <c r="T250" s="6">
        <v>29002.5</v>
      </c>
      <c r="U250" s="6">
        <v>0</v>
      </c>
      <c r="V250" s="6">
        <v>19314810</v>
      </c>
      <c r="W250" s="6">
        <v>0</v>
      </c>
      <c r="X250" s="6">
        <v>0</v>
      </c>
      <c r="Y250" s="6">
        <v>11841315</v>
      </c>
      <c r="Z250" s="6">
        <v>1711587.6</v>
      </c>
      <c r="AA250" s="6">
        <v>309793.59999999998</v>
      </c>
      <c r="AB250" s="6">
        <v>1575084.4</v>
      </c>
      <c r="AC250" s="6">
        <v>0</v>
      </c>
      <c r="AD250" s="6">
        <f t="shared" si="42"/>
        <v>123782290</v>
      </c>
      <c r="AE250" s="6">
        <f t="shared" si="43"/>
        <v>0</v>
      </c>
      <c r="AF250" s="6">
        <f t="shared" si="44"/>
        <v>29002.5</v>
      </c>
      <c r="AG250" s="6">
        <f t="shared" si="45"/>
        <v>123753287.5</v>
      </c>
      <c r="AH250" s="6">
        <f t="shared" si="46"/>
        <v>47037628</v>
      </c>
      <c r="AI250" s="6">
        <f t="shared" si="47"/>
        <v>8818219.3000000007</v>
      </c>
      <c r="AJ250" s="6">
        <f t="shared" si="48"/>
        <v>679.3</v>
      </c>
      <c r="AK250" s="6">
        <f t="shared" si="49"/>
        <v>32540538</v>
      </c>
      <c r="AL250" s="6">
        <f t="shared" si="50"/>
        <v>35356214</v>
      </c>
      <c r="AM250" s="3">
        <f t="shared" si="51"/>
        <v>0.38009194705231569</v>
      </c>
      <c r="AN250" s="3">
        <f t="shared" si="52"/>
        <v>7.1256444803537045E-2</v>
      </c>
      <c r="AO250" s="3">
        <f t="shared" si="53"/>
        <v>5.489147106496059E-6</v>
      </c>
      <c r="AP250" s="3">
        <f t="shared" si="54"/>
        <v>0.26294685706834253</v>
      </c>
      <c r="AQ250" s="3">
        <f t="shared" si="55"/>
        <v>0.28569919001141686</v>
      </c>
    </row>
    <row r="251" spans="1:43" x14ac:dyDescent="0.3">
      <c r="A251" t="s">
        <v>179</v>
      </c>
      <c r="B251" t="s">
        <v>7</v>
      </c>
      <c r="C251" t="s">
        <v>173</v>
      </c>
      <c r="D251" s="6">
        <v>2040</v>
      </c>
      <c r="E251" t="s">
        <v>195</v>
      </c>
      <c r="F251" s="6">
        <v>407.1</v>
      </c>
      <c r="G251" s="7">
        <v>334.8</v>
      </c>
      <c r="H251" s="7">
        <v>849.9</v>
      </c>
      <c r="I251" s="6">
        <v>127880370</v>
      </c>
      <c r="J251" s="6">
        <v>41935944</v>
      </c>
      <c r="K251" s="6">
        <v>32540538</v>
      </c>
      <c r="L251" s="6">
        <v>42571196</v>
      </c>
      <c r="M251" s="6">
        <v>0</v>
      </c>
      <c r="N251" s="6">
        <v>506.6</v>
      </c>
      <c r="O251" s="6">
        <v>8059367</v>
      </c>
      <c r="P251" s="6">
        <v>0</v>
      </c>
      <c r="Q251" s="6">
        <v>72380.399999999994</v>
      </c>
      <c r="R251" s="6">
        <v>602593.30000000005</v>
      </c>
      <c r="S251" s="6">
        <v>0</v>
      </c>
      <c r="T251" s="6">
        <v>28414</v>
      </c>
      <c r="U251" s="6">
        <v>0</v>
      </c>
      <c r="V251" s="6">
        <v>27594330</v>
      </c>
      <c r="W251" s="6">
        <v>0</v>
      </c>
      <c r="X251" s="6">
        <v>0</v>
      </c>
      <c r="Y251" s="6">
        <v>12206722</v>
      </c>
      <c r="Z251" s="6">
        <v>2134889.5</v>
      </c>
      <c r="AA251" s="6">
        <v>335076.40000000002</v>
      </c>
      <c r="AB251" s="6">
        <v>1734361.8</v>
      </c>
      <c r="AC251" s="6">
        <v>0</v>
      </c>
      <c r="AD251" s="6">
        <f t="shared" si="42"/>
        <v>127880370</v>
      </c>
      <c r="AE251" s="6">
        <f t="shared" si="43"/>
        <v>0</v>
      </c>
      <c r="AF251" s="6">
        <f t="shared" si="44"/>
        <v>28414</v>
      </c>
      <c r="AG251" s="6">
        <f t="shared" si="45"/>
        <v>127851956</v>
      </c>
      <c r="AH251" s="6">
        <f t="shared" si="46"/>
        <v>42571196</v>
      </c>
      <c r="AI251" s="6">
        <f t="shared" si="47"/>
        <v>8131747.4000000004</v>
      </c>
      <c r="AJ251" s="6">
        <f t="shared" si="48"/>
        <v>506.6</v>
      </c>
      <c r="AK251" s="6">
        <f t="shared" si="49"/>
        <v>32540538</v>
      </c>
      <c r="AL251" s="6">
        <f t="shared" si="50"/>
        <v>44607972.999999993</v>
      </c>
      <c r="AM251" s="3">
        <f t="shared" si="51"/>
        <v>0.3329725827581394</v>
      </c>
      <c r="AN251" s="3">
        <f t="shared" si="52"/>
        <v>6.3602839208811171E-2</v>
      </c>
      <c r="AO251" s="3">
        <f t="shared" si="53"/>
        <v>3.962395381733542E-6</v>
      </c>
      <c r="AP251" s="3">
        <f t="shared" si="54"/>
        <v>0.25451732627383505</v>
      </c>
      <c r="AQ251" s="3">
        <f t="shared" si="55"/>
        <v>0.34890332847156436</v>
      </c>
    </row>
    <row r="252" spans="1:43" x14ac:dyDescent="0.3">
      <c r="A252" t="s">
        <v>179</v>
      </c>
      <c r="B252" t="s">
        <v>7</v>
      </c>
      <c r="C252" t="s">
        <v>173</v>
      </c>
      <c r="D252" s="6">
        <v>2042</v>
      </c>
      <c r="E252" t="s">
        <v>195</v>
      </c>
      <c r="F252" s="6">
        <v>390.7</v>
      </c>
      <c r="G252" s="7">
        <v>303.3</v>
      </c>
      <c r="H252" s="7">
        <v>839.3</v>
      </c>
      <c r="I252" s="6">
        <v>120105460</v>
      </c>
      <c r="J252" s="6">
        <v>38468748</v>
      </c>
      <c r="K252" s="6">
        <v>32540538</v>
      </c>
      <c r="L252" s="6">
        <v>38377240</v>
      </c>
      <c r="M252" s="6">
        <v>0</v>
      </c>
      <c r="N252" s="6">
        <v>199.1</v>
      </c>
      <c r="O252" s="6">
        <v>8073933</v>
      </c>
      <c r="P252" s="6">
        <v>0</v>
      </c>
      <c r="Q252" s="6">
        <v>51001.2</v>
      </c>
      <c r="R252" s="6">
        <v>606219</v>
      </c>
      <c r="S252" s="6">
        <v>0</v>
      </c>
      <c r="T252" s="6">
        <v>28708.2</v>
      </c>
      <c r="U252" s="6">
        <v>0</v>
      </c>
      <c r="V252" s="6">
        <v>23949072</v>
      </c>
      <c r="W252" s="6">
        <v>0</v>
      </c>
      <c r="X252" s="6">
        <v>0</v>
      </c>
      <c r="Y252" s="6">
        <v>12192871</v>
      </c>
      <c r="Z252" s="6">
        <v>2326803.7999999998</v>
      </c>
      <c r="AA252" s="6">
        <v>308312</v>
      </c>
      <c r="AB252" s="6">
        <v>1650562.6</v>
      </c>
      <c r="AC252" s="6">
        <v>0</v>
      </c>
      <c r="AD252" s="6">
        <f t="shared" si="42"/>
        <v>120105460</v>
      </c>
      <c r="AE252" s="6">
        <f t="shared" si="43"/>
        <v>0</v>
      </c>
      <c r="AF252" s="6">
        <f t="shared" si="44"/>
        <v>28708.2</v>
      </c>
      <c r="AG252" s="6">
        <f t="shared" si="45"/>
        <v>120076751.8</v>
      </c>
      <c r="AH252" s="6">
        <f t="shared" si="46"/>
        <v>38377240</v>
      </c>
      <c r="AI252" s="6">
        <f t="shared" si="47"/>
        <v>8124934.2000000002</v>
      </c>
      <c r="AJ252" s="6">
        <f t="shared" si="48"/>
        <v>199.1</v>
      </c>
      <c r="AK252" s="6">
        <f t="shared" si="49"/>
        <v>32540538</v>
      </c>
      <c r="AL252" s="6">
        <f t="shared" si="50"/>
        <v>41033840.399999999</v>
      </c>
      <c r="AM252" s="3">
        <f t="shared" si="51"/>
        <v>0.31960591392346444</v>
      </c>
      <c r="AN252" s="3">
        <f t="shared" si="52"/>
        <v>6.7664506894164672E-2</v>
      </c>
      <c r="AO252" s="3">
        <f t="shared" si="53"/>
        <v>1.6581061447400011E-6</v>
      </c>
      <c r="AP252" s="3">
        <f t="shared" si="54"/>
        <v>0.2709978202458338</v>
      </c>
      <c r="AQ252" s="3">
        <f t="shared" si="55"/>
        <v>0.34173009999759169</v>
      </c>
    </row>
    <row r="253" spans="1:43" x14ac:dyDescent="0.3">
      <c r="A253" t="s">
        <v>179</v>
      </c>
      <c r="B253" t="s">
        <v>7</v>
      </c>
      <c r="C253" t="s">
        <v>173</v>
      </c>
      <c r="D253" s="6">
        <v>2044</v>
      </c>
      <c r="E253" t="s">
        <v>195</v>
      </c>
      <c r="F253" s="6">
        <v>316.60000000000002</v>
      </c>
      <c r="G253" s="7">
        <v>302.5</v>
      </c>
      <c r="H253" s="7">
        <v>811.8</v>
      </c>
      <c r="I253" s="6">
        <v>127309970</v>
      </c>
      <c r="J253" s="6">
        <v>51541164</v>
      </c>
      <c r="K253" s="6">
        <v>32540538</v>
      </c>
      <c r="L253" s="6">
        <v>32993184</v>
      </c>
      <c r="M253" s="6">
        <v>0</v>
      </c>
      <c r="N253" s="6">
        <v>192.8</v>
      </c>
      <c r="O253" s="6">
        <v>7081321.5</v>
      </c>
      <c r="P253" s="6">
        <v>0</v>
      </c>
      <c r="Q253" s="6">
        <v>34984.800000000003</v>
      </c>
      <c r="R253" s="6">
        <v>653045.9</v>
      </c>
      <c r="S253" s="6">
        <v>0</v>
      </c>
      <c r="T253" s="6">
        <v>27059.599999999999</v>
      </c>
      <c r="U253" s="6">
        <v>0</v>
      </c>
      <c r="V253" s="6">
        <v>35234468</v>
      </c>
      <c r="W253" s="6">
        <v>0</v>
      </c>
      <c r="X253" s="6">
        <v>0</v>
      </c>
      <c r="Y253" s="6">
        <v>13751541</v>
      </c>
      <c r="Z253" s="6">
        <v>2555153.5</v>
      </c>
      <c r="AA253" s="6">
        <v>315432</v>
      </c>
      <c r="AB253" s="6">
        <v>2123036</v>
      </c>
      <c r="AC253" s="6">
        <v>0</v>
      </c>
      <c r="AD253" s="6">
        <f t="shared" si="42"/>
        <v>127309970</v>
      </c>
      <c r="AE253" s="6">
        <f t="shared" si="43"/>
        <v>0</v>
      </c>
      <c r="AF253" s="6">
        <f t="shared" si="44"/>
        <v>27059.599999999999</v>
      </c>
      <c r="AG253" s="6">
        <f t="shared" si="45"/>
        <v>127282910.40000001</v>
      </c>
      <c r="AH253" s="6">
        <f t="shared" si="46"/>
        <v>32993184</v>
      </c>
      <c r="AI253" s="6">
        <f t="shared" si="47"/>
        <v>7116306.2999999998</v>
      </c>
      <c r="AJ253" s="6">
        <f t="shared" si="48"/>
        <v>192.8</v>
      </c>
      <c r="AK253" s="6">
        <f t="shared" si="49"/>
        <v>32540538</v>
      </c>
      <c r="AL253" s="6">
        <f t="shared" si="50"/>
        <v>54632676.399999999</v>
      </c>
      <c r="AM253" s="3">
        <f t="shared" si="51"/>
        <v>0.25921142042019174</v>
      </c>
      <c r="AN253" s="3">
        <f t="shared" si="52"/>
        <v>5.5909361890266768E-2</v>
      </c>
      <c r="AO253" s="3">
        <f t="shared" si="53"/>
        <v>1.5147359484011296E-6</v>
      </c>
      <c r="AP253" s="3">
        <f t="shared" si="54"/>
        <v>0.25565520066863584</v>
      </c>
      <c r="AQ253" s="3">
        <f t="shared" si="55"/>
        <v>0.42922240093592323</v>
      </c>
    </row>
    <row r="254" spans="1:43" x14ac:dyDescent="0.3">
      <c r="A254" t="s">
        <v>179</v>
      </c>
      <c r="B254" t="s">
        <v>7</v>
      </c>
      <c r="C254" t="s">
        <v>173</v>
      </c>
      <c r="D254" s="6">
        <v>2046</v>
      </c>
      <c r="E254" t="s">
        <v>195</v>
      </c>
      <c r="F254" s="6">
        <v>278.60000000000002</v>
      </c>
      <c r="G254" s="7">
        <v>318.10000000000002</v>
      </c>
      <c r="H254" s="7">
        <v>773.4</v>
      </c>
      <c r="I254" s="6">
        <v>121466260</v>
      </c>
      <c r="J254" s="6">
        <v>51876336</v>
      </c>
      <c r="K254" s="6">
        <v>32540538</v>
      </c>
      <c r="L254" s="6">
        <v>27615332</v>
      </c>
      <c r="M254" s="6">
        <v>0</v>
      </c>
      <c r="N254" s="6">
        <v>97.3</v>
      </c>
      <c r="O254" s="6">
        <v>6309098</v>
      </c>
      <c r="P254" s="6">
        <v>0</v>
      </c>
      <c r="Q254" s="6">
        <v>61149.7</v>
      </c>
      <c r="R254" s="6">
        <v>652594.4</v>
      </c>
      <c r="S254" s="6">
        <v>0</v>
      </c>
      <c r="T254" s="6">
        <v>26283.8</v>
      </c>
      <c r="U254" s="6">
        <v>0</v>
      </c>
      <c r="V254" s="6">
        <v>35488484</v>
      </c>
      <c r="W254" s="6">
        <v>0</v>
      </c>
      <c r="X254" s="6">
        <v>0</v>
      </c>
      <c r="Y254" s="6">
        <v>13605728</v>
      </c>
      <c r="Z254" s="6">
        <v>2782126</v>
      </c>
      <c r="AA254" s="6">
        <v>319857.8</v>
      </c>
      <c r="AB254" s="6">
        <v>2064962.4</v>
      </c>
      <c r="AC254" s="6">
        <v>0</v>
      </c>
      <c r="AD254" s="6">
        <f t="shared" si="42"/>
        <v>121466260</v>
      </c>
      <c r="AE254" s="6">
        <f t="shared" si="43"/>
        <v>0</v>
      </c>
      <c r="AF254" s="6">
        <f t="shared" si="44"/>
        <v>26283.8</v>
      </c>
      <c r="AG254" s="6">
        <f t="shared" si="45"/>
        <v>121439976.2</v>
      </c>
      <c r="AH254" s="6">
        <f t="shared" si="46"/>
        <v>27615332</v>
      </c>
      <c r="AI254" s="6">
        <f t="shared" si="47"/>
        <v>6370247.7000000002</v>
      </c>
      <c r="AJ254" s="6">
        <f t="shared" si="48"/>
        <v>97.3</v>
      </c>
      <c r="AK254" s="6">
        <f t="shared" si="49"/>
        <v>32540538</v>
      </c>
      <c r="AL254" s="6">
        <f t="shared" si="50"/>
        <v>54913752.599999994</v>
      </c>
      <c r="AM254" s="3">
        <f t="shared" si="51"/>
        <v>0.22739902348564525</v>
      </c>
      <c r="AN254" s="3">
        <f t="shared" si="52"/>
        <v>5.2455936663795229E-2</v>
      </c>
      <c r="AO254" s="3">
        <f t="shared" si="53"/>
        <v>8.0121886585152337E-7</v>
      </c>
      <c r="AP254" s="3">
        <f t="shared" si="54"/>
        <v>0.2679557343325632</v>
      </c>
      <c r="AQ254" s="3">
        <f t="shared" si="55"/>
        <v>0.45218843348225224</v>
      </c>
    </row>
    <row r="255" spans="1:43" x14ac:dyDescent="0.3">
      <c r="A255" t="s">
        <v>179</v>
      </c>
      <c r="B255" t="s">
        <v>7</v>
      </c>
      <c r="C255" t="s">
        <v>173</v>
      </c>
      <c r="D255" s="6">
        <v>2048</v>
      </c>
      <c r="E255" t="s">
        <v>195</v>
      </c>
      <c r="F255" s="6">
        <v>200.5</v>
      </c>
      <c r="G255" s="7">
        <v>291.60000000000002</v>
      </c>
      <c r="H255" s="7">
        <v>739.7</v>
      </c>
      <c r="I255" s="6">
        <v>118916970</v>
      </c>
      <c r="J255" s="6">
        <v>57263816</v>
      </c>
      <c r="K255" s="6">
        <v>32540538</v>
      </c>
      <c r="L255" s="6">
        <v>18458216</v>
      </c>
      <c r="M255" s="6">
        <v>0</v>
      </c>
      <c r="N255" s="6">
        <v>41.4</v>
      </c>
      <c r="O255" s="6">
        <v>6598784.5</v>
      </c>
      <c r="P255" s="6">
        <v>0</v>
      </c>
      <c r="Q255" s="6">
        <v>149446.20000000001</v>
      </c>
      <c r="R255" s="6">
        <v>652636.80000000005</v>
      </c>
      <c r="S255" s="6">
        <v>0</v>
      </c>
      <c r="T255" s="6">
        <v>25491.3</v>
      </c>
      <c r="U255" s="6">
        <v>0</v>
      </c>
      <c r="V255" s="6">
        <v>40768324</v>
      </c>
      <c r="W255" s="6">
        <v>0</v>
      </c>
      <c r="X255" s="6">
        <v>0</v>
      </c>
      <c r="Y255" s="6">
        <v>13476442</v>
      </c>
      <c r="Z255" s="6">
        <v>3019043.8</v>
      </c>
      <c r="AA255" s="6">
        <v>310946.40000000002</v>
      </c>
      <c r="AB255" s="6">
        <v>2917061</v>
      </c>
      <c r="AC255" s="6">
        <v>0</v>
      </c>
      <c r="AD255" s="6">
        <f t="shared" si="42"/>
        <v>118916970</v>
      </c>
      <c r="AE255" s="6">
        <f t="shared" si="43"/>
        <v>0</v>
      </c>
      <c r="AF255" s="6">
        <f t="shared" si="44"/>
        <v>25491.3</v>
      </c>
      <c r="AG255" s="6">
        <f t="shared" si="45"/>
        <v>118891478.7</v>
      </c>
      <c r="AH255" s="6">
        <f t="shared" si="46"/>
        <v>18458216</v>
      </c>
      <c r="AI255" s="6">
        <f t="shared" si="47"/>
        <v>6748230.7000000002</v>
      </c>
      <c r="AJ255" s="6">
        <f t="shared" si="48"/>
        <v>41.4</v>
      </c>
      <c r="AK255" s="6">
        <f t="shared" si="49"/>
        <v>32540538</v>
      </c>
      <c r="AL255" s="6">
        <f t="shared" si="50"/>
        <v>61144453.999999993</v>
      </c>
      <c r="AM255" s="3">
        <f t="shared" si="51"/>
        <v>0.15525264049054172</v>
      </c>
      <c r="AN255" s="3">
        <f t="shared" si="52"/>
        <v>5.6759582551983184E-2</v>
      </c>
      <c r="AO255" s="3">
        <f t="shared" si="53"/>
        <v>3.4821671370128226E-7</v>
      </c>
      <c r="AP255" s="3">
        <f t="shared" si="54"/>
        <v>0.27369949769158686</v>
      </c>
      <c r="AQ255" s="3">
        <f t="shared" si="55"/>
        <v>0.51428794282461887</v>
      </c>
    </row>
    <row r="256" spans="1:43" x14ac:dyDescent="0.3">
      <c r="A256" t="s">
        <v>179</v>
      </c>
      <c r="B256" t="s">
        <v>7</v>
      </c>
      <c r="C256" t="s">
        <v>173</v>
      </c>
      <c r="D256" s="6">
        <v>2050</v>
      </c>
      <c r="E256" t="s">
        <v>195</v>
      </c>
      <c r="F256" s="6">
        <v>158.5</v>
      </c>
      <c r="G256" s="7">
        <v>242.1</v>
      </c>
      <c r="H256" s="7">
        <v>691.8</v>
      </c>
      <c r="I256" s="6">
        <v>131086056</v>
      </c>
      <c r="J256" s="6">
        <v>71074536</v>
      </c>
      <c r="K256" s="6">
        <v>32540538</v>
      </c>
      <c r="L256" s="6">
        <v>15778998</v>
      </c>
      <c r="M256" s="6">
        <v>0</v>
      </c>
      <c r="N256" s="6">
        <v>24.3</v>
      </c>
      <c r="O256" s="6">
        <v>6598168</v>
      </c>
      <c r="P256" s="6">
        <v>0</v>
      </c>
      <c r="Q256" s="6">
        <v>109595.1</v>
      </c>
      <c r="R256" s="6">
        <v>652322.4</v>
      </c>
      <c r="S256" s="6">
        <v>0</v>
      </c>
      <c r="T256" s="6">
        <v>24772.400000000001</v>
      </c>
      <c r="U256" s="6">
        <v>0</v>
      </c>
      <c r="V256" s="6">
        <v>53156340</v>
      </c>
      <c r="W256" s="6">
        <v>0</v>
      </c>
      <c r="X256" s="6">
        <v>0</v>
      </c>
      <c r="Y256" s="6">
        <v>14665347</v>
      </c>
      <c r="Z256" s="6">
        <v>3252848</v>
      </c>
      <c r="AA256" s="6">
        <v>314433.8</v>
      </c>
      <c r="AB256" s="6">
        <v>3992661.5</v>
      </c>
      <c r="AC256" s="6">
        <v>0</v>
      </c>
      <c r="AD256" s="6">
        <f t="shared" si="42"/>
        <v>131086056</v>
      </c>
      <c r="AE256" s="6">
        <f t="shared" si="43"/>
        <v>0</v>
      </c>
      <c r="AF256" s="6">
        <f t="shared" si="44"/>
        <v>24772.400000000001</v>
      </c>
      <c r="AG256" s="6">
        <f t="shared" si="45"/>
        <v>131061283.59999999</v>
      </c>
      <c r="AH256" s="6">
        <f t="shared" si="46"/>
        <v>15778998</v>
      </c>
      <c r="AI256" s="6">
        <f t="shared" si="47"/>
        <v>6707763.0999999996</v>
      </c>
      <c r="AJ256" s="6">
        <f t="shared" si="48"/>
        <v>24.3</v>
      </c>
      <c r="AK256" s="6">
        <f t="shared" si="49"/>
        <v>32540538</v>
      </c>
      <c r="AL256" s="6">
        <f t="shared" si="50"/>
        <v>76033952.700000003</v>
      </c>
      <c r="AM256" s="3">
        <f t="shared" si="51"/>
        <v>0.1203940444239629</v>
      </c>
      <c r="AN256" s="3">
        <f t="shared" si="52"/>
        <v>5.1180355599691377E-2</v>
      </c>
      <c r="AO256" s="3">
        <f t="shared" si="53"/>
        <v>1.8540944611960142E-7</v>
      </c>
      <c r="AP256" s="3">
        <f t="shared" si="54"/>
        <v>0.24828490234624867</v>
      </c>
      <c r="AQ256" s="3">
        <f t="shared" si="55"/>
        <v>0.58014045499551326</v>
      </c>
    </row>
    <row r="257" spans="1:43" x14ac:dyDescent="0.3">
      <c r="A257" t="s">
        <v>179</v>
      </c>
      <c r="B257" t="s">
        <v>7</v>
      </c>
      <c r="C257" t="s">
        <v>174</v>
      </c>
      <c r="D257" s="6">
        <v>2022</v>
      </c>
      <c r="E257" t="s">
        <v>195</v>
      </c>
      <c r="F257" s="6">
        <v>457.2</v>
      </c>
      <c r="G257" s="7">
        <v>693.6</v>
      </c>
      <c r="H257" s="7">
        <v>890.8</v>
      </c>
      <c r="I257" s="6">
        <v>261133020</v>
      </c>
      <c r="J257" s="6">
        <v>8079996</v>
      </c>
      <c r="K257" s="6">
        <v>94142320</v>
      </c>
      <c r="L257" s="6">
        <v>72233224</v>
      </c>
      <c r="M257" s="6">
        <v>0</v>
      </c>
      <c r="N257" s="6">
        <v>339451.7</v>
      </c>
      <c r="O257" s="6">
        <v>70290710</v>
      </c>
      <c r="P257" s="6">
        <v>0</v>
      </c>
      <c r="Q257" s="6">
        <v>384116.6</v>
      </c>
      <c r="R257" s="6">
        <v>11601803</v>
      </c>
      <c r="S257" s="6">
        <v>0</v>
      </c>
      <c r="T257" s="6">
        <v>2066866.8</v>
      </c>
      <c r="U257" s="6">
        <v>0</v>
      </c>
      <c r="V257" s="6">
        <v>0</v>
      </c>
      <c r="W257" s="6">
        <v>0</v>
      </c>
      <c r="X257" s="6">
        <v>0</v>
      </c>
      <c r="Y257" s="6">
        <v>7817246.5</v>
      </c>
      <c r="Z257" s="6">
        <v>262749.3</v>
      </c>
      <c r="AA257" s="6">
        <v>1791437.4</v>
      </c>
      <c r="AB257" s="6">
        <v>203110.3</v>
      </c>
      <c r="AC257" s="6">
        <v>0</v>
      </c>
      <c r="AD257" s="6">
        <f t="shared" si="42"/>
        <v>261133020</v>
      </c>
      <c r="AE257" s="6">
        <f t="shared" si="43"/>
        <v>0</v>
      </c>
      <c r="AF257" s="6">
        <f t="shared" si="44"/>
        <v>2066866.8</v>
      </c>
      <c r="AG257" s="6">
        <f t="shared" si="45"/>
        <v>259066153.19999999</v>
      </c>
      <c r="AH257" s="6">
        <f t="shared" si="46"/>
        <v>72233224</v>
      </c>
      <c r="AI257" s="6">
        <f t="shared" si="47"/>
        <v>70674826.599999994</v>
      </c>
      <c r="AJ257" s="6">
        <f t="shared" si="48"/>
        <v>339451.7</v>
      </c>
      <c r="AK257" s="6">
        <f t="shared" si="49"/>
        <v>94142320</v>
      </c>
      <c r="AL257" s="6">
        <f t="shared" si="50"/>
        <v>21676346.5</v>
      </c>
      <c r="AM257" s="3">
        <f t="shared" si="51"/>
        <v>0.27882154078319793</v>
      </c>
      <c r="AN257" s="3">
        <f t="shared" si="52"/>
        <v>0.27280609885552581</v>
      </c>
      <c r="AO257" s="3">
        <f t="shared" si="53"/>
        <v>1.3102896530753753E-3</v>
      </c>
      <c r="AP257" s="3">
        <f t="shared" si="54"/>
        <v>0.36339104447705212</v>
      </c>
      <c r="AQ257" s="3">
        <f t="shared" si="55"/>
        <v>8.3671086447428669E-2</v>
      </c>
    </row>
    <row r="258" spans="1:43" x14ac:dyDescent="0.3">
      <c r="A258" t="s">
        <v>179</v>
      </c>
      <c r="B258" t="s">
        <v>7</v>
      </c>
      <c r="C258" t="s">
        <v>174</v>
      </c>
      <c r="D258" s="6">
        <v>2024</v>
      </c>
      <c r="E258" t="s">
        <v>195</v>
      </c>
      <c r="F258" s="6">
        <v>402.5</v>
      </c>
      <c r="G258" s="7">
        <v>662.8</v>
      </c>
      <c r="H258" s="7">
        <v>889.2</v>
      </c>
      <c r="I258" s="6">
        <v>270095070</v>
      </c>
      <c r="J258" s="6">
        <v>8096812</v>
      </c>
      <c r="K258" s="6">
        <v>94142320</v>
      </c>
      <c r="L258" s="6">
        <v>48246124</v>
      </c>
      <c r="M258" s="6">
        <v>0</v>
      </c>
      <c r="N258" s="6">
        <v>689367.7</v>
      </c>
      <c r="O258" s="6">
        <v>101836130</v>
      </c>
      <c r="P258" s="6">
        <v>0</v>
      </c>
      <c r="Q258" s="6">
        <v>1031813.4</v>
      </c>
      <c r="R258" s="6">
        <v>11602437</v>
      </c>
      <c r="S258" s="6">
        <v>0</v>
      </c>
      <c r="T258" s="6">
        <v>2066866.8</v>
      </c>
      <c r="U258" s="6">
        <v>0</v>
      </c>
      <c r="V258" s="6">
        <v>0</v>
      </c>
      <c r="W258" s="6">
        <v>0</v>
      </c>
      <c r="X258" s="6">
        <v>0</v>
      </c>
      <c r="Y258" s="6">
        <v>7708190.5</v>
      </c>
      <c r="Z258" s="6">
        <v>388621.9</v>
      </c>
      <c r="AA258" s="6">
        <v>2148766.5</v>
      </c>
      <c r="AB258" s="6">
        <v>234449.6</v>
      </c>
      <c r="AC258" s="6">
        <v>0</v>
      </c>
      <c r="AD258" s="6">
        <f t="shared" si="42"/>
        <v>270095070</v>
      </c>
      <c r="AE258" s="6">
        <f t="shared" si="43"/>
        <v>0</v>
      </c>
      <c r="AF258" s="6">
        <f t="shared" si="44"/>
        <v>2066866.8</v>
      </c>
      <c r="AG258" s="6">
        <f t="shared" si="45"/>
        <v>268028203.19999999</v>
      </c>
      <c r="AH258" s="6">
        <f t="shared" si="46"/>
        <v>48246124</v>
      </c>
      <c r="AI258" s="6">
        <f t="shared" si="47"/>
        <v>102867943.40000001</v>
      </c>
      <c r="AJ258" s="6">
        <f t="shared" si="48"/>
        <v>689367.7</v>
      </c>
      <c r="AK258" s="6">
        <f t="shared" si="49"/>
        <v>94142320</v>
      </c>
      <c r="AL258" s="6">
        <f t="shared" si="50"/>
        <v>22082465.5</v>
      </c>
      <c r="AM258" s="3">
        <f t="shared" si="51"/>
        <v>0.18000390788725776</v>
      </c>
      <c r="AN258" s="3">
        <f t="shared" si="52"/>
        <v>0.38379522069638683</v>
      </c>
      <c r="AO258" s="3">
        <f t="shared" si="53"/>
        <v>2.5719968711113606E-3</v>
      </c>
      <c r="AP258" s="3">
        <f t="shared" si="54"/>
        <v>0.35124035036623341</v>
      </c>
      <c r="AQ258" s="3">
        <f t="shared" si="55"/>
        <v>8.2388589097552103E-2</v>
      </c>
    </row>
    <row r="259" spans="1:43" x14ac:dyDescent="0.3">
      <c r="A259" t="s">
        <v>179</v>
      </c>
      <c r="B259" t="s">
        <v>7</v>
      </c>
      <c r="C259" t="s">
        <v>174</v>
      </c>
      <c r="D259" s="6">
        <v>2026</v>
      </c>
      <c r="E259" t="s">
        <v>195</v>
      </c>
      <c r="F259" s="6">
        <v>408</v>
      </c>
      <c r="G259" s="7">
        <v>553.70000000000005</v>
      </c>
      <c r="H259" s="7">
        <v>892.4</v>
      </c>
      <c r="I259" s="6">
        <v>270161250</v>
      </c>
      <c r="J259" s="6">
        <v>8213482.5</v>
      </c>
      <c r="K259" s="6">
        <v>94142320</v>
      </c>
      <c r="L259" s="6">
        <v>50677628</v>
      </c>
      <c r="M259" s="6">
        <v>0</v>
      </c>
      <c r="N259" s="6">
        <v>741582.7</v>
      </c>
      <c r="O259" s="6">
        <v>98772970</v>
      </c>
      <c r="P259" s="6">
        <v>0</v>
      </c>
      <c r="Q259" s="6">
        <v>1227598.2</v>
      </c>
      <c r="R259" s="6">
        <v>11874030</v>
      </c>
      <c r="S259" s="6">
        <v>0</v>
      </c>
      <c r="T259" s="6">
        <v>2066866.8</v>
      </c>
      <c r="U259" s="6">
        <v>0</v>
      </c>
      <c r="V259" s="6">
        <v>0</v>
      </c>
      <c r="W259" s="6">
        <v>0</v>
      </c>
      <c r="X259" s="6">
        <v>0</v>
      </c>
      <c r="Y259" s="6">
        <v>7600653.5</v>
      </c>
      <c r="Z259" s="6">
        <v>612829.19999999995</v>
      </c>
      <c r="AA259" s="6">
        <v>2207070.2000000002</v>
      </c>
      <c r="AB259" s="6">
        <v>237717.8</v>
      </c>
      <c r="AC259" s="6">
        <v>0</v>
      </c>
      <c r="AD259" s="6">
        <f t="shared" ref="AD259:AD301" si="56">I259</f>
        <v>270161250</v>
      </c>
      <c r="AE259" s="6">
        <f t="shared" ref="AE259:AE301" si="57">AC259</f>
        <v>0</v>
      </c>
      <c r="AF259" s="6">
        <f t="shared" ref="AF259:AF301" si="58">SUM(T259,U259)</f>
        <v>2066866.8</v>
      </c>
      <c r="AG259" s="6">
        <f t="shared" ref="AG259:AG301" si="59">AD259-AE259-AF259</f>
        <v>268094383.19999999</v>
      </c>
      <c r="AH259" s="6">
        <f t="shared" ref="AH259:AH301" si="60">L259</f>
        <v>50677628</v>
      </c>
      <c r="AI259" s="6">
        <f t="shared" ref="AI259:AI301" si="61">SUM(O259,P259,Q259)</f>
        <v>100000568.2</v>
      </c>
      <c r="AJ259" s="6">
        <f t="shared" ref="AJ259:AJ301" si="62">N259</f>
        <v>741582.7</v>
      </c>
      <c r="AK259" s="6">
        <f t="shared" ref="AK259:AK301" si="63">K259</f>
        <v>94142320</v>
      </c>
      <c r="AL259" s="6">
        <f t="shared" ref="AL259:AL301" si="64">SUM(R259,S259,V259,W259,X259,Y259,Z259,AA259,AB259)</f>
        <v>22532300.699999999</v>
      </c>
      <c r="AM259" s="3">
        <f t="shared" ref="AM259:AM301" si="65">AH259/AG259</f>
        <v>0.1890290553465053</v>
      </c>
      <c r="AN259" s="3">
        <f t="shared" ref="AN259:AN301" si="66">AI259/AG259</f>
        <v>0.37300508502410135</v>
      </c>
      <c r="AO259" s="3">
        <f t="shared" ref="AO259:AO301" si="67">AJ259/AG259</f>
        <v>2.7661254635341424E-3</v>
      </c>
      <c r="AP259" s="3">
        <f t="shared" ref="AP259:AP301" si="68">AK259/AG259</f>
        <v>0.35115364550464778</v>
      </c>
      <c r="AQ259" s="3">
        <f t="shared" ref="AQ259:AQ301" si="69">AL259/AG259</f>
        <v>8.404614983369782E-2</v>
      </c>
    </row>
    <row r="260" spans="1:43" x14ac:dyDescent="0.3">
      <c r="A260" t="s">
        <v>179</v>
      </c>
      <c r="B260" t="s">
        <v>7</v>
      </c>
      <c r="C260" t="s">
        <v>174</v>
      </c>
      <c r="D260" s="6">
        <v>2028</v>
      </c>
      <c r="E260" t="s">
        <v>195</v>
      </c>
      <c r="F260" s="6">
        <v>440.4</v>
      </c>
      <c r="G260" s="7">
        <v>473.2</v>
      </c>
      <c r="H260" s="7">
        <v>896.8</v>
      </c>
      <c r="I260" s="6">
        <v>272854880</v>
      </c>
      <c r="J260" s="6">
        <v>8454244</v>
      </c>
      <c r="K260" s="6">
        <v>94142320</v>
      </c>
      <c r="L260" s="6">
        <v>64130388</v>
      </c>
      <c r="M260" s="6">
        <v>0</v>
      </c>
      <c r="N260" s="6">
        <v>698919.8</v>
      </c>
      <c r="O260" s="6">
        <v>87879896</v>
      </c>
      <c r="P260" s="6">
        <v>0</v>
      </c>
      <c r="Q260" s="6">
        <v>1232281.5</v>
      </c>
      <c r="R260" s="6">
        <v>11857354</v>
      </c>
      <c r="S260" s="6">
        <v>0</v>
      </c>
      <c r="T260" s="6">
        <v>2059543.4</v>
      </c>
      <c r="U260" s="6">
        <v>0</v>
      </c>
      <c r="V260" s="6">
        <v>0</v>
      </c>
      <c r="W260" s="6">
        <v>0</v>
      </c>
      <c r="X260" s="6">
        <v>0</v>
      </c>
      <c r="Y260" s="6">
        <v>7503133</v>
      </c>
      <c r="Z260" s="6">
        <v>951111.2</v>
      </c>
      <c r="AA260" s="6">
        <v>2162248</v>
      </c>
      <c r="AB260" s="6">
        <v>237686</v>
      </c>
      <c r="AC260" s="6">
        <v>0</v>
      </c>
      <c r="AD260" s="6">
        <f t="shared" si="56"/>
        <v>272854880</v>
      </c>
      <c r="AE260" s="6">
        <f t="shared" si="57"/>
        <v>0</v>
      </c>
      <c r="AF260" s="6">
        <f t="shared" si="58"/>
        <v>2059543.4</v>
      </c>
      <c r="AG260" s="6">
        <f t="shared" si="59"/>
        <v>270795336.60000002</v>
      </c>
      <c r="AH260" s="6">
        <f t="shared" si="60"/>
        <v>64130388</v>
      </c>
      <c r="AI260" s="6">
        <f t="shared" si="61"/>
        <v>89112177.5</v>
      </c>
      <c r="AJ260" s="6">
        <f t="shared" si="62"/>
        <v>698919.8</v>
      </c>
      <c r="AK260" s="6">
        <f t="shared" si="63"/>
        <v>94142320</v>
      </c>
      <c r="AL260" s="6">
        <f t="shared" si="64"/>
        <v>22711532.199999999</v>
      </c>
      <c r="AM260" s="3">
        <f t="shared" si="65"/>
        <v>0.23682235006405938</v>
      </c>
      <c r="AN260" s="3">
        <f t="shared" si="66"/>
        <v>0.32907574635094361</v>
      </c>
      <c r="AO260" s="3">
        <f t="shared" si="67"/>
        <v>2.5809890553336805E-3</v>
      </c>
      <c r="AP260" s="3">
        <f t="shared" si="68"/>
        <v>0.3476511862501549</v>
      </c>
      <c r="AQ260" s="3">
        <f t="shared" si="69"/>
        <v>8.3869731603051528E-2</v>
      </c>
    </row>
    <row r="261" spans="1:43" x14ac:dyDescent="0.3">
      <c r="A261" t="s">
        <v>179</v>
      </c>
      <c r="B261" t="s">
        <v>7</v>
      </c>
      <c r="C261" t="s">
        <v>174</v>
      </c>
      <c r="D261" s="6">
        <v>2030</v>
      </c>
      <c r="E261" t="s">
        <v>195</v>
      </c>
      <c r="F261" s="6">
        <v>416</v>
      </c>
      <c r="G261" s="7">
        <v>437.5</v>
      </c>
      <c r="H261" s="7">
        <v>878.5</v>
      </c>
      <c r="I261" s="6">
        <v>274579230</v>
      </c>
      <c r="J261" s="6">
        <v>19677310</v>
      </c>
      <c r="K261" s="6">
        <v>94142320</v>
      </c>
      <c r="L261" s="6">
        <v>63087988</v>
      </c>
      <c r="M261" s="6">
        <v>0</v>
      </c>
      <c r="N261" s="6">
        <v>421464.6</v>
      </c>
      <c r="O261" s="6">
        <v>80331540</v>
      </c>
      <c r="P261" s="6">
        <v>0</v>
      </c>
      <c r="Q261" s="6">
        <v>544886.19999999995</v>
      </c>
      <c r="R261" s="6">
        <v>11868785</v>
      </c>
      <c r="S261" s="6">
        <v>0</v>
      </c>
      <c r="T261" s="6">
        <v>2059467.4</v>
      </c>
      <c r="U261" s="6">
        <v>0</v>
      </c>
      <c r="V261" s="6">
        <v>0</v>
      </c>
      <c r="W261" s="6">
        <v>0</v>
      </c>
      <c r="X261" s="6">
        <v>0</v>
      </c>
      <c r="Y261" s="6">
        <v>18192330</v>
      </c>
      <c r="Z261" s="6">
        <v>1484980.6</v>
      </c>
      <c r="AA261" s="6">
        <v>2055891.2</v>
      </c>
      <c r="AB261" s="6">
        <v>389584.5</v>
      </c>
      <c r="AC261" s="6">
        <v>0</v>
      </c>
      <c r="AD261" s="6">
        <f t="shared" si="56"/>
        <v>274579230</v>
      </c>
      <c r="AE261" s="6">
        <f t="shared" si="57"/>
        <v>0</v>
      </c>
      <c r="AF261" s="6">
        <f t="shared" si="58"/>
        <v>2059467.4</v>
      </c>
      <c r="AG261" s="6">
        <f t="shared" si="59"/>
        <v>272519762.60000002</v>
      </c>
      <c r="AH261" s="6">
        <f t="shared" si="60"/>
        <v>63087988</v>
      </c>
      <c r="AI261" s="6">
        <f t="shared" si="61"/>
        <v>80876426.200000003</v>
      </c>
      <c r="AJ261" s="6">
        <f t="shared" si="62"/>
        <v>421464.6</v>
      </c>
      <c r="AK261" s="6">
        <f t="shared" si="63"/>
        <v>94142320</v>
      </c>
      <c r="AL261" s="6">
        <f t="shared" si="64"/>
        <v>33991571.300000004</v>
      </c>
      <c r="AM261" s="3">
        <f t="shared" si="65"/>
        <v>0.23149876323868482</v>
      </c>
      <c r="AN261" s="3">
        <f t="shared" si="66"/>
        <v>0.29677270165066549</v>
      </c>
      <c r="AO261" s="3">
        <f t="shared" si="67"/>
        <v>1.5465469218781712E-3</v>
      </c>
      <c r="AP261" s="3">
        <f t="shared" si="68"/>
        <v>0.34545135039685371</v>
      </c>
      <c r="AQ261" s="3">
        <f t="shared" si="69"/>
        <v>0.12473066531285758</v>
      </c>
    </row>
    <row r="262" spans="1:43" x14ac:dyDescent="0.3">
      <c r="A262" t="s">
        <v>179</v>
      </c>
      <c r="B262" t="s">
        <v>7</v>
      </c>
      <c r="C262" t="s">
        <v>174</v>
      </c>
      <c r="D262" s="6">
        <v>2032</v>
      </c>
      <c r="E262" t="s">
        <v>195</v>
      </c>
      <c r="F262" s="6">
        <v>393.4</v>
      </c>
      <c r="G262" s="7">
        <v>430</v>
      </c>
      <c r="H262" s="7">
        <v>864.7</v>
      </c>
      <c r="I262" s="6">
        <v>275693100</v>
      </c>
      <c r="J262" s="6">
        <v>27105216</v>
      </c>
      <c r="K262" s="6">
        <v>94142320</v>
      </c>
      <c r="L262" s="6">
        <v>60017228</v>
      </c>
      <c r="M262" s="6">
        <v>0</v>
      </c>
      <c r="N262" s="6">
        <v>274436.8</v>
      </c>
      <c r="O262" s="6">
        <v>76555864</v>
      </c>
      <c r="P262" s="6">
        <v>0</v>
      </c>
      <c r="Q262" s="6">
        <v>403321.3</v>
      </c>
      <c r="R262" s="6">
        <v>11909994</v>
      </c>
      <c r="S262" s="6">
        <v>0</v>
      </c>
      <c r="T262" s="6">
        <v>2059467.4</v>
      </c>
      <c r="U262" s="6">
        <v>0</v>
      </c>
      <c r="V262" s="6">
        <v>0</v>
      </c>
      <c r="W262" s="6">
        <v>0</v>
      </c>
      <c r="X262" s="6">
        <v>0</v>
      </c>
      <c r="Y262" s="6">
        <v>25124624</v>
      </c>
      <c r="Z262" s="6">
        <v>1980590.8</v>
      </c>
      <c r="AA262" s="6">
        <v>1960322</v>
      </c>
      <c r="AB262" s="6">
        <v>1264938.5</v>
      </c>
      <c r="AC262" s="6">
        <v>0</v>
      </c>
      <c r="AD262" s="6">
        <f t="shared" si="56"/>
        <v>275693100</v>
      </c>
      <c r="AE262" s="6">
        <f t="shared" si="57"/>
        <v>0</v>
      </c>
      <c r="AF262" s="6">
        <f t="shared" si="58"/>
        <v>2059467.4</v>
      </c>
      <c r="AG262" s="6">
        <f t="shared" si="59"/>
        <v>273633632.60000002</v>
      </c>
      <c r="AH262" s="6">
        <f t="shared" si="60"/>
        <v>60017228</v>
      </c>
      <c r="AI262" s="6">
        <f t="shared" si="61"/>
        <v>76959185.299999997</v>
      </c>
      <c r="AJ262" s="6">
        <f t="shared" si="62"/>
        <v>274436.8</v>
      </c>
      <c r="AK262" s="6">
        <f t="shared" si="63"/>
        <v>94142320</v>
      </c>
      <c r="AL262" s="6">
        <f t="shared" si="64"/>
        <v>42240469.299999997</v>
      </c>
      <c r="AM262" s="3">
        <f t="shared" si="65"/>
        <v>0.21933425153089164</v>
      </c>
      <c r="AN262" s="3">
        <f t="shared" si="66"/>
        <v>0.28124899914075835</v>
      </c>
      <c r="AO262" s="3">
        <f t="shared" si="67"/>
        <v>1.0029351925505956E-3</v>
      </c>
      <c r="AP262" s="3">
        <f t="shared" si="68"/>
        <v>0.34404513475000364</v>
      </c>
      <c r="AQ262" s="3">
        <f t="shared" si="69"/>
        <v>0.15436870423654198</v>
      </c>
    </row>
    <row r="263" spans="1:43" x14ac:dyDescent="0.3">
      <c r="A263" t="s">
        <v>179</v>
      </c>
      <c r="B263" t="s">
        <v>7</v>
      </c>
      <c r="C263" t="s">
        <v>174</v>
      </c>
      <c r="D263" s="6">
        <v>2034</v>
      </c>
      <c r="E263" t="s">
        <v>195</v>
      </c>
      <c r="F263" s="6">
        <v>387.1</v>
      </c>
      <c r="G263" s="7">
        <v>485.4</v>
      </c>
      <c r="H263" s="7">
        <v>865.6</v>
      </c>
      <c r="I263" s="6">
        <v>275178600</v>
      </c>
      <c r="J263" s="6">
        <v>28670342</v>
      </c>
      <c r="K263" s="6">
        <v>94142320</v>
      </c>
      <c r="L263" s="6">
        <v>59650680</v>
      </c>
      <c r="M263" s="6">
        <v>0</v>
      </c>
      <c r="N263" s="6">
        <v>249152.2</v>
      </c>
      <c r="O263" s="6">
        <v>74064490</v>
      </c>
      <c r="P263" s="6">
        <v>0</v>
      </c>
      <c r="Q263" s="6">
        <v>344621.4</v>
      </c>
      <c r="R263" s="6">
        <v>11916368</v>
      </c>
      <c r="S263" s="6">
        <v>0</v>
      </c>
      <c r="T263" s="6">
        <v>2057816.2</v>
      </c>
      <c r="U263" s="6">
        <v>0</v>
      </c>
      <c r="V263" s="6">
        <v>0</v>
      </c>
      <c r="W263" s="6">
        <v>0</v>
      </c>
      <c r="X263" s="6">
        <v>0</v>
      </c>
      <c r="Y263" s="6">
        <v>26416492</v>
      </c>
      <c r="Z263" s="6">
        <v>2253849.5</v>
      </c>
      <c r="AA263" s="6">
        <v>1872379</v>
      </c>
      <c r="AB263" s="6">
        <v>2210422.2000000002</v>
      </c>
      <c r="AC263" s="6">
        <v>0</v>
      </c>
      <c r="AD263" s="6">
        <f t="shared" si="56"/>
        <v>275178600</v>
      </c>
      <c r="AE263" s="6">
        <f t="shared" si="57"/>
        <v>0</v>
      </c>
      <c r="AF263" s="6">
        <f t="shared" si="58"/>
        <v>2057816.2</v>
      </c>
      <c r="AG263" s="6">
        <f t="shared" si="59"/>
        <v>273120783.80000001</v>
      </c>
      <c r="AH263" s="6">
        <f t="shared" si="60"/>
        <v>59650680</v>
      </c>
      <c r="AI263" s="6">
        <f t="shared" si="61"/>
        <v>74409111.400000006</v>
      </c>
      <c r="AJ263" s="6">
        <f t="shared" si="62"/>
        <v>249152.2</v>
      </c>
      <c r="AK263" s="6">
        <f t="shared" si="63"/>
        <v>94142320</v>
      </c>
      <c r="AL263" s="6">
        <f t="shared" si="64"/>
        <v>44669510.700000003</v>
      </c>
      <c r="AM263" s="3">
        <f t="shared" si="65"/>
        <v>0.21840403051743146</v>
      </c>
      <c r="AN263" s="3">
        <f t="shared" si="66"/>
        <v>0.27244031144289649</v>
      </c>
      <c r="AO263" s="3">
        <f t="shared" si="67"/>
        <v>9.122418167284126E-4</v>
      </c>
      <c r="AP263" s="3">
        <f t="shared" si="68"/>
        <v>0.34469116077573292</v>
      </c>
      <c r="AQ263" s="3">
        <f t="shared" si="69"/>
        <v>0.16355222066406505</v>
      </c>
    </row>
    <row r="264" spans="1:43" x14ac:dyDescent="0.3">
      <c r="A264" t="s">
        <v>179</v>
      </c>
      <c r="B264" t="s">
        <v>7</v>
      </c>
      <c r="C264" t="s">
        <v>174</v>
      </c>
      <c r="D264" s="6">
        <v>2036</v>
      </c>
      <c r="E264" t="s">
        <v>195</v>
      </c>
      <c r="F264" s="6">
        <v>387.5</v>
      </c>
      <c r="G264" s="7">
        <v>450.5</v>
      </c>
      <c r="H264" s="7">
        <v>845.9</v>
      </c>
      <c r="I264" s="6">
        <v>277125700</v>
      </c>
      <c r="J264" s="6">
        <v>28561828</v>
      </c>
      <c r="K264" s="6">
        <v>94142320</v>
      </c>
      <c r="L264" s="6">
        <v>60077160</v>
      </c>
      <c r="M264" s="6">
        <v>0</v>
      </c>
      <c r="N264" s="6">
        <v>154209.29999999999</v>
      </c>
      <c r="O264" s="6">
        <v>76004904</v>
      </c>
      <c r="P264" s="6">
        <v>0</v>
      </c>
      <c r="Q264" s="6">
        <v>290751.2</v>
      </c>
      <c r="R264" s="6">
        <v>11901917</v>
      </c>
      <c r="S264" s="6">
        <v>0</v>
      </c>
      <c r="T264" s="6">
        <v>2057854.2</v>
      </c>
      <c r="U264" s="6">
        <v>0</v>
      </c>
      <c r="V264" s="6">
        <v>0</v>
      </c>
      <c r="W264" s="6">
        <v>0</v>
      </c>
      <c r="X264" s="6">
        <v>0</v>
      </c>
      <c r="Y264" s="6">
        <v>26047948</v>
      </c>
      <c r="Z264" s="6">
        <v>2513880.7999999998</v>
      </c>
      <c r="AA264" s="6">
        <v>1787440.8</v>
      </c>
      <c r="AB264" s="6">
        <v>2147311.2000000002</v>
      </c>
      <c r="AC264" s="6">
        <v>0</v>
      </c>
      <c r="AD264" s="6">
        <f t="shared" si="56"/>
        <v>277125700</v>
      </c>
      <c r="AE264" s="6">
        <f t="shared" si="57"/>
        <v>0</v>
      </c>
      <c r="AF264" s="6">
        <f t="shared" si="58"/>
        <v>2057854.2</v>
      </c>
      <c r="AG264" s="6">
        <f t="shared" si="59"/>
        <v>275067845.80000001</v>
      </c>
      <c r="AH264" s="6">
        <f t="shared" si="60"/>
        <v>60077160</v>
      </c>
      <c r="AI264" s="6">
        <f t="shared" si="61"/>
        <v>76295655.200000003</v>
      </c>
      <c r="AJ264" s="6">
        <f t="shared" si="62"/>
        <v>154209.29999999999</v>
      </c>
      <c r="AK264" s="6">
        <f t="shared" si="63"/>
        <v>94142320</v>
      </c>
      <c r="AL264" s="6">
        <f t="shared" si="64"/>
        <v>44398497.799999997</v>
      </c>
      <c r="AM264" s="3">
        <f t="shared" si="65"/>
        <v>0.21840851599820105</v>
      </c>
      <c r="AN264" s="3">
        <f t="shared" si="66"/>
        <v>0.27737031559651676</v>
      </c>
      <c r="AO264" s="3">
        <f t="shared" si="67"/>
        <v>5.606227785421512E-4</v>
      </c>
      <c r="AP264" s="3">
        <f t="shared" si="68"/>
        <v>0.34225127159519131</v>
      </c>
      <c r="AQ264" s="3">
        <f t="shared" si="69"/>
        <v>0.1614092613074152</v>
      </c>
    </row>
    <row r="265" spans="1:43" x14ac:dyDescent="0.3">
      <c r="A265" t="s">
        <v>179</v>
      </c>
      <c r="B265" t="s">
        <v>7</v>
      </c>
      <c r="C265" t="s">
        <v>174</v>
      </c>
      <c r="D265" s="6">
        <v>2038</v>
      </c>
      <c r="E265" t="s">
        <v>195</v>
      </c>
      <c r="F265" s="6">
        <v>372.8</v>
      </c>
      <c r="G265" s="7">
        <v>419.1</v>
      </c>
      <c r="H265" s="7">
        <v>825.7</v>
      </c>
      <c r="I265" s="6">
        <v>281586940</v>
      </c>
      <c r="J265" s="6">
        <v>30418412</v>
      </c>
      <c r="K265" s="6">
        <v>94142320</v>
      </c>
      <c r="L265" s="6">
        <v>55488300</v>
      </c>
      <c r="M265" s="6">
        <v>0</v>
      </c>
      <c r="N265" s="6">
        <v>113764</v>
      </c>
      <c r="O265" s="6">
        <v>83102850</v>
      </c>
      <c r="P265" s="6">
        <v>0</v>
      </c>
      <c r="Q265" s="6">
        <v>253881.2</v>
      </c>
      <c r="R265" s="6">
        <v>11913600</v>
      </c>
      <c r="S265" s="6">
        <v>0</v>
      </c>
      <c r="T265" s="6">
        <v>2013690.8</v>
      </c>
      <c r="U265" s="6">
        <v>0</v>
      </c>
      <c r="V265" s="6">
        <v>0</v>
      </c>
      <c r="W265" s="6">
        <v>0</v>
      </c>
      <c r="X265" s="6">
        <v>0</v>
      </c>
      <c r="Y265" s="6">
        <v>27631068</v>
      </c>
      <c r="Z265" s="6">
        <v>2787343.2</v>
      </c>
      <c r="AA265" s="6">
        <v>1625418.5</v>
      </c>
      <c r="AB265" s="6">
        <v>2514712</v>
      </c>
      <c r="AC265" s="6">
        <v>0</v>
      </c>
      <c r="AD265" s="6">
        <f t="shared" si="56"/>
        <v>281586940</v>
      </c>
      <c r="AE265" s="6">
        <f t="shared" si="57"/>
        <v>0</v>
      </c>
      <c r="AF265" s="6">
        <f t="shared" si="58"/>
        <v>2013690.8</v>
      </c>
      <c r="AG265" s="6">
        <f t="shared" si="59"/>
        <v>279573249.19999999</v>
      </c>
      <c r="AH265" s="6">
        <f t="shared" si="60"/>
        <v>55488300</v>
      </c>
      <c r="AI265" s="6">
        <f t="shared" si="61"/>
        <v>83356731.200000003</v>
      </c>
      <c r="AJ265" s="6">
        <f t="shared" si="62"/>
        <v>113764</v>
      </c>
      <c r="AK265" s="6">
        <f t="shared" si="63"/>
        <v>94142320</v>
      </c>
      <c r="AL265" s="6">
        <f t="shared" si="64"/>
        <v>46472141.700000003</v>
      </c>
      <c r="AM265" s="3">
        <f t="shared" si="65"/>
        <v>0.19847499772878843</v>
      </c>
      <c r="AN265" s="3">
        <f t="shared" si="66"/>
        <v>0.29815703554802053</v>
      </c>
      <c r="AO265" s="3">
        <f t="shared" si="67"/>
        <v>4.0692019113250697E-4</v>
      </c>
      <c r="AP265" s="3">
        <f t="shared" si="68"/>
        <v>0.33673579381928936</v>
      </c>
      <c r="AQ265" s="3">
        <f t="shared" si="69"/>
        <v>0.16622528025474623</v>
      </c>
    </row>
    <row r="266" spans="1:43" x14ac:dyDescent="0.3">
      <c r="A266" t="s">
        <v>179</v>
      </c>
      <c r="B266" t="s">
        <v>7</v>
      </c>
      <c r="C266" t="s">
        <v>174</v>
      </c>
      <c r="D266" s="6">
        <v>2040</v>
      </c>
      <c r="E266" t="s">
        <v>195</v>
      </c>
      <c r="F266" s="6">
        <v>361.7</v>
      </c>
      <c r="G266" s="7">
        <v>391.1</v>
      </c>
      <c r="H266" s="7">
        <v>801.6</v>
      </c>
      <c r="I266" s="6">
        <v>285006080</v>
      </c>
      <c r="J266" s="6">
        <v>31218246</v>
      </c>
      <c r="K266" s="6">
        <v>94142320</v>
      </c>
      <c r="L266" s="6">
        <v>51426864</v>
      </c>
      <c r="M266" s="6">
        <v>0</v>
      </c>
      <c r="N266" s="6">
        <v>88746.6</v>
      </c>
      <c r="O266" s="6">
        <v>89432230</v>
      </c>
      <c r="P266" s="6">
        <v>0</v>
      </c>
      <c r="Q266" s="6">
        <v>233811.20000000001</v>
      </c>
      <c r="R266" s="6">
        <v>11902301</v>
      </c>
      <c r="S266" s="6">
        <v>0</v>
      </c>
      <c r="T266" s="6">
        <v>2012119.8</v>
      </c>
      <c r="U266" s="6">
        <v>0</v>
      </c>
      <c r="V266" s="6">
        <v>0</v>
      </c>
      <c r="W266" s="6">
        <v>0</v>
      </c>
      <c r="X266" s="6">
        <v>0</v>
      </c>
      <c r="Y266" s="6">
        <v>28116154</v>
      </c>
      <c r="Z266" s="6">
        <v>3102093.2</v>
      </c>
      <c r="AA266" s="6">
        <v>1591124.9</v>
      </c>
      <c r="AB266" s="6">
        <v>2958320</v>
      </c>
      <c r="AC266" s="6">
        <v>0</v>
      </c>
      <c r="AD266" s="6">
        <f t="shared" si="56"/>
        <v>285006080</v>
      </c>
      <c r="AE266" s="6">
        <f t="shared" si="57"/>
        <v>0</v>
      </c>
      <c r="AF266" s="6">
        <f t="shared" si="58"/>
        <v>2012119.8</v>
      </c>
      <c r="AG266" s="6">
        <f t="shared" si="59"/>
        <v>282993960.19999999</v>
      </c>
      <c r="AH266" s="6">
        <f t="shared" si="60"/>
        <v>51426864</v>
      </c>
      <c r="AI266" s="6">
        <f t="shared" si="61"/>
        <v>89666041.200000003</v>
      </c>
      <c r="AJ266" s="6">
        <f t="shared" si="62"/>
        <v>88746.6</v>
      </c>
      <c r="AK266" s="6">
        <f t="shared" si="63"/>
        <v>94142320</v>
      </c>
      <c r="AL266" s="6">
        <f t="shared" si="64"/>
        <v>47669993.100000001</v>
      </c>
      <c r="AM266" s="3">
        <f t="shared" si="65"/>
        <v>0.18172424585901109</v>
      </c>
      <c r="AN266" s="3">
        <f t="shared" si="66"/>
        <v>0.31684789716582795</v>
      </c>
      <c r="AO266" s="3">
        <f t="shared" si="67"/>
        <v>3.1359891899205276E-4</v>
      </c>
      <c r="AP266" s="3">
        <f t="shared" si="68"/>
        <v>0.33266547432131383</v>
      </c>
      <c r="AQ266" s="3">
        <f t="shared" si="69"/>
        <v>0.16844880034298346</v>
      </c>
    </row>
    <row r="267" spans="1:43" x14ac:dyDescent="0.3">
      <c r="A267" t="s">
        <v>179</v>
      </c>
      <c r="B267" t="s">
        <v>7</v>
      </c>
      <c r="C267" t="s">
        <v>174</v>
      </c>
      <c r="D267" s="6">
        <v>2042</v>
      </c>
      <c r="E267" t="s">
        <v>195</v>
      </c>
      <c r="F267" s="6">
        <v>334.6</v>
      </c>
      <c r="G267" s="7">
        <v>457.1</v>
      </c>
      <c r="H267" s="7">
        <v>810.7</v>
      </c>
      <c r="I267" s="6">
        <v>293610000</v>
      </c>
      <c r="J267" s="6">
        <v>41359940</v>
      </c>
      <c r="K267" s="6">
        <v>94142320</v>
      </c>
      <c r="L267" s="6">
        <v>48873090</v>
      </c>
      <c r="M267" s="6">
        <v>0</v>
      </c>
      <c r="N267" s="6">
        <v>51203.7</v>
      </c>
      <c r="O267" s="6">
        <v>85612130</v>
      </c>
      <c r="P267" s="6">
        <v>0</v>
      </c>
      <c r="Q267" s="6">
        <v>187915</v>
      </c>
      <c r="R267" s="6">
        <v>11932236</v>
      </c>
      <c r="S267" s="6">
        <v>0</v>
      </c>
      <c r="T267" s="6">
        <v>2013674.4</v>
      </c>
      <c r="U267" s="6">
        <v>0</v>
      </c>
      <c r="V267" s="6">
        <v>0</v>
      </c>
      <c r="W267" s="6">
        <v>0</v>
      </c>
      <c r="X267" s="6">
        <v>0</v>
      </c>
      <c r="Y267" s="6">
        <v>37867308</v>
      </c>
      <c r="Z267" s="6">
        <v>3492631.5</v>
      </c>
      <c r="AA267" s="6">
        <v>1321596.1000000001</v>
      </c>
      <c r="AB267" s="6">
        <v>8115887</v>
      </c>
      <c r="AC267" s="6">
        <v>0</v>
      </c>
      <c r="AD267" s="6">
        <f t="shared" si="56"/>
        <v>293610000</v>
      </c>
      <c r="AE267" s="6">
        <f t="shared" si="57"/>
        <v>0</v>
      </c>
      <c r="AF267" s="6">
        <f t="shared" si="58"/>
        <v>2013674.4</v>
      </c>
      <c r="AG267" s="6">
        <f t="shared" si="59"/>
        <v>291596325.60000002</v>
      </c>
      <c r="AH267" s="6">
        <f t="shared" si="60"/>
        <v>48873090</v>
      </c>
      <c r="AI267" s="6">
        <f t="shared" si="61"/>
        <v>85800045</v>
      </c>
      <c r="AJ267" s="6">
        <f t="shared" si="62"/>
        <v>51203.7</v>
      </c>
      <c r="AK267" s="6">
        <f t="shared" si="63"/>
        <v>94142320</v>
      </c>
      <c r="AL267" s="6">
        <f t="shared" si="64"/>
        <v>62729658.600000001</v>
      </c>
      <c r="AM267" s="3">
        <f t="shared" si="65"/>
        <v>0.16760530126515419</v>
      </c>
      <c r="AN267" s="3">
        <f t="shared" si="66"/>
        <v>0.29424254514680342</v>
      </c>
      <c r="AO267" s="3">
        <f t="shared" si="67"/>
        <v>1.7559789169030598E-4</v>
      </c>
      <c r="AP267" s="3">
        <f t="shared" si="68"/>
        <v>0.32285153047209725</v>
      </c>
      <c r="AQ267" s="3">
        <f t="shared" si="69"/>
        <v>0.21512499676024724</v>
      </c>
    </row>
    <row r="268" spans="1:43" x14ac:dyDescent="0.3">
      <c r="A268" t="s">
        <v>179</v>
      </c>
      <c r="B268" t="s">
        <v>7</v>
      </c>
      <c r="C268" t="s">
        <v>174</v>
      </c>
      <c r="D268" s="6">
        <v>2044</v>
      </c>
      <c r="E268" t="s">
        <v>195</v>
      </c>
      <c r="F268" s="6">
        <v>328</v>
      </c>
      <c r="G268" s="7">
        <v>521.9</v>
      </c>
      <c r="H268" s="7">
        <v>797.2</v>
      </c>
      <c r="I268" s="6">
        <v>289655260</v>
      </c>
      <c r="J268" s="6">
        <v>43016064</v>
      </c>
      <c r="K268" s="6">
        <v>94142320</v>
      </c>
      <c r="L268" s="6">
        <v>48838764</v>
      </c>
      <c r="M268" s="6">
        <v>0</v>
      </c>
      <c r="N268" s="6">
        <v>39991.1</v>
      </c>
      <c r="O268" s="6">
        <v>79394570</v>
      </c>
      <c r="P268" s="6">
        <v>0</v>
      </c>
      <c r="Q268" s="6">
        <v>164492.6</v>
      </c>
      <c r="R268" s="6">
        <v>11918532</v>
      </c>
      <c r="S268" s="6">
        <v>0</v>
      </c>
      <c r="T268" s="6">
        <v>2013463.6</v>
      </c>
      <c r="U268" s="6">
        <v>0</v>
      </c>
      <c r="V268" s="6">
        <v>0</v>
      </c>
      <c r="W268" s="6">
        <v>0</v>
      </c>
      <c r="X268" s="6">
        <v>0</v>
      </c>
      <c r="Y268" s="6">
        <v>39006564</v>
      </c>
      <c r="Z268" s="6">
        <v>4009502.5</v>
      </c>
      <c r="AA268" s="6">
        <v>1206260.8</v>
      </c>
      <c r="AB268" s="6">
        <v>8920807</v>
      </c>
      <c r="AC268" s="6">
        <v>0</v>
      </c>
      <c r="AD268" s="6">
        <f t="shared" si="56"/>
        <v>289655260</v>
      </c>
      <c r="AE268" s="6">
        <f t="shared" si="57"/>
        <v>0</v>
      </c>
      <c r="AF268" s="6">
        <f t="shared" si="58"/>
        <v>2013463.6</v>
      </c>
      <c r="AG268" s="6">
        <f t="shared" si="59"/>
        <v>287641796.39999998</v>
      </c>
      <c r="AH268" s="6">
        <f t="shared" si="60"/>
        <v>48838764</v>
      </c>
      <c r="AI268" s="6">
        <f t="shared" si="61"/>
        <v>79559062.599999994</v>
      </c>
      <c r="AJ268" s="6">
        <f t="shared" si="62"/>
        <v>39991.1</v>
      </c>
      <c r="AK268" s="6">
        <f t="shared" si="63"/>
        <v>94142320</v>
      </c>
      <c r="AL268" s="6">
        <f t="shared" si="64"/>
        <v>65061666.299999997</v>
      </c>
      <c r="AM268" s="3">
        <f t="shared" si="65"/>
        <v>0.16979022037563662</v>
      </c>
      <c r="AN268" s="3">
        <f t="shared" si="66"/>
        <v>0.27659075835197366</v>
      </c>
      <c r="AO268" s="3">
        <f t="shared" si="67"/>
        <v>1.3903090754025066E-4</v>
      </c>
      <c r="AP268" s="3">
        <f t="shared" si="68"/>
        <v>0.32729012674181729</v>
      </c>
      <c r="AQ268" s="3">
        <f t="shared" si="69"/>
        <v>0.22618989004478349</v>
      </c>
    </row>
    <row r="269" spans="1:43" x14ac:dyDescent="0.3">
      <c r="A269" t="s">
        <v>179</v>
      </c>
      <c r="B269" t="s">
        <v>7</v>
      </c>
      <c r="C269" t="s">
        <v>174</v>
      </c>
      <c r="D269" s="6">
        <v>2046</v>
      </c>
      <c r="E269" t="s">
        <v>195</v>
      </c>
      <c r="F269" s="6">
        <v>304.8</v>
      </c>
      <c r="G269" s="7">
        <v>527</v>
      </c>
      <c r="H269" s="7">
        <v>749.3</v>
      </c>
      <c r="I269" s="6">
        <v>283273730</v>
      </c>
      <c r="J269" s="6">
        <v>44466764</v>
      </c>
      <c r="K269" s="6">
        <v>94142320</v>
      </c>
      <c r="L269" s="6">
        <v>42601236</v>
      </c>
      <c r="M269" s="6">
        <v>0</v>
      </c>
      <c r="N269" s="6">
        <v>27060.9</v>
      </c>
      <c r="O269" s="6">
        <v>76630940</v>
      </c>
      <c r="P269" s="6">
        <v>0</v>
      </c>
      <c r="Q269" s="6">
        <v>133594.70000000001</v>
      </c>
      <c r="R269" s="6">
        <v>11956096</v>
      </c>
      <c r="S269" s="6">
        <v>0</v>
      </c>
      <c r="T269" s="6">
        <v>2011558.4</v>
      </c>
      <c r="U269" s="6">
        <v>0</v>
      </c>
      <c r="V269" s="6">
        <v>0</v>
      </c>
      <c r="W269" s="6">
        <v>0</v>
      </c>
      <c r="X269" s="6">
        <v>0</v>
      </c>
      <c r="Y269" s="6">
        <v>39828636</v>
      </c>
      <c r="Z269" s="6">
        <v>4638127.5</v>
      </c>
      <c r="AA269" s="6">
        <v>1126464.3999999999</v>
      </c>
      <c r="AB269" s="6">
        <v>10177703</v>
      </c>
      <c r="AC269" s="6">
        <v>0</v>
      </c>
      <c r="AD269" s="6">
        <f t="shared" si="56"/>
        <v>283273730</v>
      </c>
      <c r="AE269" s="6">
        <f t="shared" si="57"/>
        <v>0</v>
      </c>
      <c r="AF269" s="6">
        <f t="shared" si="58"/>
        <v>2011558.4</v>
      </c>
      <c r="AG269" s="6">
        <f t="shared" si="59"/>
        <v>281262171.60000002</v>
      </c>
      <c r="AH269" s="6">
        <f t="shared" si="60"/>
        <v>42601236</v>
      </c>
      <c r="AI269" s="6">
        <f t="shared" si="61"/>
        <v>76764534.700000003</v>
      </c>
      <c r="AJ269" s="6">
        <f t="shared" si="62"/>
        <v>27060.9</v>
      </c>
      <c r="AK269" s="6">
        <f t="shared" si="63"/>
        <v>94142320</v>
      </c>
      <c r="AL269" s="6">
        <f t="shared" si="64"/>
        <v>67727026.900000006</v>
      </c>
      <c r="AM269" s="3">
        <f t="shared" si="65"/>
        <v>0.15146450643418127</v>
      </c>
      <c r="AN269" s="3">
        <f t="shared" si="66"/>
        <v>0.27292875633901986</v>
      </c>
      <c r="AO269" s="3">
        <f t="shared" si="67"/>
        <v>9.6212369569857932E-5</v>
      </c>
      <c r="AP269" s="3">
        <f t="shared" si="68"/>
        <v>0.33471376354828652</v>
      </c>
      <c r="AQ269" s="3">
        <f t="shared" si="69"/>
        <v>0.24079678584121406</v>
      </c>
    </row>
    <row r="270" spans="1:43" x14ac:dyDescent="0.3">
      <c r="A270" t="s">
        <v>179</v>
      </c>
      <c r="B270" t="s">
        <v>7</v>
      </c>
      <c r="C270" t="s">
        <v>174</v>
      </c>
      <c r="D270" s="6">
        <v>2048</v>
      </c>
      <c r="E270" t="s">
        <v>195</v>
      </c>
      <c r="F270" s="6">
        <v>305.89999999999998</v>
      </c>
      <c r="G270" s="7">
        <v>478.2</v>
      </c>
      <c r="H270" s="7">
        <v>738.2</v>
      </c>
      <c r="I270" s="6">
        <v>292423520</v>
      </c>
      <c r="J270" s="6">
        <v>49159400</v>
      </c>
      <c r="K270" s="6">
        <v>94142320</v>
      </c>
      <c r="L270" s="6">
        <v>45520270</v>
      </c>
      <c r="M270" s="6">
        <v>0</v>
      </c>
      <c r="N270" s="6">
        <v>26620.2</v>
      </c>
      <c r="O270" s="6">
        <v>76021600</v>
      </c>
      <c r="P270" s="6">
        <v>0</v>
      </c>
      <c r="Q270" s="6">
        <v>108766.7</v>
      </c>
      <c r="R270" s="6">
        <v>11959493</v>
      </c>
      <c r="S270" s="6">
        <v>0</v>
      </c>
      <c r="T270" s="6">
        <v>2011688.8</v>
      </c>
      <c r="U270" s="6">
        <v>0</v>
      </c>
      <c r="V270" s="6">
        <v>0</v>
      </c>
      <c r="W270" s="6">
        <v>0</v>
      </c>
      <c r="X270" s="6">
        <v>0</v>
      </c>
      <c r="Y270" s="6">
        <v>43852460</v>
      </c>
      <c r="Z270" s="6">
        <v>5306940.5</v>
      </c>
      <c r="AA270" s="6">
        <v>1063988.8</v>
      </c>
      <c r="AB270" s="6">
        <v>12409378</v>
      </c>
      <c r="AC270" s="6">
        <v>0</v>
      </c>
      <c r="AD270" s="6">
        <f t="shared" si="56"/>
        <v>292423520</v>
      </c>
      <c r="AE270" s="6">
        <f t="shared" si="57"/>
        <v>0</v>
      </c>
      <c r="AF270" s="6">
        <f t="shared" si="58"/>
        <v>2011688.8</v>
      </c>
      <c r="AG270" s="6">
        <f t="shared" si="59"/>
        <v>290411831.19999999</v>
      </c>
      <c r="AH270" s="6">
        <f t="shared" si="60"/>
        <v>45520270</v>
      </c>
      <c r="AI270" s="6">
        <f t="shared" si="61"/>
        <v>76130366.700000003</v>
      </c>
      <c r="AJ270" s="6">
        <f t="shared" si="62"/>
        <v>26620.2</v>
      </c>
      <c r="AK270" s="6">
        <f t="shared" si="63"/>
        <v>94142320</v>
      </c>
      <c r="AL270" s="6">
        <f t="shared" si="64"/>
        <v>74592260.299999997</v>
      </c>
      <c r="AM270" s="3">
        <f t="shared" si="65"/>
        <v>0.15674385513808917</v>
      </c>
      <c r="AN270" s="3">
        <f t="shared" si="66"/>
        <v>0.26214623001213322</v>
      </c>
      <c r="AO270" s="3">
        <f t="shared" si="67"/>
        <v>9.1663620900028962E-5</v>
      </c>
      <c r="AP270" s="3">
        <f t="shared" si="68"/>
        <v>0.32416833574237663</v>
      </c>
      <c r="AQ270" s="3">
        <f t="shared" si="69"/>
        <v>0.25684993614681634</v>
      </c>
    </row>
    <row r="271" spans="1:43" x14ac:dyDescent="0.3">
      <c r="A271" t="s">
        <v>179</v>
      </c>
      <c r="B271" t="s">
        <v>7</v>
      </c>
      <c r="C271" t="s">
        <v>174</v>
      </c>
      <c r="D271" s="6">
        <v>2050</v>
      </c>
      <c r="E271" t="s">
        <v>195</v>
      </c>
      <c r="F271" s="6">
        <v>243.3</v>
      </c>
      <c r="G271" s="7">
        <v>432.4</v>
      </c>
      <c r="H271" s="7">
        <v>711.3</v>
      </c>
      <c r="I271" s="6">
        <v>304100800</v>
      </c>
      <c r="J271" s="6">
        <v>66825736</v>
      </c>
      <c r="K271" s="6">
        <v>94142320</v>
      </c>
      <c r="L271" s="6">
        <v>31912150</v>
      </c>
      <c r="M271" s="6">
        <v>0</v>
      </c>
      <c r="N271" s="6">
        <v>0</v>
      </c>
      <c r="O271" s="6">
        <v>75963950</v>
      </c>
      <c r="P271" s="6">
        <v>0</v>
      </c>
      <c r="Q271" s="6">
        <v>51000.800000000003</v>
      </c>
      <c r="R271" s="6">
        <v>11975898</v>
      </c>
      <c r="S271" s="6">
        <v>0</v>
      </c>
      <c r="T271" s="6">
        <v>2011337</v>
      </c>
      <c r="U271" s="6">
        <v>0</v>
      </c>
      <c r="V271" s="6">
        <v>445981.2</v>
      </c>
      <c r="W271" s="6">
        <v>0</v>
      </c>
      <c r="X271" s="6">
        <v>0</v>
      </c>
      <c r="Y271" s="6">
        <v>60390776</v>
      </c>
      <c r="Z271" s="6">
        <v>5988976</v>
      </c>
      <c r="AA271" s="6">
        <v>923087.3</v>
      </c>
      <c r="AB271" s="6">
        <v>20295330</v>
      </c>
      <c r="AC271" s="6">
        <v>0</v>
      </c>
      <c r="AD271" s="6">
        <f t="shared" si="56"/>
        <v>304100800</v>
      </c>
      <c r="AE271" s="6">
        <f t="shared" si="57"/>
        <v>0</v>
      </c>
      <c r="AF271" s="6">
        <f t="shared" si="58"/>
        <v>2011337</v>
      </c>
      <c r="AG271" s="6">
        <f t="shared" si="59"/>
        <v>302089463</v>
      </c>
      <c r="AH271" s="6">
        <f t="shared" si="60"/>
        <v>31912150</v>
      </c>
      <c r="AI271" s="6">
        <f t="shared" si="61"/>
        <v>76014950.799999997</v>
      </c>
      <c r="AJ271" s="6">
        <f t="shared" si="62"/>
        <v>0</v>
      </c>
      <c r="AK271" s="6">
        <f t="shared" si="63"/>
        <v>94142320</v>
      </c>
      <c r="AL271" s="6">
        <f t="shared" si="64"/>
        <v>100020048.5</v>
      </c>
      <c r="AM271" s="3">
        <f t="shared" si="65"/>
        <v>0.1056380771546474</v>
      </c>
      <c r="AN271" s="3">
        <f t="shared" si="66"/>
        <v>0.25163059328553938</v>
      </c>
      <c r="AO271" s="3">
        <f t="shared" si="67"/>
        <v>0</v>
      </c>
      <c r="AP271" s="3">
        <f t="shared" si="68"/>
        <v>0.3116372185414491</v>
      </c>
      <c r="AQ271" s="3">
        <f t="shared" si="69"/>
        <v>0.33109413187311337</v>
      </c>
    </row>
    <row r="272" spans="1:43" x14ac:dyDescent="0.3">
      <c r="A272" t="s">
        <v>179</v>
      </c>
      <c r="B272" t="s">
        <v>7</v>
      </c>
      <c r="C272" t="s">
        <v>175</v>
      </c>
      <c r="D272" s="6">
        <v>2022</v>
      </c>
      <c r="E272" t="s">
        <v>195</v>
      </c>
      <c r="F272" s="6">
        <v>724.9</v>
      </c>
      <c r="G272" s="7">
        <v>772.7</v>
      </c>
      <c r="H272" s="7">
        <v>923.1</v>
      </c>
      <c r="I272" s="6">
        <v>194226380</v>
      </c>
      <c r="J272" s="6">
        <v>1514045.2</v>
      </c>
      <c r="K272" s="6">
        <v>36124468</v>
      </c>
      <c r="L272" s="6">
        <v>102914456</v>
      </c>
      <c r="M272" s="6">
        <v>0</v>
      </c>
      <c r="N272" s="6">
        <v>1916.4</v>
      </c>
      <c r="O272" s="6">
        <v>39918076</v>
      </c>
      <c r="P272" s="6">
        <v>0</v>
      </c>
      <c r="Q272" s="6">
        <v>586296.69999999995</v>
      </c>
      <c r="R272" s="6">
        <v>11741632</v>
      </c>
      <c r="S272" s="6">
        <v>0</v>
      </c>
      <c r="T272" s="6">
        <v>111681.2</v>
      </c>
      <c r="U272" s="6">
        <v>0</v>
      </c>
      <c r="V272" s="6">
        <v>59617.5</v>
      </c>
      <c r="W272" s="6">
        <v>0</v>
      </c>
      <c r="X272" s="6">
        <v>0</v>
      </c>
      <c r="Y272" s="6">
        <v>1257505</v>
      </c>
      <c r="Z272" s="6">
        <v>196922.8</v>
      </c>
      <c r="AA272" s="6">
        <v>1308127.6000000001</v>
      </c>
      <c r="AB272" s="6">
        <v>5677.7</v>
      </c>
      <c r="AC272" s="6">
        <v>0</v>
      </c>
      <c r="AD272" s="6">
        <f t="shared" si="56"/>
        <v>194226380</v>
      </c>
      <c r="AE272" s="6">
        <f t="shared" si="57"/>
        <v>0</v>
      </c>
      <c r="AF272" s="6">
        <f t="shared" si="58"/>
        <v>111681.2</v>
      </c>
      <c r="AG272" s="6">
        <f t="shared" si="59"/>
        <v>194114698.80000001</v>
      </c>
      <c r="AH272" s="6">
        <f t="shared" si="60"/>
        <v>102914456</v>
      </c>
      <c r="AI272" s="6">
        <f t="shared" si="61"/>
        <v>40504372.700000003</v>
      </c>
      <c r="AJ272" s="6">
        <f t="shared" si="62"/>
        <v>1916.4</v>
      </c>
      <c r="AK272" s="6">
        <f t="shared" si="63"/>
        <v>36124468</v>
      </c>
      <c r="AL272" s="6">
        <f t="shared" si="64"/>
        <v>14569482.6</v>
      </c>
      <c r="AM272" s="3">
        <f t="shared" si="65"/>
        <v>0.53017343166801956</v>
      </c>
      <c r="AN272" s="3">
        <f t="shared" si="66"/>
        <v>0.20866205882601613</v>
      </c>
      <c r="AO272" s="3">
        <f t="shared" si="67"/>
        <v>9.8725135800998902E-6</v>
      </c>
      <c r="AP272" s="3">
        <f t="shared" si="68"/>
        <v>0.18609857070751615</v>
      </c>
      <c r="AQ272" s="3">
        <f t="shared" si="69"/>
        <v>7.5056050314928541E-2</v>
      </c>
    </row>
    <row r="273" spans="1:43" x14ac:dyDescent="0.3">
      <c r="A273" t="s">
        <v>179</v>
      </c>
      <c r="B273" t="s">
        <v>7</v>
      </c>
      <c r="C273" t="s">
        <v>175</v>
      </c>
      <c r="D273" s="6">
        <v>2024</v>
      </c>
      <c r="E273" t="s">
        <v>195</v>
      </c>
      <c r="F273" s="6">
        <v>653.5</v>
      </c>
      <c r="G273" s="7">
        <v>673.8</v>
      </c>
      <c r="H273" s="7">
        <v>963.5</v>
      </c>
      <c r="I273" s="6">
        <v>175187440</v>
      </c>
      <c r="J273" s="6">
        <v>1533862.1</v>
      </c>
      <c r="K273" s="6">
        <v>36124468</v>
      </c>
      <c r="L273" s="6">
        <v>78731520</v>
      </c>
      <c r="M273" s="6">
        <v>0</v>
      </c>
      <c r="N273" s="6">
        <v>6436.3</v>
      </c>
      <c r="O273" s="6">
        <v>44190670</v>
      </c>
      <c r="P273" s="6">
        <v>0</v>
      </c>
      <c r="Q273" s="6">
        <v>1270110.5</v>
      </c>
      <c r="R273" s="6">
        <v>11732776</v>
      </c>
      <c r="S273" s="6">
        <v>0</v>
      </c>
      <c r="T273" s="6">
        <v>111681.2</v>
      </c>
      <c r="U273" s="6">
        <v>0</v>
      </c>
      <c r="V273" s="6">
        <v>59296.1</v>
      </c>
      <c r="W273" s="6">
        <v>0</v>
      </c>
      <c r="X273" s="6">
        <v>0</v>
      </c>
      <c r="Y273" s="6">
        <v>1239961.2</v>
      </c>
      <c r="Z273" s="6">
        <v>234604.79999999999</v>
      </c>
      <c r="AA273" s="6">
        <v>1479997.5</v>
      </c>
      <c r="AB273" s="6">
        <v>5913</v>
      </c>
      <c r="AC273" s="6">
        <v>0</v>
      </c>
      <c r="AD273" s="6">
        <f t="shared" si="56"/>
        <v>175187440</v>
      </c>
      <c r="AE273" s="6">
        <f t="shared" si="57"/>
        <v>0</v>
      </c>
      <c r="AF273" s="6">
        <f t="shared" si="58"/>
        <v>111681.2</v>
      </c>
      <c r="AG273" s="6">
        <f t="shared" si="59"/>
        <v>175075758.80000001</v>
      </c>
      <c r="AH273" s="6">
        <f t="shared" si="60"/>
        <v>78731520</v>
      </c>
      <c r="AI273" s="6">
        <f t="shared" si="61"/>
        <v>45460780.5</v>
      </c>
      <c r="AJ273" s="6">
        <f t="shared" si="62"/>
        <v>6436.3</v>
      </c>
      <c r="AK273" s="6">
        <f t="shared" si="63"/>
        <v>36124468</v>
      </c>
      <c r="AL273" s="6">
        <f t="shared" si="64"/>
        <v>14752548.6</v>
      </c>
      <c r="AM273" s="3">
        <f t="shared" si="65"/>
        <v>0.44969972164987121</v>
      </c>
      <c r="AN273" s="3">
        <f t="shared" si="66"/>
        <v>0.25966347832273395</v>
      </c>
      <c r="AO273" s="3">
        <f t="shared" si="67"/>
        <v>3.6762942192086047E-5</v>
      </c>
      <c r="AP273" s="3">
        <f t="shared" si="68"/>
        <v>0.20633620695179872</v>
      </c>
      <c r="AQ273" s="3">
        <f t="shared" si="69"/>
        <v>8.4263799289613583E-2</v>
      </c>
    </row>
    <row r="274" spans="1:43" x14ac:dyDescent="0.3">
      <c r="A274" t="s">
        <v>179</v>
      </c>
      <c r="B274" t="s">
        <v>7</v>
      </c>
      <c r="C274" t="s">
        <v>175</v>
      </c>
      <c r="D274" s="6">
        <v>2026</v>
      </c>
      <c r="E274" t="s">
        <v>195</v>
      </c>
      <c r="F274" s="6">
        <v>658.5</v>
      </c>
      <c r="G274" s="7">
        <v>529.6</v>
      </c>
      <c r="H274" s="7">
        <v>956.4</v>
      </c>
      <c r="I274" s="6">
        <v>177230340</v>
      </c>
      <c r="J274" s="6">
        <v>1582887.1</v>
      </c>
      <c r="K274" s="6">
        <v>36124468</v>
      </c>
      <c r="L274" s="6">
        <v>80901310</v>
      </c>
      <c r="M274" s="6">
        <v>0</v>
      </c>
      <c r="N274" s="6">
        <v>5870.3</v>
      </c>
      <c r="O274" s="6">
        <v>43480740</v>
      </c>
      <c r="P274" s="6">
        <v>0</v>
      </c>
      <c r="Q274" s="6">
        <v>1350799.5</v>
      </c>
      <c r="R274" s="6">
        <v>12149507</v>
      </c>
      <c r="S274" s="6">
        <v>0</v>
      </c>
      <c r="T274" s="6">
        <v>111681.2</v>
      </c>
      <c r="U274" s="6">
        <v>0</v>
      </c>
      <c r="V274" s="6">
        <v>58976.3</v>
      </c>
      <c r="W274" s="6">
        <v>0</v>
      </c>
      <c r="X274" s="6">
        <v>0</v>
      </c>
      <c r="Y274" s="6">
        <v>1222663.1000000001</v>
      </c>
      <c r="Z274" s="6">
        <v>301247.7</v>
      </c>
      <c r="AA274" s="6">
        <v>1516784.4</v>
      </c>
      <c r="AB274" s="6">
        <v>6284.3</v>
      </c>
      <c r="AC274" s="6">
        <v>0</v>
      </c>
      <c r="AD274" s="6">
        <f t="shared" si="56"/>
        <v>177230340</v>
      </c>
      <c r="AE274" s="6">
        <f t="shared" si="57"/>
        <v>0</v>
      </c>
      <c r="AF274" s="6">
        <f t="shared" si="58"/>
        <v>111681.2</v>
      </c>
      <c r="AG274" s="6">
        <f t="shared" si="59"/>
        <v>177118658.80000001</v>
      </c>
      <c r="AH274" s="6">
        <f t="shared" si="60"/>
        <v>80901310</v>
      </c>
      <c r="AI274" s="6">
        <f t="shared" si="61"/>
        <v>44831539.5</v>
      </c>
      <c r="AJ274" s="6">
        <f t="shared" si="62"/>
        <v>5870.3</v>
      </c>
      <c r="AK274" s="6">
        <f t="shared" si="63"/>
        <v>36124468</v>
      </c>
      <c r="AL274" s="6">
        <f t="shared" si="64"/>
        <v>15255462.800000001</v>
      </c>
      <c r="AM274" s="3">
        <f t="shared" si="65"/>
        <v>0.45676333904127325</v>
      </c>
      <c r="AN274" s="3">
        <f t="shared" si="66"/>
        <v>0.25311584789394304</v>
      </c>
      <c r="AO274" s="3">
        <f t="shared" si="67"/>
        <v>3.3143317817399823E-5</v>
      </c>
      <c r="AP274" s="3">
        <f t="shared" si="68"/>
        <v>0.20395630954269622</v>
      </c>
      <c r="AQ274" s="3">
        <f t="shared" si="69"/>
        <v>8.6131313907623158E-2</v>
      </c>
    </row>
    <row r="275" spans="1:43" x14ac:dyDescent="0.3">
      <c r="A275" t="s">
        <v>179</v>
      </c>
      <c r="B275" t="s">
        <v>7</v>
      </c>
      <c r="C275" t="s">
        <v>175</v>
      </c>
      <c r="D275" s="6">
        <v>2028</v>
      </c>
      <c r="E275" t="s">
        <v>195</v>
      </c>
      <c r="F275" s="6">
        <v>670.4</v>
      </c>
      <c r="G275" s="7">
        <v>402</v>
      </c>
      <c r="H275" s="7">
        <v>931.8</v>
      </c>
      <c r="I275" s="6">
        <v>180199420</v>
      </c>
      <c r="J275" s="6">
        <v>1677872.2</v>
      </c>
      <c r="K275" s="6">
        <v>36124468</v>
      </c>
      <c r="L275" s="6">
        <v>84828380</v>
      </c>
      <c r="M275" s="6">
        <v>0</v>
      </c>
      <c r="N275" s="6">
        <v>5273.2</v>
      </c>
      <c r="O275" s="6">
        <v>42398636</v>
      </c>
      <c r="P275" s="6">
        <v>0</v>
      </c>
      <c r="Q275" s="6">
        <v>1308468.5</v>
      </c>
      <c r="R275" s="6">
        <v>12142486</v>
      </c>
      <c r="S275" s="6">
        <v>0</v>
      </c>
      <c r="T275" s="6">
        <v>111681.2</v>
      </c>
      <c r="U275" s="6">
        <v>0</v>
      </c>
      <c r="V275" s="6">
        <v>58658.3</v>
      </c>
      <c r="W275" s="6">
        <v>0</v>
      </c>
      <c r="X275" s="6">
        <v>0</v>
      </c>
      <c r="Y275" s="6">
        <v>1205605.2</v>
      </c>
      <c r="Z275" s="6">
        <v>413608.7</v>
      </c>
      <c r="AA275" s="6">
        <v>1577849.4</v>
      </c>
      <c r="AB275" s="6">
        <v>24309.7</v>
      </c>
      <c r="AC275" s="6">
        <v>0</v>
      </c>
      <c r="AD275" s="6">
        <f t="shared" si="56"/>
        <v>180199420</v>
      </c>
      <c r="AE275" s="6">
        <f t="shared" si="57"/>
        <v>0</v>
      </c>
      <c r="AF275" s="6">
        <f t="shared" si="58"/>
        <v>111681.2</v>
      </c>
      <c r="AG275" s="6">
        <f t="shared" si="59"/>
        <v>180087738.80000001</v>
      </c>
      <c r="AH275" s="6">
        <f t="shared" si="60"/>
        <v>84828380</v>
      </c>
      <c r="AI275" s="6">
        <f t="shared" si="61"/>
        <v>43707104.5</v>
      </c>
      <c r="AJ275" s="6">
        <f t="shared" si="62"/>
        <v>5273.2</v>
      </c>
      <c r="AK275" s="6">
        <f t="shared" si="63"/>
        <v>36124468</v>
      </c>
      <c r="AL275" s="6">
        <f t="shared" si="64"/>
        <v>15422517.299999999</v>
      </c>
      <c r="AM275" s="3">
        <f t="shared" si="65"/>
        <v>0.47103917548883117</v>
      </c>
      <c r="AN275" s="3">
        <f t="shared" si="66"/>
        <v>0.24269894658702881</v>
      </c>
      <c r="AO275" s="3">
        <f t="shared" si="67"/>
        <v>2.9281282752160356E-5</v>
      </c>
      <c r="AP275" s="3">
        <f t="shared" si="68"/>
        <v>0.20059371193570674</v>
      </c>
      <c r="AQ275" s="3">
        <f t="shared" si="69"/>
        <v>8.5638908027646343E-2</v>
      </c>
    </row>
    <row r="276" spans="1:43" x14ac:dyDescent="0.3">
      <c r="A276" t="s">
        <v>179</v>
      </c>
      <c r="B276" t="s">
        <v>7</v>
      </c>
      <c r="C276" t="s">
        <v>175</v>
      </c>
      <c r="D276" s="6">
        <v>2030</v>
      </c>
      <c r="E276" t="s">
        <v>195</v>
      </c>
      <c r="F276" s="6">
        <v>556.20000000000005</v>
      </c>
      <c r="G276" s="7">
        <v>406.2</v>
      </c>
      <c r="H276" s="7">
        <v>919.2</v>
      </c>
      <c r="I276" s="6">
        <v>193874400</v>
      </c>
      <c r="J276" s="6">
        <v>23486508</v>
      </c>
      <c r="K276" s="6">
        <v>36124468</v>
      </c>
      <c r="L276" s="6">
        <v>73200100</v>
      </c>
      <c r="M276" s="6">
        <v>0</v>
      </c>
      <c r="N276" s="6">
        <v>1922.1</v>
      </c>
      <c r="O276" s="6">
        <v>43717904</v>
      </c>
      <c r="P276" s="6">
        <v>0</v>
      </c>
      <c r="Q276" s="6">
        <v>1051924.6000000001</v>
      </c>
      <c r="R276" s="6">
        <v>12146211</v>
      </c>
      <c r="S276" s="6">
        <v>0</v>
      </c>
      <c r="T276" s="6">
        <v>111625.60000000001</v>
      </c>
      <c r="U276" s="6">
        <v>0</v>
      </c>
      <c r="V276" s="6">
        <v>58341.9</v>
      </c>
      <c r="W276" s="6">
        <v>0</v>
      </c>
      <c r="X276" s="6">
        <v>0</v>
      </c>
      <c r="Y276" s="6">
        <v>22800252</v>
      </c>
      <c r="Z276" s="6">
        <v>627914.1</v>
      </c>
      <c r="AA276" s="6">
        <v>3375236.5</v>
      </c>
      <c r="AB276" s="6">
        <v>658497.19999999995</v>
      </c>
      <c r="AC276" s="6">
        <v>0</v>
      </c>
      <c r="AD276" s="6">
        <f t="shared" si="56"/>
        <v>193874400</v>
      </c>
      <c r="AE276" s="6">
        <f t="shared" si="57"/>
        <v>0</v>
      </c>
      <c r="AF276" s="6">
        <f t="shared" si="58"/>
        <v>111625.60000000001</v>
      </c>
      <c r="AG276" s="6">
        <f t="shared" si="59"/>
        <v>193762774.40000001</v>
      </c>
      <c r="AH276" s="6">
        <f t="shared" si="60"/>
        <v>73200100</v>
      </c>
      <c r="AI276" s="6">
        <f t="shared" si="61"/>
        <v>44769828.600000001</v>
      </c>
      <c r="AJ276" s="6">
        <f t="shared" si="62"/>
        <v>1922.1</v>
      </c>
      <c r="AK276" s="6">
        <f t="shared" si="63"/>
        <v>36124468</v>
      </c>
      <c r="AL276" s="6">
        <f t="shared" si="64"/>
        <v>39666452.700000003</v>
      </c>
      <c r="AM276" s="3">
        <f t="shared" si="65"/>
        <v>0.37778205966893919</v>
      </c>
      <c r="AN276" s="3">
        <f t="shared" si="66"/>
        <v>0.23105484909902282</v>
      </c>
      <c r="AO276" s="3">
        <f t="shared" si="67"/>
        <v>9.9198620888450697E-6</v>
      </c>
      <c r="AP276" s="3">
        <f t="shared" si="68"/>
        <v>0.18643657488834967</v>
      </c>
      <c r="AQ276" s="3">
        <f t="shared" si="69"/>
        <v>0.20471658099874937</v>
      </c>
    </row>
    <row r="277" spans="1:43" x14ac:dyDescent="0.3">
      <c r="A277" t="s">
        <v>179</v>
      </c>
      <c r="B277" t="s">
        <v>7</v>
      </c>
      <c r="C277" t="s">
        <v>175</v>
      </c>
      <c r="D277" s="6">
        <v>2032</v>
      </c>
      <c r="E277" t="s">
        <v>195</v>
      </c>
      <c r="F277" s="6">
        <v>531.79999999999995</v>
      </c>
      <c r="G277" s="7">
        <v>400.3</v>
      </c>
      <c r="H277" s="7">
        <v>904.5</v>
      </c>
      <c r="I277" s="6">
        <v>202932060</v>
      </c>
      <c r="J277" s="6">
        <v>23410404</v>
      </c>
      <c r="K277" s="6">
        <v>36124468</v>
      </c>
      <c r="L277" s="6">
        <v>70621144</v>
      </c>
      <c r="M277" s="6">
        <v>0</v>
      </c>
      <c r="N277" s="6">
        <v>273.10000000000002</v>
      </c>
      <c r="O277" s="6">
        <v>52501744</v>
      </c>
      <c r="P277" s="6">
        <v>0</v>
      </c>
      <c r="Q277" s="6">
        <v>559948.80000000005</v>
      </c>
      <c r="R277" s="6">
        <v>12138096</v>
      </c>
      <c r="S277" s="6">
        <v>0</v>
      </c>
      <c r="T277" s="6">
        <v>111681.2</v>
      </c>
      <c r="U277" s="6">
        <v>0</v>
      </c>
      <c r="V277" s="6">
        <v>55392.4</v>
      </c>
      <c r="W277" s="6">
        <v>0</v>
      </c>
      <c r="X277" s="6">
        <v>0</v>
      </c>
      <c r="Y277" s="6">
        <v>22482114</v>
      </c>
      <c r="Z277" s="6">
        <v>872899</v>
      </c>
      <c r="AA277" s="6">
        <v>2940229.5</v>
      </c>
      <c r="AB277" s="6">
        <v>4524071.5</v>
      </c>
      <c r="AC277" s="6">
        <v>0</v>
      </c>
      <c r="AD277" s="6">
        <f t="shared" si="56"/>
        <v>202932060</v>
      </c>
      <c r="AE277" s="6">
        <f t="shared" si="57"/>
        <v>0</v>
      </c>
      <c r="AF277" s="6">
        <f t="shared" si="58"/>
        <v>111681.2</v>
      </c>
      <c r="AG277" s="6">
        <f t="shared" si="59"/>
        <v>202820378.80000001</v>
      </c>
      <c r="AH277" s="6">
        <f t="shared" si="60"/>
        <v>70621144</v>
      </c>
      <c r="AI277" s="6">
        <f t="shared" si="61"/>
        <v>53061692.799999997</v>
      </c>
      <c r="AJ277" s="6">
        <f t="shared" si="62"/>
        <v>273.10000000000002</v>
      </c>
      <c r="AK277" s="6">
        <f t="shared" si="63"/>
        <v>36124468</v>
      </c>
      <c r="AL277" s="6">
        <f t="shared" si="64"/>
        <v>43012802.399999999</v>
      </c>
      <c r="AM277" s="3">
        <f t="shared" si="65"/>
        <v>0.34819550391254861</v>
      </c>
      <c r="AN277" s="3">
        <f t="shared" si="66"/>
        <v>0.26161913863854785</v>
      </c>
      <c r="AO277" s="3">
        <f t="shared" si="67"/>
        <v>1.3465116356443764E-6</v>
      </c>
      <c r="AP277" s="3">
        <f t="shared" si="68"/>
        <v>0.17811064259781373</v>
      </c>
      <c r="AQ277" s="3">
        <f t="shared" si="69"/>
        <v>0.21207337573516058</v>
      </c>
    </row>
    <row r="278" spans="1:43" x14ac:dyDescent="0.3">
      <c r="A278" t="s">
        <v>179</v>
      </c>
      <c r="B278" t="s">
        <v>7</v>
      </c>
      <c r="C278" t="s">
        <v>175</v>
      </c>
      <c r="D278" s="6">
        <v>2034</v>
      </c>
      <c r="E278" t="s">
        <v>195</v>
      </c>
      <c r="F278" s="6">
        <v>525.20000000000005</v>
      </c>
      <c r="G278" s="7">
        <v>468.7</v>
      </c>
      <c r="H278" s="7">
        <v>902.2</v>
      </c>
      <c r="I278" s="6">
        <v>200178900</v>
      </c>
      <c r="J278" s="6">
        <v>23349700</v>
      </c>
      <c r="K278" s="6">
        <v>36124468</v>
      </c>
      <c r="L278" s="6">
        <v>68966760</v>
      </c>
      <c r="M278" s="6">
        <v>0</v>
      </c>
      <c r="N278" s="6">
        <v>159.30000000000001</v>
      </c>
      <c r="O278" s="6">
        <v>51509830</v>
      </c>
      <c r="P278" s="6">
        <v>0</v>
      </c>
      <c r="Q278" s="6">
        <v>599818.9</v>
      </c>
      <c r="R278" s="6">
        <v>12146847</v>
      </c>
      <c r="S278" s="6">
        <v>0</v>
      </c>
      <c r="T278" s="6">
        <v>111647.6</v>
      </c>
      <c r="U278" s="6">
        <v>0</v>
      </c>
      <c r="V278" s="6">
        <v>55093.7</v>
      </c>
      <c r="W278" s="6">
        <v>0</v>
      </c>
      <c r="X278" s="6">
        <v>0</v>
      </c>
      <c r="Y278" s="6">
        <v>22168522</v>
      </c>
      <c r="Z278" s="6">
        <v>1126084.5</v>
      </c>
      <c r="AA278" s="6">
        <v>2887780.2</v>
      </c>
      <c r="AB278" s="6">
        <v>4481874.5</v>
      </c>
      <c r="AC278" s="6">
        <v>0</v>
      </c>
      <c r="AD278" s="6">
        <f t="shared" si="56"/>
        <v>200178900</v>
      </c>
      <c r="AE278" s="6">
        <f t="shared" si="57"/>
        <v>0</v>
      </c>
      <c r="AF278" s="6">
        <f t="shared" si="58"/>
        <v>111647.6</v>
      </c>
      <c r="AG278" s="6">
        <f t="shared" si="59"/>
        <v>200067252.40000001</v>
      </c>
      <c r="AH278" s="6">
        <f t="shared" si="60"/>
        <v>68966760</v>
      </c>
      <c r="AI278" s="6">
        <f t="shared" si="61"/>
        <v>52109648.899999999</v>
      </c>
      <c r="AJ278" s="6">
        <f t="shared" si="62"/>
        <v>159.30000000000001</v>
      </c>
      <c r="AK278" s="6">
        <f t="shared" si="63"/>
        <v>36124468</v>
      </c>
      <c r="AL278" s="6">
        <f t="shared" si="64"/>
        <v>42866201.900000006</v>
      </c>
      <c r="AM278" s="3">
        <f t="shared" si="65"/>
        <v>0.34471788447473073</v>
      </c>
      <c r="AN278" s="3">
        <f t="shared" si="66"/>
        <v>0.26046066147705038</v>
      </c>
      <c r="AO278" s="3">
        <f t="shared" si="67"/>
        <v>7.9623225734867943E-7</v>
      </c>
      <c r="AP278" s="3">
        <f t="shared" si="68"/>
        <v>0.1805616239871948</v>
      </c>
      <c r="AQ278" s="3">
        <f t="shared" si="69"/>
        <v>0.21425896235280134</v>
      </c>
    </row>
    <row r="279" spans="1:43" x14ac:dyDescent="0.3">
      <c r="A279" t="s">
        <v>179</v>
      </c>
      <c r="B279" t="s">
        <v>7</v>
      </c>
      <c r="C279" t="s">
        <v>175</v>
      </c>
      <c r="D279" s="6">
        <v>2036</v>
      </c>
      <c r="E279" t="s">
        <v>195</v>
      </c>
      <c r="F279" s="6">
        <v>522</v>
      </c>
      <c r="G279" s="7">
        <v>467.9</v>
      </c>
      <c r="H279" s="7">
        <v>877.6</v>
      </c>
      <c r="I279" s="6">
        <v>200458000</v>
      </c>
      <c r="J279" s="6">
        <v>23228780</v>
      </c>
      <c r="K279" s="6">
        <v>36124468</v>
      </c>
      <c r="L279" s="6">
        <v>67927960</v>
      </c>
      <c r="M279" s="6">
        <v>0</v>
      </c>
      <c r="N279" s="6">
        <v>341.4</v>
      </c>
      <c r="O279" s="6">
        <v>53268788</v>
      </c>
      <c r="P279" s="6">
        <v>0</v>
      </c>
      <c r="Q279" s="6">
        <v>521112</v>
      </c>
      <c r="R279" s="6">
        <v>12141211</v>
      </c>
      <c r="S279" s="6">
        <v>0</v>
      </c>
      <c r="T279" s="6">
        <v>111592</v>
      </c>
      <c r="U279" s="6">
        <v>0</v>
      </c>
      <c r="V279" s="6">
        <v>0</v>
      </c>
      <c r="W279" s="6">
        <v>0</v>
      </c>
      <c r="X279" s="6">
        <v>0</v>
      </c>
      <c r="Y279" s="6">
        <v>21859222</v>
      </c>
      <c r="Z279" s="6">
        <v>1369558</v>
      </c>
      <c r="AA279" s="6">
        <v>2748293</v>
      </c>
      <c r="AB279" s="6">
        <v>4385449</v>
      </c>
      <c r="AC279" s="6">
        <v>0</v>
      </c>
      <c r="AD279" s="6">
        <f t="shared" si="56"/>
        <v>200458000</v>
      </c>
      <c r="AE279" s="6">
        <f t="shared" si="57"/>
        <v>0</v>
      </c>
      <c r="AF279" s="6">
        <f t="shared" si="58"/>
        <v>111592</v>
      </c>
      <c r="AG279" s="6">
        <f t="shared" si="59"/>
        <v>200346408</v>
      </c>
      <c r="AH279" s="6">
        <f t="shared" si="60"/>
        <v>67927960</v>
      </c>
      <c r="AI279" s="6">
        <f t="shared" si="61"/>
        <v>53789900</v>
      </c>
      <c r="AJ279" s="6">
        <f t="shared" si="62"/>
        <v>341.4</v>
      </c>
      <c r="AK279" s="6">
        <f t="shared" si="63"/>
        <v>36124468</v>
      </c>
      <c r="AL279" s="6">
        <f t="shared" si="64"/>
        <v>42503733</v>
      </c>
      <c r="AM279" s="3">
        <f t="shared" si="65"/>
        <v>0.33905254742575669</v>
      </c>
      <c r="AN279" s="3">
        <f t="shared" si="66"/>
        <v>0.26848447415139082</v>
      </c>
      <c r="AO279" s="3">
        <f t="shared" si="67"/>
        <v>1.7040485198017625E-6</v>
      </c>
      <c r="AP279" s="3">
        <f t="shared" si="68"/>
        <v>0.1803100358055833</v>
      </c>
      <c r="AQ279" s="3">
        <f t="shared" si="69"/>
        <v>0.21215121061716266</v>
      </c>
    </row>
    <row r="280" spans="1:43" x14ac:dyDescent="0.3">
      <c r="A280" t="s">
        <v>179</v>
      </c>
      <c r="B280" t="s">
        <v>7</v>
      </c>
      <c r="C280" t="s">
        <v>175</v>
      </c>
      <c r="D280" s="6">
        <v>2038</v>
      </c>
      <c r="E280" t="s">
        <v>195</v>
      </c>
      <c r="F280" s="6">
        <v>516.6</v>
      </c>
      <c r="G280" s="7">
        <v>492.7</v>
      </c>
      <c r="H280" s="7">
        <v>855.5</v>
      </c>
      <c r="I280" s="6">
        <v>199893840</v>
      </c>
      <c r="J280" s="6">
        <v>23170256</v>
      </c>
      <c r="K280" s="6">
        <v>36124468</v>
      </c>
      <c r="L280" s="6">
        <v>65933560</v>
      </c>
      <c r="M280" s="6">
        <v>0</v>
      </c>
      <c r="N280" s="6">
        <v>478</v>
      </c>
      <c r="O280" s="6">
        <v>55275510</v>
      </c>
      <c r="P280" s="6">
        <v>0</v>
      </c>
      <c r="Q280" s="6">
        <v>433733.4</v>
      </c>
      <c r="R280" s="6">
        <v>12147686</v>
      </c>
      <c r="S280" s="6">
        <v>0</v>
      </c>
      <c r="T280" s="6">
        <v>111625.60000000001</v>
      </c>
      <c r="U280" s="6">
        <v>0</v>
      </c>
      <c r="V280" s="6">
        <v>0</v>
      </c>
      <c r="W280" s="6">
        <v>0</v>
      </c>
      <c r="X280" s="6">
        <v>0</v>
      </c>
      <c r="Y280" s="6">
        <v>21554336</v>
      </c>
      <c r="Z280" s="6">
        <v>1615921.2</v>
      </c>
      <c r="AA280" s="6">
        <v>2489997</v>
      </c>
      <c r="AB280" s="6">
        <v>4206516</v>
      </c>
      <c r="AC280" s="6">
        <v>0</v>
      </c>
      <c r="AD280" s="6">
        <f t="shared" si="56"/>
        <v>199893840</v>
      </c>
      <c r="AE280" s="6">
        <f t="shared" si="57"/>
        <v>0</v>
      </c>
      <c r="AF280" s="6">
        <f t="shared" si="58"/>
        <v>111625.60000000001</v>
      </c>
      <c r="AG280" s="6">
        <f t="shared" si="59"/>
        <v>199782214.40000001</v>
      </c>
      <c r="AH280" s="6">
        <f t="shared" si="60"/>
        <v>65933560</v>
      </c>
      <c r="AI280" s="6">
        <f t="shared" si="61"/>
        <v>55709243.399999999</v>
      </c>
      <c r="AJ280" s="6">
        <f t="shared" si="62"/>
        <v>478</v>
      </c>
      <c r="AK280" s="6">
        <f t="shared" si="63"/>
        <v>36124468</v>
      </c>
      <c r="AL280" s="6">
        <f t="shared" si="64"/>
        <v>42014456.200000003</v>
      </c>
      <c r="AM280" s="3">
        <f t="shared" si="65"/>
        <v>0.33002717583252494</v>
      </c>
      <c r="AN280" s="3">
        <f t="shared" si="66"/>
        <v>0.27884986442516874</v>
      </c>
      <c r="AO280" s="3">
        <f t="shared" si="67"/>
        <v>2.3926053749857723E-6</v>
      </c>
      <c r="AP280" s="3">
        <f t="shared" si="68"/>
        <v>0.18081923913243</v>
      </c>
      <c r="AQ280" s="3">
        <f t="shared" si="69"/>
        <v>0.21030128395653624</v>
      </c>
    </row>
    <row r="281" spans="1:43" x14ac:dyDescent="0.3">
      <c r="A281" t="s">
        <v>179</v>
      </c>
      <c r="B281" t="s">
        <v>7</v>
      </c>
      <c r="C281" t="s">
        <v>175</v>
      </c>
      <c r="D281" s="6">
        <v>2040</v>
      </c>
      <c r="E281" t="s">
        <v>195</v>
      </c>
      <c r="F281" s="6">
        <v>507.8</v>
      </c>
      <c r="G281" s="7">
        <v>485.2</v>
      </c>
      <c r="H281" s="7">
        <v>847</v>
      </c>
      <c r="I281" s="6">
        <v>202094480</v>
      </c>
      <c r="J281" s="6">
        <v>23120060</v>
      </c>
      <c r="K281" s="6">
        <v>36124468</v>
      </c>
      <c r="L281" s="6">
        <v>64043160</v>
      </c>
      <c r="M281" s="6">
        <v>0</v>
      </c>
      <c r="N281" s="6">
        <v>591.79999999999995</v>
      </c>
      <c r="O281" s="6">
        <v>59666530</v>
      </c>
      <c r="P281" s="6">
        <v>0</v>
      </c>
      <c r="Q281" s="6">
        <v>378715</v>
      </c>
      <c r="R281" s="6">
        <v>12140316</v>
      </c>
      <c r="S281" s="6">
        <v>0</v>
      </c>
      <c r="T281" s="6">
        <v>111647.6</v>
      </c>
      <c r="U281" s="6">
        <v>0</v>
      </c>
      <c r="V281" s="6">
        <v>0</v>
      </c>
      <c r="W281" s="6">
        <v>0</v>
      </c>
      <c r="X281" s="6">
        <v>0</v>
      </c>
      <c r="Y281" s="6">
        <v>21253622</v>
      </c>
      <c r="Z281" s="6">
        <v>1866438</v>
      </c>
      <c r="AA281" s="6">
        <v>2425618.5</v>
      </c>
      <c r="AB281" s="6">
        <v>4083373.5</v>
      </c>
      <c r="AC281" s="6">
        <v>0</v>
      </c>
      <c r="AD281" s="6">
        <f t="shared" si="56"/>
        <v>202094480</v>
      </c>
      <c r="AE281" s="6">
        <f t="shared" si="57"/>
        <v>0</v>
      </c>
      <c r="AF281" s="6">
        <f t="shared" si="58"/>
        <v>111647.6</v>
      </c>
      <c r="AG281" s="6">
        <f t="shared" si="59"/>
        <v>201982832.40000001</v>
      </c>
      <c r="AH281" s="6">
        <f t="shared" si="60"/>
        <v>64043160</v>
      </c>
      <c r="AI281" s="6">
        <f t="shared" si="61"/>
        <v>60045245</v>
      </c>
      <c r="AJ281" s="6">
        <f t="shared" si="62"/>
        <v>591.79999999999995</v>
      </c>
      <c r="AK281" s="6">
        <f t="shared" si="63"/>
        <v>36124468</v>
      </c>
      <c r="AL281" s="6">
        <f t="shared" si="64"/>
        <v>41769368</v>
      </c>
      <c r="AM281" s="3">
        <f t="shared" si="65"/>
        <v>0.31707229391244046</v>
      </c>
      <c r="AN281" s="3">
        <f t="shared" si="66"/>
        <v>0.29727895329781501</v>
      </c>
      <c r="AO281" s="3">
        <f t="shared" si="67"/>
        <v>2.9299519814041381E-6</v>
      </c>
      <c r="AP281" s="3">
        <f t="shared" si="68"/>
        <v>0.17884920005706387</v>
      </c>
      <c r="AQ281" s="3">
        <f t="shared" si="69"/>
        <v>0.20679662476106558</v>
      </c>
    </row>
    <row r="282" spans="1:43" x14ac:dyDescent="0.3">
      <c r="A282" t="s">
        <v>179</v>
      </c>
      <c r="B282" t="s">
        <v>7</v>
      </c>
      <c r="C282" t="s">
        <v>175</v>
      </c>
      <c r="D282" s="6">
        <v>2042</v>
      </c>
      <c r="E282" t="s">
        <v>195</v>
      </c>
      <c r="F282" s="6">
        <v>508.4</v>
      </c>
      <c r="G282" s="7">
        <v>509</v>
      </c>
      <c r="H282" s="7">
        <v>860.1</v>
      </c>
      <c r="I282" s="6">
        <v>203392210</v>
      </c>
      <c r="J282" s="6">
        <v>23078518</v>
      </c>
      <c r="K282" s="6">
        <v>36124468</v>
      </c>
      <c r="L282" s="6">
        <v>63955340</v>
      </c>
      <c r="M282" s="6">
        <v>0</v>
      </c>
      <c r="N282" s="6">
        <v>341.4</v>
      </c>
      <c r="O282" s="6">
        <v>61734390</v>
      </c>
      <c r="P282" s="6">
        <v>0</v>
      </c>
      <c r="Q282" s="6">
        <v>309901</v>
      </c>
      <c r="R282" s="6">
        <v>12151050</v>
      </c>
      <c r="S282" s="6">
        <v>0</v>
      </c>
      <c r="T282" s="6">
        <v>111681.2</v>
      </c>
      <c r="U282" s="6">
        <v>0</v>
      </c>
      <c r="V282" s="6">
        <v>0</v>
      </c>
      <c r="W282" s="6">
        <v>0</v>
      </c>
      <c r="X282" s="6">
        <v>0</v>
      </c>
      <c r="Y282" s="6">
        <v>20936032</v>
      </c>
      <c r="Z282" s="6">
        <v>2142484.5</v>
      </c>
      <c r="AA282" s="6">
        <v>1993626.2</v>
      </c>
      <c r="AB282" s="6">
        <v>3932888</v>
      </c>
      <c r="AC282" s="6">
        <v>0</v>
      </c>
      <c r="AD282" s="6">
        <f t="shared" si="56"/>
        <v>203392210</v>
      </c>
      <c r="AE282" s="6">
        <f t="shared" si="57"/>
        <v>0</v>
      </c>
      <c r="AF282" s="6">
        <f t="shared" si="58"/>
        <v>111681.2</v>
      </c>
      <c r="AG282" s="6">
        <f t="shared" si="59"/>
        <v>203280528.80000001</v>
      </c>
      <c r="AH282" s="6">
        <f t="shared" si="60"/>
        <v>63955340</v>
      </c>
      <c r="AI282" s="6">
        <f t="shared" si="61"/>
        <v>62044291</v>
      </c>
      <c r="AJ282" s="6">
        <f t="shared" si="62"/>
        <v>341.4</v>
      </c>
      <c r="AK282" s="6">
        <f t="shared" si="63"/>
        <v>36124468</v>
      </c>
      <c r="AL282" s="6">
        <f t="shared" si="64"/>
        <v>41156080.700000003</v>
      </c>
      <c r="AM282" s="3">
        <f t="shared" si="65"/>
        <v>0.31461616308034712</v>
      </c>
      <c r="AN282" s="3">
        <f t="shared" si="66"/>
        <v>0.30521512004252516</v>
      </c>
      <c r="AO282" s="3">
        <f t="shared" si="67"/>
        <v>1.6794525379058338E-6</v>
      </c>
      <c r="AP282" s="3">
        <f t="shared" si="68"/>
        <v>0.17770746767164056</v>
      </c>
      <c r="AQ282" s="3">
        <f t="shared" si="69"/>
        <v>0.20245953187425986</v>
      </c>
    </row>
    <row r="283" spans="1:43" x14ac:dyDescent="0.3">
      <c r="A283" t="s">
        <v>179</v>
      </c>
      <c r="B283" t="s">
        <v>7</v>
      </c>
      <c r="C283" t="s">
        <v>175</v>
      </c>
      <c r="D283" s="6">
        <v>2044</v>
      </c>
      <c r="E283" t="s">
        <v>195</v>
      </c>
      <c r="F283" s="6">
        <v>505.1</v>
      </c>
      <c r="G283" s="7">
        <v>536.70000000000005</v>
      </c>
      <c r="H283" s="7">
        <v>837.4</v>
      </c>
      <c r="I283" s="6">
        <v>205275090</v>
      </c>
      <c r="J283" s="6">
        <v>23057404</v>
      </c>
      <c r="K283" s="6">
        <v>36124468</v>
      </c>
      <c r="L283" s="6">
        <v>62973130</v>
      </c>
      <c r="M283" s="6">
        <v>0</v>
      </c>
      <c r="N283" s="6">
        <v>204.9</v>
      </c>
      <c r="O283" s="6">
        <v>64700790</v>
      </c>
      <c r="P283" s="6">
        <v>0</v>
      </c>
      <c r="Q283" s="6">
        <v>345922.4</v>
      </c>
      <c r="R283" s="6">
        <v>12141972</v>
      </c>
      <c r="S283" s="6">
        <v>0</v>
      </c>
      <c r="T283" s="6">
        <v>111642.8</v>
      </c>
      <c r="U283" s="6">
        <v>0</v>
      </c>
      <c r="V283" s="6">
        <v>0</v>
      </c>
      <c r="W283" s="6">
        <v>0</v>
      </c>
      <c r="X283" s="6">
        <v>0</v>
      </c>
      <c r="Y283" s="6">
        <v>20589018</v>
      </c>
      <c r="Z283" s="6">
        <v>2468385.2000000002</v>
      </c>
      <c r="AA283" s="6">
        <v>1991760.2</v>
      </c>
      <c r="AB283" s="6">
        <v>3827783.2</v>
      </c>
      <c r="AC283" s="6">
        <v>0</v>
      </c>
      <c r="AD283" s="6">
        <f t="shared" si="56"/>
        <v>205275090</v>
      </c>
      <c r="AE283" s="6">
        <f t="shared" si="57"/>
        <v>0</v>
      </c>
      <c r="AF283" s="6">
        <f t="shared" si="58"/>
        <v>111642.8</v>
      </c>
      <c r="AG283" s="6">
        <f t="shared" si="59"/>
        <v>205163447.19999999</v>
      </c>
      <c r="AH283" s="6">
        <f t="shared" si="60"/>
        <v>62973130</v>
      </c>
      <c r="AI283" s="6">
        <f t="shared" si="61"/>
        <v>65046712.399999999</v>
      </c>
      <c r="AJ283" s="6">
        <f t="shared" si="62"/>
        <v>204.9</v>
      </c>
      <c r="AK283" s="6">
        <f t="shared" si="63"/>
        <v>36124468</v>
      </c>
      <c r="AL283" s="6">
        <f t="shared" si="64"/>
        <v>41018918.600000009</v>
      </c>
      <c r="AM283" s="3">
        <f t="shared" si="65"/>
        <v>0.3069412746736106</v>
      </c>
      <c r="AN283" s="3">
        <f t="shared" si="66"/>
        <v>0.31704825244328416</v>
      </c>
      <c r="AO283" s="3">
        <f t="shared" si="67"/>
        <v>9.9871591551226381E-7</v>
      </c>
      <c r="AP283" s="3">
        <f t="shared" si="68"/>
        <v>0.17607653065404333</v>
      </c>
      <c r="AQ283" s="3">
        <f t="shared" si="69"/>
        <v>0.19993287868678397</v>
      </c>
    </row>
    <row r="284" spans="1:43" x14ac:dyDescent="0.3">
      <c r="A284" t="s">
        <v>179</v>
      </c>
      <c r="B284" t="s">
        <v>7</v>
      </c>
      <c r="C284" t="s">
        <v>175</v>
      </c>
      <c r="D284" s="6">
        <v>2046</v>
      </c>
      <c r="E284" t="s">
        <v>195</v>
      </c>
      <c r="F284" s="6">
        <v>492.6</v>
      </c>
      <c r="G284" s="7">
        <v>528.20000000000005</v>
      </c>
      <c r="H284" s="7">
        <v>801.2</v>
      </c>
      <c r="I284" s="6">
        <v>202958100</v>
      </c>
      <c r="J284" s="6">
        <v>23086046</v>
      </c>
      <c r="K284" s="6">
        <v>36124468</v>
      </c>
      <c r="L284" s="6">
        <v>59245132</v>
      </c>
      <c r="M284" s="6">
        <v>0</v>
      </c>
      <c r="N284" s="6">
        <v>0</v>
      </c>
      <c r="O284" s="6">
        <v>65692500</v>
      </c>
      <c r="P284" s="6">
        <v>0</v>
      </c>
      <c r="Q284" s="6">
        <v>750248</v>
      </c>
      <c r="R284" s="6">
        <v>12150751</v>
      </c>
      <c r="S284" s="6">
        <v>0</v>
      </c>
      <c r="T284" s="6">
        <v>111642.8</v>
      </c>
      <c r="U284" s="6">
        <v>0</v>
      </c>
      <c r="V284" s="6">
        <v>0</v>
      </c>
      <c r="W284" s="6">
        <v>0</v>
      </c>
      <c r="X284" s="6">
        <v>0</v>
      </c>
      <c r="Y284" s="6">
        <v>20237364</v>
      </c>
      <c r="Z284" s="6">
        <v>2848682</v>
      </c>
      <c r="AA284" s="6">
        <v>2020883.2</v>
      </c>
      <c r="AB284" s="6">
        <v>3776416.8</v>
      </c>
      <c r="AC284" s="6">
        <v>0</v>
      </c>
      <c r="AD284" s="6">
        <f t="shared" si="56"/>
        <v>202958100</v>
      </c>
      <c r="AE284" s="6">
        <f t="shared" si="57"/>
        <v>0</v>
      </c>
      <c r="AF284" s="6">
        <f t="shared" si="58"/>
        <v>111642.8</v>
      </c>
      <c r="AG284" s="6">
        <f t="shared" si="59"/>
        <v>202846457.19999999</v>
      </c>
      <c r="AH284" s="6">
        <f t="shared" si="60"/>
        <v>59245132</v>
      </c>
      <c r="AI284" s="6">
        <f t="shared" si="61"/>
        <v>66442748</v>
      </c>
      <c r="AJ284" s="6">
        <f t="shared" si="62"/>
        <v>0</v>
      </c>
      <c r="AK284" s="6">
        <f t="shared" si="63"/>
        <v>36124468</v>
      </c>
      <c r="AL284" s="6">
        <f t="shared" si="64"/>
        <v>41034097</v>
      </c>
      <c r="AM284" s="3">
        <f t="shared" si="65"/>
        <v>0.29206885255869286</v>
      </c>
      <c r="AN284" s="3">
        <f t="shared" si="66"/>
        <v>0.32755192729094412</v>
      </c>
      <c r="AO284" s="3">
        <f t="shared" si="67"/>
        <v>0</v>
      </c>
      <c r="AP284" s="3">
        <f t="shared" si="68"/>
        <v>0.17808774429016749</v>
      </c>
      <c r="AQ284" s="3">
        <f t="shared" si="69"/>
        <v>0.20229141571618242</v>
      </c>
    </row>
    <row r="285" spans="1:43" x14ac:dyDescent="0.3">
      <c r="A285" t="s">
        <v>179</v>
      </c>
      <c r="B285" t="s">
        <v>7</v>
      </c>
      <c r="C285" t="s">
        <v>175</v>
      </c>
      <c r="D285" s="6">
        <v>2048</v>
      </c>
      <c r="E285" t="s">
        <v>195</v>
      </c>
      <c r="F285" s="6">
        <v>438</v>
      </c>
      <c r="G285" s="7">
        <v>498.9</v>
      </c>
      <c r="H285" s="7">
        <v>766.3</v>
      </c>
      <c r="I285" s="6">
        <v>200150700</v>
      </c>
      <c r="J285" s="6">
        <v>26440124</v>
      </c>
      <c r="K285" s="6">
        <v>36124468</v>
      </c>
      <c r="L285" s="6">
        <v>44635950</v>
      </c>
      <c r="M285" s="6">
        <v>0</v>
      </c>
      <c r="N285" s="6">
        <v>0</v>
      </c>
      <c r="O285" s="6">
        <v>73803880</v>
      </c>
      <c r="P285" s="6">
        <v>0</v>
      </c>
      <c r="Q285" s="6">
        <v>1806990.8</v>
      </c>
      <c r="R285" s="6">
        <v>12218717</v>
      </c>
      <c r="S285" s="6">
        <v>0</v>
      </c>
      <c r="T285" s="6">
        <v>111642.8</v>
      </c>
      <c r="U285" s="6">
        <v>0</v>
      </c>
      <c r="V285" s="6">
        <v>1665</v>
      </c>
      <c r="W285" s="6">
        <v>0</v>
      </c>
      <c r="X285" s="6">
        <v>0</v>
      </c>
      <c r="Y285" s="6">
        <v>23162908</v>
      </c>
      <c r="Z285" s="6">
        <v>3275551</v>
      </c>
      <c r="AA285" s="6">
        <v>2231329</v>
      </c>
      <c r="AB285" s="6">
        <v>2777604.5</v>
      </c>
      <c r="AC285" s="6">
        <v>0</v>
      </c>
      <c r="AD285" s="6">
        <f t="shared" si="56"/>
        <v>200150700</v>
      </c>
      <c r="AE285" s="6">
        <f t="shared" si="57"/>
        <v>0</v>
      </c>
      <c r="AF285" s="6">
        <f t="shared" si="58"/>
        <v>111642.8</v>
      </c>
      <c r="AG285" s="6">
        <f t="shared" si="59"/>
        <v>200039057.19999999</v>
      </c>
      <c r="AH285" s="6">
        <f t="shared" si="60"/>
        <v>44635950</v>
      </c>
      <c r="AI285" s="6">
        <f t="shared" si="61"/>
        <v>75610870.799999997</v>
      </c>
      <c r="AJ285" s="6">
        <f t="shared" si="62"/>
        <v>0</v>
      </c>
      <c r="AK285" s="6">
        <f t="shared" si="63"/>
        <v>36124468</v>
      </c>
      <c r="AL285" s="6">
        <f t="shared" si="64"/>
        <v>43667774.5</v>
      </c>
      <c r="AM285" s="3">
        <f t="shared" si="65"/>
        <v>0.22313617462900143</v>
      </c>
      <c r="AN285" s="3">
        <f t="shared" si="66"/>
        <v>0.37798053969232565</v>
      </c>
      <c r="AO285" s="3">
        <f t="shared" si="67"/>
        <v>0</v>
      </c>
      <c r="AP285" s="3">
        <f t="shared" si="68"/>
        <v>0.18058707387269171</v>
      </c>
      <c r="AQ285" s="3">
        <f t="shared" si="69"/>
        <v>0.2182962423000262</v>
      </c>
    </row>
    <row r="286" spans="1:43" x14ac:dyDescent="0.3">
      <c r="A286" t="s">
        <v>179</v>
      </c>
      <c r="B286" t="s">
        <v>7</v>
      </c>
      <c r="C286" t="s">
        <v>175</v>
      </c>
      <c r="D286" s="6">
        <v>2050</v>
      </c>
      <c r="E286" t="s">
        <v>195</v>
      </c>
      <c r="F286" s="6">
        <v>407.4</v>
      </c>
      <c r="G286" s="7">
        <v>452.6</v>
      </c>
      <c r="H286" s="7">
        <v>752.2</v>
      </c>
      <c r="I286" s="6">
        <v>203798510</v>
      </c>
      <c r="J286" s="6">
        <v>31275444</v>
      </c>
      <c r="K286" s="6">
        <v>36124468</v>
      </c>
      <c r="L286" s="6">
        <v>40160572</v>
      </c>
      <c r="M286" s="6">
        <v>0</v>
      </c>
      <c r="N286" s="6">
        <v>0</v>
      </c>
      <c r="O286" s="6">
        <v>74566360</v>
      </c>
      <c r="P286" s="6">
        <v>0</v>
      </c>
      <c r="Q286" s="6">
        <v>2548349.2000000002</v>
      </c>
      <c r="R286" s="6">
        <v>12232540</v>
      </c>
      <c r="S286" s="6">
        <v>0</v>
      </c>
      <c r="T286" s="6">
        <v>111609.1</v>
      </c>
      <c r="U286" s="6">
        <v>0</v>
      </c>
      <c r="V286" s="6">
        <v>1656</v>
      </c>
      <c r="W286" s="6">
        <v>0</v>
      </c>
      <c r="X286" s="6">
        <v>0</v>
      </c>
      <c r="Y286" s="6">
        <v>27494852</v>
      </c>
      <c r="Z286" s="6">
        <v>3778935.5</v>
      </c>
      <c r="AA286" s="6">
        <v>1995168.2</v>
      </c>
      <c r="AB286" s="6">
        <v>4784009</v>
      </c>
      <c r="AC286" s="6">
        <v>0</v>
      </c>
      <c r="AD286" s="6">
        <f t="shared" si="56"/>
        <v>203798510</v>
      </c>
      <c r="AE286" s="6">
        <f t="shared" si="57"/>
        <v>0</v>
      </c>
      <c r="AF286" s="6">
        <f t="shared" si="58"/>
        <v>111609.1</v>
      </c>
      <c r="AG286" s="6">
        <f t="shared" si="59"/>
        <v>203686900.90000001</v>
      </c>
      <c r="AH286" s="6">
        <f t="shared" si="60"/>
        <v>40160572</v>
      </c>
      <c r="AI286" s="6">
        <f t="shared" si="61"/>
        <v>77114709.200000003</v>
      </c>
      <c r="AJ286" s="6">
        <f t="shared" si="62"/>
        <v>0</v>
      </c>
      <c r="AK286" s="6">
        <f t="shared" si="63"/>
        <v>36124468</v>
      </c>
      <c r="AL286" s="6">
        <f t="shared" si="64"/>
        <v>50287160.700000003</v>
      </c>
      <c r="AM286" s="3">
        <f t="shared" si="65"/>
        <v>0.19716816261894432</v>
      </c>
      <c r="AN286" s="3">
        <f t="shared" si="66"/>
        <v>0.37859434681005549</v>
      </c>
      <c r="AO286" s="3">
        <f t="shared" si="67"/>
        <v>0</v>
      </c>
      <c r="AP286" s="3">
        <f t="shared" si="68"/>
        <v>0.17735292667511934</v>
      </c>
      <c r="AQ286" s="3">
        <f t="shared" si="69"/>
        <v>0.24688460808134374</v>
      </c>
    </row>
    <row r="287" spans="1:43" x14ac:dyDescent="0.3">
      <c r="A287" t="s">
        <v>179</v>
      </c>
      <c r="B287" t="s">
        <v>7</v>
      </c>
      <c r="C287" t="s">
        <v>176</v>
      </c>
      <c r="D287" s="6">
        <v>2022</v>
      </c>
      <c r="E287" t="s">
        <v>195</v>
      </c>
      <c r="F287" s="6">
        <v>381.1</v>
      </c>
      <c r="G287" s="7">
        <v>754.2</v>
      </c>
      <c r="H287" s="7">
        <v>915</v>
      </c>
      <c r="I287" s="6">
        <v>330158460</v>
      </c>
      <c r="J287" s="6">
        <v>25063616</v>
      </c>
      <c r="K287" s="6">
        <v>122300980</v>
      </c>
      <c r="L287" s="6">
        <v>74266000</v>
      </c>
      <c r="M287" s="6">
        <v>0</v>
      </c>
      <c r="N287" s="6">
        <v>21639.5</v>
      </c>
      <c r="O287" s="6">
        <v>90533910</v>
      </c>
      <c r="P287" s="6">
        <v>0</v>
      </c>
      <c r="Q287" s="6">
        <v>513820.1</v>
      </c>
      <c r="R287" s="6">
        <v>7060897</v>
      </c>
      <c r="S287" s="6">
        <v>0</v>
      </c>
      <c r="T287" s="6">
        <v>5513025</v>
      </c>
      <c r="U287" s="6">
        <v>0</v>
      </c>
      <c r="V287" s="6">
        <v>597530.80000000005</v>
      </c>
      <c r="W287" s="6">
        <v>43469.3</v>
      </c>
      <c r="X287" s="6">
        <v>0</v>
      </c>
      <c r="Y287" s="6">
        <v>22493022</v>
      </c>
      <c r="Z287" s="6">
        <v>1929593.2</v>
      </c>
      <c r="AA287" s="6">
        <v>4576002.5</v>
      </c>
      <c r="AB287" s="6">
        <v>308559.59999999998</v>
      </c>
      <c r="AC287" s="6">
        <v>0</v>
      </c>
      <c r="AD287" s="6">
        <f t="shared" si="56"/>
        <v>330158460</v>
      </c>
      <c r="AE287" s="6">
        <f t="shared" si="57"/>
        <v>0</v>
      </c>
      <c r="AF287" s="6">
        <f t="shared" si="58"/>
        <v>5513025</v>
      </c>
      <c r="AG287" s="6">
        <f t="shared" si="59"/>
        <v>324645435</v>
      </c>
      <c r="AH287" s="6">
        <f t="shared" si="60"/>
        <v>74266000</v>
      </c>
      <c r="AI287" s="6">
        <f t="shared" si="61"/>
        <v>91047730.099999994</v>
      </c>
      <c r="AJ287" s="6">
        <f t="shared" si="62"/>
        <v>21639.5</v>
      </c>
      <c r="AK287" s="6">
        <f t="shared" si="63"/>
        <v>122300980</v>
      </c>
      <c r="AL287" s="6">
        <f t="shared" si="64"/>
        <v>37009074.399999999</v>
      </c>
      <c r="AM287" s="3">
        <f t="shared" si="65"/>
        <v>0.22876033972262694</v>
      </c>
      <c r="AN287" s="3">
        <f t="shared" si="66"/>
        <v>0.28045282725136733</v>
      </c>
      <c r="AO287" s="3">
        <f t="shared" si="67"/>
        <v>6.6655796345942766E-5</v>
      </c>
      <c r="AP287" s="3">
        <f t="shared" si="68"/>
        <v>0.37672169947499801</v>
      </c>
      <c r="AQ287" s="3">
        <f t="shared" si="69"/>
        <v>0.1139984438715425</v>
      </c>
    </row>
    <row r="288" spans="1:43" x14ac:dyDescent="0.3">
      <c r="A288" t="s">
        <v>179</v>
      </c>
      <c r="B288" t="s">
        <v>7</v>
      </c>
      <c r="C288" t="s">
        <v>176</v>
      </c>
      <c r="D288" s="6">
        <v>2024</v>
      </c>
      <c r="E288" t="s">
        <v>195</v>
      </c>
      <c r="F288" s="6">
        <v>340.7</v>
      </c>
      <c r="G288" s="7">
        <v>647.4</v>
      </c>
      <c r="H288" s="7">
        <v>920.7</v>
      </c>
      <c r="I288" s="6">
        <v>339012770</v>
      </c>
      <c r="J288" s="6">
        <v>28810972</v>
      </c>
      <c r="K288" s="6">
        <v>122300980</v>
      </c>
      <c r="L288" s="6">
        <v>54007052</v>
      </c>
      <c r="M288" s="6">
        <v>0</v>
      </c>
      <c r="N288" s="6">
        <v>28116.2</v>
      </c>
      <c r="O288" s="6">
        <v>113816400</v>
      </c>
      <c r="P288" s="6">
        <v>0</v>
      </c>
      <c r="Q288" s="6">
        <v>1255274.2</v>
      </c>
      <c r="R288" s="6">
        <v>7059190.5</v>
      </c>
      <c r="S288" s="6">
        <v>0</v>
      </c>
      <c r="T288" s="6">
        <v>5401623.5</v>
      </c>
      <c r="U288" s="6">
        <v>0</v>
      </c>
      <c r="V288" s="6">
        <v>594308.19999999995</v>
      </c>
      <c r="W288" s="6">
        <v>3206171.5</v>
      </c>
      <c r="X288" s="6">
        <v>0</v>
      </c>
      <c r="Y288" s="6">
        <v>22179222</v>
      </c>
      <c r="Z288" s="6">
        <v>2831271</v>
      </c>
      <c r="AA288" s="6">
        <v>5713113.5</v>
      </c>
      <c r="AB288" s="6">
        <v>620052.1</v>
      </c>
      <c r="AC288" s="6">
        <v>0</v>
      </c>
      <c r="AD288" s="6">
        <f t="shared" si="56"/>
        <v>339012770</v>
      </c>
      <c r="AE288" s="6">
        <f t="shared" si="57"/>
        <v>0</v>
      </c>
      <c r="AF288" s="6">
        <f t="shared" si="58"/>
        <v>5401623.5</v>
      </c>
      <c r="AG288" s="6">
        <f t="shared" si="59"/>
        <v>333611146.5</v>
      </c>
      <c r="AH288" s="6">
        <f t="shared" si="60"/>
        <v>54007052</v>
      </c>
      <c r="AI288" s="6">
        <f t="shared" si="61"/>
        <v>115071674.2</v>
      </c>
      <c r="AJ288" s="6">
        <f t="shared" si="62"/>
        <v>28116.2</v>
      </c>
      <c r="AK288" s="6">
        <f t="shared" si="63"/>
        <v>122300980</v>
      </c>
      <c r="AL288" s="6">
        <f t="shared" si="64"/>
        <v>42203328.800000004</v>
      </c>
      <c r="AM288" s="3">
        <f t="shared" si="65"/>
        <v>0.16188623361839621</v>
      </c>
      <c r="AN288" s="3">
        <f t="shared" si="66"/>
        <v>0.34492754635822698</v>
      </c>
      <c r="AO288" s="3">
        <f t="shared" si="67"/>
        <v>8.4278359086542099E-5</v>
      </c>
      <c r="AP288" s="3">
        <f t="shared" si="68"/>
        <v>0.3665974032435394</v>
      </c>
      <c r="AQ288" s="3">
        <f t="shared" si="69"/>
        <v>0.12650455250900919</v>
      </c>
    </row>
    <row r="289" spans="1:43" x14ac:dyDescent="0.3">
      <c r="A289" t="s">
        <v>179</v>
      </c>
      <c r="B289" t="s">
        <v>7</v>
      </c>
      <c r="C289" t="s">
        <v>176</v>
      </c>
      <c r="D289" s="6">
        <v>2026</v>
      </c>
      <c r="E289" t="s">
        <v>195</v>
      </c>
      <c r="F289" s="6">
        <v>323.2</v>
      </c>
      <c r="G289" s="7">
        <v>530</v>
      </c>
      <c r="H289" s="7">
        <v>918.7</v>
      </c>
      <c r="I289" s="6">
        <v>340019170</v>
      </c>
      <c r="J289" s="6">
        <v>35675856</v>
      </c>
      <c r="K289" s="6">
        <v>122300980</v>
      </c>
      <c r="L289" s="6">
        <v>49763556</v>
      </c>
      <c r="M289" s="6">
        <v>0</v>
      </c>
      <c r="N289" s="6">
        <v>30534.6</v>
      </c>
      <c r="O289" s="6">
        <v>111309910</v>
      </c>
      <c r="P289" s="6">
        <v>0</v>
      </c>
      <c r="Q289" s="6">
        <v>1316387.3999999999</v>
      </c>
      <c r="R289" s="6">
        <v>7065188</v>
      </c>
      <c r="S289" s="6">
        <v>0</v>
      </c>
      <c r="T289" s="6">
        <v>5393573</v>
      </c>
      <c r="U289" s="6">
        <v>0</v>
      </c>
      <c r="V289" s="6">
        <v>591103.4</v>
      </c>
      <c r="W289" s="6">
        <v>9581278</v>
      </c>
      <c r="X289" s="6">
        <v>0</v>
      </c>
      <c r="Y289" s="6">
        <v>21869804</v>
      </c>
      <c r="Z289" s="6">
        <v>3633670</v>
      </c>
      <c r="AA289" s="6">
        <v>6219135.5</v>
      </c>
      <c r="AB289" s="6">
        <v>944046.1</v>
      </c>
      <c r="AC289" s="6">
        <v>0</v>
      </c>
      <c r="AD289" s="6">
        <f t="shared" si="56"/>
        <v>340019170</v>
      </c>
      <c r="AE289" s="6">
        <f t="shared" si="57"/>
        <v>0</v>
      </c>
      <c r="AF289" s="6">
        <f t="shared" si="58"/>
        <v>5393573</v>
      </c>
      <c r="AG289" s="6">
        <f t="shared" si="59"/>
        <v>334625597</v>
      </c>
      <c r="AH289" s="6">
        <f t="shared" si="60"/>
        <v>49763556</v>
      </c>
      <c r="AI289" s="6">
        <f t="shared" si="61"/>
        <v>112626297.40000001</v>
      </c>
      <c r="AJ289" s="6">
        <f t="shared" si="62"/>
        <v>30534.6</v>
      </c>
      <c r="AK289" s="6">
        <f t="shared" si="63"/>
        <v>122300980</v>
      </c>
      <c r="AL289" s="6">
        <f t="shared" si="64"/>
        <v>49904225</v>
      </c>
      <c r="AM289" s="3">
        <f t="shared" si="65"/>
        <v>0.14871413438225409</v>
      </c>
      <c r="AN289" s="3">
        <f t="shared" si="66"/>
        <v>0.33657406489438407</v>
      </c>
      <c r="AO289" s="3">
        <f t="shared" si="67"/>
        <v>9.125004265588205E-5</v>
      </c>
      <c r="AP289" s="3">
        <f t="shared" si="68"/>
        <v>0.36548602705966932</v>
      </c>
      <c r="AQ289" s="3">
        <f t="shared" si="69"/>
        <v>0.14913451166737851</v>
      </c>
    </row>
    <row r="290" spans="1:43" x14ac:dyDescent="0.3">
      <c r="A290" t="s">
        <v>179</v>
      </c>
      <c r="B290" t="s">
        <v>7</v>
      </c>
      <c r="C290" t="s">
        <v>176</v>
      </c>
      <c r="D290" s="6">
        <v>2028</v>
      </c>
      <c r="E290" t="s">
        <v>195</v>
      </c>
      <c r="F290" s="6">
        <v>335</v>
      </c>
      <c r="G290" s="7">
        <v>421.1</v>
      </c>
      <c r="H290" s="7">
        <v>915.8</v>
      </c>
      <c r="I290" s="6">
        <v>340662180</v>
      </c>
      <c r="J290" s="6">
        <v>37778388</v>
      </c>
      <c r="K290" s="6">
        <v>122300980</v>
      </c>
      <c r="L290" s="6">
        <v>57736790</v>
      </c>
      <c r="M290" s="6">
        <v>0</v>
      </c>
      <c r="N290" s="6">
        <v>25183.7</v>
      </c>
      <c r="O290" s="6">
        <v>103045944</v>
      </c>
      <c r="P290" s="6">
        <v>0</v>
      </c>
      <c r="Q290" s="6">
        <v>1287888.6000000001</v>
      </c>
      <c r="R290" s="6">
        <v>7059241</v>
      </c>
      <c r="S290" s="6">
        <v>0</v>
      </c>
      <c r="T290" s="6">
        <v>3971758</v>
      </c>
      <c r="U290" s="6">
        <v>0</v>
      </c>
      <c r="V290" s="6">
        <v>587915.6</v>
      </c>
      <c r="W290" s="6">
        <v>10699133</v>
      </c>
      <c r="X290" s="6">
        <v>0</v>
      </c>
      <c r="Y290" s="6">
        <v>21564692</v>
      </c>
      <c r="Z290" s="6">
        <v>4926647</v>
      </c>
      <c r="AA290" s="6">
        <v>6129414</v>
      </c>
      <c r="AB290" s="6">
        <v>1326572.6000000001</v>
      </c>
      <c r="AC290" s="6">
        <v>0</v>
      </c>
      <c r="AD290" s="6">
        <f t="shared" si="56"/>
        <v>340662180</v>
      </c>
      <c r="AE290" s="6">
        <f t="shared" si="57"/>
        <v>0</v>
      </c>
      <c r="AF290" s="6">
        <f t="shared" si="58"/>
        <v>3971758</v>
      </c>
      <c r="AG290" s="6">
        <f t="shared" si="59"/>
        <v>336690422</v>
      </c>
      <c r="AH290" s="6">
        <f t="shared" si="60"/>
        <v>57736790</v>
      </c>
      <c r="AI290" s="6">
        <f t="shared" si="61"/>
        <v>104333832.59999999</v>
      </c>
      <c r="AJ290" s="6">
        <f t="shared" si="62"/>
        <v>25183.7</v>
      </c>
      <c r="AK290" s="6">
        <f t="shared" si="63"/>
        <v>122300980</v>
      </c>
      <c r="AL290" s="6">
        <f t="shared" si="64"/>
        <v>52293615.200000003</v>
      </c>
      <c r="AM290" s="3">
        <f t="shared" si="65"/>
        <v>0.1714833159108993</v>
      </c>
      <c r="AN290" s="3">
        <f t="shared" si="66"/>
        <v>0.3098806077708976</v>
      </c>
      <c r="AO290" s="3">
        <f t="shared" si="67"/>
        <v>7.4797791545136384E-5</v>
      </c>
      <c r="AP290" s="3">
        <f t="shared" si="68"/>
        <v>0.36324460694043742</v>
      </c>
      <c r="AQ290" s="3">
        <f t="shared" si="69"/>
        <v>0.15531661069942762</v>
      </c>
    </row>
    <row r="291" spans="1:43" x14ac:dyDescent="0.3">
      <c r="A291" t="s">
        <v>179</v>
      </c>
      <c r="B291" t="s">
        <v>7</v>
      </c>
      <c r="C291" t="s">
        <v>176</v>
      </c>
      <c r="D291" s="6">
        <v>2030</v>
      </c>
      <c r="E291" t="s">
        <v>195</v>
      </c>
      <c r="F291" s="6">
        <v>314.39999999999998</v>
      </c>
      <c r="G291" s="7">
        <v>415.7</v>
      </c>
      <c r="H291" s="7">
        <v>895.2</v>
      </c>
      <c r="I291" s="6">
        <v>345944500</v>
      </c>
      <c r="J291" s="6">
        <v>46673972</v>
      </c>
      <c r="K291" s="6">
        <v>122300980</v>
      </c>
      <c r="L291" s="6">
        <v>54814092</v>
      </c>
      <c r="M291" s="6">
        <v>0</v>
      </c>
      <c r="N291" s="6">
        <v>7142.5</v>
      </c>
      <c r="O291" s="6">
        <v>99094696</v>
      </c>
      <c r="P291" s="6">
        <v>0</v>
      </c>
      <c r="Q291" s="6">
        <v>826863.8</v>
      </c>
      <c r="R291" s="6">
        <v>7062473.5</v>
      </c>
      <c r="S291" s="6">
        <v>0</v>
      </c>
      <c r="T291" s="6">
        <v>3953212.8</v>
      </c>
      <c r="U291" s="6">
        <v>0</v>
      </c>
      <c r="V291" s="6">
        <v>592316.6</v>
      </c>
      <c r="W291" s="6">
        <v>10641431</v>
      </c>
      <c r="X291" s="6">
        <v>0</v>
      </c>
      <c r="Y291" s="6">
        <v>28339764</v>
      </c>
      <c r="Z291" s="6">
        <v>7100461.5</v>
      </c>
      <c r="AA291" s="6">
        <v>5663813</v>
      </c>
      <c r="AB291" s="6">
        <v>5547271</v>
      </c>
      <c r="AC291" s="6">
        <v>0</v>
      </c>
      <c r="AD291" s="6">
        <f t="shared" si="56"/>
        <v>345944500</v>
      </c>
      <c r="AE291" s="6">
        <f t="shared" si="57"/>
        <v>0</v>
      </c>
      <c r="AF291" s="6">
        <f t="shared" si="58"/>
        <v>3953212.8</v>
      </c>
      <c r="AG291" s="6">
        <f t="shared" si="59"/>
        <v>341991287.19999999</v>
      </c>
      <c r="AH291" s="6">
        <f t="shared" si="60"/>
        <v>54814092</v>
      </c>
      <c r="AI291" s="6">
        <f t="shared" si="61"/>
        <v>99921559.799999997</v>
      </c>
      <c r="AJ291" s="6">
        <f t="shared" si="62"/>
        <v>7142.5</v>
      </c>
      <c r="AK291" s="6">
        <f t="shared" si="63"/>
        <v>122300980</v>
      </c>
      <c r="AL291" s="6">
        <f t="shared" si="64"/>
        <v>64947530.600000001</v>
      </c>
      <c r="AM291" s="3">
        <f t="shared" si="65"/>
        <v>0.16027920608382096</v>
      </c>
      <c r="AN291" s="3">
        <f t="shared" si="66"/>
        <v>0.29217574698493665</v>
      </c>
      <c r="AO291" s="3">
        <f t="shared" si="67"/>
        <v>2.0885034991616593E-5</v>
      </c>
      <c r="AP291" s="3">
        <f t="shared" si="68"/>
        <v>0.35761431526902365</v>
      </c>
      <c r="AQ291" s="3">
        <f t="shared" si="69"/>
        <v>0.18990989838293168</v>
      </c>
    </row>
    <row r="292" spans="1:43" x14ac:dyDescent="0.3">
      <c r="A292" t="s">
        <v>179</v>
      </c>
      <c r="B292" t="s">
        <v>7</v>
      </c>
      <c r="C292" t="s">
        <v>176</v>
      </c>
      <c r="D292" s="6">
        <v>2032</v>
      </c>
      <c r="E292" t="s">
        <v>195</v>
      </c>
      <c r="F292" s="6">
        <v>304.7</v>
      </c>
      <c r="G292" s="7">
        <v>364.9</v>
      </c>
      <c r="H292" s="7">
        <v>883.2</v>
      </c>
      <c r="I292" s="6">
        <v>346987040</v>
      </c>
      <c r="J292" s="6">
        <v>49956210</v>
      </c>
      <c r="K292" s="6">
        <v>122300980</v>
      </c>
      <c r="L292" s="6">
        <v>52225060</v>
      </c>
      <c r="M292" s="6">
        <v>0</v>
      </c>
      <c r="N292" s="6">
        <v>5512.3</v>
      </c>
      <c r="O292" s="6">
        <v>99062510</v>
      </c>
      <c r="P292" s="6">
        <v>0</v>
      </c>
      <c r="Q292" s="6">
        <v>635653.9</v>
      </c>
      <c r="R292" s="6">
        <v>7060302.5</v>
      </c>
      <c r="S292" s="6">
        <v>0</v>
      </c>
      <c r="T292" s="6">
        <v>3942797.2</v>
      </c>
      <c r="U292" s="6">
        <v>0</v>
      </c>
      <c r="V292" s="6">
        <v>791704.9</v>
      </c>
      <c r="W292" s="6">
        <v>10584044</v>
      </c>
      <c r="X292" s="6">
        <v>0</v>
      </c>
      <c r="Y292" s="6">
        <v>29329012</v>
      </c>
      <c r="Z292" s="6">
        <v>9251450</v>
      </c>
      <c r="AA292" s="6">
        <v>4995720.5</v>
      </c>
      <c r="AB292" s="6">
        <v>6802298.5</v>
      </c>
      <c r="AC292" s="6">
        <v>0</v>
      </c>
      <c r="AD292" s="6">
        <f t="shared" si="56"/>
        <v>346987040</v>
      </c>
      <c r="AE292" s="6">
        <f t="shared" si="57"/>
        <v>0</v>
      </c>
      <c r="AF292" s="6">
        <f t="shared" si="58"/>
        <v>3942797.2</v>
      </c>
      <c r="AG292" s="6">
        <f t="shared" si="59"/>
        <v>343044242.80000001</v>
      </c>
      <c r="AH292" s="6">
        <f t="shared" si="60"/>
        <v>52225060</v>
      </c>
      <c r="AI292" s="6">
        <f t="shared" si="61"/>
        <v>99698163.900000006</v>
      </c>
      <c r="AJ292" s="6">
        <f t="shared" si="62"/>
        <v>5512.3</v>
      </c>
      <c r="AK292" s="6">
        <f t="shared" si="63"/>
        <v>122300980</v>
      </c>
      <c r="AL292" s="6">
        <f t="shared" si="64"/>
        <v>68814532.400000006</v>
      </c>
      <c r="AM292" s="3">
        <f t="shared" si="65"/>
        <v>0.1522400130482528</v>
      </c>
      <c r="AN292" s="3">
        <f t="shared" si="66"/>
        <v>0.29062771345830613</v>
      </c>
      <c r="AO292" s="3">
        <f t="shared" si="67"/>
        <v>1.6068772806118055E-5</v>
      </c>
      <c r="AP292" s="3">
        <f t="shared" si="68"/>
        <v>0.35651663762596164</v>
      </c>
      <c r="AQ292" s="3">
        <f t="shared" si="69"/>
        <v>0.20059958400211345</v>
      </c>
    </row>
    <row r="293" spans="1:43" x14ac:dyDescent="0.3">
      <c r="A293" t="s">
        <v>179</v>
      </c>
      <c r="B293" t="s">
        <v>7</v>
      </c>
      <c r="C293" t="s">
        <v>176</v>
      </c>
      <c r="D293" s="6">
        <v>2034</v>
      </c>
      <c r="E293" t="s">
        <v>195</v>
      </c>
      <c r="F293" s="6">
        <v>282.8</v>
      </c>
      <c r="G293" s="7">
        <v>360.5</v>
      </c>
      <c r="H293" s="7">
        <v>870.8</v>
      </c>
      <c r="I293" s="6">
        <v>357552320</v>
      </c>
      <c r="J293" s="6">
        <v>60211252</v>
      </c>
      <c r="K293" s="6">
        <v>122300980</v>
      </c>
      <c r="L293" s="6">
        <v>46083116</v>
      </c>
      <c r="M293" s="6">
        <v>0</v>
      </c>
      <c r="N293" s="6">
        <v>5019.1000000000004</v>
      </c>
      <c r="O293" s="6">
        <v>104778200</v>
      </c>
      <c r="P293" s="6">
        <v>0</v>
      </c>
      <c r="Q293" s="6">
        <v>543876</v>
      </c>
      <c r="R293" s="6">
        <v>7065317.5</v>
      </c>
      <c r="S293" s="6">
        <v>0</v>
      </c>
      <c r="T293" s="6">
        <v>3928067.5</v>
      </c>
      <c r="U293" s="6">
        <v>0</v>
      </c>
      <c r="V293" s="6">
        <v>7159945</v>
      </c>
      <c r="W293" s="6">
        <v>10526973</v>
      </c>
      <c r="X293" s="6">
        <v>0</v>
      </c>
      <c r="Y293" s="6">
        <v>31254570</v>
      </c>
      <c r="Z293" s="6">
        <v>11269763</v>
      </c>
      <c r="AA293" s="6">
        <v>4731860</v>
      </c>
      <c r="AB293" s="6">
        <v>7904623</v>
      </c>
      <c r="AC293" s="6">
        <v>0</v>
      </c>
      <c r="AD293" s="6">
        <f t="shared" si="56"/>
        <v>357552320</v>
      </c>
      <c r="AE293" s="6">
        <f t="shared" si="57"/>
        <v>0</v>
      </c>
      <c r="AF293" s="6">
        <f t="shared" si="58"/>
        <v>3928067.5</v>
      </c>
      <c r="AG293" s="6">
        <f t="shared" si="59"/>
        <v>353624252.5</v>
      </c>
      <c r="AH293" s="6">
        <f t="shared" si="60"/>
        <v>46083116</v>
      </c>
      <c r="AI293" s="6">
        <f t="shared" si="61"/>
        <v>105322076</v>
      </c>
      <c r="AJ293" s="6">
        <f t="shared" si="62"/>
        <v>5019.1000000000004</v>
      </c>
      <c r="AK293" s="6">
        <f t="shared" si="63"/>
        <v>122300980</v>
      </c>
      <c r="AL293" s="6">
        <f t="shared" si="64"/>
        <v>79913051.5</v>
      </c>
      <c r="AM293" s="3">
        <f t="shared" si="65"/>
        <v>0.13031661622246907</v>
      </c>
      <c r="AN293" s="3">
        <f t="shared" si="66"/>
        <v>0.29783612197243176</v>
      </c>
      <c r="AO293" s="3">
        <f t="shared" si="67"/>
        <v>1.4193313848008771E-5</v>
      </c>
      <c r="AP293" s="3">
        <f t="shared" si="68"/>
        <v>0.34585009126318339</v>
      </c>
      <c r="AQ293" s="3">
        <f t="shared" si="69"/>
        <v>0.2259829492322504</v>
      </c>
    </row>
    <row r="294" spans="1:43" x14ac:dyDescent="0.3">
      <c r="A294" t="s">
        <v>179</v>
      </c>
      <c r="B294" t="s">
        <v>7</v>
      </c>
      <c r="C294" t="s">
        <v>176</v>
      </c>
      <c r="D294" s="6">
        <v>2036</v>
      </c>
      <c r="E294" t="s">
        <v>195</v>
      </c>
      <c r="F294" s="6">
        <v>278.5</v>
      </c>
      <c r="G294" s="7">
        <v>336.5</v>
      </c>
      <c r="H294" s="7">
        <v>847.5</v>
      </c>
      <c r="I294" s="6">
        <v>361262800</v>
      </c>
      <c r="J294" s="6">
        <v>62792000</v>
      </c>
      <c r="K294" s="6">
        <v>122300980</v>
      </c>
      <c r="L294" s="6">
        <v>45001236</v>
      </c>
      <c r="M294" s="6">
        <v>0</v>
      </c>
      <c r="N294" s="6">
        <v>4635.2</v>
      </c>
      <c r="O294" s="6">
        <v>106928330</v>
      </c>
      <c r="P294" s="6">
        <v>0</v>
      </c>
      <c r="Q294" s="6">
        <v>464716</v>
      </c>
      <c r="R294" s="6">
        <v>7059357</v>
      </c>
      <c r="S294" s="6">
        <v>0</v>
      </c>
      <c r="T294" s="6">
        <v>3916192.8</v>
      </c>
      <c r="U294" s="6">
        <v>0</v>
      </c>
      <c r="V294" s="6">
        <v>8000470.5</v>
      </c>
      <c r="W294" s="6">
        <v>10470199</v>
      </c>
      <c r="X294" s="6">
        <v>0</v>
      </c>
      <c r="Y294" s="6">
        <v>31080768</v>
      </c>
      <c r="Z294" s="6">
        <v>13240561</v>
      </c>
      <c r="AA294" s="6">
        <v>4528359.5</v>
      </c>
      <c r="AB294" s="6">
        <v>8266997</v>
      </c>
      <c r="AC294" s="6">
        <v>0</v>
      </c>
      <c r="AD294" s="6">
        <f t="shared" si="56"/>
        <v>361262800</v>
      </c>
      <c r="AE294" s="6">
        <f t="shared" si="57"/>
        <v>0</v>
      </c>
      <c r="AF294" s="6">
        <f t="shared" si="58"/>
        <v>3916192.8</v>
      </c>
      <c r="AG294" s="6">
        <f t="shared" si="59"/>
        <v>357346607.19999999</v>
      </c>
      <c r="AH294" s="6">
        <f t="shared" si="60"/>
        <v>45001236</v>
      </c>
      <c r="AI294" s="6">
        <f t="shared" si="61"/>
        <v>107393046</v>
      </c>
      <c r="AJ294" s="6">
        <f t="shared" si="62"/>
        <v>4635.2</v>
      </c>
      <c r="AK294" s="6">
        <f t="shared" si="63"/>
        <v>122300980</v>
      </c>
      <c r="AL294" s="6">
        <f t="shared" si="64"/>
        <v>82646712</v>
      </c>
      <c r="AM294" s="3">
        <f t="shared" si="65"/>
        <v>0.12593161679247084</v>
      </c>
      <c r="AN294" s="3">
        <f t="shared" si="66"/>
        <v>0.3005290769135362</v>
      </c>
      <c r="AO294" s="3">
        <f t="shared" si="67"/>
        <v>1.297115995117247E-5</v>
      </c>
      <c r="AP294" s="3">
        <f t="shared" si="68"/>
        <v>0.34224749175119634</v>
      </c>
      <c r="AQ294" s="3">
        <f t="shared" si="69"/>
        <v>0.23127884897965251</v>
      </c>
    </row>
    <row r="295" spans="1:43" x14ac:dyDescent="0.3">
      <c r="A295" t="s">
        <v>179</v>
      </c>
      <c r="B295" t="s">
        <v>7</v>
      </c>
      <c r="C295" t="s">
        <v>176</v>
      </c>
      <c r="D295" s="6">
        <v>2038</v>
      </c>
      <c r="E295" t="s">
        <v>195</v>
      </c>
      <c r="F295" s="6">
        <v>264.39999999999998</v>
      </c>
      <c r="G295" s="7">
        <v>345</v>
      </c>
      <c r="H295" s="7">
        <v>816.8</v>
      </c>
      <c r="I295" s="6">
        <v>371044860</v>
      </c>
      <c r="J295" s="6">
        <v>72189620</v>
      </c>
      <c r="K295" s="6">
        <v>122300980</v>
      </c>
      <c r="L295" s="6">
        <v>41898110</v>
      </c>
      <c r="M295" s="6">
        <v>0</v>
      </c>
      <c r="N295" s="6">
        <v>3520.1</v>
      </c>
      <c r="O295" s="6">
        <v>109290130</v>
      </c>
      <c r="P295" s="6">
        <v>0</v>
      </c>
      <c r="Q295" s="6">
        <v>392597.4</v>
      </c>
      <c r="R295" s="6">
        <v>7067609</v>
      </c>
      <c r="S295" s="6">
        <v>0</v>
      </c>
      <c r="T295" s="6">
        <v>2889224.8</v>
      </c>
      <c r="U295" s="6">
        <v>0</v>
      </c>
      <c r="V295" s="6">
        <v>13378201</v>
      </c>
      <c r="W295" s="6">
        <v>10413736</v>
      </c>
      <c r="X295" s="6">
        <v>0</v>
      </c>
      <c r="Y295" s="6">
        <v>34224596</v>
      </c>
      <c r="Z295" s="6">
        <v>14173080</v>
      </c>
      <c r="AA295" s="6">
        <v>4126838.5</v>
      </c>
      <c r="AB295" s="6">
        <v>10886242</v>
      </c>
      <c r="AC295" s="6">
        <v>0</v>
      </c>
      <c r="AD295" s="6">
        <f t="shared" si="56"/>
        <v>371044860</v>
      </c>
      <c r="AE295" s="6">
        <f t="shared" si="57"/>
        <v>0</v>
      </c>
      <c r="AF295" s="6">
        <f t="shared" si="58"/>
        <v>2889224.8</v>
      </c>
      <c r="AG295" s="6">
        <f t="shared" si="59"/>
        <v>368155635.19999999</v>
      </c>
      <c r="AH295" s="6">
        <f t="shared" si="60"/>
        <v>41898110</v>
      </c>
      <c r="AI295" s="6">
        <f t="shared" si="61"/>
        <v>109682727.40000001</v>
      </c>
      <c r="AJ295" s="6">
        <f t="shared" si="62"/>
        <v>3520.1</v>
      </c>
      <c r="AK295" s="6">
        <f t="shared" si="63"/>
        <v>122300980</v>
      </c>
      <c r="AL295" s="6">
        <f t="shared" si="64"/>
        <v>94270302.5</v>
      </c>
      <c r="AM295" s="3">
        <f t="shared" si="65"/>
        <v>0.11380542899265664</v>
      </c>
      <c r="AN295" s="3">
        <f t="shared" si="66"/>
        <v>0.29792489076098216</v>
      </c>
      <c r="AO295" s="3">
        <f t="shared" si="67"/>
        <v>9.5614453873229754E-6</v>
      </c>
      <c r="AP295" s="3">
        <f t="shared" si="68"/>
        <v>0.3321991253333938</v>
      </c>
      <c r="AQ295" s="3">
        <f t="shared" si="69"/>
        <v>0.25606100650554431</v>
      </c>
    </row>
    <row r="296" spans="1:43" x14ac:dyDescent="0.3">
      <c r="A296" t="s">
        <v>179</v>
      </c>
      <c r="B296" t="s">
        <v>7</v>
      </c>
      <c r="C296" t="s">
        <v>176</v>
      </c>
      <c r="D296" s="6">
        <v>2040</v>
      </c>
      <c r="E296" t="s">
        <v>195</v>
      </c>
      <c r="F296" s="6">
        <v>250.4</v>
      </c>
      <c r="G296" s="7">
        <v>315</v>
      </c>
      <c r="H296" s="7">
        <v>801.8</v>
      </c>
      <c r="I296" s="6">
        <v>383583330</v>
      </c>
      <c r="J296" s="6">
        <v>82745830</v>
      </c>
      <c r="K296" s="6">
        <v>122300980</v>
      </c>
      <c r="L296" s="6">
        <v>37624564</v>
      </c>
      <c r="M296" s="6">
        <v>0</v>
      </c>
      <c r="N296" s="6">
        <v>3711.1</v>
      </c>
      <c r="O296" s="6">
        <v>116240410</v>
      </c>
      <c r="P296" s="6">
        <v>0</v>
      </c>
      <c r="Q296" s="6">
        <v>378788.3</v>
      </c>
      <c r="R296" s="6">
        <v>7060691</v>
      </c>
      <c r="S296" s="6">
        <v>0</v>
      </c>
      <c r="T296" s="6">
        <v>1943426.2</v>
      </c>
      <c r="U296" s="6">
        <v>0</v>
      </c>
      <c r="V296" s="6">
        <v>15531931</v>
      </c>
      <c r="W296" s="6">
        <v>10357580</v>
      </c>
      <c r="X296" s="6">
        <v>0</v>
      </c>
      <c r="Y296" s="6">
        <v>41794868</v>
      </c>
      <c r="Z296" s="6">
        <v>15061450</v>
      </c>
      <c r="AA296" s="6">
        <v>4084302.5</v>
      </c>
      <c r="AB296" s="6">
        <v>11200627</v>
      </c>
      <c r="AC296" s="6">
        <v>0</v>
      </c>
      <c r="AD296" s="6">
        <f t="shared" si="56"/>
        <v>383583330</v>
      </c>
      <c r="AE296" s="6">
        <f t="shared" si="57"/>
        <v>0</v>
      </c>
      <c r="AF296" s="6">
        <f t="shared" si="58"/>
        <v>1943426.2</v>
      </c>
      <c r="AG296" s="6">
        <f t="shared" si="59"/>
        <v>381639903.80000001</v>
      </c>
      <c r="AH296" s="6">
        <f t="shared" si="60"/>
        <v>37624564</v>
      </c>
      <c r="AI296" s="6">
        <f t="shared" si="61"/>
        <v>116619198.3</v>
      </c>
      <c r="AJ296" s="6">
        <f t="shared" si="62"/>
        <v>3711.1</v>
      </c>
      <c r="AK296" s="6">
        <f t="shared" si="63"/>
        <v>122300980</v>
      </c>
      <c r="AL296" s="6">
        <f t="shared" si="64"/>
        <v>105091449.5</v>
      </c>
      <c r="AM296" s="3">
        <f t="shared" si="65"/>
        <v>9.8586556660797478E-2</v>
      </c>
      <c r="AN296" s="3">
        <f t="shared" si="66"/>
        <v>0.3055739117917679</v>
      </c>
      <c r="AO296" s="3">
        <f t="shared" si="67"/>
        <v>9.7240879767772326E-6</v>
      </c>
      <c r="AP296" s="3">
        <f t="shared" si="68"/>
        <v>0.32046172001995982</v>
      </c>
      <c r="AQ296" s="3">
        <f t="shared" si="69"/>
        <v>0.27536808508125399</v>
      </c>
    </row>
    <row r="297" spans="1:43" x14ac:dyDescent="0.3">
      <c r="A297" t="s">
        <v>179</v>
      </c>
      <c r="B297" t="s">
        <v>7</v>
      </c>
      <c r="C297" t="s">
        <v>176</v>
      </c>
      <c r="D297" s="6">
        <v>2042</v>
      </c>
      <c r="E297" t="s">
        <v>195</v>
      </c>
      <c r="F297" s="6">
        <v>240.8</v>
      </c>
      <c r="G297" s="7">
        <v>313.89999999999998</v>
      </c>
      <c r="H297" s="7">
        <v>805.5</v>
      </c>
      <c r="I297" s="6">
        <v>400253860</v>
      </c>
      <c r="J297" s="6">
        <v>96427260</v>
      </c>
      <c r="K297" s="6">
        <v>122300980</v>
      </c>
      <c r="L297" s="6">
        <v>37576316</v>
      </c>
      <c r="M297" s="6">
        <v>0</v>
      </c>
      <c r="N297" s="6">
        <v>2205.4</v>
      </c>
      <c r="O297" s="6">
        <v>117080130</v>
      </c>
      <c r="P297" s="6">
        <v>0</v>
      </c>
      <c r="Q297" s="6">
        <v>288029.3</v>
      </c>
      <c r="R297" s="6">
        <v>7067978.5</v>
      </c>
      <c r="S297" s="6">
        <v>0</v>
      </c>
      <c r="T297" s="6">
        <v>1942913.8</v>
      </c>
      <c r="U297" s="6">
        <v>0</v>
      </c>
      <c r="V297" s="6">
        <v>16253379</v>
      </c>
      <c r="W297" s="6">
        <v>10301729</v>
      </c>
      <c r="X297" s="6">
        <v>0</v>
      </c>
      <c r="Y297" s="6">
        <v>53846356</v>
      </c>
      <c r="Z297" s="6">
        <v>16025805</v>
      </c>
      <c r="AA297" s="6">
        <v>3630055.5</v>
      </c>
      <c r="AB297" s="6">
        <v>13937990</v>
      </c>
      <c r="AC297" s="6">
        <v>0</v>
      </c>
      <c r="AD297" s="6">
        <f t="shared" si="56"/>
        <v>400253860</v>
      </c>
      <c r="AE297" s="6">
        <f t="shared" si="57"/>
        <v>0</v>
      </c>
      <c r="AF297" s="6">
        <f t="shared" si="58"/>
        <v>1942913.8</v>
      </c>
      <c r="AG297" s="6">
        <f t="shared" si="59"/>
        <v>398310946.19999999</v>
      </c>
      <c r="AH297" s="6">
        <f t="shared" si="60"/>
        <v>37576316</v>
      </c>
      <c r="AI297" s="6">
        <f t="shared" si="61"/>
        <v>117368159.3</v>
      </c>
      <c r="AJ297" s="6">
        <f t="shared" si="62"/>
        <v>2205.4</v>
      </c>
      <c r="AK297" s="6">
        <f t="shared" si="63"/>
        <v>122300980</v>
      </c>
      <c r="AL297" s="6">
        <f t="shared" si="64"/>
        <v>121063293</v>
      </c>
      <c r="AM297" s="3">
        <f t="shared" si="65"/>
        <v>9.4339149748428386E-2</v>
      </c>
      <c r="AN297" s="3">
        <f t="shared" si="66"/>
        <v>0.29466465940674164</v>
      </c>
      <c r="AO297" s="3">
        <f t="shared" si="67"/>
        <v>5.5368802214454432E-6</v>
      </c>
      <c r="AP297" s="3">
        <f t="shared" si="68"/>
        <v>0.30704900572476407</v>
      </c>
      <c r="AQ297" s="3">
        <f t="shared" si="69"/>
        <v>0.3039416670693546</v>
      </c>
    </row>
    <row r="298" spans="1:43" x14ac:dyDescent="0.3">
      <c r="A298" t="s">
        <v>179</v>
      </c>
      <c r="B298" t="s">
        <v>7</v>
      </c>
      <c r="C298" t="s">
        <v>176</v>
      </c>
      <c r="D298" s="6">
        <v>2044</v>
      </c>
      <c r="E298" t="s">
        <v>195</v>
      </c>
      <c r="F298" s="6">
        <v>222.5</v>
      </c>
      <c r="G298" s="7">
        <v>314.60000000000002</v>
      </c>
      <c r="H298" s="7">
        <v>786.1</v>
      </c>
      <c r="I298" s="6">
        <v>427886080</v>
      </c>
      <c r="J298" s="6">
        <v>115764890</v>
      </c>
      <c r="K298" s="6">
        <v>122300980</v>
      </c>
      <c r="L298" s="6">
        <v>33240228</v>
      </c>
      <c r="M298" s="6">
        <v>0</v>
      </c>
      <c r="N298" s="6">
        <v>1392.8</v>
      </c>
      <c r="O298" s="6">
        <v>125335440</v>
      </c>
      <c r="P298" s="6">
        <v>0</v>
      </c>
      <c r="Q298" s="6">
        <v>267603.3</v>
      </c>
      <c r="R298" s="6">
        <v>7062894.5</v>
      </c>
      <c r="S298" s="6">
        <v>0</v>
      </c>
      <c r="T298" s="6">
        <v>1873507.8</v>
      </c>
      <c r="U298" s="6">
        <v>0</v>
      </c>
      <c r="V298" s="6">
        <v>16165730</v>
      </c>
      <c r="W298" s="6">
        <v>10246173</v>
      </c>
      <c r="X298" s="6">
        <v>0</v>
      </c>
      <c r="Y298" s="6">
        <v>72148936</v>
      </c>
      <c r="Z298" s="6">
        <v>17204056</v>
      </c>
      <c r="AA298" s="6">
        <v>3654747.2</v>
      </c>
      <c r="AB298" s="6">
        <v>18384414</v>
      </c>
      <c r="AC298" s="6">
        <v>0</v>
      </c>
      <c r="AD298" s="6">
        <f t="shared" si="56"/>
        <v>427886080</v>
      </c>
      <c r="AE298" s="6">
        <f t="shared" si="57"/>
        <v>0</v>
      </c>
      <c r="AF298" s="6">
        <f t="shared" si="58"/>
        <v>1873507.8</v>
      </c>
      <c r="AG298" s="6">
        <f t="shared" si="59"/>
        <v>426012572.19999999</v>
      </c>
      <c r="AH298" s="6">
        <f t="shared" si="60"/>
        <v>33240228</v>
      </c>
      <c r="AI298" s="6">
        <f t="shared" si="61"/>
        <v>125603043.3</v>
      </c>
      <c r="AJ298" s="6">
        <f t="shared" si="62"/>
        <v>1392.8</v>
      </c>
      <c r="AK298" s="6">
        <f t="shared" si="63"/>
        <v>122300980</v>
      </c>
      <c r="AL298" s="6">
        <f t="shared" si="64"/>
        <v>144866950.69999999</v>
      </c>
      <c r="AM298" s="3">
        <f t="shared" si="65"/>
        <v>7.8026401494073097E-2</v>
      </c>
      <c r="AN298" s="3">
        <f t="shared" si="66"/>
        <v>0.29483412344233162</v>
      </c>
      <c r="AO298" s="3">
        <f t="shared" si="67"/>
        <v>3.2693870812482091E-6</v>
      </c>
      <c r="AP298" s="3">
        <f t="shared" si="68"/>
        <v>0.28708302989373607</v>
      </c>
      <c r="AQ298" s="3">
        <f t="shared" si="69"/>
        <v>0.34005322883285555</v>
      </c>
    </row>
    <row r="299" spans="1:43" x14ac:dyDescent="0.3">
      <c r="A299" t="s">
        <v>179</v>
      </c>
      <c r="B299" t="s">
        <v>7</v>
      </c>
      <c r="C299" t="s">
        <v>176</v>
      </c>
      <c r="D299" s="6">
        <v>2046</v>
      </c>
      <c r="E299" t="s">
        <v>195</v>
      </c>
      <c r="F299" s="6">
        <v>178.5</v>
      </c>
      <c r="G299" s="7">
        <v>320.60000000000002</v>
      </c>
      <c r="H299" s="7">
        <v>754.9</v>
      </c>
      <c r="I299" s="6">
        <v>444492960</v>
      </c>
      <c r="J299" s="6">
        <v>150328400</v>
      </c>
      <c r="K299" s="6">
        <v>122300980</v>
      </c>
      <c r="L299" s="6">
        <v>27152428</v>
      </c>
      <c r="M299" s="6">
        <v>0</v>
      </c>
      <c r="N299" s="6">
        <v>74.8</v>
      </c>
      <c r="O299" s="6">
        <v>105488580</v>
      </c>
      <c r="P299" s="6">
        <v>0</v>
      </c>
      <c r="Q299" s="6">
        <v>370263</v>
      </c>
      <c r="R299" s="6">
        <v>7062156</v>
      </c>
      <c r="S299" s="6">
        <v>0</v>
      </c>
      <c r="T299" s="6">
        <v>1929286</v>
      </c>
      <c r="U299" s="6">
        <v>0</v>
      </c>
      <c r="V299" s="6">
        <v>21938816</v>
      </c>
      <c r="W299" s="6">
        <v>10190920</v>
      </c>
      <c r="X299" s="6">
        <v>0</v>
      </c>
      <c r="Y299" s="6">
        <v>99807560</v>
      </c>
      <c r="Z299" s="6">
        <v>18391110</v>
      </c>
      <c r="AA299" s="6">
        <v>4175521.2</v>
      </c>
      <c r="AB299" s="6">
        <v>25685272</v>
      </c>
      <c r="AC299" s="6">
        <v>0</v>
      </c>
      <c r="AD299" s="6">
        <f t="shared" si="56"/>
        <v>444492960</v>
      </c>
      <c r="AE299" s="6">
        <f t="shared" si="57"/>
        <v>0</v>
      </c>
      <c r="AF299" s="6">
        <f t="shared" si="58"/>
        <v>1929286</v>
      </c>
      <c r="AG299" s="6">
        <f t="shared" si="59"/>
        <v>442563674</v>
      </c>
      <c r="AH299" s="6">
        <f t="shared" si="60"/>
        <v>27152428</v>
      </c>
      <c r="AI299" s="6">
        <f t="shared" si="61"/>
        <v>105858843</v>
      </c>
      <c r="AJ299" s="6">
        <f t="shared" si="62"/>
        <v>74.8</v>
      </c>
      <c r="AK299" s="6">
        <f t="shared" si="63"/>
        <v>122300980</v>
      </c>
      <c r="AL299" s="6">
        <f t="shared" si="64"/>
        <v>187251355.19999999</v>
      </c>
      <c r="AM299" s="3">
        <f t="shared" si="65"/>
        <v>6.1352590813858798E-2</v>
      </c>
      <c r="AN299" s="3">
        <f t="shared" si="66"/>
        <v>0.23919460457118313</v>
      </c>
      <c r="AO299" s="3">
        <f t="shared" si="67"/>
        <v>1.6901522739979784E-7</v>
      </c>
      <c r="AP299" s="3">
        <f t="shared" si="68"/>
        <v>0.27634663029302309</v>
      </c>
      <c r="AQ299" s="3">
        <f t="shared" si="69"/>
        <v>0.4231060211236406</v>
      </c>
    </row>
    <row r="300" spans="1:43" x14ac:dyDescent="0.3">
      <c r="A300" t="s">
        <v>179</v>
      </c>
      <c r="B300" t="s">
        <v>7</v>
      </c>
      <c r="C300" t="s">
        <v>176</v>
      </c>
      <c r="D300" s="6">
        <v>2048</v>
      </c>
      <c r="E300" t="s">
        <v>195</v>
      </c>
      <c r="F300" s="6">
        <v>182.1</v>
      </c>
      <c r="G300" s="7">
        <v>317.89999999999998</v>
      </c>
      <c r="H300" s="7">
        <v>751.3</v>
      </c>
      <c r="I300" s="6">
        <v>453625180</v>
      </c>
      <c r="J300" s="6">
        <v>152065260</v>
      </c>
      <c r="K300" s="6">
        <v>122300980</v>
      </c>
      <c r="L300" s="6">
        <v>27861414</v>
      </c>
      <c r="M300" s="6">
        <v>0</v>
      </c>
      <c r="N300" s="6">
        <v>49.1</v>
      </c>
      <c r="O300" s="6">
        <v>110897650</v>
      </c>
      <c r="P300" s="6">
        <v>0</v>
      </c>
      <c r="Q300" s="6">
        <v>495531</v>
      </c>
      <c r="R300" s="6">
        <v>7062686.5</v>
      </c>
      <c r="S300" s="6">
        <v>0</v>
      </c>
      <c r="T300" s="6">
        <v>1927736.4</v>
      </c>
      <c r="U300" s="6">
        <v>0</v>
      </c>
      <c r="V300" s="6">
        <v>23783390</v>
      </c>
      <c r="W300" s="6">
        <v>10135960</v>
      </c>
      <c r="X300" s="6">
        <v>0</v>
      </c>
      <c r="Y300" s="6">
        <v>98909464</v>
      </c>
      <c r="Z300" s="6">
        <v>19236448</v>
      </c>
      <c r="AA300" s="6">
        <v>4196239</v>
      </c>
      <c r="AB300" s="6">
        <v>26817648</v>
      </c>
      <c r="AC300" s="6">
        <v>0</v>
      </c>
      <c r="AD300" s="6">
        <f t="shared" si="56"/>
        <v>453625180</v>
      </c>
      <c r="AE300" s="6">
        <f t="shared" si="57"/>
        <v>0</v>
      </c>
      <c r="AF300" s="6">
        <f t="shared" si="58"/>
        <v>1927736.4</v>
      </c>
      <c r="AG300" s="6">
        <f t="shared" si="59"/>
        <v>451697443.60000002</v>
      </c>
      <c r="AH300" s="6">
        <f t="shared" si="60"/>
        <v>27861414</v>
      </c>
      <c r="AI300" s="6">
        <f t="shared" si="61"/>
        <v>111393181</v>
      </c>
      <c r="AJ300" s="6">
        <f t="shared" si="62"/>
        <v>49.1</v>
      </c>
      <c r="AK300" s="6">
        <f t="shared" si="63"/>
        <v>122300980</v>
      </c>
      <c r="AL300" s="6">
        <f t="shared" si="64"/>
        <v>190141835.5</v>
      </c>
      <c r="AM300" s="3">
        <f t="shared" si="65"/>
        <v>6.1681584420638501E-2</v>
      </c>
      <c r="AN300" s="3">
        <f t="shared" si="66"/>
        <v>0.24661016478686132</v>
      </c>
      <c r="AO300" s="3">
        <f t="shared" si="67"/>
        <v>1.0870108010502808E-7</v>
      </c>
      <c r="AP300" s="3">
        <f t="shared" si="68"/>
        <v>0.27075862777807402</v>
      </c>
      <c r="AQ300" s="3">
        <f t="shared" si="69"/>
        <v>0.42094954973528653</v>
      </c>
    </row>
    <row r="301" spans="1:43" x14ac:dyDescent="0.3">
      <c r="A301" t="s">
        <v>179</v>
      </c>
      <c r="B301" t="s">
        <v>7</v>
      </c>
      <c r="C301" t="s">
        <v>176</v>
      </c>
      <c r="D301" s="6">
        <v>2050</v>
      </c>
      <c r="E301" t="s">
        <v>195</v>
      </c>
      <c r="F301" s="6">
        <v>169.3</v>
      </c>
      <c r="G301" s="7">
        <v>306.7</v>
      </c>
      <c r="H301" s="7">
        <v>718.3</v>
      </c>
      <c r="I301" s="6">
        <v>466444480</v>
      </c>
      <c r="J301" s="6">
        <v>154687700</v>
      </c>
      <c r="K301" s="6">
        <v>122300980</v>
      </c>
      <c r="L301" s="6">
        <v>14777366</v>
      </c>
      <c r="M301" s="6">
        <v>0</v>
      </c>
      <c r="N301" s="6">
        <v>9.9</v>
      </c>
      <c r="O301" s="6">
        <v>133875600</v>
      </c>
      <c r="P301" s="6">
        <v>0</v>
      </c>
      <c r="Q301" s="6">
        <v>509500.3</v>
      </c>
      <c r="R301" s="6">
        <v>7072461</v>
      </c>
      <c r="S301" s="6">
        <v>0</v>
      </c>
      <c r="T301" s="6">
        <v>1262359.6000000001</v>
      </c>
      <c r="U301" s="6">
        <v>0</v>
      </c>
      <c r="V301" s="6">
        <v>26084540</v>
      </c>
      <c r="W301" s="6">
        <v>10081297</v>
      </c>
      <c r="X301" s="6">
        <v>0</v>
      </c>
      <c r="Y301" s="6">
        <v>98073370</v>
      </c>
      <c r="Z301" s="6">
        <v>20448490</v>
      </c>
      <c r="AA301" s="6">
        <v>3956685.2</v>
      </c>
      <c r="AB301" s="6">
        <v>28001818</v>
      </c>
      <c r="AC301" s="6">
        <v>0</v>
      </c>
      <c r="AD301" s="6">
        <f t="shared" si="56"/>
        <v>466444480</v>
      </c>
      <c r="AE301" s="6">
        <f t="shared" si="57"/>
        <v>0</v>
      </c>
      <c r="AF301" s="6">
        <f t="shared" si="58"/>
        <v>1262359.6000000001</v>
      </c>
      <c r="AG301" s="6">
        <f t="shared" si="59"/>
        <v>465182120.39999998</v>
      </c>
      <c r="AH301" s="6">
        <f t="shared" si="60"/>
        <v>14777366</v>
      </c>
      <c r="AI301" s="6">
        <f t="shared" si="61"/>
        <v>134385100.30000001</v>
      </c>
      <c r="AJ301" s="6">
        <f t="shared" si="62"/>
        <v>9.9</v>
      </c>
      <c r="AK301" s="6">
        <f t="shared" si="63"/>
        <v>122300980</v>
      </c>
      <c r="AL301" s="6">
        <f t="shared" si="64"/>
        <v>193718661.19999999</v>
      </c>
      <c r="AM301" s="3">
        <f t="shared" si="65"/>
        <v>3.1766840022340634E-2</v>
      </c>
      <c r="AN301" s="3">
        <f t="shared" si="66"/>
        <v>0.28888707112054346</v>
      </c>
      <c r="AO301" s="3">
        <f t="shared" si="67"/>
        <v>2.1281987346132749E-8</v>
      </c>
      <c r="AP301" s="3">
        <f t="shared" si="68"/>
        <v>0.26290988977572066</v>
      </c>
      <c r="AQ301" s="3">
        <f t="shared" si="69"/>
        <v>0.41643617135032091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3CF8-CE36-4584-8652-DFFD9FFC6CFB}">
  <dimension ref="A1:DR305"/>
  <sheetViews>
    <sheetView workbookViewId="0">
      <selection activeCell="B305" sqref="B305"/>
    </sheetView>
  </sheetViews>
  <sheetFormatPr defaultRowHeight="14.4" x14ac:dyDescent="0.3"/>
  <sheetData>
    <row r="1" spans="1:1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2" x14ac:dyDescent="0.3">
      <c r="A2" t="s">
        <v>6</v>
      </c>
      <c r="B2" t="s">
        <v>7</v>
      </c>
      <c r="C2" t="s">
        <v>8</v>
      </c>
      <c r="D2">
        <v>2012</v>
      </c>
      <c r="E2" t="s">
        <v>9</v>
      </c>
      <c r="F2" t="s">
        <v>10</v>
      </c>
    </row>
    <row r="3" spans="1:122" x14ac:dyDescent="0.3">
      <c r="A3" t="s">
        <v>11</v>
      </c>
      <c r="B3" t="s">
        <v>12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14</v>
      </c>
      <c r="M3" t="s">
        <v>14</v>
      </c>
      <c r="N3" t="s">
        <v>14</v>
      </c>
      <c r="O3" t="s">
        <v>14</v>
      </c>
      <c r="P3" t="s">
        <v>14</v>
      </c>
      <c r="Q3" t="s">
        <v>15</v>
      </c>
      <c r="R3" t="s">
        <v>15</v>
      </c>
      <c r="S3" t="s">
        <v>15</v>
      </c>
      <c r="T3" t="s">
        <v>15</v>
      </c>
      <c r="U3" t="s">
        <v>15</v>
      </c>
      <c r="V3" t="s">
        <v>15</v>
      </c>
      <c r="W3" t="s">
        <v>15</v>
      </c>
      <c r="X3" t="s">
        <v>15</v>
      </c>
      <c r="Y3" t="s">
        <v>15</v>
      </c>
      <c r="Z3" t="s">
        <v>15</v>
      </c>
      <c r="AA3" t="s">
        <v>15</v>
      </c>
      <c r="AB3" t="s">
        <v>15</v>
      </c>
      <c r="AC3" t="s">
        <v>15</v>
      </c>
      <c r="AD3" t="s">
        <v>15</v>
      </c>
      <c r="AE3" t="s">
        <v>15</v>
      </c>
      <c r="AF3" t="s">
        <v>15</v>
      </c>
      <c r="AG3" t="s">
        <v>15</v>
      </c>
      <c r="AH3" t="s">
        <v>15</v>
      </c>
      <c r="AI3" t="s">
        <v>15</v>
      </c>
      <c r="AJ3" t="s">
        <v>15</v>
      </c>
      <c r="AK3" t="s">
        <v>15</v>
      </c>
      <c r="AL3" t="s">
        <v>15</v>
      </c>
      <c r="AM3" t="s">
        <v>15</v>
      </c>
      <c r="AN3" t="s">
        <v>15</v>
      </c>
      <c r="AO3" t="s">
        <v>15</v>
      </c>
      <c r="AP3" t="s">
        <v>15</v>
      </c>
      <c r="AQ3" t="s">
        <v>15</v>
      </c>
      <c r="AR3" t="s">
        <v>15</v>
      </c>
      <c r="AS3" t="s">
        <v>15</v>
      </c>
      <c r="AT3" t="s">
        <v>15</v>
      </c>
      <c r="AU3" t="s">
        <v>15</v>
      </c>
      <c r="AV3" t="s">
        <v>15</v>
      </c>
      <c r="AW3" t="s">
        <v>15</v>
      </c>
      <c r="AX3" t="s">
        <v>15</v>
      </c>
      <c r="AY3" t="s">
        <v>15</v>
      </c>
      <c r="AZ3" t="s">
        <v>15</v>
      </c>
      <c r="BA3" t="s">
        <v>15</v>
      </c>
      <c r="BB3" t="s">
        <v>15</v>
      </c>
      <c r="BC3" t="s">
        <v>15</v>
      </c>
      <c r="BD3" t="s">
        <v>15</v>
      </c>
      <c r="BE3" t="s">
        <v>15</v>
      </c>
      <c r="BF3" t="s">
        <v>15</v>
      </c>
      <c r="BG3" t="s">
        <v>15</v>
      </c>
      <c r="BH3" t="s">
        <v>15</v>
      </c>
      <c r="BI3" t="s">
        <v>15</v>
      </c>
      <c r="BJ3" t="s">
        <v>15</v>
      </c>
      <c r="BK3" t="s">
        <v>15</v>
      </c>
      <c r="BL3" t="s">
        <v>15</v>
      </c>
      <c r="BM3" t="s">
        <v>15</v>
      </c>
      <c r="BN3" t="s">
        <v>15</v>
      </c>
      <c r="BO3" t="s">
        <v>16</v>
      </c>
      <c r="BP3" t="s">
        <v>16</v>
      </c>
      <c r="BQ3" t="s">
        <v>16</v>
      </c>
      <c r="BR3" t="s">
        <v>16</v>
      </c>
      <c r="BS3" t="s">
        <v>17</v>
      </c>
      <c r="BT3" t="s">
        <v>17</v>
      </c>
      <c r="BU3" t="s">
        <v>17</v>
      </c>
      <c r="BV3" t="s">
        <v>17</v>
      </c>
      <c r="BW3" t="s">
        <v>18</v>
      </c>
      <c r="BX3" t="s">
        <v>18</v>
      </c>
      <c r="BY3" t="s">
        <v>18</v>
      </c>
      <c r="BZ3" t="s">
        <v>18</v>
      </c>
      <c r="CA3" t="s">
        <v>18</v>
      </c>
      <c r="CB3" t="s">
        <v>18</v>
      </c>
      <c r="CC3" t="s">
        <v>18</v>
      </c>
      <c r="CD3" t="s">
        <v>18</v>
      </c>
      <c r="CE3" t="s">
        <v>18</v>
      </c>
      <c r="CF3" t="s">
        <v>18</v>
      </c>
      <c r="CG3" t="s">
        <v>18</v>
      </c>
      <c r="CH3" t="s">
        <v>18</v>
      </c>
      <c r="CI3" t="s">
        <v>18</v>
      </c>
      <c r="CJ3" t="s">
        <v>18</v>
      </c>
      <c r="CK3" t="s">
        <v>18</v>
      </c>
      <c r="CL3" t="s">
        <v>18</v>
      </c>
      <c r="CM3" t="s">
        <v>18</v>
      </c>
      <c r="CN3" t="s">
        <v>18</v>
      </c>
      <c r="CO3" t="s">
        <v>18</v>
      </c>
      <c r="CP3" t="s">
        <v>18</v>
      </c>
      <c r="CQ3" t="s">
        <v>18</v>
      </c>
      <c r="CR3" t="s">
        <v>19</v>
      </c>
      <c r="CS3" t="s">
        <v>19</v>
      </c>
      <c r="CT3" t="s">
        <v>19</v>
      </c>
      <c r="CU3" t="s">
        <v>19</v>
      </c>
      <c r="CV3" t="s">
        <v>19</v>
      </c>
      <c r="CW3" t="s">
        <v>19</v>
      </c>
      <c r="CX3" t="s">
        <v>19</v>
      </c>
      <c r="CY3" t="s">
        <v>19</v>
      </c>
      <c r="CZ3" t="s">
        <v>19</v>
      </c>
      <c r="DA3" t="s">
        <v>19</v>
      </c>
      <c r="DB3" t="s">
        <v>19</v>
      </c>
      <c r="DC3" t="s">
        <v>19</v>
      </c>
      <c r="DD3" t="s">
        <v>19</v>
      </c>
      <c r="DE3" t="s">
        <v>19</v>
      </c>
      <c r="DF3" t="s">
        <v>19</v>
      </c>
      <c r="DG3" t="s">
        <v>19</v>
      </c>
      <c r="DH3" t="s">
        <v>19</v>
      </c>
      <c r="DI3" t="s">
        <v>19</v>
      </c>
      <c r="DJ3" t="s">
        <v>19</v>
      </c>
      <c r="DK3" t="s">
        <v>20</v>
      </c>
      <c r="DL3" t="s">
        <v>20</v>
      </c>
      <c r="DM3" t="s">
        <v>20</v>
      </c>
      <c r="DN3" t="s">
        <v>21</v>
      </c>
      <c r="DO3" t="s">
        <v>21</v>
      </c>
      <c r="DP3" t="s">
        <v>21</v>
      </c>
      <c r="DQ3" t="s">
        <v>21</v>
      </c>
      <c r="DR3" t="s">
        <v>21</v>
      </c>
    </row>
    <row r="4" spans="1:122" x14ac:dyDescent="0.3">
      <c r="A4" t="s">
        <v>22</v>
      </c>
      <c r="B4" t="s">
        <v>22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24</v>
      </c>
      <c r="M4" t="s">
        <v>24</v>
      </c>
      <c r="N4" t="s">
        <v>25</v>
      </c>
      <c r="O4" t="s">
        <v>26</v>
      </c>
      <c r="P4" t="s">
        <v>27</v>
      </c>
      <c r="Q4" t="s">
        <v>28</v>
      </c>
      <c r="R4" t="s">
        <v>29</v>
      </c>
      <c r="S4" t="s">
        <v>29</v>
      </c>
      <c r="T4" t="s">
        <v>28</v>
      </c>
      <c r="U4" t="s">
        <v>29</v>
      </c>
      <c r="V4" t="s">
        <v>29</v>
      </c>
      <c r="W4" t="s">
        <v>28</v>
      </c>
      <c r="X4" t="s">
        <v>28</v>
      </c>
      <c r="Y4" t="s">
        <v>28</v>
      </c>
      <c r="Z4" t="s">
        <v>28</v>
      </c>
      <c r="AA4" t="s">
        <v>29</v>
      </c>
      <c r="AB4" t="s">
        <v>29</v>
      </c>
      <c r="AC4" t="s">
        <v>28</v>
      </c>
      <c r="AD4" t="s">
        <v>29</v>
      </c>
      <c r="AE4" t="s">
        <v>29</v>
      </c>
      <c r="AF4" t="s">
        <v>28</v>
      </c>
      <c r="AG4" t="s">
        <v>28</v>
      </c>
      <c r="AH4" t="s">
        <v>28</v>
      </c>
      <c r="AI4" t="s">
        <v>28</v>
      </c>
      <c r="AJ4" t="s">
        <v>29</v>
      </c>
      <c r="AK4" t="s">
        <v>29</v>
      </c>
      <c r="AL4" t="s">
        <v>28</v>
      </c>
      <c r="AM4" t="s">
        <v>29</v>
      </c>
      <c r="AN4" t="s">
        <v>29</v>
      </c>
      <c r="AO4" t="s">
        <v>28</v>
      </c>
      <c r="AP4" t="s">
        <v>28</v>
      </c>
      <c r="AQ4" t="s">
        <v>28</v>
      </c>
      <c r="AR4" t="s">
        <v>28</v>
      </c>
      <c r="AS4" t="s">
        <v>29</v>
      </c>
      <c r="AT4" t="s">
        <v>29</v>
      </c>
      <c r="AU4" t="s">
        <v>28</v>
      </c>
      <c r="AV4" t="s">
        <v>29</v>
      </c>
      <c r="AW4" t="s">
        <v>29</v>
      </c>
      <c r="AX4" t="s">
        <v>28</v>
      </c>
      <c r="AY4" t="s">
        <v>28</v>
      </c>
      <c r="AZ4" t="s">
        <v>28</v>
      </c>
      <c r="BA4" t="s">
        <v>30</v>
      </c>
      <c r="BB4" t="s">
        <v>30</v>
      </c>
      <c r="BC4" t="s">
        <v>30</v>
      </c>
      <c r="BD4" t="s">
        <v>30</v>
      </c>
      <c r="BE4" t="s">
        <v>30</v>
      </c>
      <c r="BF4" t="s">
        <v>30</v>
      </c>
      <c r="BG4" t="s">
        <v>30</v>
      </c>
      <c r="BH4" t="s">
        <v>30</v>
      </c>
      <c r="BI4" t="s">
        <v>30</v>
      </c>
      <c r="BJ4" t="s">
        <v>30</v>
      </c>
      <c r="BK4" t="s">
        <v>30</v>
      </c>
      <c r="BL4" t="s">
        <v>30</v>
      </c>
      <c r="BM4" t="s">
        <v>30</v>
      </c>
      <c r="BN4" t="s">
        <v>30</v>
      </c>
      <c r="BO4" t="s">
        <v>31</v>
      </c>
      <c r="BP4" t="s">
        <v>31</v>
      </c>
      <c r="BQ4" t="s">
        <v>31</v>
      </c>
      <c r="BR4" t="s">
        <v>31</v>
      </c>
      <c r="BS4" t="s">
        <v>31</v>
      </c>
      <c r="BT4" t="s">
        <v>31</v>
      </c>
      <c r="BU4" t="s">
        <v>31</v>
      </c>
      <c r="BV4" t="s">
        <v>31</v>
      </c>
      <c r="BW4" t="s">
        <v>23</v>
      </c>
      <c r="BX4" t="s">
        <v>23</v>
      </c>
      <c r="BY4" t="s">
        <v>23</v>
      </c>
      <c r="BZ4" t="s">
        <v>23</v>
      </c>
      <c r="CA4" t="s">
        <v>23</v>
      </c>
      <c r="CB4" t="s">
        <v>23</v>
      </c>
      <c r="CC4" t="s">
        <v>23</v>
      </c>
      <c r="CD4" t="s">
        <v>23</v>
      </c>
      <c r="CE4" t="s">
        <v>23</v>
      </c>
      <c r="CF4" t="s">
        <v>23</v>
      </c>
      <c r="CG4" t="s">
        <v>23</v>
      </c>
      <c r="CH4" t="s">
        <v>23</v>
      </c>
      <c r="CI4" t="s">
        <v>23</v>
      </c>
      <c r="CJ4" t="s">
        <v>23</v>
      </c>
      <c r="CK4" t="s">
        <v>23</v>
      </c>
      <c r="CL4" t="s">
        <v>23</v>
      </c>
      <c r="CM4" t="s">
        <v>23</v>
      </c>
      <c r="CN4" t="s">
        <v>23</v>
      </c>
      <c r="CO4" t="s">
        <v>23</v>
      </c>
      <c r="CP4" t="s">
        <v>23</v>
      </c>
      <c r="CQ4" t="s">
        <v>23</v>
      </c>
      <c r="CR4" t="s">
        <v>27</v>
      </c>
      <c r="CS4" t="s">
        <v>27</v>
      </c>
      <c r="CT4" t="s">
        <v>27</v>
      </c>
      <c r="CU4" t="s">
        <v>27</v>
      </c>
      <c r="CV4" t="s">
        <v>27</v>
      </c>
      <c r="CW4" t="s">
        <v>27</v>
      </c>
      <c r="CX4" t="s">
        <v>27</v>
      </c>
      <c r="CY4" t="s">
        <v>27</v>
      </c>
      <c r="CZ4" t="s">
        <v>27</v>
      </c>
      <c r="DA4" t="s">
        <v>27</v>
      </c>
      <c r="DB4" t="s">
        <v>27</v>
      </c>
      <c r="DC4" t="s">
        <v>27</v>
      </c>
      <c r="DD4" t="s">
        <v>27</v>
      </c>
      <c r="DE4" t="s">
        <v>27</v>
      </c>
      <c r="DF4" t="s">
        <v>27</v>
      </c>
      <c r="DG4" t="s">
        <v>27</v>
      </c>
      <c r="DH4" t="s">
        <v>27</v>
      </c>
      <c r="DI4" t="s">
        <v>27</v>
      </c>
      <c r="DJ4" t="s">
        <v>27</v>
      </c>
      <c r="DK4" t="s">
        <v>23</v>
      </c>
      <c r="DL4" t="s">
        <v>23</v>
      </c>
      <c r="DM4" t="s">
        <v>23</v>
      </c>
      <c r="DN4" t="s">
        <v>32</v>
      </c>
      <c r="DO4" t="s">
        <v>33</v>
      </c>
      <c r="DP4" t="s">
        <v>32</v>
      </c>
      <c r="DQ4" t="s">
        <v>33</v>
      </c>
      <c r="DR4" t="s">
        <v>34</v>
      </c>
    </row>
    <row r="5" spans="1:122" x14ac:dyDescent="0.3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P5" t="s">
        <v>50</v>
      </c>
      <c r="Q5" t="s">
        <v>51</v>
      </c>
      <c r="R5" t="s">
        <v>52</v>
      </c>
      <c r="S5" t="s">
        <v>53</v>
      </c>
      <c r="T5" t="s">
        <v>54</v>
      </c>
      <c r="U5" t="s">
        <v>55</v>
      </c>
      <c r="V5" t="s">
        <v>56</v>
      </c>
      <c r="W5" t="s">
        <v>57</v>
      </c>
      <c r="X5" t="s">
        <v>58</v>
      </c>
      <c r="Y5" t="s">
        <v>59</v>
      </c>
      <c r="Z5" t="s">
        <v>60</v>
      </c>
      <c r="AA5" t="s">
        <v>61</v>
      </c>
      <c r="AB5" t="s">
        <v>62</v>
      </c>
      <c r="AC5" t="s">
        <v>63</v>
      </c>
      <c r="AD5" t="s">
        <v>64</v>
      </c>
      <c r="AE5" t="s">
        <v>65</v>
      </c>
      <c r="AF5" t="s">
        <v>66</v>
      </c>
      <c r="AG5" t="s">
        <v>67</v>
      </c>
      <c r="AH5" t="s">
        <v>68</v>
      </c>
      <c r="AI5" t="s">
        <v>69</v>
      </c>
      <c r="AJ5" t="s">
        <v>70</v>
      </c>
      <c r="AK5" t="s">
        <v>71</v>
      </c>
      <c r="AL5" t="s">
        <v>72</v>
      </c>
      <c r="AM5" t="s">
        <v>73</v>
      </c>
      <c r="AN5" t="s">
        <v>74</v>
      </c>
      <c r="AO5" t="s">
        <v>75</v>
      </c>
      <c r="AP5" t="s">
        <v>76</v>
      </c>
      <c r="AQ5" t="s">
        <v>77</v>
      </c>
      <c r="AR5" t="s">
        <v>78</v>
      </c>
      <c r="AS5" t="s">
        <v>79</v>
      </c>
      <c r="AT5" t="s">
        <v>80</v>
      </c>
      <c r="AU5" t="s">
        <v>81</v>
      </c>
      <c r="AV5" t="s">
        <v>82</v>
      </c>
      <c r="AW5" t="s">
        <v>83</v>
      </c>
      <c r="AX5" t="s">
        <v>84</v>
      </c>
      <c r="AY5" t="s">
        <v>85</v>
      </c>
      <c r="AZ5" t="s">
        <v>86</v>
      </c>
      <c r="BA5" t="s">
        <v>87</v>
      </c>
      <c r="BB5" t="s">
        <v>88</v>
      </c>
      <c r="BC5" t="s">
        <v>89</v>
      </c>
      <c r="BD5" t="s">
        <v>90</v>
      </c>
      <c r="BE5" t="s">
        <v>91</v>
      </c>
      <c r="BF5" t="s">
        <v>92</v>
      </c>
      <c r="BG5" t="s">
        <v>93</v>
      </c>
      <c r="BH5" t="s">
        <v>94</v>
      </c>
      <c r="BI5" t="s">
        <v>95</v>
      </c>
      <c r="BJ5" t="s">
        <v>96</v>
      </c>
      <c r="BK5" t="s">
        <v>97</v>
      </c>
      <c r="BL5" t="s">
        <v>98</v>
      </c>
      <c r="BM5" t="s">
        <v>99</v>
      </c>
      <c r="BN5" t="s">
        <v>100</v>
      </c>
      <c r="BO5" t="s">
        <v>101</v>
      </c>
      <c r="BP5" t="s">
        <v>102</v>
      </c>
      <c r="BQ5" t="s">
        <v>103</v>
      </c>
      <c r="BR5" t="s">
        <v>104</v>
      </c>
      <c r="BS5" t="s">
        <v>105</v>
      </c>
      <c r="BT5" t="s">
        <v>106</v>
      </c>
      <c r="BU5" t="s">
        <v>107</v>
      </c>
      <c r="BV5" t="s">
        <v>108</v>
      </c>
      <c r="BW5" t="s">
        <v>109</v>
      </c>
      <c r="BX5" t="s">
        <v>110</v>
      </c>
      <c r="BY5" t="s">
        <v>111</v>
      </c>
      <c r="BZ5" t="s">
        <v>112</v>
      </c>
      <c r="CA5" t="s">
        <v>113</v>
      </c>
      <c r="CB5" t="s">
        <v>114</v>
      </c>
      <c r="CC5" t="s">
        <v>115</v>
      </c>
      <c r="CD5" t="s">
        <v>116</v>
      </c>
      <c r="CE5" t="s">
        <v>117</v>
      </c>
      <c r="CF5" t="s">
        <v>118</v>
      </c>
      <c r="CG5" t="s">
        <v>119</v>
      </c>
      <c r="CH5" t="s">
        <v>120</v>
      </c>
      <c r="CI5" t="s">
        <v>121</v>
      </c>
      <c r="CJ5" t="s">
        <v>122</v>
      </c>
      <c r="CK5" t="s">
        <v>123</v>
      </c>
      <c r="CL5" t="s">
        <v>124</v>
      </c>
      <c r="CM5" t="s">
        <v>125</v>
      </c>
      <c r="CN5" t="s">
        <v>126</v>
      </c>
      <c r="CO5" t="s">
        <v>127</v>
      </c>
      <c r="CP5" t="s">
        <v>128</v>
      </c>
      <c r="CQ5" t="s">
        <v>129</v>
      </c>
      <c r="CR5" t="s">
        <v>130</v>
      </c>
      <c r="CS5" t="s">
        <v>131</v>
      </c>
      <c r="CT5" t="s">
        <v>132</v>
      </c>
      <c r="CU5" t="s">
        <v>133</v>
      </c>
      <c r="CV5" t="s">
        <v>134</v>
      </c>
      <c r="CW5" t="s">
        <v>135</v>
      </c>
      <c r="CX5" t="s">
        <v>136</v>
      </c>
      <c r="CY5" t="s">
        <v>137</v>
      </c>
      <c r="CZ5" t="s">
        <v>138</v>
      </c>
      <c r="DA5" t="s">
        <v>139</v>
      </c>
      <c r="DB5" t="s">
        <v>140</v>
      </c>
      <c r="DC5" t="s">
        <v>141</v>
      </c>
      <c r="DD5" t="s">
        <v>142</v>
      </c>
      <c r="DE5" t="s">
        <v>143</v>
      </c>
      <c r="DF5" t="s">
        <v>144</v>
      </c>
      <c r="DG5" t="s">
        <v>145</v>
      </c>
      <c r="DH5" t="s">
        <v>146</v>
      </c>
      <c r="DI5" t="s">
        <v>147</v>
      </c>
      <c r="DJ5" t="s">
        <v>148</v>
      </c>
      <c r="DK5" t="s">
        <v>149</v>
      </c>
      <c r="DL5" t="s">
        <v>150</v>
      </c>
      <c r="DM5" t="s">
        <v>151</v>
      </c>
      <c r="DN5" t="s">
        <v>152</v>
      </c>
      <c r="DO5" t="s">
        <v>153</v>
      </c>
      <c r="DP5" t="s">
        <v>154</v>
      </c>
      <c r="DQ5" t="s">
        <v>155</v>
      </c>
      <c r="DR5" t="s">
        <v>156</v>
      </c>
    </row>
    <row r="6" spans="1:122" x14ac:dyDescent="0.3">
      <c r="A6" t="s">
        <v>157</v>
      </c>
      <c r="B6">
        <v>2022</v>
      </c>
      <c r="C6">
        <v>141799153.90000001</v>
      </c>
      <c r="D6">
        <v>138553623</v>
      </c>
      <c r="E6">
        <v>133574385.5</v>
      </c>
      <c r="F6">
        <v>0</v>
      </c>
      <c r="G6">
        <v>1409905.6</v>
      </c>
      <c r="H6">
        <v>111208394.90000001</v>
      </c>
      <c r="I6">
        <v>1217080.2</v>
      </c>
      <c r="J6">
        <v>192825.4</v>
      </c>
      <c r="K6">
        <v>1835625.4</v>
      </c>
      <c r="L6">
        <v>3.5900000000000001E-2</v>
      </c>
      <c r="M6">
        <v>5.3900000000000003E-2</v>
      </c>
      <c r="N6">
        <v>0.13500000000000001</v>
      </c>
      <c r="O6">
        <v>45215.07</v>
      </c>
      <c r="P6">
        <v>34043.300000000003</v>
      </c>
      <c r="Q6">
        <v>364.9</v>
      </c>
      <c r="R6">
        <v>30.5</v>
      </c>
      <c r="S6">
        <v>4.34</v>
      </c>
      <c r="T6">
        <v>23.7</v>
      </c>
      <c r="U6">
        <v>1163.3</v>
      </c>
      <c r="V6">
        <v>0.22</v>
      </c>
      <c r="W6">
        <v>366.9</v>
      </c>
      <c r="X6">
        <v>56.4</v>
      </c>
      <c r="Y6">
        <v>423.2</v>
      </c>
      <c r="Z6">
        <v>371.8</v>
      </c>
      <c r="AA6">
        <v>32</v>
      </c>
      <c r="AB6">
        <v>4.55</v>
      </c>
      <c r="AC6">
        <v>23.4</v>
      </c>
      <c r="AD6">
        <v>1158.7</v>
      </c>
      <c r="AE6">
        <v>0.22</v>
      </c>
      <c r="AF6">
        <v>373.9</v>
      </c>
      <c r="AG6">
        <v>55.9</v>
      </c>
      <c r="AH6">
        <v>429.8</v>
      </c>
      <c r="AI6">
        <v>424.4</v>
      </c>
      <c r="AJ6">
        <v>14.6</v>
      </c>
      <c r="AK6">
        <v>1.83</v>
      </c>
      <c r="AL6">
        <v>44.3</v>
      </c>
      <c r="AM6">
        <v>1995.7</v>
      </c>
      <c r="AN6">
        <v>0.2</v>
      </c>
      <c r="AO6">
        <v>425.3</v>
      </c>
      <c r="AP6">
        <v>100.3</v>
      </c>
      <c r="AQ6">
        <v>525.6</v>
      </c>
      <c r="AR6">
        <v>690.1</v>
      </c>
      <c r="AS6">
        <v>48.7</v>
      </c>
      <c r="AT6">
        <v>6.83</v>
      </c>
      <c r="AU6">
        <v>49.4</v>
      </c>
      <c r="AV6">
        <v>2463.9</v>
      </c>
      <c r="AW6">
        <v>0.33</v>
      </c>
      <c r="AX6">
        <v>693.3</v>
      </c>
      <c r="AY6">
        <v>118.4</v>
      </c>
      <c r="AZ6">
        <v>811.8</v>
      </c>
      <c r="BA6">
        <v>51828424.600000001</v>
      </c>
      <c r="BB6">
        <v>4341.3</v>
      </c>
      <c r="BC6">
        <v>617.1</v>
      </c>
      <c r="BD6">
        <v>3367762.9</v>
      </c>
      <c r="BE6">
        <v>165143.4</v>
      </c>
      <c r="BF6">
        <v>31.1</v>
      </c>
      <c r="BG6">
        <v>52113508.100000001</v>
      </c>
      <c r="BH6">
        <v>8000026.2000000002</v>
      </c>
      <c r="BI6">
        <v>60113534.299999997</v>
      </c>
      <c r="BJ6">
        <v>0</v>
      </c>
      <c r="BK6">
        <v>0</v>
      </c>
      <c r="BL6">
        <v>51828424.600000001</v>
      </c>
      <c r="BM6">
        <v>55196187.5</v>
      </c>
      <c r="BN6">
        <v>60113534.299999997</v>
      </c>
      <c r="BO6">
        <v>35.86</v>
      </c>
      <c r="BP6">
        <v>9.65</v>
      </c>
      <c r="BQ6">
        <v>0</v>
      </c>
      <c r="BR6">
        <v>45.52</v>
      </c>
      <c r="BS6">
        <v>37.99</v>
      </c>
      <c r="BT6">
        <v>10.57</v>
      </c>
      <c r="BU6">
        <v>0</v>
      </c>
      <c r="BV6">
        <v>48.57</v>
      </c>
      <c r="BW6">
        <v>143037980</v>
      </c>
      <c r="BX6">
        <v>27345228</v>
      </c>
      <c r="BY6">
        <v>31446266</v>
      </c>
      <c r="BZ6">
        <v>32912356</v>
      </c>
      <c r="CA6">
        <v>0</v>
      </c>
      <c r="CB6">
        <v>29364</v>
      </c>
      <c r="CC6">
        <v>40118030</v>
      </c>
      <c r="CD6">
        <v>0</v>
      </c>
      <c r="CE6">
        <v>273084.7</v>
      </c>
      <c r="CF6">
        <v>9069476</v>
      </c>
      <c r="CG6">
        <v>64024.1</v>
      </c>
      <c r="CH6">
        <v>589478.80000000005</v>
      </c>
      <c r="CI6">
        <v>0</v>
      </c>
      <c r="CJ6">
        <v>5703750.5</v>
      </c>
      <c r="CK6">
        <v>0</v>
      </c>
      <c r="CL6">
        <v>16353.9</v>
      </c>
      <c r="CM6">
        <v>18049950</v>
      </c>
      <c r="CN6">
        <v>3575172.8</v>
      </c>
      <c r="CO6">
        <v>153923.20000000001</v>
      </c>
      <c r="CP6">
        <v>1036754</v>
      </c>
      <c r="CQ6">
        <v>0</v>
      </c>
      <c r="CR6">
        <v>1521.2</v>
      </c>
      <c r="CS6">
        <v>0</v>
      </c>
      <c r="CT6">
        <v>84.8</v>
      </c>
      <c r="CU6">
        <v>5189</v>
      </c>
      <c r="CV6">
        <v>0</v>
      </c>
      <c r="CW6">
        <v>8</v>
      </c>
      <c r="CX6">
        <v>1994.3</v>
      </c>
      <c r="CY6">
        <v>15813.3</v>
      </c>
      <c r="CZ6">
        <v>0</v>
      </c>
      <c r="DA6">
        <v>5523.8</v>
      </c>
      <c r="DB6">
        <v>8.6</v>
      </c>
      <c r="DC6">
        <v>3067</v>
      </c>
      <c r="DD6">
        <v>3937</v>
      </c>
      <c r="DE6">
        <v>1952.7</v>
      </c>
      <c r="DF6">
        <v>216.3</v>
      </c>
      <c r="DG6">
        <v>6699.9</v>
      </c>
      <c r="DH6">
        <v>0</v>
      </c>
      <c r="DI6">
        <v>1744.3</v>
      </c>
      <c r="DJ6">
        <v>0</v>
      </c>
      <c r="DK6">
        <v>3042.4</v>
      </c>
      <c r="DL6">
        <v>2163</v>
      </c>
      <c r="DM6">
        <v>0</v>
      </c>
      <c r="DN6">
        <v>0</v>
      </c>
      <c r="DO6">
        <v>0.11</v>
      </c>
      <c r="DP6">
        <v>0</v>
      </c>
      <c r="DQ6">
        <v>0</v>
      </c>
      <c r="DR6">
        <v>0</v>
      </c>
    </row>
    <row r="7" spans="1:122" x14ac:dyDescent="0.3">
      <c r="A7" t="s">
        <v>157</v>
      </c>
      <c r="B7">
        <v>2024</v>
      </c>
      <c r="C7">
        <v>147123321.69999999</v>
      </c>
      <c r="D7">
        <v>143642238.80000001</v>
      </c>
      <c r="E7">
        <v>138480130.40000001</v>
      </c>
      <c r="F7">
        <v>0</v>
      </c>
      <c r="G7">
        <v>1791495</v>
      </c>
      <c r="H7">
        <v>114218779.7</v>
      </c>
      <c r="I7">
        <v>1615275.5</v>
      </c>
      <c r="J7">
        <v>176219.5</v>
      </c>
      <c r="K7">
        <v>1689588</v>
      </c>
      <c r="L7">
        <v>3.5900000000000001E-2</v>
      </c>
      <c r="M7">
        <v>5.3900000000000003E-2</v>
      </c>
      <c r="N7">
        <v>0.13500000000000001</v>
      </c>
      <c r="O7">
        <v>45215.07</v>
      </c>
      <c r="P7">
        <v>35293.199999999997</v>
      </c>
      <c r="Q7">
        <v>331.4</v>
      </c>
      <c r="R7">
        <v>24.8</v>
      </c>
      <c r="S7">
        <v>3.49</v>
      </c>
      <c r="T7">
        <v>24.3</v>
      </c>
      <c r="U7">
        <v>1149.5</v>
      </c>
      <c r="V7">
        <v>0.2</v>
      </c>
      <c r="W7">
        <v>333</v>
      </c>
      <c r="X7">
        <v>56.5</v>
      </c>
      <c r="Y7">
        <v>389.5</v>
      </c>
      <c r="Z7">
        <v>335.4</v>
      </c>
      <c r="AA7">
        <v>25.7</v>
      </c>
      <c r="AB7">
        <v>3.62</v>
      </c>
      <c r="AC7">
        <v>24</v>
      </c>
      <c r="AD7">
        <v>1145</v>
      </c>
      <c r="AE7">
        <v>0.2</v>
      </c>
      <c r="AF7">
        <v>337.1</v>
      </c>
      <c r="AG7">
        <v>56.2</v>
      </c>
      <c r="AH7">
        <v>393.3</v>
      </c>
      <c r="AI7">
        <v>392.5</v>
      </c>
      <c r="AJ7">
        <v>12.2</v>
      </c>
      <c r="AK7">
        <v>1.49</v>
      </c>
      <c r="AL7">
        <v>42.2</v>
      </c>
      <c r="AM7">
        <v>1887.8</v>
      </c>
      <c r="AN7">
        <v>0.18</v>
      </c>
      <c r="AO7">
        <v>393.3</v>
      </c>
      <c r="AP7">
        <v>95.1</v>
      </c>
      <c r="AQ7">
        <v>488.4</v>
      </c>
      <c r="AR7">
        <v>685.9</v>
      </c>
      <c r="AS7">
        <v>47.4</v>
      </c>
      <c r="AT7">
        <v>6.64</v>
      </c>
      <c r="AU7">
        <v>50</v>
      </c>
      <c r="AV7">
        <v>2476.4</v>
      </c>
      <c r="AW7">
        <v>0.33</v>
      </c>
      <c r="AX7">
        <v>689</v>
      </c>
      <c r="AY7">
        <v>119.4</v>
      </c>
      <c r="AZ7">
        <v>808.4</v>
      </c>
      <c r="BA7">
        <v>49959885.799999997</v>
      </c>
      <c r="BB7">
        <v>3740.2</v>
      </c>
      <c r="BC7">
        <v>526.20000000000005</v>
      </c>
      <c r="BD7">
        <v>3659784.2</v>
      </c>
      <c r="BE7">
        <v>173322</v>
      </c>
      <c r="BF7">
        <v>29.9</v>
      </c>
      <c r="BG7">
        <v>50204050.600000001</v>
      </c>
      <c r="BH7">
        <v>8520732.0999999996</v>
      </c>
      <c r="BI7">
        <v>58724782.700000003</v>
      </c>
      <c r="BJ7">
        <v>0</v>
      </c>
      <c r="BK7">
        <v>0</v>
      </c>
      <c r="BL7">
        <v>49959885.799999997</v>
      </c>
      <c r="BM7">
        <v>53619670</v>
      </c>
      <c r="BN7">
        <v>58724782.700000003</v>
      </c>
      <c r="BO7">
        <v>32.51</v>
      </c>
      <c r="BP7">
        <v>9.58</v>
      </c>
      <c r="BQ7">
        <v>0</v>
      </c>
      <c r="BR7">
        <v>42.09</v>
      </c>
      <c r="BS7">
        <v>34.46</v>
      </c>
      <c r="BT7">
        <v>10.51</v>
      </c>
      <c r="BU7">
        <v>0</v>
      </c>
      <c r="BV7">
        <v>44.97</v>
      </c>
      <c r="BW7">
        <v>151806820</v>
      </c>
      <c r="BX7">
        <v>29423460</v>
      </c>
      <c r="BY7">
        <v>31446266</v>
      </c>
      <c r="BZ7">
        <v>27460646</v>
      </c>
      <c r="CA7">
        <v>0</v>
      </c>
      <c r="CB7">
        <v>14086.3</v>
      </c>
      <c r="CC7">
        <v>51872436</v>
      </c>
      <c r="CD7">
        <v>0</v>
      </c>
      <c r="CE7">
        <v>349355.8</v>
      </c>
      <c r="CF7">
        <v>9065539</v>
      </c>
      <c r="CG7">
        <v>64035.3</v>
      </c>
      <c r="CH7">
        <v>589478.80000000005</v>
      </c>
      <c r="CI7">
        <v>0</v>
      </c>
      <c r="CJ7">
        <v>5715414</v>
      </c>
      <c r="CK7">
        <v>0</v>
      </c>
      <c r="CL7">
        <v>16398.400000000001</v>
      </c>
      <c r="CM7">
        <v>19795988</v>
      </c>
      <c r="CN7">
        <v>3895658</v>
      </c>
      <c r="CO7">
        <v>144013.29999999999</v>
      </c>
      <c r="CP7">
        <v>1377501.2</v>
      </c>
      <c r="CQ7">
        <v>0</v>
      </c>
      <c r="CR7">
        <v>2081.1999999999998</v>
      </c>
      <c r="CS7">
        <v>0</v>
      </c>
      <c r="CT7">
        <v>84.8</v>
      </c>
      <c r="CU7">
        <v>5189</v>
      </c>
      <c r="CV7">
        <v>0</v>
      </c>
      <c r="CW7">
        <v>8</v>
      </c>
      <c r="CX7">
        <v>2190</v>
      </c>
      <c r="CY7">
        <v>17445.900000000001</v>
      </c>
      <c r="CZ7">
        <v>0</v>
      </c>
      <c r="DA7">
        <v>4805.3</v>
      </c>
      <c r="DB7">
        <v>8.6</v>
      </c>
      <c r="DC7">
        <v>3067</v>
      </c>
      <c r="DD7">
        <v>3937</v>
      </c>
      <c r="DE7">
        <v>865.5</v>
      </c>
      <c r="DF7">
        <v>216.3</v>
      </c>
      <c r="DG7">
        <v>7403.2</v>
      </c>
      <c r="DH7">
        <v>0</v>
      </c>
      <c r="DI7">
        <v>1756.8</v>
      </c>
      <c r="DJ7">
        <v>0</v>
      </c>
      <c r="DK7">
        <v>4162.3999999999996</v>
      </c>
      <c r="DL7">
        <v>2163</v>
      </c>
      <c r="DM7">
        <v>0</v>
      </c>
      <c r="DN7">
        <v>0</v>
      </c>
      <c r="DO7">
        <v>0.12</v>
      </c>
      <c r="DP7">
        <v>0</v>
      </c>
      <c r="DQ7">
        <v>0</v>
      </c>
      <c r="DR7">
        <v>0</v>
      </c>
    </row>
    <row r="8" spans="1:122" x14ac:dyDescent="0.3">
      <c r="A8" t="s">
        <v>157</v>
      </c>
      <c r="B8">
        <v>2026</v>
      </c>
      <c r="C8">
        <v>152161721.69999999</v>
      </c>
      <c r="D8">
        <v>147952741</v>
      </c>
      <c r="E8">
        <v>142635725</v>
      </c>
      <c r="F8">
        <v>0</v>
      </c>
      <c r="G8">
        <v>1926490.8</v>
      </c>
      <c r="H8">
        <v>118303980.7</v>
      </c>
      <c r="I8">
        <v>1692093.2</v>
      </c>
      <c r="J8">
        <v>234397.6</v>
      </c>
      <c r="K8">
        <v>2282489.7999999998</v>
      </c>
      <c r="L8">
        <v>3.5900000000000001E-2</v>
      </c>
      <c r="M8">
        <v>5.3900000000000003E-2</v>
      </c>
      <c r="N8">
        <v>0.13500000000000001</v>
      </c>
      <c r="O8">
        <v>50683.71</v>
      </c>
      <c r="P8">
        <v>36351.9</v>
      </c>
      <c r="Q8">
        <v>318.60000000000002</v>
      </c>
      <c r="R8">
        <v>23.7</v>
      </c>
      <c r="S8">
        <v>3.34</v>
      </c>
      <c r="T8">
        <v>23.5</v>
      </c>
      <c r="U8">
        <v>1108.9000000000001</v>
      </c>
      <c r="V8">
        <v>0.19</v>
      </c>
      <c r="W8">
        <v>320.2</v>
      </c>
      <c r="X8">
        <v>54.6</v>
      </c>
      <c r="Y8">
        <v>374.7</v>
      </c>
      <c r="Z8">
        <v>306.7</v>
      </c>
      <c r="AA8">
        <v>23.6</v>
      </c>
      <c r="AB8">
        <v>3.32</v>
      </c>
      <c r="AC8">
        <v>22</v>
      </c>
      <c r="AD8">
        <v>1045.4000000000001</v>
      </c>
      <c r="AE8">
        <v>0.19</v>
      </c>
      <c r="AF8">
        <v>308.2</v>
      </c>
      <c r="AG8">
        <v>51.3</v>
      </c>
      <c r="AH8">
        <v>359.6</v>
      </c>
      <c r="AI8">
        <v>336.9</v>
      </c>
      <c r="AJ8">
        <v>8.1999999999999993</v>
      </c>
      <c r="AK8">
        <v>0.93</v>
      </c>
      <c r="AL8">
        <v>38.200000000000003</v>
      </c>
      <c r="AM8">
        <v>1696.1</v>
      </c>
      <c r="AN8">
        <v>0.15</v>
      </c>
      <c r="AO8">
        <v>337.4</v>
      </c>
      <c r="AP8">
        <v>85.7</v>
      </c>
      <c r="AQ8">
        <v>423.1</v>
      </c>
      <c r="AR8">
        <v>695.7</v>
      </c>
      <c r="AS8">
        <v>50.4</v>
      </c>
      <c r="AT8">
        <v>7.09</v>
      </c>
      <c r="AU8">
        <v>48.7</v>
      </c>
      <c r="AV8">
        <v>2435.5</v>
      </c>
      <c r="AW8">
        <v>0.34</v>
      </c>
      <c r="AX8">
        <v>699</v>
      </c>
      <c r="AY8">
        <v>117</v>
      </c>
      <c r="AZ8">
        <v>816</v>
      </c>
      <c r="BA8">
        <v>48944872.799999997</v>
      </c>
      <c r="BB8">
        <v>3648.2</v>
      </c>
      <c r="BC8">
        <v>513</v>
      </c>
      <c r="BD8">
        <v>3605657.1</v>
      </c>
      <c r="BE8">
        <v>170337.1</v>
      </c>
      <c r="BF8">
        <v>29.4</v>
      </c>
      <c r="BG8">
        <v>49182965.399999999</v>
      </c>
      <c r="BH8">
        <v>8382895.5</v>
      </c>
      <c r="BI8">
        <v>57565860.899999999</v>
      </c>
      <c r="BJ8">
        <v>0</v>
      </c>
      <c r="BK8">
        <v>0</v>
      </c>
      <c r="BL8">
        <v>48944872.799999997</v>
      </c>
      <c r="BM8">
        <v>52550529.799999997</v>
      </c>
      <c r="BN8">
        <v>57565860.899999999</v>
      </c>
      <c r="BO8">
        <v>31.24</v>
      </c>
      <c r="BP8">
        <v>10.72</v>
      </c>
      <c r="BQ8">
        <v>0</v>
      </c>
      <c r="BR8">
        <v>41.96</v>
      </c>
      <c r="BS8">
        <v>33.130000000000003</v>
      </c>
      <c r="BT8">
        <v>11.8</v>
      </c>
      <c r="BU8">
        <v>0</v>
      </c>
      <c r="BV8">
        <v>44.93</v>
      </c>
      <c r="BW8">
        <v>154638340</v>
      </c>
      <c r="BX8">
        <v>29648762</v>
      </c>
      <c r="BY8">
        <v>31446266</v>
      </c>
      <c r="BZ8">
        <v>26772840</v>
      </c>
      <c r="CA8">
        <v>0</v>
      </c>
      <c r="CB8">
        <v>8814.2000000000007</v>
      </c>
      <c r="CC8">
        <v>53576132</v>
      </c>
      <c r="CD8">
        <v>0</v>
      </c>
      <c r="CE8">
        <v>256914.4</v>
      </c>
      <c r="CF8">
        <v>10647589</v>
      </c>
      <c r="CG8">
        <v>64032.1</v>
      </c>
      <c r="CH8">
        <v>587047.5</v>
      </c>
      <c r="CI8">
        <v>0</v>
      </c>
      <c r="CJ8">
        <v>5684591</v>
      </c>
      <c r="CK8">
        <v>0</v>
      </c>
      <c r="CL8">
        <v>16331.6</v>
      </c>
      <c r="CM8">
        <v>19519816</v>
      </c>
      <c r="CN8">
        <v>4428022.5</v>
      </c>
      <c r="CO8">
        <v>188513.1</v>
      </c>
      <c r="CP8">
        <v>1441431.9</v>
      </c>
      <c r="CQ8">
        <v>0</v>
      </c>
      <c r="CR8">
        <v>2081.1999999999998</v>
      </c>
      <c r="CS8">
        <v>0</v>
      </c>
      <c r="CT8">
        <v>84.8</v>
      </c>
      <c r="CU8">
        <v>4422</v>
      </c>
      <c r="CV8">
        <v>0</v>
      </c>
      <c r="CW8">
        <v>8</v>
      </c>
      <c r="CX8">
        <v>2500</v>
      </c>
      <c r="CY8">
        <v>19287.3</v>
      </c>
      <c r="CZ8">
        <v>0</v>
      </c>
      <c r="DA8">
        <v>4805.3</v>
      </c>
      <c r="DB8">
        <v>8.6</v>
      </c>
      <c r="DC8">
        <v>3486</v>
      </c>
      <c r="DD8">
        <v>3937</v>
      </c>
      <c r="DE8">
        <v>865.5</v>
      </c>
      <c r="DF8">
        <v>216.3</v>
      </c>
      <c r="DG8">
        <v>7403.2</v>
      </c>
      <c r="DH8">
        <v>0</v>
      </c>
      <c r="DI8">
        <v>1756.8</v>
      </c>
      <c r="DJ8">
        <v>0</v>
      </c>
      <c r="DK8">
        <v>4162.3999999999996</v>
      </c>
      <c r="DL8">
        <v>2163</v>
      </c>
      <c r="DM8">
        <v>0</v>
      </c>
      <c r="DN8">
        <v>0</v>
      </c>
      <c r="DO8">
        <v>0.16</v>
      </c>
      <c r="DP8">
        <v>0</v>
      </c>
      <c r="DQ8">
        <v>0</v>
      </c>
      <c r="DR8">
        <v>0</v>
      </c>
    </row>
    <row r="9" spans="1:122" x14ac:dyDescent="0.3">
      <c r="A9" t="s">
        <v>157</v>
      </c>
      <c r="B9">
        <v>2028</v>
      </c>
      <c r="C9">
        <v>156572125.80000001</v>
      </c>
      <c r="D9">
        <v>151571586.80000001</v>
      </c>
      <c r="E9">
        <v>146124519.40000001</v>
      </c>
      <c r="F9">
        <v>0</v>
      </c>
      <c r="G9">
        <v>2115258.7999999998</v>
      </c>
      <c r="H9">
        <v>118951981.90000001</v>
      </c>
      <c r="I9">
        <v>1841328.2</v>
      </c>
      <c r="J9">
        <v>273930.59999999998</v>
      </c>
      <c r="K9">
        <v>2885280.2</v>
      </c>
      <c r="L9">
        <v>3.5900000000000001E-2</v>
      </c>
      <c r="M9">
        <v>5.3900000000000003E-2</v>
      </c>
      <c r="N9">
        <v>0.13500000000000001</v>
      </c>
      <c r="O9">
        <v>58653.13</v>
      </c>
      <c r="P9">
        <v>37241.699999999997</v>
      </c>
      <c r="Q9">
        <v>310</v>
      </c>
      <c r="R9">
        <v>23</v>
      </c>
      <c r="S9">
        <v>3.23</v>
      </c>
      <c r="T9">
        <v>22.9</v>
      </c>
      <c r="U9">
        <v>1082.3</v>
      </c>
      <c r="V9">
        <v>0.19</v>
      </c>
      <c r="W9">
        <v>311.5</v>
      </c>
      <c r="X9">
        <v>53.3</v>
      </c>
      <c r="Y9">
        <v>364.8</v>
      </c>
      <c r="Z9">
        <v>291.2</v>
      </c>
      <c r="AA9">
        <v>22.4</v>
      </c>
      <c r="AB9">
        <v>3.16</v>
      </c>
      <c r="AC9">
        <v>20.9</v>
      </c>
      <c r="AD9">
        <v>990.9</v>
      </c>
      <c r="AE9">
        <v>0.18</v>
      </c>
      <c r="AF9">
        <v>292.7</v>
      </c>
      <c r="AG9">
        <v>48.7</v>
      </c>
      <c r="AH9">
        <v>341.3</v>
      </c>
      <c r="AI9">
        <v>252.1</v>
      </c>
      <c r="AJ9">
        <v>6.6</v>
      </c>
      <c r="AK9">
        <v>0.76</v>
      </c>
      <c r="AL9">
        <v>28.2</v>
      </c>
      <c r="AM9">
        <v>1253.9000000000001</v>
      </c>
      <c r="AN9">
        <v>0.12</v>
      </c>
      <c r="AO9">
        <v>252.5</v>
      </c>
      <c r="AP9">
        <v>63.3</v>
      </c>
      <c r="AQ9">
        <v>315.8</v>
      </c>
      <c r="AR9">
        <v>665.6</v>
      </c>
      <c r="AS9">
        <v>45.9</v>
      </c>
      <c r="AT9">
        <v>6.42</v>
      </c>
      <c r="AU9">
        <v>48.8</v>
      </c>
      <c r="AV9">
        <v>2401.6999999999998</v>
      </c>
      <c r="AW9">
        <v>0.33</v>
      </c>
      <c r="AX9">
        <v>668.6</v>
      </c>
      <c r="AY9">
        <v>116.1</v>
      </c>
      <c r="AZ9">
        <v>784.7</v>
      </c>
      <c r="BA9">
        <v>49105362.600000001</v>
      </c>
      <c r="BB9">
        <v>3644.4</v>
      </c>
      <c r="BC9">
        <v>512.29999999999995</v>
      </c>
      <c r="BD9">
        <v>3630569.8</v>
      </c>
      <c r="BE9">
        <v>171387.8</v>
      </c>
      <c r="BF9">
        <v>29.5</v>
      </c>
      <c r="BG9">
        <v>49343152.399999999</v>
      </c>
      <c r="BH9">
        <v>8437244.8000000007</v>
      </c>
      <c r="BI9">
        <v>57780397.200000003</v>
      </c>
      <c r="BJ9">
        <v>0</v>
      </c>
      <c r="BK9">
        <v>0</v>
      </c>
      <c r="BL9">
        <v>49105362.600000001</v>
      </c>
      <c r="BM9">
        <v>52735932.399999999</v>
      </c>
      <c r="BN9">
        <v>57780397.200000003</v>
      </c>
      <c r="BO9">
        <v>32.33</v>
      </c>
      <c r="BP9">
        <v>12.37</v>
      </c>
      <c r="BQ9">
        <v>0</v>
      </c>
      <c r="BR9">
        <v>44.7</v>
      </c>
      <c r="BS9">
        <v>34.32</v>
      </c>
      <c r="BT9">
        <v>13.66</v>
      </c>
      <c r="BU9">
        <v>0</v>
      </c>
      <c r="BV9">
        <v>47.98</v>
      </c>
      <c r="BW9">
        <v>159426910</v>
      </c>
      <c r="BX9">
        <v>32619604</v>
      </c>
      <c r="BY9">
        <v>31446266</v>
      </c>
      <c r="BZ9">
        <v>26693880</v>
      </c>
      <c r="CA9">
        <v>0</v>
      </c>
      <c r="CB9">
        <v>10161.299999999999</v>
      </c>
      <c r="CC9">
        <v>55334880</v>
      </c>
      <c r="CD9">
        <v>0</v>
      </c>
      <c r="CE9">
        <v>254666.7</v>
      </c>
      <c r="CF9">
        <v>10623686</v>
      </c>
      <c r="CG9">
        <v>64024.3</v>
      </c>
      <c r="CH9">
        <v>585685</v>
      </c>
      <c r="CI9">
        <v>0</v>
      </c>
      <c r="CJ9">
        <v>8144944</v>
      </c>
      <c r="CK9">
        <v>0</v>
      </c>
      <c r="CL9">
        <v>16408.8</v>
      </c>
      <c r="CM9">
        <v>19247496</v>
      </c>
      <c r="CN9">
        <v>5210756</v>
      </c>
      <c r="CO9">
        <v>221265.8</v>
      </c>
      <c r="CP9">
        <v>1572784.6</v>
      </c>
      <c r="CQ9">
        <v>0</v>
      </c>
      <c r="CR9">
        <v>2161.4</v>
      </c>
      <c r="CS9">
        <v>0</v>
      </c>
      <c r="CT9">
        <v>84.8</v>
      </c>
      <c r="CU9">
        <v>4111</v>
      </c>
      <c r="CV9">
        <v>0</v>
      </c>
      <c r="CW9">
        <v>8</v>
      </c>
      <c r="CX9">
        <v>2945.6</v>
      </c>
      <c r="CY9">
        <v>20320.900000000001</v>
      </c>
      <c r="CZ9">
        <v>0</v>
      </c>
      <c r="DA9">
        <v>4805.3</v>
      </c>
      <c r="DB9">
        <v>8.6</v>
      </c>
      <c r="DC9">
        <v>3486</v>
      </c>
      <c r="DD9">
        <v>3937</v>
      </c>
      <c r="DE9">
        <v>865.5</v>
      </c>
      <c r="DF9">
        <v>216.3</v>
      </c>
      <c r="DG9">
        <v>7403.2</v>
      </c>
      <c r="DH9">
        <v>0</v>
      </c>
      <c r="DI9">
        <v>2343.4</v>
      </c>
      <c r="DJ9">
        <v>0</v>
      </c>
      <c r="DK9">
        <v>4493.5</v>
      </c>
      <c r="DL9">
        <v>2163</v>
      </c>
      <c r="DM9">
        <v>0</v>
      </c>
      <c r="DN9">
        <v>0</v>
      </c>
      <c r="DO9">
        <v>0.17</v>
      </c>
      <c r="DP9">
        <v>0</v>
      </c>
      <c r="DQ9">
        <v>0</v>
      </c>
      <c r="DR9">
        <v>0</v>
      </c>
    </row>
    <row r="10" spans="1:122" x14ac:dyDescent="0.3">
      <c r="A10" t="s">
        <v>157</v>
      </c>
      <c r="B10">
        <v>2030</v>
      </c>
      <c r="C10">
        <v>161800377.90000001</v>
      </c>
      <c r="D10">
        <v>155227485.59999999</v>
      </c>
      <c r="E10">
        <v>149649035.19999999</v>
      </c>
      <c r="F10">
        <v>0</v>
      </c>
      <c r="G10">
        <v>3318834.2</v>
      </c>
      <c r="H10">
        <v>104275582.90000001</v>
      </c>
      <c r="I10">
        <v>2895527.2</v>
      </c>
      <c r="J10">
        <v>423307</v>
      </c>
      <c r="K10">
        <v>3254058</v>
      </c>
      <c r="L10">
        <v>3.5900000000000001E-2</v>
      </c>
      <c r="M10">
        <v>5.3900000000000003E-2</v>
      </c>
      <c r="N10">
        <v>0.13500000000000001</v>
      </c>
      <c r="O10">
        <v>65083.65</v>
      </c>
      <c r="P10">
        <v>38140.1</v>
      </c>
      <c r="Q10">
        <v>267.89999999999998</v>
      </c>
      <c r="R10">
        <v>19.600000000000001</v>
      </c>
      <c r="S10">
        <v>2.75</v>
      </c>
      <c r="T10">
        <v>20.100000000000001</v>
      </c>
      <c r="U10">
        <v>944</v>
      </c>
      <c r="V10">
        <v>0.16</v>
      </c>
      <c r="W10">
        <v>269.10000000000002</v>
      </c>
      <c r="X10">
        <v>46.6</v>
      </c>
      <c r="Y10">
        <v>315.8</v>
      </c>
      <c r="Z10">
        <v>256.60000000000002</v>
      </c>
      <c r="AA10">
        <v>19.7</v>
      </c>
      <c r="AB10">
        <v>2.77</v>
      </c>
      <c r="AC10">
        <v>18.600000000000001</v>
      </c>
      <c r="AD10">
        <v>876.3</v>
      </c>
      <c r="AE10">
        <v>0.16</v>
      </c>
      <c r="AF10">
        <v>257.89999999999998</v>
      </c>
      <c r="AG10">
        <v>43.1</v>
      </c>
      <c r="AH10">
        <v>301</v>
      </c>
      <c r="AI10">
        <v>250.1</v>
      </c>
      <c r="AJ10">
        <v>6.4</v>
      </c>
      <c r="AK10">
        <v>0.74</v>
      </c>
      <c r="AL10">
        <v>28.1</v>
      </c>
      <c r="AM10">
        <v>1250.8</v>
      </c>
      <c r="AN10">
        <v>0.11</v>
      </c>
      <c r="AO10">
        <v>250.4</v>
      </c>
      <c r="AP10">
        <v>63.1</v>
      </c>
      <c r="AQ10">
        <v>313.60000000000002</v>
      </c>
      <c r="AR10">
        <v>637.1</v>
      </c>
      <c r="AS10">
        <v>44.6</v>
      </c>
      <c r="AT10">
        <v>6.27</v>
      </c>
      <c r="AU10">
        <v>46</v>
      </c>
      <c r="AV10">
        <v>2272.6</v>
      </c>
      <c r="AW10">
        <v>0.32</v>
      </c>
      <c r="AX10">
        <v>640</v>
      </c>
      <c r="AY10">
        <v>109.8</v>
      </c>
      <c r="AZ10">
        <v>749.8</v>
      </c>
      <c r="BA10">
        <v>46651396.200000003</v>
      </c>
      <c r="BB10">
        <v>3413.9</v>
      </c>
      <c r="BC10">
        <v>479.2</v>
      </c>
      <c r="BD10">
        <v>3507489.1</v>
      </c>
      <c r="BE10">
        <v>164379.29999999999</v>
      </c>
      <c r="BF10">
        <v>28.3</v>
      </c>
      <c r="BG10">
        <v>46873973.5</v>
      </c>
      <c r="BH10">
        <v>8117615.0999999996</v>
      </c>
      <c r="BI10">
        <v>54991588.600000001</v>
      </c>
      <c r="BJ10">
        <v>0</v>
      </c>
      <c r="BK10">
        <v>0</v>
      </c>
      <c r="BL10">
        <v>46651396.200000003</v>
      </c>
      <c r="BM10">
        <v>50158885.399999999</v>
      </c>
      <c r="BN10">
        <v>54991588.600000001</v>
      </c>
      <c r="BO10">
        <v>30.63</v>
      </c>
      <c r="BP10">
        <v>13.3</v>
      </c>
      <c r="BQ10">
        <v>0</v>
      </c>
      <c r="BR10">
        <v>43.93</v>
      </c>
      <c r="BS10">
        <v>32.619999999999997</v>
      </c>
      <c r="BT10">
        <v>14.78</v>
      </c>
      <c r="BU10">
        <v>0</v>
      </c>
      <c r="BV10">
        <v>47.4</v>
      </c>
      <c r="BW10">
        <v>175350740</v>
      </c>
      <c r="BX10">
        <v>50951904</v>
      </c>
      <c r="BY10">
        <v>31446266</v>
      </c>
      <c r="BZ10">
        <v>24898662</v>
      </c>
      <c r="CA10">
        <v>0</v>
      </c>
      <c r="CB10">
        <v>13228.5</v>
      </c>
      <c r="CC10">
        <v>53809160</v>
      </c>
      <c r="CD10">
        <v>0</v>
      </c>
      <c r="CE10">
        <v>312913.2</v>
      </c>
      <c r="CF10">
        <v>10473232</v>
      </c>
      <c r="CG10">
        <v>64024.3</v>
      </c>
      <c r="CH10">
        <v>576082.19999999995</v>
      </c>
      <c r="CI10">
        <v>0</v>
      </c>
      <c r="CJ10">
        <v>9324061</v>
      </c>
      <c r="CK10">
        <v>0</v>
      </c>
      <c r="CL10">
        <v>16453.599999999999</v>
      </c>
      <c r="CM10">
        <v>35506100</v>
      </c>
      <c r="CN10">
        <v>6105289</v>
      </c>
      <c r="CO10">
        <v>340679.5</v>
      </c>
      <c r="CP10">
        <v>2464595.7999999998</v>
      </c>
      <c r="CQ10">
        <v>0</v>
      </c>
      <c r="CR10">
        <v>2540.9</v>
      </c>
      <c r="CS10">
        <v>0</v>
      </c>
      <c r="CT10">
        <v>84.8</v>
      </c>
      <c r="CU10">
        <v>4111</v>
      </c>
      <c r="CV10">
        <v>0</v>
      </c>
      <c r="CW10">
        <v>8</v>
      </c>
      <c r="CX10">
        <v>3463.4</v>
      </c>
      <c r="CY10">
        <v>20320.900000000001</v>
      </c>
      <c r="CZ10">
        <v>0</v>
      </c>
      <c r="DA10">
        <v>4742.3</v>
      </c>
      <c r="DB10">
        <v>8.6</v>
      </c>
      <c r="DC10">
        <v>3486</v>
      </c>
      <c r="DD10">
        <v>3937</v>
      </c>
      <c r="DE10">
        <v>594.5</v>
      </c>
      <c r="DF10">
        <v>216.3</v>
      </c>
      <c r="DG10">
        <v>12981.8</v>
      </c>
      <c r="DH10">
        <v>0</v>
      </c>
      <c r="DI10">
        <v>2626</v>
      </c>
      <c r="DJ10">
        <v>0</v>
      </c>
      <c r="DK10">
        <v>7142.6</v>
      </c>
      <c r="DL10">
        <v>2163</v>
      </c>
      <c r="DM10">
        <v>0</v>
      </c>
      <c r="DN10">
        <v>0</v>
      </c>
      <c r="DO10">
        <v>0.2</v>
      </c>
      <c r="DP10">
        <v>0</v>
      </c>
      <c r="DQ10">
        <v>0.06</v>
      </c>
      <c r="DR10">
        <v>0</v>
      </c>
    </row>
    <row r="11" spans="1:122" x14ac:dyDescent="0.3">
      <c r="A11" t="s">
        <v>157</v>
      </c>
      <c r="B11">
        <v>2032</v>
      </c>
      <c r="C11">
        <v>167745856.40000001</v>
      </c>
      <c r="D11">
        <v>159031596.40000001</v>
      </c>
      <c r="E11">
        <v>153316436.69999999</v>
      </c>
      <c r="F11">
        <v>0</v>
      </c>
      <c r="G11">
        <v>6153183.5</v>
      </c>
      <c r="H11">
        <v>107726290.40000001</v>
      </c>
      <c r="I11">
        <v>5742138.5</v>
      </c>
      <c r="J11">
        <v>411045.3</v>
      </c>
      <c r="K11">
        <v>2561076.5</v>
      </c>
      <c r="L11">
        <v>3.5900000000000001E-2</v>
      </c>
      <c r="M11">
        <v>5.3900000000000003E-2</v>
      </c>
      <c r="N11">
        <v>0.13500000000000001</v>
      </c>
      <c r="O11">
        <v>68798.25</v>
      </c>
      <c r="P11">
        <v>39074.300000000003</v>
      </c>
      <c r="Q11">
        <v>173.2</v>
      </c>
      <c r="R11">
        <v>5.2</v>
      </c>
      <c r="S11">
        <v>0.62</v>
      </c>
      <c r="T11">
        <v>20.5</v>
      </c>
      <c r="U11">
        <v>849.6</v>
      </c>
      <c r="V11">
        <v>0.11</v>
      </c>
      <c r="W11">
        <v>173.6</v>
      </c>
      <c r="X11">
        <v>44.3</v>
      </c>
      <c r="Y11">
        <v>217.8</v>
      </c>
      <c r="Z11">
        <v>163.69999999999999</v>
      </c>
      <c r="AA11">
        <v>5.9</v>
      </c>
      <c r="AB11">
        <v>0.74</v>
      </c>
      <c r="AC11">
        <v>18.600000000000001</v>
      </c>
      <c r="AD11">
        <v>771.8</v>
      </c>
      <c r="AE11">
        <v>0.11</v>
      </c>
      <c r="AF11">
        <v>164.1</v>
      </c>
      <c r="AG11">
        <v>40.200000000000003</v>
      </c>
      <c r="AH11">
        <v>204.3</v>
      </c>
      <c r="AI11">
        <v>221.9</v>
      </c>
      <c r="AJ11">
        <v>5.5</v>
      </c>
      <c r="AK11">
        <v>0.63</v>
      </c>
      <c r="AL11">
        <v>25.1</v>
      </c>
      <c r="AM11">
        <v>1114.4000000000001</v>
      </c>
      <c r="AN11">
        <v>0.1</v>
      </c>
      <c r="AO11">
        <v>222.2</v>
      </c>
      <c r="AP11">
        <v>56.3</v>
      </c>
      <c r="AQ11">
        <v>278.5</v>
      </c>
      <c r="AR11">
        <v>612.6</v>
      </c>
      <c r="AS11">
        <v>39.700000000000003</v>
      </c>
      <c r="AT11">
        <v>5.53</v>
      </c>
      <c r="AU11">
        <v>47.2</v>
      </c>
      <c r="AV11">
        <v>2286.5</v>
      </c>
      <c r="AW11">
        <v>0.3</v>
      </c>
      <c r="AX11">
        <v>615.20000000000005</v>
      </c>
      <c r="AY11">
        <v>111.3</v>
      </c>
      <c r="AZ11">
        <v>726.5</v>
      </c>
      <c r="BA11">
        <v>29572314.100000001</v>
      </c>
      <c r="BB11">
        <v>883.4</v>
      </c>
      <c r="BC11">
        <v>106.1</v>
      </c>
      <c r="BD11">
        <v>3492636.1</v>
      </c>
      <c r="BE11">
        <v>145005.1</v>
      </c>
      <c r="BF11">
        <v>19.5</v>
      </c>
      <c r="BG11">
        <v>29625161</v>
      </c>
      <c r="BH11">
        <v>7557942.7000000002</v>
      </c>
      <c r="BI11">
        <v>37183103.700000003</v>
      </c>
      <c r="BJ11">
        <v>0</v>
      </c>
      <c r="BK11">
        <v>0</v>
      </c>
      <c r="BL11">
        <v>29572314.100000001</v>
      </c>
      <c r="BM11">
        <v>33064950.300000001</v>
      </c>
      <c r="BN11">
        <v>37183103.700000003</v>
      </c>
      <c r="BO11">
        <v>31.03</v>
      </c>
      <c r="BP11">
        <v>13.83</v>
      </c>
      <c r="BQ11">
        <v>0</v>
      </c>
      <c r="BR11">
        <v>44.86</v>
      </c>
      <c r="BS11">
        <v>33.15</v>
      </c>
      <c r="BT11">
        <v>15.63</v>
      </c>
      <c r="BU11">
        <v>0</v>
      </c>
      <c r="BV11">
        <v>48.78</v>
      </c>
      <c r="BW11">
        <v>171926610</v>
      </c>
      <c r="BX11">
        <v>51305304</v>
      </c>
      <c r="BY11">
        <v>31446266</v>
      </c>
      <c r="BZ11">
        <v>3124446.2</v>
      </c>
      <c r="CA11">
        <v>0</v>
      </c>
      <c r="CB11">
        <v>6715.9</v>
      </c>
      <c r="CC11">
        <v>69384440</v>
      </c>
      <c r="CD11">
        <v>0</v>
      </c>
      <c r="CE11">
        <v>258384.6</v>
      </c>
      <c r="CF11">
        <v>10531906</v>
      </c>
      <c r="CG11">
        <v>64013.4</v>
      </c>
      <c r="CH11">
        <v>579893.30000000005</v>
      </c>
      <c r="CI11">
        <v>0</v>
      </c>
      <c r="CJ11">
        <v>9273381</v>
      </c>
      <c r="CK11">
        <v>0</v>
      </c>
      <c r="CL11">
        <v>16496.900000000001</v>
      </c>
      <c r="CM11">
        <v>35152188</v>
      </c>
      <c r="CN11">
        <v>6863241</v>
      </c>
      <c r="CO11">
        <v>330238.3</v>
      </c>
      <c r="CP11">
        <v>4894993.5</v>
      </c>
      <c r="CQ11">
        <v>0</v>
      </c>
      <c r="CR11">
        <v>4236.3999999999996</v>
      </c>
      <c r="CS11">
        <v>0</v>
      </c>
      <c r="CT11">
        <v>84.8</v>
      </c>
      <c r="CU11">
        <v>486</v>
      </c>
      <c r="CV11">
        <v>0</v>
      </c>
      <c r="CW11">
        <v>8</v>
      </c>
      <c r="CX11">
        <v>3914.9</v>
      </c>
      <c r="CY11">
        <v>22294.1</v>
      </c>
      <c r="CZ11">
        <v>0</v>
      </c>
      <c r="DA11">
        <v>4742.3</v>
      </c>
      <c r="DB11">
        <v>8.6</v>
      </c>
      <c r="DC11">
        <v>3486</v>
      </c>
      <c r="DD11">
        <v>3937</v>
      </c>
      <c r="DE11">
        <v>486</v>
      </c>
      <c r="DF11">
        <v>216.3</v>
      </c>
      <c r="DG11">
        <v>13047.9</v>
      </c>
      <c r="DH11">
        <v>0</v>
      </c>
      <c r="DI11">
        <v>2626</v>
      </c>
      <c r="DJ11">
        <v>0</v>
      </c>
      <c r="DK11">
        <v>14056.5</v>
      </c>
      <c r="DL11">
        <v>2163</v>
      </c>
      <c r="DM11">
        <v>0</v>
      </c>
      <c r="DN11">
        <v>0</v>
      </c>
      <c r="DO11">
        <v>0.2</v>
      </c>
      <c r="DP11">
        <v>0</v>
      </c>
      <c r="DQ11">
        <v>7.0000000000000007E-2</v>
      </c>
      <c r="DR11">
        <v>0</v>
      </c>
    </row>
    <row r="12" spans="1:122" x14ac:dyDescent="0.3">
      <c r="A12" t="s">
        <v>157</v>
      </c>
      <c r="B12">
        <v>2034</v>
      </c>
      <c r="C12">
        <v>172184883.69999999</v>
      </c>
      <c r="D12">
        <v>163095078.40000001</v>
      </c>
      <c r="E12">
        <v>157233888.30000001</v>
      </c>
      <c r="F12">
        <v>0</v>
      </c>
      <c r="G12">
        <v>6531473.5</v>
      </c>
      <c r="H12">
        <v>111721751.09999999</v>
      </c>
      <c r="I12">
        <v>5849237.5</v>
      </c>
      <c r="J12">
        <v>682235.8</v>
      </c>
      <c r="K12">
        <v>2558331.9</v>
      </c>
      <c r="L12">
        <v>3.5900000000000001E-2</v>
      </c>
      <c r="M12">
        <v>5.3900000000000003E-2</v>
      </c>
      <c r="N12">
        <v>0.13500000000000001</v>
      </c>
      <c r="O12">
        <v>70970.95</v>
      </c>
      <c r="P12">
        <v>40071.800000000003</v>
      </c>
      <c r="Q12">
        <v>173.9</v>
      </c>
      <c r="R12">
        <v>5.2</v>
      </c>
      <c r="S12">
        <v>0.63</v>
      </c>
      <c r="T12">
        <v>20.5</v>
      </c>
      <c r="U12">
        <v>851.9</v>
      </c>
      <c r="V12">
        <v>0.11</v>
      </c>
      <c r="W12">
        <v>174.2</v>
      </c>
      <c r="X12">
        <v>44.4</v>
      </c>
      <c r="Y12">
        <v>218.6</v>
      </c>
      <c r="Z12">
        <v>162.4</v>
      </c>
      <c r="AA12">
        <v>5.9</v>
      </c>
      <c r="AB12">
        <v>0.74</v>
      </c>
      <c r="AC12">
        <v>18.399999999999999</v>
      </c>
      <c r="AD12">
        <v>764.9</v>
      </c>
      <c r="AE12">
        <v>0.11</v>
      </c>
      <c r="AF12">
        <v>162.80000000000001</v>
      </c>
      <c r="AG12">
        <v>39.799999999999997</v>
      </c>
      <c r="AH12">
        <v>202.6</v>
      </c>
      <c r="AI12">
        <v>255.1</v>
      </c>
      <c r="AJ12">
        <v>5.7</v>
      </c>
      <c r="AK12">
        <v>0.62</v>
      </c>
      <c r="AL12">
        <v>29.4</v>
      </c>
      <c r="AM12">
        <v>1303.5</v>
      </c>
      <c r="AN12">
        <v>0.11</v>
      </c>
      <c r="AO12">
        <v>255.4</v>
      </c>
      <c r="AP12">
        <v>66</v>
      </c>
      <c r="AQ12">
        <v>321.39999999999998</v>
      </c>
      <c r="AR12">
        <v>622.1</v>
      </c>
      <c r="AS12">
        <v>42.3</v>
      </c>
      <c r="AT12">
        <v>5.9</v>
      </c>
      <c r="AU12">
        <v>46.1</v>
      </c>
      <c r="AV12">
        <v>2269.5</v>
      </c>
      <c r="AW12">
        <v>0.3</v>
      </c>
      <c r="AX12">
        <v>624.9</v>
      </c>
      <c r="AY12">
        <v>109.7</v>
      </c>
      <c r="AZ12">
        <v>734.6</v>
      </c>
      <c r="BA12">
        <v>30073955.199999999</v>
      </c>
      <c r="BB12">
        <v>903.3</v>
      </c>
      <c r="BC12">
        <v>108.6</v>
      </c>
      <c r="BD12">
        <v>3542439.6</v>
      </c>
      <c r="BE12">
        <v>147297.60000000001</v>
      </c>
      <c r="BF12">
        <v>19.7</v>
      </c>
      <c r="BG12">
        <v>30128037.699999999</v>
      </c>
      <c r="BH12">
        <v>7671996.9000000004</v>
      </c>
      <c r="BI12">
        <v>37800034.600000001</v>
      </c>
      <c r="BJ12">
        <v>0</v>
      </c>
      <c r="BK12">
        <v>0</v>
      </c>
      <c r="BL12">
        <v>30073955.199999999</v>
      </c>
      <c r="BM12">
        <v>33616394.799999997</v>
      </c>
      <c r="BN12">
        <v>37800034.600000001</v>
      </c>
      <c r="BO12">
        <v>30.85</v>
      </c>
      <c r="BP12">
        <v>14.26</v>
      </c>
      <c r="BQ12">
        <v>0</v>
      </c>
      <c r="BR12">
        <v>45.11</v>
      </c>
      <c r="BS12">
        <v>32.979999999999997</v>
      </c>
      <c r="BT12">
        <v>16.14</v>
      </c>
      <c r="BU12">
        <v>0</v>
      </c>
      <c r="BV12">
        <v>49.12</v>
      </c>
      <c r="BW12">
        <v>174187600</v>
      </c>
      <c r="BX12">
        <v>51373330</v>
      </c>
      <c r="BY12">
        <v>31446266</v>
      </c>
      <c r="BZ12">
        <v>3222318.5</v>
      </c>
      <c r="CA12">
        <v>0</v>
      </c>
      <c r="CB12">
        <v>6538.8</v>
      </c>
      <c r="CC12">
        <v>71193030</v>
      </c>
      <c r="CD12">
        <v>0</v>
      </c>
      <c r="CE12">
        <v>279161.5</v>
      </c>
      <c r="CF12">
        <v>10506470</v>
      </c>
      <c r="CG12">
        <v>64006.1</v>
      </c>
      <c r="CH12">
        <v>577929.4</v>
      </c>
      <c r="CI12">
        <v>0</v>
      </c>
      <c r="CJ12">
        <v>9222883</v>
      </c>
      <c r="CK12">
        <v>0</v>
      </c>
      <c r="CL12">
        <v>16382.8</v>
      </c>
      <c r="CM12">
        <v>34829070</v>
      </c>
      <c r="CN12">
        <v>7304989</v>
      </c>
      <c r="CO12">
        <v>546204.4</v>
      </c>
      <c r="CP12">
        <v>4972340</v>
      </c>
      <c r="CQ12">
        <v>0</v>
      </c>
      <c r="CR12">
        <v>4213.7</v>
      </c>
      <c r="CS12">
        <v>0</v>
      </c>
      <c r="CT12">
        <v>84.8</v>
      </c>
      <c r="CU12">
        <v>486</v>
      </c>
      <c r="CV12">
        <v>0</v>
      </c>
      <c r="CW12">
        <v>8</v>
      </c>
      <c r="CX12">
        <v>4203.1000000000004</v>
      </c>
      <c r="CY12">
        <v>22579.4</v>
      </c>
      <c r="CZ12">
        <v>0</v>
      </c>
      <c r="DA12">
        <v>4742.3</v>
      </c>
      <c r="DB12">
        <v>8.6</v>
      </c>
      <c r="DC12">
        <v>3486</v>
      </c>
      <c r="DD12">
        <v>3937</v>
      </c>
      <c r="DE12">
        <v>377.5</v>
      </c>
      <c r="DF12">
        <v>338.6</v>
      </c>
      <c r="DG12">
        <v>13115.1</v>
      </c>
      <c r="DH12">
        <v>0</v>
      </c>
      <c r="DI12">
        <v>2626</v>
      </c>
      <c r="DJ12">
        <v>0</v>
      </c>
      <c r="DK12">
        <v>14230.4</v>
      </c>
      <c r="DL12">
        <v>3385.8</v>
      </c>
      <c r="DM12">
        <v>0</v>
      </c>
      <c r="DN12">
        <v>0</v>
      </c>
      <c r="DO12">
        <v>0.2</v>
      </c>
      <c r="DP12">
        <v>0</v>
      </c>
      <c r="DQ12">
        <v>0.08</v>
      </c>
      <c r="DR12">
        <v>0</v>
      </c>
    </row>
    <row r="13" spans="1:122" x14ac:dyDescent="0.3">
      <c r="A13" t="s">
        <v>157</v>
      </c>
      <c r="B13">
        <v>2036</v>
      </c>
      <c r="C13">
        <v>177425485.90000001</v>
      </c>
      <c r="D13">
        <v>167282070.5</v>
      </c>
      <c r="E13">
        <v>161270411.40000001</v>
      </c>
      <c r="F13">
        <v>0</v>
      </c>
      <c r="G13">
        <v>7613951</v>
      </c>
      <c r="H13">
        <v>114802059.40000001</v>
      </c>
      <c r="I13">
        <v>6527297.5</v>
      </c>
      <c r="J13">
        <v>1086653.6000000001</v>
      </c>
      <c r="K13">
        <v>2529464.5</v>
      </c>
      <c r="L13">
        <v>3.5900000000000001E-2</v>
      </c>
      <c r="M13">
        <v>5.3900000000000003E-2</v>
      </c>
      <c r="N13">
        <v>0.13500000000000001</v>
      </c>
      <c r="O13">
        <v>71347.55</v>
      </c>
      <c r="P13">
        <v>41102.400000000001</v>
      </c>
      <c r="Q13">
        <v>171.8</v>
      </c>
      <c r="R13">
        <v>5.2</v>
      </c>
      <c r="S13">
        <v>0.62</v>
      </c>
      <c r="T13">
        <v>20.2</v>
      </c>
      <c r="U13">
        <v>841.2</v>
      </c>
      <c r="V13">
        <v>0.11</v>
      </c>
      <c r="W13">
        <v>172.1</v>
      </c>
      <c r="X13">
        <v>43.8</v>
      </c>
      <c r="Y13">
        <v>215.9</v>
      </c>
      <c r="Z13">
        <v>160</v>
      </c>
      <c r="AA13">
        <v>5.8</v>
      </c>
      <c r="AB13">
        <v>0.72</v>
      </c>
      <c r="AC13">
        <v>18.100000000000001</v>
      </c>
      <c r="AD13">
        <v>754.1</v>
      </c>
      <c r="AE13">
        <v>0.11</v>
      </c>
      <c r="AF13">
        <v>160.4</v>
      </c>
      <c r="AG13">
        <v>39.299999999999997</v>
      </c>
      <c r="AH13">
        <v>199.6</v>
      </c>
      <c r="AI13">
        <v>211.3</v>
      </c>
      <c r="AJ13">
        <v>4.8</v>
      </c>
      <c r="AK13">
        <v>0.53</v>
      </c>
      <c r="AL13">
        <v>24.3</v>
      </c>
      <c r="AM13">
        <v>1076.8</v>
      </c>
      <c r="AN13">
        <v>0.09</v>
      </c>
      <c r="AO13">
        <v>211.6</v>
      </c>
      <c r="AP13">
        <v>54.5</v>
      </c>
      <c r="AQ13">
        <v>266.10000000000002</v>
      </c>
      <c r="AR13">
        <v>590.4</v>
      </c>
      <c r="AS13">
        <v>37.200000000000003</v>
      </c>
      <c r="AT13">
        <v>5.16</v>
      </c>
      <c r="AU13">
        <v>46.4</v>
      </c>
      <c r="AV13">
        <v>2243</v>
      </c>
      <c r="AW13">
        <v>0.28999999999999998</v>
      </c>
      <c r="AX13">
        <v>592.79999999999995</v>
      </c>
      <c r="AY13">
        <v>109.2</v>
      </c>
      <c r="AZ13">
        <v>702</v>
      </c>
      <c r="BA13">
        <v>30027500.199999999</v>
      </c>
      <c r="BB13">
        <v>903.4</v>
      </c>
      <c r="BC13">
        <v>108.7</v>
      </c>
      <c r="BD13">
        <v>3535811.5</v>
      </c>
      <c r="BE13">
        <v>147033.5</v>
      </c>
      <c r="BF13">
        <v>19.7</v>
      </c>
      <c r="BG13">
        <v>30081601.800000001</v>
      </c>
      <c r="BH13">
        <v>7657965.4000000004</v>
      </c>
      <c r="BI13">
        <v>37739567.200000003</v>
      </c>
      <c r="BJ13">
        <v>0</v>
      </c>
      <c r="BK13">
        <v>0</v>
      </c>
      <c r="BL13">
        <v>30027500.199999999</v>
      </c>
      <c r="BM13">
        <v>33563311.799999997</v>
      </c>
      <c r="BN13">
        <v>37739567.200000003</v>
      </c>
      <c r="BO13">
        <v>31.4</v>
      </c>
      <c r="BP13">
        <v>14.28</v>
      </c>
      <c r="BQ13">
        <v>0</v>
      </c>
      <c r="BR13">
        <v>45.68</v>
      </c>
      <c r="BS13">
        <v>33.61</v>
      </c>
      <c r="BT13">
        <v>16.23</v>
      </c>
      <c r="BU13">
        <v>0</v>
      </c>
      <c r="BV13">
        <v>49.84</v>
      </c>
      <c r="BW13">
        <v>176126130</v>
      </c>
      <c r="BX13">
        <v>52480012</v>
      </c>
      <c r="BY13">
        <v>31446266</v>
      </c>
      <c r="BZ13">
        <v>3232877.5</v>
      </c>
      <c r="CA13">
        <v>0</v>
      </c>
      <c r="CB13">
        <v>2398.6</v>
      </c>
      <c r="CC13">
        <v>71135330</v>
      </c>
      <c r="CD13">
        <v>0</v>
      </c>
      <c r="CE13">
        <v>235560.8</v>
      </c>
      <c r="CF13">
        <v>10507947</v>
      </c>
      <c r="CG13">
        <v>64020.7</v>
      </c>
      <c r="CH13">
        <v>578728.5</v>
      </c>
      <c r="CI13">
        <v>0</v>
      </c>
      <c r="CJ13">
        <v>9699765</v>
      </c>
      <c r="CK13">
        <v>0</v>
      </c>
      <c r="CL13">
        <v>16315.2</v>
      </c>
      <c r="CM13">
        <v>35079760</v>
      </c>
      <c r="CN13">
        <v>7684170.5</v>
      </c>
      <c r="CO13">
        <v>876954.1</v>
      </c>
      <c r="CP13">
        <v>5566029.5</v>
      </c>
      <c r="CQ13">
        <v>0</v>
      </c>
      <c r="CR13">
        <v>4452.1000000000004</v>
      </c>
      <c r="CS13">
        <v>0</v>
      </c>
      <c r="CT13">
        <v>84.8</v>
      </c>
      <c r="CU13">
        <v>486</v>
      </c>
      <c r="CV13">
        <v>0</v>
      </c>
      <c r="CW13">
        <v>8</v>
      </c>
      <c r="CX13">
        <v>4460.5</v>
      </c>
      <c r="CY13">
        <v>22566.6</v>
      </c>
      <c r="CZ13">
        <v>0</v>
      </c>
      <c r="DA13">
        <v>4742.3</v>
      </c>
      <c r="DB13">
        <v>8.6</v>
      </c>
      <c r="DC13">
        <v>3486</v>
      </c>
      <c r="DD13">
        <v>3937</v>
      </c>
      <c r="DE13">
        <v>160.5</v>
      </c>
      <c r="DF13">
        <v>550.79999999999995</v>
      </c>
      <c r="DG13">
        <v>13447</v>
      </c>
      <c r="DH13">
        <v>0</v>
      </c>
      <c r="DI13">
        <v>2773.1</v>
      </c>
      <c r="DJ13">
        <v>0</v>
      </c>
      <c r="DK13">
        <v>16049.8</v>
      </c>
      <c r="DL13">
        <v>5508</v>
      </c>
      <c r="DM13">
        <v>0</v>
      </c>
      <c r="DN13">
        <v>0</v>
      </c>
      <c r="DO13">
        <v>0.2</v>
      </c>
      <c r="DP13">
        <v>0</v>
      </c>
      <c r="DQ13">
        <v>0.08</v>
      </c>
      <c r="DR13">
        <v>0</v>
      </c>
    </row>
    <row r="14" spans="1:122" x14ac:dyDescent="0.3">
      <c r="A14" t="s">
        <v>157</v>
      </c>
      <c r="B14">
        <v>2038</v>
      </c>
      <c r="C14">
        <v>187332716.5</v>
      </c>
      <c r="D14">
        <v>171790189.40000001</v>
      </c>
      <c r="E14">
        <v>165616520.90000001</v>
      </c>
      <c r="F14">
        <v>0</v>
      </c>
      <c r="G14">
        <v>12971546</v>
      </c>
      <c r="H14">
        <v>112720693.8</v>
      </c>
      <c r="I14">
        <v>11910931</v>
      </c>
      <c r="J14">
        <v>1060615.1000000001</v>
      </c>
      <c r="K14">
        <v>2570980.9</v>
      </c>
      <c r="L14">
        <v>3.5900000000000001E-2</v>
      </c>
      <c r="M14">
        <v>5.3900000000000003E-2</v>
      </c>
      <c r="N14">
        <v>0.13500000000000001</v>
      </c>
      <c r="O14">
        <v>71281.350000000006</v>
      </c>
      <c r="P14">
        <v>42208.6</v>
      </c>
      <c r="Q14">
        <v>158.69999999999999</v>
      </c>
      <c r="R14">
        <v>4.7</v>
      </c>
      <c r="S14">
        <v>0.56999999999999995</v>
      </c>
      <c r="T14">
        <v>18.8</v>
      </c>
      <c r="U14">
        <v>778.8</v>
      </c>
      <c r="V14">
        <v>0.1</v>
      </c>
      <c r="W14">
        <v>159</v>
      </c>
      <c r="X14">
        <v>40.6</v>
      </c>
      <c r="Y14">
        <v>199.6</v>
      </c>
      <c r="Z14">
        <v>149.4</v>
      </c>
      <c r="AA14">
        <v>5.0999999999999996</v>
      </c>
      <c r="AB14">
        <v>0.64</v>
      </c>
      <c r="AC14">
        <v>17.2</v>
      </c>
      <c r="AD14">
        <v>711.9</v>
      </c>
      <c r="AE14">
        <v>0.1</v>
      </c>
      <c r="AF14">
        <v>149.69999999999999</v>
      </c>
      <c r="AG14">
        <v>37.200000000000003</v>
      </c>
      <c r="AH14">
        <v>186.9</v>
      </c>
      <c r="AI14">
        <v>216.4</v>
      </c>
      <c r="AJ14">
        <v>5</v>
      </c>
      <c r="AK14">
        <v>0.55000000000000004</v>
      </c>
      <c r="AL14">
        <v>24.8</v>
      </c>
      <c r="AM14">
        <v>1102.4000000000001</v>
      </c>
      <c r="AN14">
        <v>0.1</v>
      </c>
      <c r="AO14">
        <v>216.7</v>
      </c>
      <c r="AP14">
        <v>55.7</v>
      </c>
      <c r="AQ14">
        <v>272.39999999999998</v>
      </c>
      <c r="AR14">
        <v>570.5</v>
      </c>
      <c r="AS14">
        <v>34.4</v>
      </c>
      <c r="AT14">
        <v>4.75</v>
      </c>
      <c r="AU14">
        <v>46.3</v>
      </c>
      <c r="AV14">
        <v>2214.4</v>
      </c>
      <c r="AW14">
        <v>0.28000000000000003</v>
      </c>
      <c r="AX14">
        <v>572.70000000000005</v>
      </c>
      <c r="AY14">
        <v>108.4</v>
      </c>
      <c r="AZ14">
        <v>681.1</v>
      </c>
      <c r="BA14">
        <v>29368648.199999999</v>
      </c>
      <c r="BB14">
        <v>874.8</v>
      </c>
      <c r="BC14">
        <v>105</v>
      </c>
      <c r="BD14">
        <v>3472553</v>
      </c>
      <c r="BE14">
        <v>144103.20000000001</v>
      </c>
      <c r="BF14">
        <v>19.399999999999999</v>
      </c>
      <c r="BG14">
        <v>29420953.899999999</v>
      </c>
      <c r="BH14">
        <v>7512578.7000000002</v>
      </c>
      <c r="BI14">
        <v>36933532.600000001</v>
      </c>
      <c r="BJ14">
        <v>0</v>
      </c>
      <c r="BK14">
        <v>0</v>
      </c>
      <c r="BL14">
        <v>29368648.199999999</v>
      </c>
      <c r="BM14">
        <v>32841201.199999999</v>
      </c>
      <c r="BN14">
        <v>36933532.600000001</v>
      </c>
      <c r="BO14">
        <v>30.45</v>
      </c>
      <c r="BP14">
        <v>13.85</v>
      </c>
      <c r="BQ14">
        <v>0.02</v>
      </c>
      <c r="BR14">
        <v>44.33</v>
      </c>
      <c r="BS14">
        <v>32.75</v>
      </c>
      <c r="BT14">
        <v>16.18</v>
      </c>
      <c r="BU14">
        <v>0.02</v>
      </c>
      <c r="BV14">
        <v>48.96</v>
      </c>
      <c r="BW14">
        <v>186501740</v>
      </c>
      <c r="BX14">
        <v>59069496</v>
      </c>
      <c r="BY14">
        <v>31446266</v>
      </c>
      <c r="BZ14">
        <v>3080689</v>
      </c>
      <c r="CA14">
        <v>0</v>
      </c>
      <c r="CB14">
        <v>2024.2</v>
      </c>
      <c r="CC14">
        <v>70595150</v>
      </c>
      <c r="CD14">
        <v>0</v>
      </c>
      <c r="CE14">
        <v>168596.8</v>
      </c>
      <c r="CF14">
        <v>10518199</v>
      </c>
      <c r="CG14">
        <v>64009.8</v>
      </c>
      <c r="CH14">
        <v>581427</v>
      </c>
      <c r="CI14">
        <v>0</v>
      </c>
      <c r="CJ14">
        <v>10525525</v>
      </c>
      <c r="CK14">
        <v>0</v>
      </c>
      <c r="CL14">
        <v>16394.400000000001</v>
      </c>
      <c r="CM14">
        <v>40547964</v>
      </c>
      <c r="CN14">
        <v>7979610.5</v>
      </c>
      <c r="CO14">
        <v>844912.8</v>
      </c>
      <c r="CP14">
        <v>10130967</v>
      </c>
      <c r="CQ14">
        <v>0</v>
      </c>
      <c r="CR14">
        <v>5696.4</v>
      </c>
      <c r="CS14">
        <v>0</v>
      </c>
      <c r="CT14">
        <v>84.8</v>
      </c>
      <c r="CU14">
        <v>486</v>
      </c>
      <c r="CV14">
        <v>0</v>
      </c>
      <c r="CW14">
        <v>8</v>
      </c>
      <c r="CX14">
        <v>4670</v>
      </c>
      <c r="CY14">
        <v>22731.9</v>
      </c>
      <c r="CZ14">
        <v>0</v>
      </c>
      <c r="DA14">
        <v>4742.3</v>
      </c>
      <c r="DB14">
        <v>8.6</v>
      </c>
      <c r="DC14">
        <v>3486</v>
      </c>
      <c r="DD14">
        <v>3937</v>
      </c>
      <c r="DE14">
        <v>160.5</v>
      </c>
      <c r="DF14">
        <v>724.2</v>
      </c>
      <c r="DG14">
        <v>16209.8</v>
      </c>
      <c r="DH14">
        <v>0</v>
      </c>
      <c r="DI14">
        <v>2944.8</v>
      </c>
      <c r="DJ14">
        <v>0</v>
      </c>
      <c r="DK14">
        <v>31830.1</v>
      </c>
      <c r="DL14">
        <v>7242.4</v>
      </c>
      <c r="DM14">
        <v>0</v>
      </c>
      <c r="DN14">
        <v>0</v>
      </c>
      <c r="DO14">
        <v>0.2</v>
      </c>
      <c r="DP14">
        <v>0</v>
      </c>
      <c r="DQ14">
        <v>0.09</v>
      </c>
      <c r="DR14">
        <v>0</v>
      </c>
    </row>
    <row r="15" spans="1:122" x14ac:dyDescent="0.3">
      <c r="A15" t="s">
        <v>157</v>
      </c>
      <c r="B15">
        <v>2040</v>
      </c>
      <c r="C15">
        <v>194080442.69999999</v>
      </c>
      <c r="D15">
        <v>176532976.80000001</v>
      </c>
      <c r="E15">
        <v>170188865.5</v>
      </c>
      <c r="F15">
        <v>0</v>
      </c>
      <c r="G15">
        <v>14933027</v>
      </c>
      <c r="H15">
        <v>115141941.2</v>
      </c>
      <c r="I15">
        <v>13641986</v>
      </c>
      <c r="J15">
        <v>1291040.8</v>
      </c>
      <c r="K15">
        <v>2614438.9</v>
      </c>
      <c r="L15">
        <v>3.5900000000000001E-2</v>
      </c>
      <c r="M15">
        <v>5.3900000000000003E-2</v>
      </c>
      <c r="N15">
        <v>0.13500000000000001</v>
      </c>
      <c r="O15">
        <v>72060.09</v>
      </c>
      <c r="P15">
        <v>43375.4</v>
      </c>
      <c r="Q15">
        <v>154.1</v>
      </c>
      <c r="R15">
        <v>4.5999999999999996</v>
      </c>
      <c r="S15">
        <v>0.55000000000000004</v>
      </c>
      <c r="T15">
        <v>18.3</v>
      </c>
      <c r="U15">
        <v>757.1</v>
      </c>
      <c r="V15">
        <v>0.1</v>
      </c>
      <c r="W15">
        <v>154.4</v>
      </c>
      <c r="X15">
        <v>39.5</v>
      </c>
      <c r="Y15">
        <v>193.9</v>
      </c>
      <c r="Z15">
        <v>145.5</v>
      </c>
      <c r="AA15">
        <v>4.9000000000000004</v>
      </c>
      <c r="AB15">
        <v>0.61</v>
      </c>
      <c r="AC15">
        <v>16.899999999999999</v>
      </c>
      <c r="AD15">
        <v>696.9</v>
      </c>
      <c r="AE15">
        <v>0.1</v>
      </c>
      <c r="AF15">
        <v>145.80000000000001</v>
      </c>
      <c r="AG15">
        <v>36.4</v>
      </c>
      <c r="AH15">
        <v>182.2</v>
      </c>
      <c r="AI15">
        <v>184.8</v>
      </c>
      <c r="AJ15">
        <v>4.2</v>
      </c>
      <c r="AK15">
        <v>0.46</v>
      </c>
      <c r="AL15">
        <v>21.2</v>
      </c>
      <c r="AM15">
        <v>942.6</v>
      </c>
      <c r="AN15">
        <v>0.08</v>
      </c>
      <c r="AO15">
        <v>185</v>
      </c>
      <c r="AP15">
        <v>47.6</v>
      </c>
      <c r="AQ15">
        <v>232.6</v>
      </c>
      <c r="AR15">
        <v>562.9</v>
      </c>
      <c r="AS15">
        <v>33.200000000000003</v>
      </c>
      <c r="AT15">
        <v>4.57</v>
      </c>
      <c r="AU15">
        <v>46.5</v>
      </c>
      <c r="AV15">
        <v>2210.4</v>
      </c>
      <c r="AW15">
        <v>0.27</v>
      </c>
      <c r="AX15">
        <v>565.1</v>
      </c>
      <c r="AY15">
        <v>108.5</v>
      </c>
      <c r="AZ15">
        <v>673.5</v>
      </c>
      <c r="BA15">
        <v>29012840.300000001</v>
      </c>
      <c r="BB15">
        <v>858.9</v>
      </c>
      <c r="BC15">
        <v>102.9</v>
      </c>
      <c r="BD15">
        <v>3438956.3</v>
      </c>
      <c r="BE15">
        <v>142534.5</v>
      </c>
      <c r="BF15">
        <v>19.2</v>
      </c>
      <c r="BG15">
        <v>29064149.100000001</v>
      </c>
      <c r="BH15">
        <v>7435017.0999999996</v>
      </c>
      <c r="BI15">
        <v>36499166.200000003</v>
      </c>
      <c r="BJ15">
        <v>0</v>
      </c>
      <c r="BK15">
        <v>0</v>
      </c>
      <c r="BL15">
        <v>29012840.300000001</v>
      </c>
      <c r="BM15">
        <v>32451796.600000001</v>
      </c>
      <c r="BN15">
        <v>36499166.200000003</v>
      </c>
      <c r="BO15">
        <v>30.17</v>
      </c>
      <c r="BP15">
        <v>13.88</v>
      </c>
      <c r="BQ15">
        <v>0.26</v>
      </c>
      <c r="BR15">
        <v>44.31</v>
      </c>
      <c r="BS15">
        <v>32.479999999999997</v>
      </c>
      <c r="BT15">
        <v>16.34</v>
      </c>
      <c r="BU15">
        <v>0.28000000000000003</v>
      </c>
      <c r="BV15">
        <v>49.1</v>
      </c>
      <c r="BW15">
        <v>189740960</v>
      </c>
      <c r="BX15">
        <v>61391030</v>
      </c>
      <c r="BY15">
        <v>31446266</v>
      </c>
      <c r="BZ15">
        <v>2992300</v>
      </c>
      <c r="CA15">
        <v>0</v>
      </c>
      <c r="CB15">
        <v>1328.6</v>
      </c>
      <c r="CC15">
        <v>69951750</v>
      </c>
      <c r="CD15">
        <v>0</v>
      </c>
      <c r="CE15">
        <v>107456.2</v>
      </c>
      <c r="CF15">
        <v>10531520</v>
      </c>
      <c r="CG15">
        <v>64035.3</v>
      </c>
      <c r="CH15">
        <v>580743.19999999995</v>
      </c>
      <c r="CI15">
        <v>0</v>
      </c>
      <c r="CJ15">
        <v>11478735</v>
      </c>
      <c r="CK15">
        <v>0</v>
      </c>
      <c r="CL15">
        <v>16462.8</v>
      </c>
      <c r="CM15">
        <v>41644628</v>
      </c>
      <c r="CN15">
        <v>8251209</v>
      </c>
      <c r="CO15">
        <v>1036050.8</v>
      </c>
      <c r="CP15">
        <v>11638482</v>
      </c>
      <c r="CQ15">
        <v>0</v>
      </c>
      <c r="CR15">
        <v>6245.5</v>
      </c>
      <c r="CS15">
        <v>0</v>
      </c>
      <c r="CT15">
        <v>84.8</v>
      </c>
      <c r="CU15">
        <v>486</v>
      </c>
      <c r="CV15">
        <v>0</v>
      </c>
      <c r="CW15">
        <v>8</v>
      </c>
      <c r="CX15">
        <v>4869</v>
      </c>
      <c r="CY15">
        <v>22429.5</v>
      </c>
      <c r="CZ15">
        <v>0</v>
      </c>
      <c r="DA15">
        <v>4742.3</v>
      </c>
      <c r="DB15">
        <v>8.6</v>
      </c>
      <c r="DC15">
        <v>3486</v>
      </c>
      <c r="DD15">
        <v>3937</v>
      </c>
      <c r="DE15">
        <v>160.5</v>
      </c>
      <c r="DF15">
        <v>1074.7</v>
      </c>
      <c r="DG15">
        <v>16766.7</v>
      </c>
      <c r="DH15">
        <v>0</v>
      </c>
      <c r="DI15">
        <v>3014.2</v>
      </c>
      <c r="DJ15">
        <v>0</v>
      </c>
      <c r="DK15">
        <v>37324.9</v>
      </c>
      <c r="DL15">
        <v>10747</v>
      </c>
      <c r="DM15">
        <v>0</v>
      </c>
      <c r="DN15">
        <v>0</v>
      </c>
      <c r="DO15">
        <v>0.23</v>
      </c>
      <c r="DP15">
        <v>0.4</v>
      </c>
      <c r="DQ15">
        <v>0.1</v>
      </c>
      <c r="DR15">
        <v>0</v>
      </c>
    </row>
    <row r="16" spans="1:122" x14ac:dyDescent="0.3">
      <c r="A16" t="s">
        <v>157</v>
      </c>
      <c r="B16">
        <v>2042</v>
      </c>
      <c r="C16">
        <v>199835755.90000001</v>
      </c>
      <c r="D16">
        <v>181819208.59999999</v>
      </c>
      <c r="E16">
        <v>175285124.59999999</v>
      </c>
      <c r="F16">
        <v>0</v>
      </c>
      <c r="G16">
        <v>15317323</v>
      </c>
      <c r="H16">
        <v>119752179.2</v>
      </c>
      <c r="I16">
        <v>14138146</v>
      </c>
      <c r="J16">
        <v>1179177.6000000001</v>
      </c>
      <c r="K16">
        <v>2699224.4</v>
      </c>
      <c r="L16">
        <v>3.5900000000000001E-2</v>
      </c>
      <c r="M16">
        <v>5.3900000000000003E-2</v>
      </c>
      <c r="N16">
        <v>0.13500000000000001</v>
      </c>
      <c r="O16">
        <v>71173.399999999994</v>
      </c>
      <c r="P16">
        <v>44671.7</v>
      </c>
      <c r="Q16">
        <v>154.30000000000001</v>
      </c>
      <c r="R16">
        <v>4.5999999999999996</v>
      </c>
      <c r="S16">
        <v>0.54</v>
      </c>
      <c r="T16">
        <v>18.3</v>
      </c>
      <c r="U16">
        <v>758.3</v>
      </c>
      <c r="V16">
        <v>0.1</v>
      </c>
      <c r="W16">
        <v>154.5</v>
      </c>
      <c r="X16">
        <v>39.5</v>
      </c>
      <c r="Y16">
        <v>194.1</v>
      </c>
      <c r="Z16">
        <v>144.9</v>
      </c>
      <c r="AA16">
        <v>4.8</v>
      </c>
      <c r="AB16">
        <v>0.6</v>
      </c>
      <c r="AC16">
        <v>16.8</v>
      </c>
      <c r="AD16">
        <v>695.2</v>
      </c>
      <c r="AE16">
        <v>0.1</v>
      </c>
      <c r="AF16">
        <v>145.19999999999999</v>
      </c>
      <c r="AG16">
        <v>36.299999999999997</v>
      </c>
      <c r="AH16">
        <v>181.5</v>
      </c>
      <c r="AI16">
        <v>168.7</v>
      </c>
      <c r="AJ16">
        <v>4.2</v>
      </c>
      <c r="AK16">
        <v>0.48</v>
      </c>
      <c r="AL16">
        <v>19</v>
      </c>
      <c r="AM16">
        <v>849.1</v>
      </c>
      <c r="AN16">
        <v>7.0000000000000007E-2</v>
      </c>
      <c r="AO16">
        <v>168.9</v>
      </c>
      <c r="AP16">
        <v>42.8</v>
      </c>
      <c r="AQ16">
        <v>211.7</v>
      </c>
      <c r="AR16">
        <v>565.4</v>
      </c>
      <c r="AS16">
        <v>33.6</v>
      </c>
      <c r="AT16">
        <v>4.63</v>
      </c>
      <c r="AU16">
        <v>46.4</v>
      </c>
      <c r="AV16">
        <v>2212.9</v>
      </c>
      <c r="AW16">
        <v>0.27</v>
      </c>
      <c r="AX16">
        <v>567.5</v>
      </c>
      <c r="AY16">
        <v>108.4</v>
      </c>
      <c r="AZ16">
        <v>675.9</v>
      </c>
      <c r="BA16">
        <v>29316575.699999999</v>
      </c>
      <c r="BB16">
        <v>865.5</v>
      </c>
      <c r="BC16">
        <v>103.6</v>
      </c>
      <c r="BD16">
        <v>3473972.5</v>
      </c>
      <c r="BE16">
        <v>144097.9</v>
      </c>
      <c r="BF16">
        <v>19.399999999999999</v>
      </c>
      <c r="BG16">
        <v>29368253.100000001</v>
      </c>
      <c r="BH16">
        <v>7513841.9000000004</v>
      </c>
      <c r="BI16">
        <v>36882095</v>
      </c>
      <c r="BJ16">
        <v>0</v>
      </c>
      <c r="BK16">
        <v>0</v>
      </c>
      <c r="BL16">
        <v>29316575.699999999</v>
      </c>
      <c r="BM16">
        <v>32790548.100000001</v>
      </c>
      <c r="BN16">
        <v>36882095</v>
      </c>
      <c r="BO16">
        <v>30.36</v>
      </c>
      <c r="BP16">
        <v>13.72</v>
      </c>
      <c r="BQ16">
        <v>0.03</v>
      </c>
      <c r="BR16">
        <v>44.11</v>
      </c>
      <c r="BS16">
        <v>32.65</v>
      </c>
      <c r="BT16">
        <v>16.149999999999999</v>
      </c>
      <c r="BU16">
        <v>0.03</v>
      </c>
      <c r="BV16">
        <v>48.82</v>
      </c>
      <c r="BW16">
        <v>191520370</v>
      </c>
      <c r="BX16">
        <v>62067028</v>
      </c>
      <c r="BY16">
        <v>31446266</v>
      </c>
      <c r="BZ16">
        <v>3001166.2</v>
      </c>
      <c r="CA16">
        <v>0</v>
      </c>
      <c r="CB16">
        <v>786.9</v>
      </c>
      <c r="CC16">
        <v>70774310</v>
      </c>
      <c r="CD16">
        <v>0</v>
      </c>
      <c r="CE16">
        <v>70778.399999999994</v>
      </c>
      <c r="CF16">
        <v>10560278</v>
      </c>
      <c r="CG16">
        <v>64031.6</v>
      </c>
      <c r="CH16">
        <v>581546.19999999995</v>
      </c>
      <c r="CI16">
        <v>0</v>
      </c>
      <c r="CJ16">
        <v>13669846</v>
      </c>
      <c r="CK16">
        <v>0</v>
      </c>
      <c r="CL16">
        <v>4087.4</v>
      </c>
      <c r="CM16">
        <v>39913736</v>
      </c>
      <c r="CN16">
        <v>8479360</v>
      </c>
      <c r="CO16">
        <v>941477.2</v>
      </c>
      <c r="CP16">
        <v>12012694</v>
      </c>
      <c r="CQ16">
        <v>0</v>
      </c>
      <c r="CR16">
        <v>6898.9</v>
      </c>
      <c r="CS16">
        <v>0</v>
      </c>
      <c r="CT16">
        <v>84.8</v>
      </c>
      <c r="CU16">
        <v>486</v>
      </c>
      <c r="CV16">
        <v>0</v>
      </c>
      <c r="CW16">
        <v>2</v>
      </c>
      <c r="CX16">
        <v>5048.6000000000004</v>
      </c>
      <c r="CY16">
        <v>22455.7</v>
      </c>
      <c r="CZ16">
        <v>0</v>
      </c>
      <c r="DA16">
        <v>4118.3</v>
      </c>
      <c r="DB16">
        <v>8.6</v>
      </c>
      <c r="DC16">
        <v>3486</v>
      </c>
      <c r="DD16">
        <v>3937</v>
      </c>
      <c r="DE16">
        <v>160.5</v>
      </c>
      <c r="DF16">
        <v>1288.0999999999999</v>
      </c>
      <c r="DG16">
        <v>16099.6</v>
      </c>
      <c r="DH16">
        <v>0</v>
      </c>
      <c r="DI16">
        <v>3471.2</v>
      </c>
      <c r="DJ16">
        <v>0</v>
      </c>
      <c r="DK16">
        <v>40119.1</v>
      </c>
      <c r="DL16">
        <v>12880.9</v>
      </c>
      <c r="DM16">
        <v>0</v>
      </c>
      <c r="DN16">
        <v>0</v>
      </c>
      <c r="DO16">
        <v>0.23</v>
      </c>
      <c r="DP16">
        <v>0</v>
      </c>
      <c r="DQ16">
        <v>0.11</v>
      </c>
      <c r="DR16">
        <v>0</v>
      </c>
    </row>
    <row r="17" spans="1:122" x14ac:dyDescent="0.3">
      <c r="A17" t="s">
        <v>157</v>
      </c>
      <c r="B17">
        <v>2044</v>
      </c>
      <c r="C17">
        <v>207296982.09999999</v>
      </c>
      <c r="D17">
        <v>187587130</v>
      </c>
      <c r="E17">
        <v>180845762.69999999</v>
      </c>
      <c r="F17">
        <v>0</v>
      </c>
      <c r="G17">
        <v>16896384</v>
      </c>
      <c r="H17">
        <v>117543111.59999999</v>
      </c>
      <c r="I17">
        <v>15622202</v>
      </c>
      <c r="J17">
        <v>1274182.3999999999</v>
      </c>
      <c r="K17">
        <v>2813467.6</v>
      </c>
      <c r="L17">
        <v>3.5900000000000001E-2</v>
      </c>
      <c r="M17">
        <v>5.3900000000000003E-2</v>
      </c>
      <c r="N17">
        <v>0.13500000000000001</v>
      </c>
      <c r="O17">
        <v>76638.06</v>
      </c>
      <c r="P17">
        <v>46089.3</v>
      </c>
      <c r="Q17">
        <v>140.9</v>
      </c>
      <c r="R17">
        <v>4.2</v>
      </c>
      <c r="S17">
        <v>0.51</v>
      </c>
      <c r="T17">
        <v>16.7</v>
      </c>
      <c r="U17">
        <v>689.9</v>
      </c>
      <c r="V17">
        <v>0.1</v>
      </c>
      <c r="W17">
        <v>141.1</v>
      </c>
      <c r="X17">
        <v>36.1</v>
      </c>
      <c r="Y17">
        <v>177.2</v>
      </c>
      <c r="Z17">
        <v>133.69999999999999</v>
      </c>
      <c r="AA17">
        <v>4.5999999999999996</v>
      </c>
      <c r="AB17">
        <v>0.56999999999999995</v>
      </c>
      <c r="AC17">
        <v>15.5</v>
      </c>
      <c r="AD17">
        <v>638.1</v>
      </c>
      <c r="AE17">
        <v>0.09</v>
      </c>
      <c r="AF17">
        <v>134</v>
      </c>
      <c r="AG17">
        <v>33.4</v>
      </c>
      <c r="AH17">
        <v>167.4</v>
      </c>
      <c r="AI17">
        <v>141.19999999999999</v>
      </c>
      <c r="AJ17">
        <v>3.9</v>
      </c>
      <c r="AK17">
        <v>0.46</v>
      </c>
      <c r="AL17">
        <v>15.6</v>
      </c>
      <c r="AM17">
        <v>698.3</v>
      </c>
      <c r="AN17">
        <v>0.06</v>
      </c>
      <c r="AO17">
        <v>141.4</v>
      </c>
      <c r="AP17">
        <v>35.1</v>
      </c>
      <c r="AQ17">
        <v>176.5</v>
      </c>
      <c r="AR17">
        <v>555.6</v>
      </c>
      <c r="AS17">
        <v>32.1</v>
      </c>
      <c r="AT17">
        <v>4.41</v>
      </c>
      <c r="AU17">
        <v>46.5</v>
      </c>
      <c r="AV17">
        <v>2199.1999999999998</v>
      </c>
      <c r="AW17">
        <v>0.27</v>
      </c>
      <c r="AX17">
        <v>557.70000000000005</v>
      </c>
      <c r="AY17">
        <v>108.1</v>
      </c>
      <c r="AZ17">
        <v>665.8</v>
      </c>
      <c r="BA17">
        <v>27334739.5</v>
      </c>
      <c r="BB17">
        <v>824.7</v>
      </c>
      <c r="BC17">
        <v>99.3</v>
      </c>
      <c r="BD17">
        <v>3243016.4</v>
      </c>
      <c r="BE17">
        <v>133842.4</v>
      </c>
      <c r="BF17">
        <v>18.5</v>
      </c>
      <c r="BG17">
        <v>27384149.5</v>
      </c>
      <c r="BH17">
        <v>6995504</v>
      </c>
      <c r="BI17">
        <v>34379653.5</v>
      </c>
      <c r="BJ17">
        <v>0</v>
      </c>
      <c r="BK17">
        <v>0</v>
      </c>
      <c r="BL17">
        <v>27334739.5</v>
      </c>
      <c r="BM17">
        <v>30577755.899999999</v>
      </c>
      <c r="BN17">
        <v>34379653.5</v>
      </c>
      <c r="BO17">
        <v>30.32</v>
      </c>
      <c r="BP17">
        <v>14.65</v>
      </c>
      <c r="BQ17">
        <v>0</v>
      </c>
      <c r="BR17">
        <v>44.98</v>
      </c>
      <c r="BS17">
        <v>32.630000000000003</v>
      </c>
      <c r="BT17">
        <v>17.329999999999998</v>
      </c>
      <c r="BU17">
        <v>0</v>
      </c>
      <c r="BV17">
        <v>49.97</v>
      </c>
      <c r="BW17">
        <v>195567060</v>
      </c>
      <c r="BX17">
        <v>70044020</v>
      </c>
      <c r="BY17">
        <v>31446266</v>
      </c>
      <c r="BZ17">
        <v>2969367.5</v>
      </c>
      <c r="CA17">
        <v>0</v>
      </c>
      <c r="CB17">
        <v>372.2</v>
      </c>
      <c r="CC17">
        <v>65506452</v>
      </c>
      <c r="CD17">
        <v>0</v>
      </c>
      <c r="CE17">
        <v>34600.699999999997</v>
      </c>
      <c r="CF17">
        <v>10572940</v>
      </c>
      <c r="CG17">
        <v>52122.2</v>
      </c>
      <c r="CH17">
        <v>580385.80000000005</v>
      </c>
      <c r="CI17">
        <v>0</v>
      </c>
      <c r="CJ17">
        <v>16574269</v>
      </c>
      <c r="CK17">
        <v>0</v>
      </c>
      <c r="CL17">
        <v>0</v>
      </c>
      <c r="CM17">
        <v>44803720</v>
      </c>
      <c r="CN17">
        <v>8666030</v>
      </c>
      <c r="CO17">
        <v>1037590</v>
      </c>
      <c r="CP17">
        <v>13322934</v>
      </c>
      <c r="CQ17">
        <v>0</v>
      </c>
      <c r="CR17">
        <v>7595.8</v>
      </c>
      <c r="CS17">
        <v>0</v>
      </c>
      <c r="CT17">
        <v>84.8</v>
      </c>
      <c r="CU17">
        <v>486</v>
      </c>
      <c r="CV17">
        <v>0</v>
      </c>
      <c r="CW17">
        <v>0</v>
      </c>
      <c r="CX17">
        <v>5211.2</v>
      </c>
      <c r="CY17">
        <v>22554.400000000001</v>
      </c>
      <c r="CZ17">
        <v>0</v>
      </c>
      <c r="DA17">
        <v>4118.3</v>
      </c>
      <c r="DB17">
        <v>7</v>
      </c>
      <c r="DC17">
        <v>3486</v>
      </c>
      <c r="DD17">
        <v>3937</v>
      </c>
      <c r="DE17">
        <v>160.5</v>
      </c>
      <c r="DF17">
        <v>1476.1</v>
      </c>
      <c r="DG17">
        <v>17497.7</v>
      </c>
      <c r="DH17">
        <v>0</v>
      </c>
      <c r="DI17">
        <v>4164</v>
      </c>
      <c r="DJ17">
        <v>0</v>
      </c>
      <c r="DK17">
        <v>44539.8</v>
      </c>
      <c r="DL17">
        <v>14761</v>
      </c>
      <c r="DM17">
        <v>0</v>
      </c>
      <c r="DN17">
        <v>0</v>
      </c>
      <c r="DO17">
        <v>0.23</v>
      </c>
      <c r="DP17">
        <v>0</v>
      </c>
      <c r="DQ17">
        <v>0.12</v>
      </c>
      <c r="DR17">
        <v>0</v>
      </c>
    </row>
    <row r="18" spans="1:122" x14ac:dyDescent="0.3">
      <c r="A18" t="s">
        <v>157</v>
      </c>
      <c r="B18">
        <v>2046</v>
      </c>
      <c r="C18">
        <v>215014019.80000001</v>
      </c>
      <c r="D18">
        <v>193441508.80000001</v>
      </c>
      <c r="E18">
        <v>186489751.19999999</v>
      </c>
      <c r="F18">
        <v>0</v>
      </c>
      <c r="G18">
        <v>18626306</v>
      </c>
      <c r="H18">
        <v>116909014</v>
      </c>
      <c r="I18">
        <v>17120708</v>
      </c>
      <c r="J18">
        <v>1505597.6</v>
      </c>
      <c r="K18">
        <v>2946204.5</v>
      </c>
      <c r="L18">
        <v>3.5900000000000001E-2</v>
      </c>
      <c r="M18">
        <v>5.3900000000000003E-2</v>
      </c>
      <c r="N18">
        <v>0.13500000000000001</v>
      </c>
      <c r="O18">
        <v>79703.8</v>
      </c>
      <c r="P18">
        <v>47528.5</v>
      </c>
      <c r="Q18">
        <v>130.5</v>
      </c>
      <c r="R18">
        <v>4</v>
      </c>
      <c r="S18">
        <v>0.49</v>
      </c>
      <c r="T18">
        <v>15.5</v>
      </c>
      <c r="U18">
        <v>636.5</v>
      </c>
      <c r="V18">
        <v>0.09</v>
      </c>
      <c r="W18">
        <v>130.69999999999999</v>
      </c>
      <c r="X18">
        <v>33.299999999999997</v>
      </c>
      <c r="Y18">
        <v>164</v>
      </c>
      <c r="Z18">
        <v>124.2</v>
      </c>
      <c r="AA18">
        <v>4.3</v>
      </c>
      <c r="AB18">
        <v>0.53</v>
      </c>
      <c r="AC18">
        <v>14.4</v>
      </c>
      <c r="AD18">
        <v>591.79999999999995</v>
      </c>
      <c r="AE18">
        <v>0.09</v>
      </c>
      <c r="AF18">
        <v>124.5</v>
      </c>
      <c r="AG18">
        <v>31</v>
      </c>
      <c r="AH18">
        <v>155.5</v>
      </c>
      <c r="AI18">
        <v>121</v>
      </c>
      <c r="AJ18">
        <v>3.6</v>
      </c>
      <c r="AK18">
        <v>0.44</v>
      </c>
      <c r="AL18">
        <v>13.1</v>
      </c>
      <c r="AM18">
        <v>589.6</v>
      </c>
      <c r="AN18">
        <v>0.05</v>
      </c>
      <c r="AO18">
        <v>121.2</v>
      </c>
      <c r="AP18">
        <v>29.6</v>
      </c>
      <c r="AQ18">
        <v>150.80000000000001</v>
      </c>
      <c r="AR18">
        <v>531.1</v>
      </c>
      <c r="AS18">
        <v>29.3</v>
      </c>
      <c r="AT18">
        <v>3.99</v>
      </c>
      <c r="AU18">
        <v>45.6</v>
      </c>
      <c r="AV18">
        <v>2156</v>
      </c>
      <c r="AW18">
        <v>0.25</v>
      </c>
      <c r="AX18">
        <v>533</v>
      </c>
      <c r="AY18">
        <v>106.1</v>
      </c>
      <c r="AZ18">
        <v>639.1</v>
      </c>
      <c r="BA18">
        <v>25813249.899999999</v>
      </c>
      <c r="BB18">
        <v>795.3</v>
      </c>
      <c r="BC18">
        <v>96.3</v>
      </c>
      <c r="BD18">
        <v>3063740.5</v>
      </c>
      <c r="BE18">
        <v>125911.5</v>
      </c>
      <c r="BF18">
        <v>17.8</v>
      </c>
      <c r="BG18">
        <v>25861042.399999999</v>
      </c>
      <c r="BH18">
        <v>6593986.7000000002</v>
      </c>
      <c r="BI18">
        <v>32455029.100000001</v>
      </c>
      <c r="BJ18">
        <v>0</v>
      </c>
      <c r="BK18">
        <v>0</v>
      </c>
      <c r="BL18">
        <v>25813249.899999999</v>
      </c>
      <c r="BM18">
        <v>28876990.399999999</v>
      </c>
      <c r="BN18">
        <v>32455029.100000001</v>
      </c>
      <c r="BO18">
        <v>30.45</v>
      </c>
      <c r="BP18">
        <v>15.14</v>
      </c>
      <c r="BQ18">
        <v>0</v>
      </c>
      <c r="BR18">
        <v>45.6</v>
      </c>
      <c r="BS18">
        <v>32.79</v>
      </c>
      <c r="BT18">
        <v>18.02</v>
      </c>
      <c r="BU18">
        <v>0</v>
      </c>
      <c r="BV18">
        <v>50.81</v>
      </c>
      <c r="BW18">
        <v>199474780</v>
      </c>
      <c r="BX18">
        <v>76532500</v>
      </c>
      <c r="BY18">
        <v>31446266</v>
      </c>
      <c r="BZ18">
        <v>2960824.8</v>
      </c>
      <c r="CA18">
        <v>0</v>
      </c>
      <c r="CB18">
        <v>291.39999999999998</v>
      </c>
      <c r="CC18">
        <v>61569736</v>
      </c>
      <c r="CD18">
        <v>0</v>
      </c>
      <c r="CE18">
        <v>23994.400000000001</v>
      </c>
      <c r="CF18">
        <v>10560955</v>
      </c>
      <c r="CG18">
        <v>52128.1</v>
      </c>
      <c r="CH18">
        <v>578145.6</v>
      </c>
      <c r="CI18">
        <v>0</v>
      </c>
      <c r="CJ18">
        <v>20998410</v>
      </c>
      <c r="CK18">
        <v>0</v>
      </c>
      <c r="CL18">
        <v>0</v>
      </c>
      <c r="CM18">
        <v>46753060</v>
      </c>
      <c r="CN18">
        <v>8781025</v>
      </c>
      <c r="CO18">
        <v>1204988.8999999999</v>
      </c>
      <c r="CP18">
        <v>14544954</v>
      </c>
      <c r="CQ18">
        <v>0</v>
      </c>
      <c r="CR18">
        <v>8367</v>
      </c>
      <c r="CS18">
        <v>0</v>
      </c>
      <c r="CT18">
        <v>84.8</v>
      </c>
      <c r="CU18">
        <v>486</v>
      </c>
      <c r="CV18">
        <v>0</v>
      </c>
      <c r="CW18">
        <v>0</v>
      </c>
      <c r="CX18">
        <v>5336.7</v>
      </c>
      <c r="CY18">
        <v>22554.400000000001</v>
      </c>
      <c r="CZ18">
        <v>0</v>
      </c>
      <c r="DA18">
        <v>4118.3</v>
      </c>
      <c r="DB18">
        <v>7</v>
      </c>
      <c r="DC18">
        <v>3486</v>
      </c>
      <c r="DD18">
        <v>3937</v>
      </c>
      <c r="DE18">
        <v>160.5</v>
      </c>
      <c r="DF18">
        <v>1921.8</v>
      </c>
      <c r="DG18">
        <v>17969.400000000001</v>
      </c>
      <c r="DH18">
        <v>0</v>
      </c>
      <c r="DI18">
        <v>5210.5</v>
      </c>
      <c r="DJ18">
        <v>0</v>
      </c>
      <c r="DK18">
        <v>50307.8</v>
      </c>
      <c r="DL18">
        <v>19217.900000000001</v>
      </c>
      <c r="DM18">
        <v>0</v>
      </c>
      <c r="DN18">
        <v>0</v>
      </c>
      <c r="DO18">
        <v>0.23</v>
      </c>
      <c r="DP18">
        <v>0</v>
      </c>
      <c r="DQ18">
        <v>0.12</v>
      </c>
      <c r="DR18">
        <v>0</v>
      </c>
    </row>
    <row r="19" spans="1:122" x14ac:dyDescent="0.3">
      <c r="A19" t="s">
        <v>157</v>
      </c>
      <c r="B19">
        <v>2048</v>
      </c>
      <c r="C19">
        <v>223473941.80000001</v>
      </c>
      <c r="D19">
        <v>199542907.19999999</v>
      </c>
      <c r="E19">
        <v>192371882.09999999</v>
      </c>
      <c r="F19">
        <v>0</v>
      </c>
      <c r="G19">
        <v>20890084</v>
      </c>
      <c r="H19">
        <v>107974480.40000001</v>
      </c>
      <c r="I19">
        <v>18817968</v>
      </c>
      <c r="J19">
        <v>2072115.8</v>
      </c>
      <c r="K19">
        <v>3040949.8</v>
      </c>
      <c r="L19">
        <v>3.5900000000000001E-2</v>
      </c>
      <c r="M19">
        <v>5.3900000000000003E-2</v>
      </c>
      <c r="N19">
        <v>0.13500000000000001</v>
      </c>
      <c r="O19">
        <v>80219.34</v>
      </c>
      <c r="P19">
        <v>49028.6</v>
      </c>
      <c r="Q19">
        <v>119.1</v>
      </c>
      <c r="R19">
        <v>3.7</v>
      </c>
      <c r="S19">
        <v>0.45</v>
      </c>
      <c r="T19">
        <v>14.1</v>
      </c>
      <c r="U19">
        <v>580.29999999999995</v>
      </c>
      <c r="V19">
        <v>0.08</v>
      </c>
      <c r="W19">
        <v>119.3</v>
      </c>
      <c r="X19">
        <v>30.4</v>
      </c>
      <c r="Y19">
        <v>149.69999999999999</v>
      </c>
      <c r="Z19">
        <v>117.8</v>
      </c>
      <c r="AA19">
        <v>4.0999999999999996</v>
      </c>
      <c r="AB19">
        <v>0.52</v>
      </c>
      <c r="AC19">
        <v>13.6</v>
      </c>
      <c r="AD19">
        <v>559.20000000000005</v>
      </c>
      <c r="AE19">
        <v>0.08</v>
      </c>
      <c r="AF19">
        <v>118.1</v>
      </c>
      <c r="AG19">
        <v>29.3</v>
      </c>
      <c r="AH19">
        <v>147.4</v>
      </c>
      <c r="AI19">
        <v>127</v>
      </c>
      <c r="AJ19">
        <v>3.8</v>
      </c>
      <c r="AK19">
        <v>0.46</v>
      </c>
      <c r="AL19">
        <v>13.7</v>
      </c>
      <c r="AM19">
        <v>619</v>
      </c>
      <c r="AN19">
        <v>0.06</v>
      </c>
      <c r="AO19">
        <v>127.2</v>
      </c>
      <c r="AP19">
        <v>31.1</v>
      </c>
      <c r="AQ19">
        <v>158.30000000000001</v>
      </c>
      <c r="AR19">
        <v>523.70000000000005</v>
      </c>
      <c r="AS19">
        <v>28.9</v>
      </c>
      <c r="AT19">
        <v>3.93</v>
      </c>
      <c r="AU19">
        <v>45.3</v>
      </c>
      <c r="AV19">
        <v>2131.9</v>
      </c>
      <c r="AW19">
        <v>0.25</v>
      </c>
      <c r="AX19">
        <v>525.6</v>
      </c>
      <c r="AY19">
        <v>105.1</v>
      </c>
      <c r="AZ19">
        <v>630.70000000000005</v>
      </c>
      <c r="BA19">
        <v>25385830.800000001</v>
      </c>
      <c r="BB19">
        <v>788.2</v>
      </c>
      <c r="BC19">
        <v>95.7</v>
      </c>
      <c r="BD19">
        <v>3012407.9</v>
      </c>
      <c r="BE19">
        <v>123644.2</v>
      </c>
      <c r="BF19">
        <v>17.600000000000001</v>
      </c>
      <c r="BG19">
        <v>25433254.699999999</v>
      </c>
      <c r="BH19">
        <v>6479121.2000000002</v>
      </c>
      <c r="BI19">
        <v>31912375.899999999</v>
      </c>
      <c r="BJ19">
        <v>0</v>
      </c>
      <c r="BK19">
        <v>0</v>
      </c>
      <c r="BL19">
        <v>25385830.800000001</v>
      </c>
      <c r="BM19">
        <v>28398238.699999999</v>
      </c>
      <c r="BN19">
        <v>31912375.899999999</v>
      </c>
      <c r="BO19">
        <v>30.53</v>
      </c>
      <c r="BP19">
        <v>15.03</v>
      </c>
      <c r="BQ19">
        <v>0.05</v>
      </c>
      <c r="BR19">
        <v>45.61</v>
      </c>
      <c r="BS19">
        <v>32.97</v>
      </c>
      <c r="BT19">
        <v>18.010000000000002</v>
      </c>
      <c r="BU19">
        <v>0.05</v>
      </c>
      <c r="BV19">
        <v>51.03</v>
      </c>
      <c r="BW19">
        <v>214893820</v>
      </c>
      <c r="BX19">
        <v>91568424</v>
      </c>
      <c r="BY19">
        <v>31446266</v>
      </c>
      <c r="BZ19">
        <v>2971840</v>
      </c>
      <c r="CA19">
        <v>0</v>
      </c>
      <c r="CB19">
        <v>311.60000000000002</v>
      </c>
      <c r="CC19">
        <v>60070600</v>
      </c>
      <c r="CD19">
        <v>0</v>
      </c>
      <c r="CE19">
        <v>46283.9</v>
      </c>
      <c r="CF19">
        <v>10525875</v>
      </c>
      <c r="CG19">
        <v>0</v>
      </c>
      <c r="CH19">
        <v>577183.9</v>
      </c>
      <c r="CI19">
        <v>0</v>
      </c>
      <c r="CJ19">
        <v>23478682</v>
      </c>
      <c r="CK19">
        <v>0</v>
      </c>
      <c r="CL19">
        <v>0</v>
      </c>
      <c r="CM19">
        <v>59098976</v>
      </c>
      <c r="CN19">
        <v>8990767</v>
      </c>
      <c r="CO19">
        <v>1669747</v>
      </c>
      <c r="CP19">
        <v>16017298</v>
      </c>
      <c r="CQ19">
        <v>0</v>
      </c>
      <c r="CR19">
        <v>8183.5</v>
      </c>
      <c r="CS19">
        <v>0</v>
      </c>
      <c r="CT19">
        <v>84.8</v>
      </c>
      <c r="CU19">
        <v>486</v>
      </c>
      <c r="CV19">
        <v>0</v>
      </c>
      <c r="CW19">
        <v>0</v>
      </c>
      <c r="CX19">
        <v>5517.9</v>
      </c>
      <c r="CY19">
        <v>22554.400000000001</v>
      </c>
      <c r="CZ19">
        <v>0</v>
      </c>
      <c r="DA19">
        <v>4537</v>
      </c>
      <c r="DB19">
        <v>0</v>
      </c>
      <c r="DC19">
        <v>3486</v>
      </c>
      <c r="DD19">
        <v>3937</v>
      </c>
      <c r="DE19">
        <v>160.5</v>
      </c>
      <c r="DF19">
        <v>2169.9</v>
      </c>
      <c r="DG19">
        <v>21908.6</v>
      </c>
      <c r="DH19">
        <v>0</v>
      </c>
      <c r="DI19">
        <v>5823.2</v>
      </c>
      <c r="DJ19">
        <v>0</v>
      </c>
      <c r="DK19">
        <v>53291.7</v>
      </c>
      <c r="DL19">
        <v>21699.5</v>
      </c>
      <c r="DM19">
        <v>0</v>
      </c>
      <c r="DN19">
        <v>0</v>
      </c>
      <c r="DO19">
        <v>0.23</v>
      </c>
      <c r="DP19">
        <v>0.1</v>
      </c>
      <c r="DQ19">
        <v>0.13</v>
      </c>
      <c r="DR19">
        <v>0</v>
      </c>
    </row>
    <row r="20" spans="1:122" x14ac:dyDescent="0.3">
      <c r="A20" t="s">
        <v>157</v>
      </c>
      <c r="B20">
        <v>2050</v>
      </c>
      <c r="C20">
        <v>233130784.40000001</v>
      </c>
      <c r="D20">
        <v>206051889.09999999</v>
      </c>
      <c r="E20">
        <v>198646949</v>
      </c>
      <c r="F20">
        <v>0</v>
      </c>
      <c r="G20">
        <v>23809278</v>
      </c>
      <c r="H20">
        <v>106820009.5</v>
      </c>
      <c r="I20">
        <v>21929784</v>
      </c>
      <c r="J20">
        <v>1879491.8</v>
      </c>
      <c r="K20">
        <v>3269618.1</v>
      </c>
      <c r="L20">
        <v>3.5900000000000001E-2</v>
      </c>
      <c r="M20">
        <v>5.3900000000000003E-2</v>
      </c>
      <c r="N20">
        <v>0.13500000000000001</v>
      </c>
      <c r="O20">
        <v>84077.18</v>
      </c>
      <c r="P20">
        <v>50627.4</v>
      </c>
      <c r="Q20">
        <v>110.6</v>
      </c>
      <c r="R20">
        <v>3.5</v>
      </c>
      <c r="S20">
        <v>0.42</v>
      </c>
      <c r="T20">
        <v>13.2</v>
      </c>
      <c r="U20">
        <v>538.4</v>
      </c>
      <c r="V20">
        <v>0.08</v>
      </c>
      <c r="W20">
        <v>110.9</v>
      </c>
      <c r="X20">
        <v>28.3</v>
      </c>
      <c r="Y20">
        <v>139.1</v>
      </c>
      <c r="Z20">
        <v>110.1</v>
      </c>
      <c r="AA20">
        <v>3.8</v>
      </c>
      <c r="AB20">
        <v>0.48</v>
      </c>
      <c r="AC20">
        <v>12.8</v>
      </c>
      <c r="AD20">
        <v>523.79999999999995</v>
      </c>
      <c r="AE20">
        <v>0.08</v>
      </c>
      <c r="AF20">
        <v>110.3</v>
      </c>
      <c r="AG20">
        <v>27.5</v>
      </c>
      <c r="AH20">
        <v>137.80000000000001</v>
      </c>
      <c r="AI20">
        <v>114.3</v>
      </c>
      <c r="AJ20">
        <v>3.5</v>
      </c>
      <c r="AK20">
        <v>0.43</v>
      </c>
      <c r="AL20">
        <v>12.3</v>
      </c>
      <c r="AM20">
        <v>553.70000000000005</v>
      </c>
      <c r="AN20">
        <v>0.05</v>
      </c>
      <c r="AO20">
        <v>114.5</v>
      </c>
      <c r="AP20">
        <v>27.8</v>
      </c>
      <c r="AQ20">
        <v>142.30000000000001</v>
      </c>
      <c r="AR20">
        <v>523.5</v>
      </c>
      <c r="AS20">
        <v>29.7</v>
      </c>
      <c r="AT20">
        <v>4.05</v>
      </c>
      <c r="AU20">
        <v>44.6</v>
      </c>
      <c r="AV20">
        <v>2109</v>
      </c>
      <c r="AW20">
        <v>0.25</v>
      </c>
      <c r="AX20">
        <v>525.4</v>
      </c>
      <c r="AY20">
        <v>103.7</v>
      </c>
      <c r="AZ20">
        <v>629.1</v>
      </c>
      <c r="BA20">
        <v>24425969.699999999</v>
      </c>
      <c r="BB20">
        <v>763.3</v>
      </c>
      <c r="BC20">
        <v>92.8</v>
      </c>
      <c r="BD20">
        <v>2904838.3</v>
      </c>
      <c r="BE20">
        <v>118843.1</v>
      </c>
      <c r="BF20">
        <v>17.2</v>
      </c>
      <c r="BG20">
        <v>24471933.100000001</v>
      </c>
      <c r="BH20">
        <v>6237008.5</v>
      </c>
      <c r="BI20">
        <v>30708941.699999999</v>
      </c>
      <c r="BJ20">
        <v>0</v>
      </c>
      <c r="BK20">
        <v>0</v>
      </c>
      <c r="BL20">
        <v>24425969.699999999</v>
      </c>
      <c r="BM20">
        <v>27330808</v>
      </c>
      <c r="BN20">
        <v>30708941.699999999</v>
      </c>
      <c r="BO20">
        <v>30.38</v>
      </c>
      <c r="BP20">
        <v>15.62</v>
      </c>
      <c r="BQ20">
        <v>0</v>
      </c>
      <c r="BR20">
        <v>46.01</v>
      </c>
      <c r="BS20">
        <v>32.86</v>
      </c>
      <c r="BT20">
        <v>18.91</v>
      </c>
      <c r="BU20">
        <v>0</v>
      </c>
      <c r="BV20">
        <v>51.77</v>
      </c>
      <c r="BW20">
        <v>222651950</v>
      </c>
      <c r="BX20">
        <v>99231880</v>
      </c>
      <c r="BY20">
        <v>31446266</v>
      </c>
      <c r="BZ20">
        <v>2904931.2</v>
      </c>
      <c r="CA20">
        <v>0</v>
      </c>
      <c r="CB20">
        <v>80.7</v>
      </c>
      <c r="CC20">
        <v>57849716</v>
      </c>
      <c r="CD20">
        <v>0</v>
      </c>
      <c r="CE20">
        <v>24320.6</v>
      </c>
      <c r="CF20">
        <v>10503205</v>
      </c>
      <c r="CG20">
        <v>0</v>
      </c>
      <c r="CH20">
        <v>572920.5</v>
      </c>
      <c r="CI20">
        <v>0</v>
      </c>
      <c r="CJ20">
        <v>27421328</v>
      </c>
      <c r="CK20">
        <v>0</v>
      </c>
      <c r="CL20">
        <v>0</v>
      </c>
      <c r="CM20">
        <v>62610280</v>
      </c>
      <c r="CN20">
        <v>9200278</v>
      </c>
      <c r="CO20">
        <v>1500211.6</v>
      </c>
      <c r="CP20">
        <v>18618418</v>
      </c>
      <c r="CQ20">
        <v>0</v>
      </c>
      <c r="CR20">
        <v>9834.7999999999993</v>
      </c>
      <c r="CS20">
        <v>0</v>
      </c>
      <c r="CT20">
        <v>84.8</v>
      </c>
      <c r="CU20">
        <v>486</v>
      </c>
      <c r="CV20">
        <v>0</v>
      </c>
      <c r="CW20">
        <v>0</v>
      </c>
      <c r="CX20">
        <v>5692.8</v>
      </c>
      <c r="CY20">
        <v>22554.400000000001</v>
      </c>
      <c r="CZ20">
        <v>0</v>
      </c>
      <c r="DA20">
        <v>4830</v>
      </c>
      <c r="DB20">
        <v>0</v>
      </c>
      <c r="DC20">
        <v>3486</v>
      </c>
      <c r="DD20">
        <v>3937</v>
      </c>
      <c r="DE20">
        <v>160.5</v>
      </c>
      <c r="DF20">
        <v>2169.9</v>
      </c>
      <c r="DG20">
        <v>23175</v>
      </c>
      <c r="DH20">
        <v>0</v>
      </c>
      <c r="DI20">
        <v>6808.6</v>
      </c>
      <c r="DJ20">
        <v>0</v>
      </c>
      <c r="DK20">
        <v>63362.3</v>
      </c>
      <c r="DL20">
        <v>21699.5</v>
      </c>
      <c r="DM20">
        <v>0</v>
      </c>
      <c r="DN20">
        <v>0</v>
      </c>
      <c r="DO20">
        <v>0.24</v>
      </c>
      <c r="DP20">
        <v>0</v>
      </c>
      <c r="DQ20">
        <v>0.14000000000000001</v>
      </c>
      <c r="DR20">
        <v>0</v>
      </c>
    </row>
    <row r="21" spans="1:122" x14ac:dyDescent="0.3">
      <c r="A21" t="s">
        <v>158</v>
      </c>
      <c r="B21">
        <v>2022</v>
      </c>
      <c r="C21">
        <v>282564432.10000002</v>
      </c>
      <c r="D21">
        <v>275591415.89999998</v>
      </c>
      <c r="E21">
        <v>265686029.90000001</v>
      </c>
      <c r="F21">
        <v>0</v>
      </c>
      <c r="G21">
        <v>5366773</v>
      </c>
      <c r="H21">
        <v>197293084.40000001</v>
      </c>
      <c r="I21">
        <v>3360072.5</v>
      </c>
      <c r="J21">
        <v>2006700.4</v>
      </c>
      <c r="K21">
        <v>1606243.4</v>
      </c>
      <c r="L21">
        <v>3.5900000000000001E-2</v>
      </c>
      <c r="M21">
        <v>5.3900000000000003E-2</v>
      </c>
      <c r="N21">
        <v>0.1459</v>
      </c>
      <c r="O21">
        <v>46876.07</v>
      </c>
      <c r="P21">
        <v>63623.9</v>
      </c>
      <c r="Q21">
        <v>147.30000000000001</v>
      </c>
      <c r="R21">
        <v>2.8</v>
      </c>
      <c r="S21">
        <v>0.28000000000000003</v>
      </c>
      <c r="T21">
        <v>19</v>
      </c>
      <c r="U21">
        <v>772.8</v>
      </c>
      <c r="V21">
        <v>0.08</v>
      </c>
      <c r="W21">
        <v>147.5</v>
      </c>
      <c r="X21">
        <v>40.6</v>
      </c>
      <c r="Y21">
        <v>188.1</v>
      </c>
      <c r="Z21">
        <v>187</v>
      </c>
      <c r="AA21">
        <v>7.2</v>
      </c>
      <c r="AB21">
        <v>0.91</v>
      </c>
      <c r="AC21">
        <v>20.3</v>
      </c>
      <c r="AD21">
        <v>865.5</v>
      </c>
      <c r="AE21">
        <v>0.1</v>
      </c>
      <c r="AF21">
        <v>187.4</v>
      </c>
      <c r="AG21">
        <v>44.6</v>
      </c>
      <c r="AH21">
        <v>232</v>
      </c>
      <c r="AI21">
        <v>280.5</v>
      </c>
      <c r="AJ21">
        <v>7.4</v>
      </c>
      <c r="AK21">
        <v>0.86</v>
      </c>
      <c r="AL21">
        <v>31.4</v>
      </c>
      <c r="AM21">
        <v>1392.6</v>
      </c>
      <c r="AN21">
        <v>0.13</v>
      </c>
      <c r="AO21">
        <v>281</v>
      </c>
      <c r="AP21">
        <v>70.400000000000006</v>
      </c>
      <c r="AQ21">
        <v>351.4</v>
      </c>
      <c r="AR21">
        <v>648</v>
      </c>
      <c r="AS21">
        <v>41</v>
      </c>
      <c r="AT21">
        <v>5.68</v>
      </c>
      <c r="AU21">
        <v>50.6</v>
      </c>
      <c r="AV21">
        <v>2464.8000000000002</v>
      </c>
      <c r="AW21">
        <v>0.31</v>
      </c>
      <c r="AX21">
        <v>650.70000000000005</v>
      </c>
      <c r="AY21">
        <v>119.7</v>
      </c>
      <c r="AZ21">
        <v>770.4</v>
      </c>
      <c r="BA21">
        <v>35934906.899999999</v>
      </c>
      <c r="BB21">
        <v>677.5</v>
      </c>
      <c r="BC21">
        <v>67.8</v>
      </c>
      <c r="BD21">
        <v>4624485</v>
      </c>
      <c r="BE21">
        <v>188525.4</v>
      </c>
      <c r="BF21">
        <v>20.3</v>
      </c>
      <c r="BG21">
        <v>35971844.799999997</v>
      </c>
      <c r="BH21">
        <v>9908568.5</v>
      </c>
      <c r="BI21">
        <v>45880413.299999997</v>
      </c>
      <c r="BJ21">
        <v>0</v>
      </c>
      <c r="BK21">
        <v>0</v>
      </c>
      <c r="BL21">
        <v>35934906.899999999</v>
      </c>
      <c r="BM21">
        <v>40559391.899999999</v>
      </c>
      <c r="BN21">
        <v>45880413.299999997</v>
      </c>
      <c r="BO21">
        <v>36.94</v>
      </c>
      <c r="BP21">
        <v>9.3699999999999992</v>
      </c>
      <c r="BQ21">
        <v>0</v>
      </c>
      <c r="BR21">
        <v>46.31</v>
      </c>
      <c r="BS21">
        <v>39.17</v>
      </c>
      <c r="BT21">
        <v>10.28</v>
      </c>
      <c r="BU21">
        <v>0</v>
      </c>
      <c r="BV21">
        <v>49.45</v>
      </c>
      <c r="BW21">
        <v>244736770</v>
      </c>
      <c r="BX21">
        <v>78298330</v>
      </c>
      <c r="BY21">
        <v>17891704</v>
      </c>
      <c r="BZ21">
        <v>0</v>
      </c>
      <c r="CA21">
        <v>0</v>
      </c>
      <c r="CB21">
        <v>10486.3</v>
      </c>
      <c r="CC21">
        <v>91102590</v>
      </c>
      <c r="CD21">
        <v>0</v>
      </c>
      <c r="CE21">
        <v>186175.1</v>
      </c>
      <c r="CF21">
        <v>31245956</v>
      </c>
      <c r="CG21">
        <v>15790258</v>
      </c>
      <c r="CH21">
        <v>5741580</v>
      </c>
      <c r="CI21">
        <v>0</v>
      </c>
      <c r="CJ21">
        <v>14840315</v>
      </c>
      <c r="CK21">
        <v>0</v>
      </c>
      <c r="CL21">
        <v>1990710.6</v>
      </c>
      <c r="CM21">
        <v>41663596</v>
      </c>
      <c r="CN21">
        <v>19803708</v>
      </c>
      <c r="CO21">
        <v>1602268.4</v>
      </c>
      <c r="CP21">
        <v>2867415.8</v>
      </c>
      <c r="CQ21">
        <v>0</v>
      </c>
      <c r="CR21">
        <v>2680.8</v>
      </c>
      <c r="CS21">
        <v>0</v>
      </c>
      <c r="CT21">
        <v>873.7</v>
      </c>
      <c r="CU21">
        <v>0</v>
      </c>
      <c r="CV21">
        <v>0</v>
      </c>
      <c r="CW21">
        <v>965.5</v>
      </c>
      <c r="CX21">
        <v>12043.5</v>
      </c>
      <c r="CY21">
        <v>20255.3</v>
      </c>
      <c r="CZ21">
        <v>0</v>
      </c>
      <c r="DA21">
        <v>10625.1</v>
      </c>
      <c r="DB21">
        <v>2120.4</v>
      </c>
      <c r="DC21">
        <v>10096.700000000001</v>
      </c>
      <c r="DD21">
        <v>2240</v>
      </c>
      <c r="DE21">
        <v>4977.3999999999996</v>
      </c>
      <c r="DF21">
        <v>3807.1</v>
      </c>
      <c r="DG21">
        <v>15372.5</v>
      </c>
      <c r="DH21">
        <v>0</v>
      </c>
      <c r="DI21">
        <v>6341</v>
      </c>
      <c r="DJ21">
        <v>0</v>
      </c>
      <c r="DK21">
        <v>10723.2</v>
      </c>
      <c r="DL21">
        <v>38071</v>
      </c>
      <c r="DM21">
        <v>0</v>
      </c>
      <c r="DN21">
        <v>0</v>
      </c>
      <c r="DO21">
        <v>0.32</v>
      </c>
      <c r="DP21">
        <v>0</v>
      </c>
      <c r="DQ21">
        <v>0</v>
      </c>
      <c r="DR21">
        <v>0</v>
      </c>
    </row>
    <row r="22" spans="1:122" x14ac:dyDescent="0.3">
      <c r="A22" t="s">
        <v>158</v>
      </c>
      <c r="B22">
        <v>2024</v>
      </c>
      <c r="C22">
        <v>290943553.19999999</v>
      </c>
      <c r="D22">
        <v>283768720.60000002</v>
      </c>
      <c r="E22">
        <v>273569423.60000002</v>
      </c>
      <c r="F22">
        <v>0</v>
      </c>
      <c r="G22">
        <v>5488357.5</v>
      </c>
      <c r="H22">
        <v>204896222.59999999</v>
      </c>
      <c r="I22">
        <v>3293000.8</v>
      </c>
      <c r="J22">
        <v>2195357</v>
      </c>
      <c r="K22">
        <v>1686475</v>
      </c>
      <c r="L22">
        <v>3.5900000000000001E-2</v>
      </c>
      <c r="M22">
        <v>5.3900000000000003E-2</v>
      </c>
      <c r="N22">
        <v>0.1459</v>
      </c>
      <c r="O22">
        <v>46876.07</v>
      </c>
      <c r="P22">
        <v>65515.4</v>
      </c>
      <c r="Q22">
        <v>182.2</v>
      </c>
      <c r="R22">
        <v>3.4</v>
      </c>
      <c r="S22">
        <v>0.34</v>
      </c>
      <c r="T22">
        <v>22.4</v>
      </c>
      <c r="U22">
        <v>953.6</v>
      </c>
      <c r="V22">
        <v>0.08</v>
      </c>
      <c r="W22">
        <v>182.4</v>
      </c>
      <c r="X22">
        <v>49.1</v>
      </c>
      <c r="Y22">
        <v>231.5</v>
      </c>
      <c r="Z22">
        <v>204.8</v>
      </c>
      <c r="AA22">
        <v>6.1</v>
      </c>
      <c r="AB22">
        <v>0.73</v>
      </c>
      <c r="AC22">
        <v>23.1</v>
      </c>
      <c r="AD22">
        <v>1002</v>
      </c>
      <c r="AE22">
        <v>0.1</v>
      </c>
      <c r="AF22">
        <v>205.2</v>
      </c>
      <c r="AG22">
        <v>51.2</v>
      </c>
      <c r="AH22">
        <v>256.39999999999998</v>
      </c>
      <c r="AI22">
        <v>223.9</v>
      </c>
      <c r="AJ22">
        <v>5.7</v>
      </c>
      <c r="AK22">
        <v>0.65</v>
      </c>
      <c r="AL22">
        <v>25.2</v>
      </c>
      <c r="AM22">
        <v>1118.2</v>
      </c>
      <c r="AN22">
        <v>0.1</v>
      </c>
      <c r="AO22">
        <v>224.2</v>
      </c>
      <c r="AP22">
        <v>56.5</v>
      </c>
      <c r="AQ22">
        <v>280.8</v>
      </c>
      <c r="AR22">
        <v>659.7</v>
      </c>
      <c r="AS22">
        <v>41.4</v>
      </c>
      <c r="AT22">
        <v>5.73</v>
      </c>
      <c r="AU22">
        <v>51.8</v>
      </c>
      <c r="AV22">
        <v>2518.4</v>
      </c>
      <c r="AW22">
        <v>0.31</v>
      </c>
      <c r="AX22">
        <v>662.3</v>
      </c>
      <c r="AY22">
        <v>122.4</v>
      </c>
      <c r="AZ22">
        <v>784.8</v>
      </c>
      <c r="BA22">
        <v>45309098.200000003</v>
      </c>
      <c r="BB22">
        <v>854.3</v>
      </c>
      <c r="BC22">
        <v>85.5</v>
      </c>
      <c r="BD22">
        <v>5576416.9000000004</v>
      </c>
      <c r="BE22">
        <v>237134.6</v>
      </c>
      <c r="BF22">
        <v>20.8</v>
      </c>
      <c r="BG22">
        <v>45355678.700000003</v>
      </c>
      <c r="BH22">
        <v>12221691.4</v>
      </c>
      <c r="BI22">
        <v>57577370.100000001</v>
      </c>
      <c r="BJ22">
        <v>0</v>
      </c>
      <c r="BK22">
        <v>0</v>
      </c>
      <c r="BL22">
        <v>45309098.200000003</v>
      </c>
      <c r="BM22">
        <v>50885515.100000001</v>
      </c>
      <c r="BN22">
        <v>57577370.100000001</v>
      </c>
      <c r="BO22">
        <v>33.770000000000003</v>
      </c>
      <c r="BP22">
        <v>9.36</v>
      </c>
      <c r="BQ22">
        <v>0.28000000000000003</v>
      </c>
      <c r="BR22">
        <v>43.41</v>
      </c>
      <c r="BS22">
        <v>35.83</v>
      </c>
      <c r="BT22">
        <v>10.28</v>
      </c>
      <c r="BU22">
        <v>0.28999999999999998</v>
      </c>
      <c r="BV22">
        <v>46.4</v>
      </c>
      <c r="BW22">
        <v>249610540</v>
      </c>
      <c r="BX22">
        <v>78872500</v>
      </c>
      <c r="BY22">
        <v>0</v>
      </c>
      <c r="BZ22">
        <v>0</v>
      </c>
      <c r="CA22">
        <v>0</v>
      </c>
      <c r="CB22">
        <v>16478.900000000001</v>
      </c>
      <c r="CC22">
        <v>112761330</v>
      </c>
      <c r="CD22">
        <v>0</v>
      </c>
      <c r="CE22">
        <v>559334.9</v>
      </c>
      <c r="CF22">
        <v>31258988</v>
      </c>
      <c r="CG22">
        <v>15790258</v>
      </c>
      <c r="CH22">
        <v>5741053.5</v>
      </c>
      <c r="CI22">
        <v>0</v>
      </c>
      <c r="CJ22">
        <v>14892938</v>
      </c>
      <c r="CK22">
        <v>0</v>
      </c>
      <c r="CL22">
        <v>2008018.4</v>
      </c>
      <c r="CM22">
        <v>41856350</v>
      </c>
      <c r="CN22">
        <v>20115192</v>
      </c>
      <c r="CO22">
        <v>1789084.6</v>
      </c>
      <c r="CP22">
        <v>2821516.2</v>
      </c>
      <c r="CQ22">
        <v>0</v>
      </c>
      <c r="CR22">
        <v>2711</v>
      </c>
      <c r="CS22">
        <v>0</v>
      </c>
      <c r="CT22">
        <v>873.7</v>
      </c>
      <c r="CU22">
        <v>0</v>
      </c>
      <c r="CV22">
        <v>0</v>
      </c>
      <c r="CW22">
        <v>965.5</v>
      </c>
      <c r="CX22">
        <v>12389.8</v>
      </c>
      <c r="CY22">
        <v>20255.3</v>
      </c>
      <c r="CZ22">
        <v>0</v>
      </c>
      <c r="DA22">
        <v>10625.1</v>
      </c>
      <c r="DB22">
        <v>2120.4</v>
      </c>
      <c r="DC22">
        <v>10096.700000000001</v>
      </c>
      <c r="DD22">
        <v>0</v>
      </c>
      <c r="DE22">
        <v>1028.8</v>
      </c>
      <c r="DF22">
        <v>3807.1</v>
      </c>
      <c r="DG22">
        <v>15624.8</v>
      </c>
      <c r="DH22">
        <v>0</v>
      </c>
      <c r="DI22">
        <v>6362.8</v>
      </c>
      <c r="DJ22">
        <v>0</v>
      </c>
      <c r="DK22">
        <v>10783.5</v>
      </c>
      <c r="DL22">
        <v>38071</v>
      </c>
      <c r="DM22">
        <v>0</v>
      </c>
      <c r="DN22">
        <v>0.7</v>
      </c>
      <c r="DO22">
        <v>0.42</v>
      </c>
      <c r="DP22">
        <v>0</v>
      </c>
      <c r="DQ22">
        <v>0</v>
      </c>
      <c r="DR22">
        <v>0</v>
      </c>
    </row>
    <row r="23" spans="1:122" x14ac:dyDescent="0.3">
      <c r="A23" t="s">
        <v>158</v>
      </c>
      <c r="B23">
        <v>2026</v>
      </c>
      <c r="C23">
        <v>297759437.19999999</v>
      </c>
      <c r="D23">
        <v>288832150.89999998</v>
      </c>
      <c r="E23">
        <v>278450862.69999999</v>
      </c>
      <c r="F23">
        <v>0</v>
      </c>
      <c r="G23">
        <v>6998689.5</v>
      </c>
      <c r="H23">
        <v>202418395.90000001</v>
      </c>
      <c r="I23">
        <v>3905682.5</v>
      </c>
      <c r="J23">
        <v>3093007.5</v>
      </c>
      <c r="K23">
        <v>1928596.2</v>
      </c>
      <c r="L23">
        <v>3.5900000000000001E-2</v>
      </c>
      <c r="M23">
        <v>5.3900000000000003E-2</v>
      </c>
      <c r="N23">
        <v>0.1459</v>
      </c>
      <c r="O23">
        <v>54236.73</v>
      </c>
      <c r="P23">
        <v>66683.899999999994</v>
      </c>
      <c r="Q23">
        <v>153.69999999999999</v>
      </c>
      <c r="R23">
        <v>2.9</v>
      </c>
      <c r="S23">
        <v>0.28999999999999998</v>
      </c>
      <c r="T23">
        <v>19.100000000000001</v>
      </c>
      <c r="U23">
        <v>804.4</v>
      </c>
      <c r="V23">
        <v>7.0000000000000007E-2</v>
      </c>
      <c r="W23">
        <v>153.80000000000001</v>
      </c>
      <c r="X23">
        <v>41.6</v>
      </c>
      <c r="Y23">
        <v>195.4</v>
      </c>
      <c r="Z23">
        <v>179.9</v>
      </c>
      <c r="AA23">
        <v>5.8</v>
      </c>
      <c r="AB23">
        <v>0.72</v>
      </c>
      <c r="AC23">
        <v>20</v>
      </c>
      <c r="AD23">
        <v>864.3</v>
      </c>
      <c r="AE23">
        <v>0.09</v>
      </c>
      <c r="AF23">
        <v>180.3</v>
      </c>
      <c r="AG23">
        <v>44.2</v>
      </c>
      <c r="AH23">
        <v>224.5</v>
      </c>
      <c r="AI23">
        <v>156.19999999999999</v>
      </c>
      <c r="AJ23">
        <v>3.9</v>
      </c>
      <c r="AK23">
        <v>0.45</v>
      </c>
      <c r="AL23">
        <v>17.600000000000001</v>
      </c>
      <c r="AM23">
        <v>779.8</v>
      </c>
      <c r="AN23">
        <v>7.0000000000000007E-2</v>
      </c>
      <c r="AO23">
        <v>156.5</v>
      </c>
      <c r="AP23">
        <v>39.5</v>
      </c>
      <c r="AQ23">
        <v>195.9</v>
      </c>
      <c r="AR23">
        <v>676.4</v>
      </c>
      <c r="AS23">
        <v>45.2</v>
      </c>
      <c r="AT23">
        <v>6.3</v>
      </c>
      <c r="AU23">
        <v>50.8</v>
      </c>
      <c r="AV23">
        <v>2492.3000000000002</v>
      </c>
      <c r="AW23">
        <v>0.33</v>
      </c>
      <c r="AX23">
        <v>679.3</v>
      </c>
      <c r="AY23">
        <v>120.6</v>
      </c>
      <c r="AZ23">
        <v>800</v>
      </c>
      <c r="BA23">
        <v>38072730.5</v>
      </c>
      <c r="BB23">
        <v>717.9</v>
      </c>
      <c r="BC23">
        <v>71.900000000000006</v>
      </c>
      <c r="BD23">
        <v>4720873.9000000004</v>
      </c>
      <c r="BE23">
        <v>199301.7</v>
      </c>
      <c r="BF23">
        <v>17.600000000000001</v>
      </c>
      <c r="BG23">
        <v>38111872.899999999</v>
      </c>
      <c r="BH23">
        <v>10305991.5</v>
      </c>
      <c r="BI23">
        <v>48417864.399999999</v>
      </c>
      <c r="BJ23">
        <v>0</v>
      </c>
      <c r="BK23">
        <v>0</v>
      </c>
      <c r="BL23">
        <v>38072730.5</v>
      </c>
      <c r="BM23">
        <v>42793604.399999999</v>
      </c>
      <c r="BN23">
        <v>48417864.399999999</v>
      </c>
      <c r="BO23">
        <v>32.909999999999997</v>
      </c>
      <c r="BP23">
        <v>10.76</v>
      </c>
      <c r="BQ23">
        <v>0</v>
      </c>
      <c r="BR23">
        <v>43.66</v>
      </c>
      <c r="BS23">
        <v>34.97</v>
      </c>
      <c r="BT23">
        <v>11.87</v>
      </c>
      <c r="BU23">
        <v>0</v>
      </c>
      <c r="BV23">
        <v>46.85</v>
      </c>
      <c r="BW23">
        <v>248749800</v>
      </c>
      <c r="BX23">
        <v>86413750</v>
      </c>
      <c r="BY23">
        <v>0</v>
      </c>
      <c r="BZ23">
        <v>0</v>
      </c>
      <c r="CA23">
        <v>0</v>
      </c>
      <c r="CB23">
        <v>14339.1</v>
      </c>
      <c r="CC23">
        <v>95626550</v>
      </c>
      <c r="CD23">
        <v>0</v>
      </c>
      <c r="CE23">
        <v>474677.8</v>
      </c>
      <c r="CF23">
        <v>33363066</v>
      </c>
      <c r="CG23">
        <v>21306304</v>
      </c>
      <c r="CH23">
        <v>5731443</v>
      </c>
      <c r="CI23">
        <v>0</v>
      </c>
      <c r="CJ23">
        <v>14784544</v>
      </c>
      <c r="CK23">
        <v>0</v>
      </c>
      <c r="CL23">
        <v>1990698.8</v>
      </c>
      <c r="CM23">
        <v>48824560</v>
      </c>
      <c r="CN23">
        <v>20813952</v>
      </c>
      <c r="CO23">
        <v>2488392.7999999998</v>
      </c>
      <c r="CP23">
        <v>3331263.5</v>
      </c>
      <c r="CQ23">
        <v>0</v>
      </c>
      <c r="CR23">
        <v>2881.2</v>
      </c>
      <c r="CS23">
        <v>0</v>
      </c>
      <c r="CT23">
        <v>873.7</v>
      </c>
      <c r="CU23">
        <v>0</v>
      </c>
      <c r="CV23">
        <v>0</v>
      </c>
      <c r="CW23">
        <v>965.5</v>
      </c>
      <c r="CX23">
        <v>12967.1</v>
      </c>
      <c r="CY23">
        <v>20255.3</v>
      </c>
      <c r="CZ23">
        <v>0</v>
      </c>
      <c r="DA23">
        <v>10322.6</v>
      </c>
      <c r="DB23">
        <v>2861.1</v>
      </c>
      <c r="DC23">
        <v>10772.1</v>
      </c>
      <c r="DD23">
        <v>0</v>
      </c>
      <c r="DE23">
        <v>1028.8</v>
      </c>
      <c r="DF23">
        <v>3807.1</v>
      </c>
      <c r="DG23">
        <v>18150.2</v>
      </c>
      <c r="DH23">
        <v>0</v>
      </c>
      <c r="DI23">
        <v>6302.8</v>
      </c>
      <c r="DJ23">
        <v>0</v>
      </c>
      <c r="DK23">
        <v>11124</v>
      </c>
      <c r="DL23">
        <v>38071</v>
      </c>
      <c r="DM23">
        <v>0</v>
      </c>
      <c r="DN23">
        <v>0</v>
      </c>
      <c r="DO23">
        <v>0.42</v>
      </c>
      <c r="DP23">
        <v>0</v>
      </c>
      <c r="DQ23">
        <v>0</v>
      </c>
      <c r="DR23">
        <v>0</v>
      </c>
    </row>
    <row r="24" spans="1:122" x14ac:dyDescent="0.3">
      <c r="A24" t="s">
        <v>158</v>
      </c>
      <c r="B24">
        <v>2028</v>
      </c>
      <c r="C24">
        <v>304877801.19999999</v>
      </c>
      <c r="D24">
        <v>292189719.80000001</v>
      </c>
      <c r="E24">
        <v>281687752.80000001</v>
      </c>
      <c r="F24">
        <v>0</v>
      </c>
      <c r="G24">
        <v>10431206</v>
      </c>
      <c r="H24">
        <v>193275395.69999999</v>
      </c>
      <c r="I24">
        <v>6454054</v>
      </c>
      <c r="J24">
        <v>3977151.5</v>
      </c>
      <c r="K24">
        <v>2256875.2000000002</v>
      </c>
      <c r="L24">
        <v>3.5900000000000001E-2</v>
      </c>
      <c r="M24">
        <v>5.3900000000000003E-2</v>
      </c>
      <c r="N24">
        <v>0.14599999999999999</v>
      </c>
      <c r="O24">
        <v>66596.320000000007</v>
      </c>
      <c r="P24">
        <v>67456.800000000003</v>
      </c>
      <c r="Q24">
        <v>128.1</v>
      </c>
      <c r="R24">
        <v>2.4</v>
      </c>
      <c r="S24">
        <v>0.24</v>
      </c>
      <c r="T24">
        <v>16</v>
      </c>
      <c r="U24">
        <v>670.9</v>
      </c>
      <c r="V24">
        <v>0.06</v>
      </c>
      <c r="W24">
        <v>128.30000000000001</v>
      </c>
      <c r="X24">
        <v>34.799999999999997</v>
      </c>
      <c r="Y24">
        <v>163.1</v>
      </c>
      <c r="Z24">
        <v>163.30000000000001</v>
      </c>
      <c r="AA24">
        <v>6</v>
      </c>
      <c r="AB24">
        <v>0.77</v>
      </c>
      <c r="AC24">
        <v>17.600000000000001</v>
      </c>
      <c r="AD24">
        <v>761.3</v>
      </c>
      <c r="AE24">
        <v>0.08</v>
      </c>
      <c r="AF24">
        <v>163.69999999999999</v>
      </c>
      <c r="AG24">
        <v>38.9</v>
      </c>
      <c r="AH24">
        <v>202.6</v>
      </c>
      <c r="AI24">
        <v>103.5</v>
      </c>
      <c r="AJ24">
        <v>2.4</v>
      </c>
      <c r="AK24">
        <v>0.27</v>
      </c>
      <c r="AL24">
        <v>11.8</v>
      </c>
      <c r="AM24">
        <v>523.79999999999995</v>
      </c>
      <c r="AN24">
        <v>0.05</v>
      </c>
      <c r="AO24">
        <v>103.6</v>
      </c>
      <c r="AP24">
        <v>26.5</v>
      </c>
      <c r="AQ24">
        <v>130.1</v>
      </c>
      <c r="AR24">
        <v>662.4</v>
      </c>
      <c r="AS24">
        <v>43.1</v>
      </c>
      <c r="AT24">
        <v>6</v>
      </c>
      <c r="AU24">
        <v>50.7</v>
      </c>
      <c r="AV24">
        <v>2477.3000000000002</v>
      </c>
      <c r="AW24">
        <v>0.32</v>
      </c>
      <c r="AX24">
        <v>665.2</v>
      </c>
      <c r="AY24">
        <v>120.2</v>
      </c>
      <c r="AZ24">
        <v>785.3</v>
      </c>
      <c r="BA24">
        <v>31748114.699999999</v>
      </c>
      <c r="BB24">
        <v>598.5</v>
      </c>
      <c r="BC24">
        <v>59.9</v>
      </c>
      <c r="BD24">
        <v>3973284.3</v>
      </c>
      <c r="BE24">
        <v>166254.1</v>
      </c>
      <c r="BF24">
        <v>14.9</v>
      </c>
      <c r="BG24">
        <v>31780743.5</v>
      </c>
      <c r="BH24">
        <v>8632334.8000000007</v>
      </c>
      <c r="BI24">
        <v>40413078.299999997</v>
      </c>
      <c r="BJ24">
        <v>0</v>
      </c>
      <c r="BK24">
        <v>0</v>
      </c>
      <c r="BL24">
        <v>31748114.699999999</v>
      </c>
      <c r="BM24">
        <v>35721399</v>
      </c>
      <c r="BN24">
        <v>40413078.299999997</v>
      </c>
      <c r="BO24">
        <v>34.369999999999997</v>
      </c>
      <c r="BP24">
        <v>13.03</v>
      </c>
      <c r="BQ24">
        <v>0</v>
      </c>
      <c r="BR24">
        <v>47.4</v>
      </c>
      <c r="BS24">
        <v>36.65</v>
      </c>
      <c r="BT24">
        <v>14.56</v>
      </c>
      <c r="BU24">
        <v>0</v>
      </c>
      <c r="BV24">
        <v>51.21</v>
      </c>
      <c r="BW24">
        <v>248729340</v>
      </c>
      <c r="BX24">
        <v>98914330</v>
      </c>
      <c r="BY24">
        <v>0</v>
      </c>
      <c r="BZ24">
        <v>0</v>
      </c>
      <c r="CA24">
        <v>0</v>
      </c>
      <c r="CB24">
        <v>6974.1</v>
      </c>
      <c r="CC24">
        <v>79945256</v>
      </c>
      <c r="CD24">
        <v>0</v>
      </c>
      <c r="CE24">
        <v>488271</v>
      </c>
      <c r="CF24">
        <v>33307980</v>
      </c>
      <c r="CG24">
        <v>21599188</v>
      </c>
      <c r="CH24">
        <v>5725231.5</v>
      </c>
      <c r="CI24">
        <v>0</v>
      </c>
      <c r="CJ24">
        <v>14955914</v>
      </c>
      <c r="CK24">
        <v>0</v>
      </c>
      <c r="CL24">
        <v>1994355.6</v>
      </c>
      <c r="CM24">
        <v>59937690</v>
      </c>
      <c r="CN24">
        <v>22026364</v>
      </c>
      <c r="CO24">
        <v>3228568.8</v>
      </c>
      <c r="CP24">
        <v>5513543.5</v>
      </c>
      <c r="CQ24">
        <v>0</v>
      </c>
      <c r="CR24">
        <v>3748.4</v>
      </c>
      <c r="CS24">
        <v>0</v>
      </c>
      <c r="CT24">
        <v>873.7</v>
      </c>
      <c r="CU24">
        <v>0</v>
      </c>
      <c r="CV24">
        <v>0</v>
      </c>
      <c r="CW24">
        <v>965.5</v>
      </c>
      <c r="CX24">
        <v>13851.3</v>
      </c>
      <c r="CY24">
        <v>20255.3</v>
      </c>
      <c r="CZ24">
        <v>0</v>
      </c>
      <c r="DA24">
        <v>10322.6</v>
      </c>
      <c r="DB24">
        <v>2900.4</v>
      </c>
      <c r="DC24">
        <v>10772.1</v>
      </c>
      <c r="DD24">
        <v>0</v>
      </c>
      <c r="DE24">
        <v>869.6</v>
      </c>
      <c r="DF24">
        <v>3892.7</v>
      </c>
      <c r="DG24">
        <v>22506.5</v>
      </c>
      <c r="DH24">
        <v>0</v>
      </c>
      <c r="DI24">
        <v>6366.9</v>
      </c>
      <c r="DJ24">
        <v>0</v>
      </c>
      <c r="DK24">
        <v>18076.599999999999</v>
      </c>
      <c r="DL24">
        <v>38926.9</v>
      </c>
      <c r="DM24">
        <v>0</v>
      </c>
      <c r="DN24">
        <v>0</v>
      </c>
      <c r="DO24">
        <v>0.5</v>
      </c>
      <c r="DP24">
        <v>0</v>
      </c>
      <c r="DQ24">
        <v>0</v>
      </c>
      <c r="DR24">
        <v>0</v>
      </c>
    </row>
    <row r="25" spans="1:122" x14ac:dyDescent="0.3">
      <c r="A25" t="s">
        <v>158</v>
      </c>
      <c r="B25">
        <v>2030</v>
      </c>
      <c r="C25">
        <v>314491926.5</v>
      </c>
      <c r="D25">
        <v>295628520</v>
      </c>
      <c r="E25">
        <v>285002954.69999999</v>
      </c>
      <c r="F25">
        <v>0</v>
      </c>
      <c r="G25">
        <v>16154602</v>
      </c>
      <c r="H25">
        <v>180859754.30000001</v>
      </c>
      <c r="I25">
        <v>7307137.5</v>
      </c>
      <c r="J25">
        <v>8847464</v>
      </c>
      <c r="K25">
        <v>2708804.9</v>
      </c>
      <c r="L25">
        <v>3.5900000000000001E-2</v>
      </c>
      <c r="M25">
        <v>5.3900000000000003E-2</v>
      </c>
      <c r="N25">
        <v>0.14599999999999999</v>
      </c>
      <c r="O25">
        <v>70877.64</v>
      </c>
      <c r="P25">
        <v>68249</v>
      </c>
      <c r="Q25">
        <v>105.5</v>
      </c>
      <c r="R25">
        <v>2</v>
      </c>
      <c r="S25">
        <v>0.2</v>
      </c>
      <c r="T25">
        <v>13.3</v>
      </c>
      <c r="U25">
        <v>552.6</v>
      </c>
      <c r="V25">
        <v>0.05</v>
      </c>
      <c r="W25">
        <v>105.6</v>
      </c>
      <c r="X25">
        <v>28.8</v>
      </c>
      <c r="Y25">
        <v>134.4</v>
      </c>
      <c r="Z25">
        <v>141.6</v>
      </c>
      <c r="AA25">
        <v>5.0999999999999996</v>
      </c>
      <c r="AB25">
        <v>0.65</v>
      </c>
      <c r="AC25">
        <v>15.5</v>
      </c>
      <c r="AD25">
        <v>663.8</v>
      </c>
      <c r="AE25">
        <v>7.0000000000000007E-2</v>
      </c>
      <c r="AF25">
        <v>142</v>
      </c>
      <c r="AG25">
        <v>34.1</v>
      </c>
      <c r="AH25">
        <v>176</v>
      </c>
      <c r="AI25">
        <v>142.5</v>
      </c>
      <c r="AJ25">
        <v>3.3</v>
      </c>
      <c r="AK25">
        <v>0.36</v>
      </c>
      <c r="AL25">
        <v>16.399999999999999</v>
      </c>
      <c r="AM25">
        <v>724.7</v>
      </c>
      <c r="AN25">
        <v>0.06</v>
      </c>
      <c r="AO25">
        <v>142.69999999999999</v>
      </c>
      <c r="AP25">
        <v>36.700000000000003</v>
      </c>
      <c r="AQ25">
        <v>179.3</v>
      </c>
      <c r="AR25">
        <v>629</v>
      </c>
      <c r="AS25">
        <v>40.4</v>
      </c>
      <c r="AT25">
        <v>5.63</v>
      </c>
      <c r="AU25">
        <v>48.8</v>
      </c>
      <c r="AV25">
        <v>2359.6999999999998</v>
      </c>
      <c r="AW25">
        <v>0.31</v>
      </c>
      <c r="AX25">
        <v>631.70000000000005</v>
      </c>
      <c r="AY25">
        <v>114.9</v>
      </c>
      <c r="AZ25">
        <v>746.6</v>
      </c>
      <c r="BA25">
        <v>27092685.5</v>
      </c>
      <c r="BB25">
        <v>510.8</v>
      </c>
      <c r="BC25">
        <v>51.1</v>
      </c>
      <c r="BD25">
        <v>3419601.6</v>
      </c>
      <c r="BE25">
        <v>141901.4</v>
      </c>
      <c r="BF25">
        <v>12.8</v>
      </c>
      <c r="BG25">
        <v>27120535.5</v>
      </c>
      <c r="BH25">
        <v>7396235.2000000002</v>
      </c>
      <c r="BI25">
        <v>34516770.799999997</v>
      </c>
      <c r="BJ25">
        <v>0</v>
      </c>
      <c r="BK25">
        <v>0</v>
      </c>
      <c r="BL25">
        <v>27092685.5</v>
      </c>
      <c r="BM25">
        <v>30512287.100000001</v>
      </c>
      <c r="BN25">
        <v>34516770.799999997</v>
      </c>
      <c r="BO25">
        <v>32.81</v>
      </c>
      <c r="BP25">
        <v>13.57</v>
      </c>
      <c r="BQ25">
        <v>0</v>
      </c>
      <c r="BR25">
        <v>46.37</v>
      </c>
      <c r="BS25">
        <v>35.24</v>
      </c>
      <c r="BT25">
        <v>15.45</v>
      </c>
      <c r="BU25">
        <v>0</v>
      </c>
      <c r="BV25">
        <v>50.69</v>
      </c>
      <c r="BW25">
        <v>257774260</v>
      </c>
      <c r="BX25">
        <v>114768770</v>
      </c>
      <c r="BY25">
        <v>0</v>
      </c>
      <c r="BZ25">
        <v>0</v>
      </c>
      <c r="CA25">
        <v>0</v>
      </c>
      <c r="CB25">
        <v>8606.7999999999993</v>
      </c>
      <c r="CC25">
        <v>68406296</v>
      </c>
      <c r="CD25">
        <v>0</v>
      </c>
      <c r="CE25">
        <v>613037.19999999995</v>
      </c>
      <c r="CF25">
        <v>33183462</v>
      </c>
      <c r="CG25">
        <v>21892070</v>
      </c>
      <c r="CH25">
        <v>5626208</v>
      </c>
      <c r="CI25">
        <v>0</v>
      </c>
      <c r="CJ25">
        <v>15368589</v>
      </c>
      <c r="CK25">
        <v>0</v>
      </c>
      <c r="CL25">
        <v>1984344.4</v>
      </c>
      <c r="CM25">
        <v>73570810</v>
      </c>
      <c r="CN25">
        <v>23845024</v>
      </c>
      <c r="CO25">
        <v>7069250.5</v>
      </c>
      <c r="CP25">
        <v>6206567.5</v>
      </c>
      <c r="CQ25">
        <v>0</v>
      </c>
      <c r="CR25">
        <v>3833</v>
      </c>
      <c r="CS25">
        <v>0</v>
      </c>
      <c r="CT25">
        <v>855.7</v>
      </c>
      <c r="CU25">
        <v>0</v>
      </c>
      <c r="CV25">
        <v>0</v>
      </c>
      <c r="CW25">
        <v>965.5</v>
      </c>
      <c r="CX25">
        <v>15100.8</v>
      </c>
      <c r="CY25">
        <v>19792.3</v>
      </c>
      <c r="CZ25">
        <v>0</v>
      </c>
      <c r="DA25">
        <v>9766.2000000000007</v>
      </c>
      <c r="DB25">
        <v>2939.8</v>
      </c>
      <c r="DC25">
        <v>10788.6</v>
      </c>
      <c r="DD25">
        <v>0</v>
      </c>
      <c r="DE25">
        <v>602.79999999999995</v>
      </c>
      <c r="DF25">
        <v>5512.3</v>
      </c>
      <c r="DG25">
        <v>27160.1</v>
      </c>
      <c r="DH25">
        <v>0</v>
      </c>
      <c r="DI25">
        <v>6465.9</v>
      </c>
      <c r="DJ25">
        <v>0</v>
      </c>
      <c r="DK25">
        <v>18784.099999999999</v>
      </c>
      <c r="DL25">
        <v>55123.1</v>
      </c>
      <c r="DM25">
        <v>0</v>
      </c>
      <c r="DN25">
        <v>0</v>
      </c>
      <c r="DO25">
        <v>0.57999999999999996</v>
      </c>
      <c r="DP25">
        <v>0</v>
      </c>
      <c r="DQ25">
        <v>0.55000000000000004</v>
      </c>
      <c r="DR25">
        <v>0</v>
      </c>
    </row>
    <row r="26" spans="1:122" x14ac:dyDescent="0.3">
      <c r="A26" t="s">
        <v>158</v>
      </c>
      <c r="B26">
        <v>2032</v>
      </c>
      <c r="C26">
        <v>322567230.80000001</v>
      </c>
      <c r="D26">
        <v>299473477.69999999</v>
      </c>
      <c r="E26">
        <v>288709715.89999998</v>
      </c>
      <c r="F26">
        <v>0</v>
      </c>
      <c r="G26">
        <v>20403950</v>
      </c>
      <c r="H26">
        <v>171863127.80000001</v>
      </c>
      <c r="I26">
        <v>7637099</v>
      </c>
      <c r="J26">
        <v>12766852</v>
      </c>
      <c r="K26">
        <v>2689802.3</v>
      </c>
      <c r="L26">
        <v>3.5900000000000001E-2</v>
      </c>
      <c r="M26">
        <v>5.3900000000000003E-2</v>
      </c>
      <c r="N26">
        <v>0.14599999999999999</v>
      </c>
      <c r="O26">
        <v>72842.509999999995</v>
      </c>
      <c r="P26">
        <v>69138.5</v>
      </c>
      <c r="Q26">
        <v>98.3</v>
      </c>
      <c r="R26">
        <v>1.9</v>
      </c>
      <c r="S26">
        <v>0.19</v>
      </c>
      <c r="T26">
        <v>12.4</v>
      </c>
      <c r="U26">
        <v>515.1</v>
      </c>
      <c r="V26">
        <v>0.05</v>
      </c>
      <c r="W26">
        <v>98.4</v>
      </c>
      <c r="X26">
        <v>26.9</v>
      </c>
      <c r="Y26">
        <v>125.3</v>
      </c>
      <c r="Z26">
        <v>135.19999999999999</v>
      </c>
      <c r="AA26">
        <v>4.4000000000000004</v>
      </c>
      <c r="AB26">
        <v>0.54</v>
      </c>
      <c r="AC26">
        <v>15.2</v>
      </c>
      <c r="AD26">
        <v>649.79999999999995</v>
      </c>
      <c r="AE26">
        <v>7.0000000000000007E-2</v>
      </c>
      <c r="AF26">
        <v>135.5</v>
      </c>
      <c r="AG26">
        <v>33.4</v>
      </c>
      <c r="AH26">
        <v>168.9</v>
      </c>
      <c r="AI26">
        <v>139.9</v>
      </c>
      <c r="AJ26">
        <v>3.1</v>
      </c>
      <c r="AK26">
        <v>0.33</v>
      </c>
      <c r="AL26">
        <v>16.2</v>
      </c>
      <c r="AM26">
        <v>716.4</v>
      </c>
      <c r="AN26">
        <v>0.06</v>
      </c>
      <c r="AO26">
        <v>140.1</v>
      </c>
      <c r="AP26">
        <v>36.299999999999997</v>
      </c>
      <c r="AQ26">
        <v>176.3</v>
      </c>
      <c r="AR26">
        <v>598.4</v>
      </c>
      <c r="AS26">
        <v>35.9</v>
      </c>
      <c r="AT26">
        <v>4.95</v>
      </c>
      <c r="AU26">
        <v>48.7</v>
      </c>
      <c r="AV26">
        <v>2331.1</v>
      </c>
      <c r="AW26">
        <v>0.28999999999999998</v>
      </c>
      <c r="AX26">
        <v>600.70000000000005</v>
      </c>
      <c r="AY26">
        <v>114</v>
      </c>
      <c r="AZ26">
        <v>714.8</v>
      </c>
      <c r="BA26">
        <v>26862323.399999999</v>
      </c>
      <c r="BB26">
        <v>506.4</v>
      </c>
      <c r="BC26">
        <v>50.7</v>
      </c>
      <c r="BD26">
        <v>3392762.3</v>
      </c>
      <c r="BE26">
        <v>140710.5</v>
      </c>
      <c r="BF26">
        <v>12.7</v>
      </c>
      <c r="BG26">
        <v>26889927.699999999</v>
      </c>
      <c r="BH26">
        <v>7336022.9000000004</v>
      </c>
      <c r="BI26">
        <v>34225950.600000001</v>
      </c>
      <c r="BJ26">
        <v>0</v>
      </c>
      <c r="BK26">
        <v>0</v>
      </c>
      <c r="BL26">
        <v>26862323.399999999</v>
      </c>
      <c r="BM26">
        <v>30255085.699999999</v>
      </c>
      <c r="BN26">
        <v>34225950.600000001</v>
      </c>
      <c r="BO26">
        <v>32.299999999999997</v>
      </c>
      <c r="BP26">
        <v>13.76</v>
      </c>
      <c r="BQ26">
        <v>0</v>
      </c>
      <c r="BR26">
        <v>46.06</v>
      </c>
      <c r="BS26">
        <v>34.81</v>
      </c>
      <c r="BT26">
        <v>15.86</v>
      </c>
      <c r="BU26">
        <v>0</v>
      </c>
      <c r="BV26">
        <v>50.67</v>
      </c>
      <c r="BW26">
        <v>274178430</v>
      </c>
      <c r="BX26">
        <v>127610350</v>
      </c>
      <c r="BY26">
        <v>0</v>
      </c>
      <c r="BZ26">
        <v>0</v>
      </c>
      <c r="CA26">
        <v>0</v>
      </c>
      <c r="CB26">
        <v>4564.8</v>
      </c>
      <c r="CC26">
        <v>68140480</v>
      </c>
      <c r="CD26">
        <v>0</v>
      </c>
      <c r="CE26">
        <v>487412.4</v>
      </c>
      <c r="CF26">
        <v>33354886</v>
      </c>
      <c r="CG26">
        <v>22184950</v>
      </c>
      <c r="CH26">
        <v>5625369</v>
      </c>
      <c r="CI26">
        <v>0</v>
      </c>
      <c r="CJ26">
        <v>14834326</v>
      </c>
      <c r="CK26">
        <v>0</v>
      </c>
      <c r="CL26">
        <v>1982862.2</v>
      </c>
      <c r="CM26">
        <v>85502250</v>
      </c>
      <c r="CN26">
        <v>25290912</v>
      </c>
      <c r="CO26">
        <v>10264133</v>
      </c>
      <c r="CP26">
        <v>6506283.5</v>
      </c>
      <c r="CQ26">
        <v>0</v>
      </c>
      <c r="CR26">
        <v>3875.9</v>
      </c>
      <c r="CS26">
        <v>0</v>
      </c>
      <c r="CT26">
        <v>855.7</v>
      </c>
      <c r="CU26">
        <v>0</v>
      </c>
      <c r="CV26">
        <v>0</v>
      </c>
      <c r="CW26">
        <v>965.5</v>
      </c>
      <c r="CX26">
        <v>16145.6</v>
      </c>
      <c r="CY26">
        <v>19792.3</v>
      </c>
      <c r="CZ26">
        <v>0</v>
      </c>
      <c r="DA26">
        <v>9766.2000000000007</v>
      </c>
      <c r="DB26">
        <v>2979.1</v>
      </c>
      <c r="DC26">
        <v>10838.8</v>
      </c>
      <c r="DD26">
        <v>0</v>
      </c>
      <c r="DE26">
        <v>602.79999999999995</v>
      </c>
      <c r="DF26">
        <v>7412.5</v>
      </c>
      <c r="DG26">
        <v>31327.4</v>
      </c>
      <c r="DH26">
        <v>0</v>
      </c>
      <c r="DI26">
        <v>5860.4</v>
      </c>
      <c r="DJ26">
        <v>0</v>
      </c>
      <c r="DK26">
        <v>19486.3</v>
      </c>
      <c r="DL26">
        <v>74125.3</v>
      </c>
      <c r="DM26">
        <v>0</v>
      </c>
      <c r="DN26">
        <v>0</v>
      </c>
      <c r="DO26">
        <v>0.57999999999999996</v>
      </c>
      <c r="DP26">
        <v>0</v>
      </c>
      <c r="DQ26">
        <v>0.61</v>
      </c>
      <c r="DR26">
        <v>0</v>
      </c>
    </row>
    <row r="27" spans="1:122" x14ac:dyDescent="0.3">
      <c r="A27" t="s">
        <v>158</v>
      </c>
      <c r="B27">
        <v>2034</v>
      </c>
      <c r="C27">
        <v>333331546.39999998</v>
      </c>
      <c r="D27">
        <v>305159683.10000002</v>
      </c>
      <c r="E27">
        <v>294191546</v>
      </c>
      <c r="F27">
        <v>0</v>
      </c>
      <c r="G27">
        <v>25437654</v>
      </c>
      <c r="H27">
        <v>161802808.09999999</v>
      </c>
      <c r="I27">
        <v>8510581</v>
      </c>
      <c r="J27">
        <v>16927072</v>
      </c>
      <c r="K27">
        <v>2734209.9</v>
      </c>
      <c r="L27">
        <v>3.5900000000000001E-2</v>
      </c>
      <c r="M27">
        <v>5.3900000000000003E-2</v>
      </c>
      <c r="N27">
        <v>0.14599999999999999</v>
      </c>
      <c r="O27">
        <v>73788.28</v>
      </c>
      <c r="P27">
        <v>70450.399999999994</v>
      </c>
      <c r="Q27">
        <v>85.2</v>
      </c>
      <c r="R27">
        <v>1.6</v>
      </c>
      <c r="S27">
        <v>0.16</v>
      </c>
      <c r="T27">
        <v>10.8</v>
      </c>
      <c r="U27">
        <v>446.4</v>
      </c>
      <c r="V27">
        <v>0.04</v>
      </c>
      <c r="W27">
        <v>85.3</v>
      </c>
      <c r="X27">
        <v>23.3</v>
      </c>
      <c r="Y27">
        <v>108.6</v>
      </c>
      <c r="Z27">
        <v>124.2</v>
      </c>
      <c r="AA27">
        <v>4.0999999999999996</v>
      </c>
      <c r="AB27">
        <v>0.51</v>
      </c>
      <c r="AC27">
        <v>13.9</v>
      </c>
      <c r="AD27">
        <v>594.6</v>
      </c>
      <c r="AE27">
        <v>0.06</v>
      </c>
      <c r="AF27">
        <v>124.5</v>
      </c>
      <c r="AG27">
        <v>30.6</v>
      </c>
      <c r="AH27">
        <v>155.1</v>
      </c>
      <c r="AI27">
        <v>156.19999999999999</v>
      </c>
      <c r="AJ27">
        <v>3.3</v>
      </c>
      <c r="AK27">
        <v>0.35</v>
      </c>
      <c r="AL27">
        <v>18.3</v>
      </c>
      <c r="AM27">
        <v>804.9</v>
      </c>
      <c r="AN27">
        <v>7.0000000000000007E-2</v>
      </c>
      <c r="AO27">
        <v>156.4</v>
      </c>
      <c r="AP27">
        <v>40.799999999999997</v>
      </c>
      <c r="AQ27">
        <v>197.2</v>
      </c>
      <c r="AR27">
        <v>614.29999999999995</v>
      </c>
      <c r="AS27">
        <v>39.799999999999997</v>
      </c>
      <c r="AT27">
        <v>5.52</v>
      </c>
      <c r="AU27">
        <v>47.2</v>
      </c>
      <c r="AV27">
        <v>2311.1999999999998</v>
      </c>
      <c r="AW27">
        <v>0.28999999999999998</v>
      </c>
      <c r="AX27">
        <v>616.9</v>
      </c>
      <c r="AY27">
        <v>111.9</v>
      </c>
      <c r="AZ27">
        <v>728.8</v>
      </c>
      <c r="BA27">
        <v>24472166.800000001</v>
      </c>
      <c r="BB27">
        <v>461.3</v>
      </c>
      <c r="BC27">
        <v>46.2</v>
      </c>
      <c r="BD27">
        <v>3110174.8</v>
      </c>
      <c r="BE27">
        <v>128207.9</v>
      </c>
      <c r="BF27">
        <v>11.7</v>
      </c>
      <c r="BG27">
        <v>24497318.800000001</v>
      </c>
      <c r="BH27">
        <v>6703086.0999999996</v>
      </c>
      <c r="BI27">
        <v>31200404.899999999</v>
      </c>
      <c r="BJ27">
        <v>0</v>
      </c>
      <c r="BK27">
        <v>0</v>
      </c>
      <c r="BL27">
        <v>24472166.800000001</v>
      </c>
      <c r="BM27">
        <v>27582341.600000001</v>
      </c>
      <c r="BN27">
        <v>31200404.899999999</v>
      </c>
      <c r="BO27">
        <v>31.81</v>
      </c>
      <c r="BP27">
        <v>13.72</v>
      </c>
      <c r="BQ27">
        <v>0</v>
      </c>
      <c r="BR27">
        <v>45.53</v>
      </c>
      <c r="BS27">
        <v>34.46</v>
      </c>
      <c r="BT27">
        <v>16.04</v>
      </c>
      <c r="BU27">
        <v>0</v>
      </c>
      <c r="BV27">
        <v>50.5</v>
      </c>
      <c r="BW27">
        <v>288276200</v>
      </c>
      <c r="BX27">
        <v>143356880</v>
      </c>
      <c r="BY27">
        <v>0</v>
      </c>
      <c r="BZ27">
        <v>0</v>
      </c>
      <c r="CA27">
        <v>0</v>
      </c>
      <c r="CB27">
        <v>5796.9</v>
      </c>
      <c r="CC27">
        <v>62325908</v>
      </c>
      <c r="CD27">
        <v>0</v>
      </c>
      <c r="CE27">
        <v>460143.3</v>
      </c>
      <c r="CF27">
        <v>33270874</v>
      </c>
      <c r="CG27">
        <v>22477238</v>
      </c>
      <c r="CH27">
        <v>5618400</v>
      </c>
      <c r="CI27">
        <v>0</v>
      </c>
      <c r="CJ27">
        <v>18453130</v>
      </c>
      <c r="CK27">
        <v>0</v>
      </c>
      <c r="CL27">
        <v>1994959.8</v>
      </c>
      <c r="CM27">
        <v>96473410</v>
      </c>
      <c r="CN27">
        <v>26435378</v>
      </c>
      <c r="CO27">
        <v>13520118</v>
      </c>
      <c r="CP27">
        <v>7240852</v>
      </c>
      <c r="CQ27">
        <v>0</v>
      </c>
      <c r="CR27">
        <v>4090.5</v>
      </c>
      <c r="CS27">
        <v>0</v>
      </c>
      <c r="CT27">
        <v>855.7</v>
      </c>
      <c r="CU27">
        <v>0</v>
      </c>
      <c r="CV27">
        <v>0</v>
      </c>
      <c r="CW27">
        <v>965.5</v>
      </c>
      <c r="CX27">
        <v>17027.8</v>
      </c>
      <c r="CY27">
        <v>19792.3</v>
      </c>
      <c r="CZ27">
        <v>0</v>
      </c>
      <c r="DA27">
        <v>9766.2000000000007</v>
      </c>
      <c r="DB27">
        <v>3018.4</v>
      </c>
      <c r="DC27">
        <v>10838.8</v>
      </c>
      <c r="DD27">
        <v>0</v>
      </c>
      <c r="DE27">
        <v>602.79999999999995</v>
      </c>
      <c r="DF27">
        <v>9437</v>
      </c>
      <c r="DG27">
        <v>35355.5</v>
      </c>
      <c r="DH27">
        <v>0</v>
      </c>
      <c r="DI27">
        <v>6904.1</v>
      </c>
      <c r="DJ27">
        <v>0</v>
      </c>
      <c r="DK27">
        <v>21613.599999999999</v>
      </c>
      <c r="DL27">
        <v>94370.1</v>
      </c>
      <c r="DM27">
        <v>0</v>
      </c>
      <c r="DN27">
        <v>0</v>
      </c>
      <c r="DO27">
        <v>0.57999999999999996</v>
      </c>
      <c r="DP27">
        <v>0</v>
      </c>
      <c r="DQ27">
        <v>0.67</v>
      </c>
      <c r="DR27">
        <v>0</v>
      </c>
    </row>
    <row r="28" spans="1:122" x14ac:dyDescent="0.3">
      <c r="A28" t="s">
        <v>158</v>
      </c>
      <c r="B28">
        <v>2036</v>
      </c>
      <c r="C28">
        <v>345330292.30000001</v>
      </c>
      <c r="D28">
        <v>312064360.80000001</v>
      </c>
      <c r="E28">
        <v>300848053.80000001</v>
      </c>
      <c r="F28">
        <v>0</v>
      </c>
      <c r="G28">
        <v>30593532</v>
      </c>
      <c r="H28">
        <v>151277030.19999999</v>
      </c>
      <c r="I28">
        <v>9017502</v>
      </c>
      <c r="J28">
        <v>21576030</v>
      </c>
      <c r="K28">
        <v>2672398.9</v>
      </c>
      <c r="L28">
        <v>3.5900000000000001E-2</v>
      </c>
      <c r="M28">
        <v>5.3900000000000003E-2</v>
      </c>
      <c r="N28">
        <v>0.14610000000000001</v>
      </c>
      <c r="O28">
        <v>74070.94</v>
      </c>
      <c r="P28">
        <v>72048.3</v>
      </c>
      <c r="Q28">
        <v>75.5</v>
      </c>
      <c r="R28">
        <v>1.4</v>
      </c>
      <c r="S28">
        <v>0.14000000000000001</v>
      </c>
      <c r="T28">
        <v>9.6</v>
      </c>
      <c r="U28">
        <v>395.7</v>
      </c>
      <c r="V28">
        <v>0.04</v>
      </c>
      <c r="W28">
        <v>75.599999999999994</v>
      </c>
      <c r="X28">
        <v>20.7</v>
      </c>
      <c r="Y28">
        <v>96.3</v>
      </c>
      <c r="Z28">
        <v>114.7</v>
      </c>
      <c r="AA28">
        <v>3.8</v>
      </c>
      <c r="AB28">
        <v>0.47</v>
      </c>
      <c r="AC28">
        <v>12.9</v>
      </c>
      <c r="AD28">
        <v>549.20000000000005</v>
      </c>
      <c r="AE28">
        <v>0.06</v>
      </c>
      <c r="AF28">
        <v>115</v>
      </c>
      <c r="AG28">
        <v>28.3</v>
      </c>
      <c r="AH28">
        <v>143.30000000000001</v>
      </c>
      <c r="AI28">
        <v>114.9</v>
      </c>
      <c r="AJ28">
        <v>2.2999999999999998</v>
      </c>
      <c r="AK28">
        <v>0.25</v>
      </c>
      <c r="AL28">
        <v>13.5</v>
      </c>
      <c r="AM28">
        <v>594.1</v>
      </c>
      <c r="AN28">
        <v>0.05</v>
      </c>
      <c r="AO28">
        <v>115</v>
      </c>
      <c r="AP28">
        <v>30.2</v>
      </c>
      <c r="AQ28">
        <v>145.19999999999999</v>
      </c>
      <c r="AR28">
        <v>570.20000000000005</v>
      </c>
      <c r="AS28">
        <v>33.1</v>
      </c>
      <c r="AT28">
        <v>4.53</v>
      </c>
      <c r="AU28">
        <v>47.3</v>
      </c>
      <c r="AV28">
        <v>2262.8000000000002</v>
      </c>
      <c r="AW28">
        <v>0.27</v>
      </c>
      <c r="AX28">
        <v>572.29999999999995</v>
      </c>
      <c r="AY28">
        <v>110.8</v>
      </c>
      <c r="AZ28">
        <v>683.1</v>
      </c>
      <c r="BA28">
        <v>23064794.300000001</v>
      </c>
      <c r="BB28">
        <v>434.8</v>
      </c>
      <c r="BC28">
        <v>43.5</v>
      </c>
      <c r="BD28">
        <v>2943890.3</v>
      </c>
      <c r="BE28">
        <v>120844.6</v>
      </c>
      <c r="BF28">
        <v>11.1</v>
      </c>
      <c r="BG28">
        <v>23088503.399999999</v>
      </c>
      <c r="BH28">
        <v>6330468.9000000004</v>
      </c>
      <c r="BI28">
        <v>29418972.300000001</v>
      </c>
      <c r="BJ28">
        <v>0</v>
      </c>
      <c r="BK28">
        <v>0</v>
      </c>
      <c r="BL28">
        <v>23064794.300000001</v>
      </c>
      <c r="BM28">
        <v>26008684.600000001</v>
      </c>
      <c r="BN28">
        <v>29418972.300000001</v>
      </c>
      <c r="BO28">
        <v>31.98</v>
      </c>
      <c r="BP28">
        <v>13.56</v>
      </c>
      <c r="BQ28">
        <v>0</v>
      </c>
      <c r="BR28">
        <v>45.54</v>
      </c>
      <c r="BS28">
        <v>34.76</v>
      </c>
      <c r="BT28">
        <v>16.07</v>
      </c>
      <c r="BU28">
        <v>0</v>
      </c>
      <c r="BV28">
        <v>50.84</v>
      </c>
      <c r="BW28">
        <v>306547070</v>
      </c>
      <c r="BX28">
        <v>160787330</v>
      </c>
      <c r="BY28">
        <v>0</v>
      </c>
      <c r="BZ28">
        <v>0</v>
      </c>
      <c r="CA28">
        <v>0</v>
      </c>
      <c r="CB28">
        <v>7147.7</v>
      </c>
      <c r="CC28">
        <v>58666410</v>
      </c>
      <c r="CD28">
        <v>0</v>
      </c>
      <c r="CE28">
        <v>403650</v>
      </c>
      <c r="CF28">
        <v>33238736</v>
      </c>
      <c r="CG28">
        <v>22766322</v>
      </c>
      <c r="CH28">
        <v>5620425.5</v>
      </c>
      <c r="CI28">
        <v>0</v>
      </c>
      <c r="CJ28">
        <v>21624778</v>
      </c>
      <c r="CK28">
        <v>0</v>
      </c>
      <c r="CL28">
        <v>1982184.2</v>
      </c>
      <c r="CM28">
        <v>109823870</v>
      </c>
      <c r="CN28">
        <v>27356492</v>
      </c>
      <c r="CO28">
        <v>17367138</v>
      </c>
      <c r="CP28">
        <v>7689907</v>
      </c>
      <c r="CQ28">
        <v>0</v>
      </c>
      <c r="CR28">
        <v>3843.8</v>
      </c>
      <c r="CS28">
        <v>0</v>
      </c>
      <c r="CT28">
        <v>855.7</v>
      </c>
      <c r="CU28">
        <v>0</v>
      </c>
      <c r="CV28">
        <v>0</v>
      </c>
      <c r="CW28">
        <v>965.5</v>
      </c>
      <c r="CX28">
        <v>17795.5</v>
      </c>
      <c r="CY28">
        <v>19792.3</v>
      </c>
      <c r="CZ28">
        <v>0</v>
      </c>
      <c r="DA28">
        <v>9554</v>
      </c>
      <c r="DB28">
        <v>3057.8</v>
      </c>
      <c r="DC28">
        <v>10838.8</v>
      </c>
      <c r="DD28">
        <v>0</v>
      </c>
      <c r="DE28">
        <v>602.79999999999995</v>
      </c>
      <c r="DF28">
        <v>12007.2</v>
      </c>
      <c r="DG28">
        <v>40337.800000000003</v>
      </c>
      <c r="DH28">
        <v>0</v>
      </c>
      <c r="DI28">
        <v>7886.3</v>
      </c>
      <c r="DJ28">
        <v>0</v>
      </c>
      <c r="DK28">
        <v>23096.7</v>
      </c>
      <c r="DL28">
        <v>120072.4</v>
      </c>
      <c r="DM28">
        <v>0</v>
      </c>
      <c r="DN28">
        <v>0</v>
      </c>
      <c r="DO28">
        <v>0.57999999999999996</v>
      </c>
      <c r="DP28">
        <v>0</v>
      </c>
      <c r="DQ28">
        <v>0.73</v>
      </c>
      <c r="DR28">
        <v>0</v>
      </c>
    </row>
    <row r="29" spans="1:122" x14ac:dyDescent="0.3">
      <c r="A29" t="s">
        <v>158</v>
      </c>
      <c r="B29">
        <v>2038</v>
      </c>
      <c r="C29">
        <v>354680884.39999998</v>
      </c>
      <c r="D29">
        <v>319591814.19999999</v>
      </c>
      <c r="E29">
        <v>308104953.30000001</v>
      </c>
      <c r="F29">
        <v>0</v>
      </c>
      <c r="G29">
        <v>32459306</v>
      </c>
      <c r="H29">
        <v>144054798.09999999</v>
      </c>
      <c r="I29">
        <v>13310556</v>
      </c>
      <c r="J29">
        <v>19148750</v>
      </c>
      <c r="K29">
        <v>2629764.6</v>
      </c>
      <c r="L29">
        <v>3.5900000000000001E-2</v>
      </c>
      <c r="M29">
        <v>5.3900000000000003E-2</v>
      </c>
      <c r="N29">
        <v>0.14610000000000001</v>
      </c>
      <c r="O29">
        <v>72679.88</v>
      </c>
      <c r="P29">
        <v>73782.3</v>
      </c>
      <c r="Q29">
        <v>69.5</v>
      </c>
      <c r="R29">
        <v>1.3</v>
      </c>
      <c r="S29">
        <v>0.13</v>
      </c>
      <c r="T29">
        <v>8.6999999999999993</v>
      </c>
      <c r="U29">
        <v>363.8</v>
      </c>
      <c r="V29">
        <v>0.03</v>
      </c>
      <c r="W29">
        <v>69.5</v>
      </c>
      <c r="X29">
        <v>18.8</v>
      </c>
      <c r="Y29">
        <v>88.4</v>
      </c>
      <c r="Z29">
        <v>105.9</v>
      </c>
      <c r="AA29">
        <v>3.3</v>
      </c>
      <c r="AB29">
        <v>0.4</v>
      </c>
      <c r="AC29">
        <v>11.9</v>
      </c>
      <c r="AD29">
        <v>512.9</v>
      </c>
      <c r="AE29">
        <v>0.05</v>
      </c>
      <c r="AF29">
        <v>106.1</v>
      </c>
      <c r="AG29">
        <v>26.3</v>
      </c>
      <c r="AH29">
        <v>132.30000000000001</v>
      </c>
      <c r="AI29">
        <v>119.7</v>
      </c>
      <c r="AJ29">
        <v>2.5</v>
      </c>
      <c r="AK29">
        <v>0.27</v>
      </c>
      <c r="AL29">
        <v>14</v>
      </c>
      <c r="AM29">
        <v>616.79999999999995</v>
      </c>
      <c r="AN29">
        <v>0.05</v>
      </c>
      <c r="AO29">
        <v>119.9</v>
      </c>
      <c r="AP29">
        <v>31.2</v>
      </c>
      <c r="AQ29">
        <v>151.1</v>
      </c>
      <c r="AR29">
        <v>568.9</v>
      </c>
      <c r="AS29">
        <v>32.9</v>
      </c>
      <c r="AT29">
        <v>4.51</v>
      </c>
      <c r="AU29">
        <v>47.4</v>
      </c>
      <c r="AV29">
        <v>2257.6999999999998</v>
      </c>
      <c r="AW29">
        <v>0.27</v>
      </c>
      <c r="AX29">
        <v>571.1</v>
      </c>
      <c r="AY29">
        <v>110.7</v>
      </c>
      <c r="AZ29">
        <v>681.7</v>
      </c>
      <c r="BA29">
        <v>22098607.399999999</v>
      </c>
      <c r="BB29">
        <v>416.5</v>
      </c>
      <c r="BC29">
        <v>41.7</v>
      </c>
      <c r="BD29">
        <v>2752315.5</v>
      </c>
      <c r="BE29">
        <v>115719.4</v>
      </c>
      <c r="BF29">
        <v>10.3</v>
      </c>
      <c r="BG29">
        <v>22121310.5</v>
      </c>
      <c r="BH29">
        <v>5995179.2999999998</v>
      </c>
      <c r="BI29">
        <v>28116489.699999999</v>
      </c>
      <c r="BJ29">
        <v>0</v>
      </c>
      <c r="BK29">
        <v>0</v>
      </c>
      <c r="BL29">
        <v>22098607.399999999</v>
      </c>
      <c r="BM29">
        <v>24850922.899999999</v>
      </c>
      <c r="BN29">
        <v>28116489.699999999</v>
      </c>
      <c r="BO29">
        <v>31.3</v>
      </c>
      <c r="BP29">
        <v>13.21</v>
      </c>
      <c r="BQ29">
        <v>0</v>
      </c>
      <c r="BR29">
        <v>44.5</v>
      </c>
      <c r="BS29">
        <v>34</v>
      </c>
      <c r="BT29">
        <v>15.69</v>
      </c>
      <c r="BU29">
        <v>0</v>
      </c>
      <c r="BV29">
        <v>49.69</v>
      </c>
      <c r="BW29">
        <v>319219400</v>
      </c>
      <c r="BX29">
        <v>175537020</v>
      </c>
      <c r="BY29">
        <v>0</v>
      </c>
      <c r="BZ29">
        <v>0</v>
      </c>
      <c r="CA29">
        <v>0</v>
      </c>
      <c r="CB29">
        <v>1217.7</v>
      </c>
      <c r="CC29">
        <v>56561270</v>
      </c>
      <c r="CD29">
        <v>0</v>
      </c>
      <c r="CE29">
        <v>252871.1</v>
      </c>
      <c r="CF29">
        <v>33267740</v>
      </c>
      <c r="CG29">
        <v>23051096</v>
      </c>
      <c r="CH29">
        <v>3908664.8</v>
      </c>
      <c r="CI29">
        <v>0</v>
      </c>
      <c r="CJ29">
        <v>29928486</v>
      </c>
      <c r="CK29">
        <v>0</v>
      </c>
      <c r="CL29">
        <v>1984238.2</v>
      </c>
      <c r="CM29">
        <v>115465520</v>
      </c>
      <c r="CN29">
        <v>28158772</v>
      </c>
      <c r="CO29">
        <v>15326474</v>
      </c>
      <c r="CP29">
        <v>11313050</v>
      </c>
      <c r="CQ29">
        <v>0</v>
      </c>
      <c r="CR29">
        <v>4879.2</v>
      </c>
      <c r="CS29">
        <v>0</v>
      </c>
      <c r="CT29">
        <v>603.4</v>
      </c>
      <c r="CU29">
        <v>0</v>
      </c>
      <c r="CV29">
        <v>0</v>
      </c>
      <c r="CW29">
        <v>965.5</v>
      </c>
      <c r="CX29">
        <v>18488.8</v>
      </c>
      <c r="CY29">
        <v>19792.3</v>
      </c>
      <c r="CZ29">
        <v>0</v>
      </c>
      <c r="DA29">
        <v>9016</v>
      </c>
      <c r="DB29">
        <v>3097.1</v>
      </c>
      <c r="DC29">
        <v>10838.8</v>
      </c>
      <c r="DD29">
        <v>0</v>
      </c>
      <c r="DE29">
        <v>131.9</v>
      </c>
      <c r="DF29">
        <v>12341.3</v>
      </c>
      <c r="DG29">
        <v>43440</v>
      </c>
      <c r="DH29">
        <v>0</v>
      </c>
      <c r="DI29">
        <v>10538.2</v>
      </c>
      <c r="DJ29">
        <v>0</v>
      </c>
      <c r="DK29">
        <v>35088.9</v>
      </c>
      <c r="DL29">
        <v>123412.9</v>
      </c>
      <c r="DM29">
        <v>0</v>
      </c>
      <c r="DN29">
        <v>0</v>
      </c>
      <c r="DO29">
        <v>0.57999999999999996</v>
      </c>
      <c r="DP29">
        <v>0</v>
      </c>
      <c r="DQ29">
        <v>0.79</v>
      </c>
      <c r="DR29">
        <v>0</v>
      </c>
    </row>
    <row r="30" spans="1:122" x14ac:dyDescent="0.3">
      <c r="A30" t="s">
        <v>158</v>
      </c>
      <c r="B30">
        <v>2040</v>
      </c>
      <c r="C30">
        <v>364266609</v>
      </c>
      <c r="D30">
        <v>327714964.10000002</v>
      </c>
      <c r="E30">
        <v>315936138.60000002</v>
      </c>
      <c r="F30">
        <v>0</v>
      </c>
      <c r="G30">
        <v>34011920</v>
      </c>
      <c r="H30">
        <v>139188441.80000001</v>
      </c>
      <c r="I30">
        <v>15954088</v>
      </c>
      <c r="J30">
        <v>18057832</v>
      </c>
      <c r="K30">
        <v>2539724.2000000002</v>
      </c>
      <c r="L30">
        <v>3.5900000000000001E-2</v>
      </c>
      <c r="M30">
        <v>5.3900000000000003E-2</v>
      </c>
      <c r="N30">
        <v>0.14610000000000001</v>
      </c>
      <c r="O30">
        <v>73360.509999999995</v>
      </c>
      <c r="P30">
        <v>75659.100000000006</v>
      </c>
      <c r="Q30">
        <v>61.1</v>
      </c>
      <c r="R30">
        <v>1.2</v>
      </c>
      <c r="S30">
        <v>0.12</v>
      </c>
      <c r="T30">
        <v>7.5</v>
      </c>
      <c r="U30">
        <v>319.8</v>
      </c>
      <c r="V30">
        <v>0.03</v>
      </c>
      <c r="W30">
        <v>61.2</v>
      </c>
      <c r="X30">
        <v>16.399999999999999</v>
      </c>
      <c r="Y30">
        <v>77.599999999999994</v>
      </c>
      <c r="Z30">
        <v>95.5</v>
      </c>
      <c r="AA30">
        <v>3</v>
      </c>
      <c r="AB30">
        <v>0.36</v>
      </c>
      <c r="AC30">
        <v>10.6</v>
      </c>
      <c r="AD30">
        <v>463.4</v>
      </c>
      <c r="AE30">
        <v>0.05</v>
      </c>
      <c r="AF30">
        <v>95.7</v>
      </c>
      <c r="AG30">
        <v>23.6</v>
      </c>
      <c r="AH30">
        <v>119.3</v>
      </c>
      <c r="AI30">
        <v>93.4</v>
      </c>
      <c r="AJ30">
        <v>1.9</v>
      </c>
      <c r="AK30">
        <v>0.21</v>
      </c>
      <c r="AL30">
        <v>10.9</v>
      </c>
      <c r="AM30">
        <v>482.4</v>
      </c>
      <c r="AN30">
        <v>0.04</v>
      </c>
      <c r="AO30">
        <v>93.5</v>
      </c>
      <c r="AP30">
        <v>24.4</v>
      </c>
      <c r="AQ30">
        <v>118</v>
      </c>
      <c r="AR30">
        <v>551.4</v>
      </c>
      <c r="AS30">
        <v>29.9</v>
      </c>
      <c r="AT30">
        <v>4.07</v>
      </c>
      <c r="AU30">
        <v>47.9</v>
      </c>
      <c r="AV30">
        <v>2249.9</v>
      </c>
      <c r="AW30">
        <v>0.27</v>
      </c>
      <c r="AX30">
        <v>553.29999999999995</v>
      </c>
      <c r="AY30">
        <v>111</v>
      </c>
      <c r="AZ30">
        <v>664.3</v>
      </c>
      <c r="BA30">
        <v>20513105.100000001</v>
      </c>
      <c r="BB30">
        <v>386.6</v>
      </c>
      <c r="BC30">
        <v>38.700000000000003</v>
      </c>
      <c r="BD30">
        <v>2501214.7999999998</v>
      </c>
      <c r="BE30">
        <v>107354.6</v>
      </c>
      <c r="BF30">
        <v>9.3000000000000007</v>
      </c>
      <c r="BG30">
        <v>20534177.899999999</v>
      </c>
      <c r="BH30">
        <v>5509604.9000000004</v>
      </c>
      <c r="BI30">
        <v>26043782.800000001</v>
      </c>
      <c r="BJ30">
        <v>0</v>
      </c>
      <c r="BK30">
        <v>0</v>
      </c>
      <c r="BL30">
        <v>20513105.100000001</v>
      </c>
      <c r="BM30">
        <v>23014319.899999999</v>
      </c>
      <c r="BN30">
        <v>26043782.800000001</v>
      </c>
      <c r="BO30">
        <v>30.91</v>
      </c>
      <c r="BP30">
        <v>13.28</v>
      </c>
      <c r="BQ30">
        <v>0</v>
      </c>
      <c r="BR30">
        <v>44.19</v>
      </c>
      <c r="BS30">
        <v>33.549999999999997</v>
      </c>
      <c r="BT30">
        <v>15.81</v>
      </c>
      <c r="BU30">
        <v>0</v>
      </c>
      <c r="BV30">
        <v>49.36</v>
      </c>
      <c r="BW30">
        <v>336841950</v>
      </c>
      <c r="BX30">
        <v>188526530</v>
      </c>
      <c r="BY30">
        <v>0</v>
      </c>
      <c r="BZ30">
        <v>0</v>
      </c>
      <c r="CA30">
        <v>0</v>
      </c>
      <c r="CB30">
        <v>473.7</v>
      </c>
      <c r="CC30">
        <v>53002732</v>
      </c>
      <c r="CD30">
        <v>0</v>
      </c>
      <c r="CE30">
        <v>136733.9</v>
      </c>
      <c r="CF30">
        <v>33313372</v>
      </c>
      <c r="CG30">
        <v>31447114</v>
      </c>
      <c r="CH30">
        <v>2285149.5</v>
      </c>
      <c r="CI30">
        <v>0</v>
      </c>
      <c r="CJ30">
        <v>38642108</v>
      </c>
      <c r="CK30">
        <v>0</v>
      </c>
      <c r="CL30">
        <v>1997938.4</v>
      </c>
      <c r="CM30">
        <v>119125620</v>
      </c>
      <c r="CN30">
        <v>28760864</v>
      </c>
      <c r="CO30">
        <v>14536099</v>
      </c>
      <c r="CP30">
        <v>13593763</v>
      </c>
      <c r="CQ30">
        <v>0</v>
      </c>
      <c r="CR30">
        <v>6185.9</v>
      </c>
      <c r="CS30">
        <v>0</v>
      </c>
      <c r="CT30">
        <v>380.4</v>
      </c>
      <c r="CU30">
        <v>0</v>
      </c>
      <c r="CV30">
        <v>0</v>
      </c>
      <c r="CW30">
        <v>965.5</v>
      </c>
      <c r="CX30">
        <v>19070.7</v>
      </c>
      <c r="CY30">
        <v>19792.3</v>
      </c>
      <c r="CZ30">
        <v>0</v>
      </c>
      <c r="DA30">
        <v>8484.5</v>
      </c>
      <c r="DB30">
        <v>4228</v>
      </c>
      <c r="DC30">
        <v>10838.8</v>
      </c>
      <c r="DD30">
        <v>0</v>
      </c>
      <c r="DE30">
        <v>131.9</v>
      </c>
      <c r="DF30">
        <v>12899</v>
      </c>
      <c r="DG30">
        <v>45201.4</v>
      </c>
      <c r="DH30">
        <v>0</v>
      </c>
      <c r="DI30">
        <v>13205.3</v>
      </c>
      <c r="DJ30">
        <v>0</v>
      </c>
      <c r="DK30">
        <v>41911.300000000003</v>
      </c>
      <c r="DL30">
        <v>128989.9</v>
      </c>
      <c r="DM30">
        <v>0</v>
      </c>
      <c r="DN30">
        <v>0</v>
      </c>
      <c r="DO30">
        <v>0.57999999999999996</v>
      </c>
      <c r="DP30">
        <v>0</v>
      </c>
      <c r="DQ30">
        <v>0.85</v>
      </c>
      <c r="DR30">
        <v>0</v>
      </c>
    </row>
    <row r="31" spans="1:122" x14ac:dyDescent="0.3">
      <c r="A31" t="s">
        <v>158</v>
      </c>
      <c r="B31">
        <v>2042</v>
      </c>
      <c r="C31">
        <v>372939499.89999998</v>
      </c>
      <c r="D31">
        <v>336704583.89999998</v>
      </c>
      <c r="E31">
        <v>324602650.89999998</v>
      </c>
      <c r="F31">
        <v>0</v>
      </c>
      <c r="G31">
        <v>33761120</v>
      </c>
      <c r="H31">
        <v>142579235.59999999</v>
      </c>
      <c r="I31">
        <v>17967184</v>
      </c>
      <c r="J31">
        <v>15793936</v>
      </c>
      <c r="K31">
        <v>2473796.9</v>
      </c>
      <c r="L31">
        <v>3.5900000000000001E-2</v>
      </c>
      <c r="M31">
        <v>5.3900000000000003E-2</v>
      </c>
      <c r="N31">
        <v>0.14610000000000001</v>
      </c>
      <c r="O31">
        <v>71486.48</v>
      </c>
      <c r="P31">
        <v>77732.7</v>
      </c>
      <c r="Q31">
        <v>54.2</v>
      </c>
      <c r="R31">
        <v>1</v>
      </c>
      <c r="S31">
        <v>0.1</v>
      </c>
      <c r="T31">
        <v>6.6</v>
      </c>
      <c r="U31">
        <v>283.7</v>
      </c>
      <c r="V31">
        <v>0.02</v>
      </c>
      <c r="W31">
        <v>54.3</v>
      </c>
      <c r="X31">
        <v>14.5</v>
      </c>
      <c r="Y31">
        <v>68.8</v>
      </c>
      <c r="Z31">
        <v>87.1</v>
      </c>
      <c r="AA31">
        <v>2.7</v>
      </c>
      <c r="AB31">
        <v>0.33</v>
      </c>
      <c r="AC31">
        <v>9.6</v>
      </c>
      <c r="AD31">
        <v>420.9</v>
      </c>
      <c r="AE31">
        <v>0.04</v>
      </c>
      <c r="AF31">
        <v>87.3</v>
      </c>
      <c r="AG31">
        <v>21.4</v>
      </c>
      <c r="AH31">
        <v>108.6</v>
      </c>
      <c r="AI31">
        <v>70.400000000000006</v>
      </c>
      <c r="AJ31">
        <v>1.5</v>
      </c>
      <c r="AK31">
        <v>0.16</v>
      </c>
      <c r="AL31">
        <v>8.1999999999999993</v>
      </c>
      <c r="AM31">
        <v>362.7</v>
      </c>
      <c r="AN31">
        <v>0.03</v>
      </c>
      <c r="AO31">
        <v>70.400000000000006</v>
      </c>
      <c r="AP31">
        <v>18.3</v>
      </c>
      <c r="AQ31">
        <v>88.8</v>
      </c>
      <c r="AR31">
        <v>558.70000000000005</v>
      </c>
      <c r="AS31">
        <v>31.3</v>
      </c>
      <c r="AT31">
        <v>4.2699999999999996</v>
      </c>
      <c r="AU31">
        <v>47.7</v>
      </c>
      <c r="AV31">
        <v>2252.4</v>
      </c>
      <c r="AW31">
        <v>0.27</v>
      </c>
      <c r="AX31">
        <v>560.70000000000005</v>
      </c>
      <c r="AY31">
        <v>110.8</v>
      </c>
      <c r="AZ31">
        <v>671.5</v>
      </c>
      <c r="BA31">
        <v>19111796.199999999</v>
      </c>
      <c r="BB31">
        <v>360.2</v>
      </c>
      <c r="BC31">
        <v>36</v>
      </c>
      <c r="BD31">
        <v>2322240.7999999998</v>
      </c>
      <c r="BE31">
        <v>100011.6</v>
      </c>
      <c r="BF31">
        <v>8.6</v>
      </c>
      <c r="BG31">
        <v>19131429.199999999</v>
      </c>
      <c r="BH31">
        <v>5124849.2</v>
      </c>
      <c r="BI31">
        <v>24256278.300000001</v>
      </c>
      <c r="BJ31">
        <v>0</v>
      </c>
      <c r="BK31">
        <v>0</v>
      </c>
      <c r="BL31">
        <v>19111796.199999999</v>
      </c>
      <c r="BM31">
        <v>21434037</v>
      </c>
      <c r="BN31">
        <v>24256278.300000001</v>
      </c>
      <c r="BO31">
        <v>30.96</v>
      </c>
      <c r="BP31">
        <v>12.98</v>
      </c>
      <c r="BQ31">
        <v>0</v>
      </c>
      <c r="BR31">
        <v>43.95</v>
      </c>
      <c r="BS31">
        <v>33.54</v>
      </c>
      <c r="BT31">
        <v>15.41</v>
      </c>
      <c r="BU31">
        <v>0</v>
      </c>
      <c r="BV31">
        <v>48.95</v>
      </c>
      <c r="BW31">
        <v>353695680</v>
      </c>
      <c r="BX31">
        <v>194125340</v>
      </c>
      <c r="BY31">
        <v>0</v>
      </c>
      <c r="BZ31">
        <v>0</v>
      </c>
      <c r="CA31">
        <v>0</v>
      </c>
      <c r="CB31">
        <v>304.5</v>
      </c>
      <c r="CC31">
        <v>49495910</v>
      </c>
      <c r="CD31">
        <v>0</v>
      </c>
      <c r="CE31">
        <v>59468</v>
      </c>
      <c r="CF31">
        <v>33373940</v>
      </c>
      <c r="CG31">
        <v>46775536</v>
      </c>
      <c r="CH31">
        <v>1941246.8</v>
      </c>
      <c r="CI31">
        <v>0</v>
      </c>
      <c r="CJ31">
        <v>41938596</v>
      </c>
      <c r="CK31">
        <v>0</v>
      </c>
      <c r="CL31">
        <v>1944325.6</v>
      </c>
      <c r="CM31">
        <v>120978430</v>
      </c>
      <c r="CN31">
        <v>29263996</v>
      </c>
      <c r="CO31">
        <v>12646067</v>
      </c>
      <c r="CP31">
        <v>15277856</v>
      </c>
      <c r="CQ31">
        <v>0</v>
      </c>
      <c r="CR31">
        <v>6958.6</v>
      </c>
      <c r="CS31">
        <v>0</v>
      </c>
      <c r="CT31">
        <v>333.4</v>
      </c>
      <c r="CU31">
        <v>0</v>
      </c>
      <c r="CV31">
        <v>0</v>
      </c>
      <c r="CW31">
        <v>935.5</v>
      </c>
      <c r="CX31">
        <v>19599.400000000001</v>
      </c>
      <c r="CY31">
        <v>19792.3</v>
      </c>
      <c r="CZ31">
        <v>0</v>
      </c>
      <c r="DA31">
        <v>8217.1</v>
      </c>
      <c r="DB31">
        <v>6287.4</v>
      </c>
      <c r="DC31">
        <v>10838.8</v>
      </c>
      <c r="DD31">
        <v>0</v>
      </c>
      <c r="DE31">
        <v>131.9</v>
      </c>
      <c r="DF31">
        <v>13169.7</v>
      </c>
      <c r="DG31">
        <v>46397.5</v>
      </c>
      <c r="DH31">
        <v>0</v>
      </c>
      <c r="DI31">
        <v>15263.7</v>
      </c>
      <c r="DJ31">
        <v>0</v>
      </c>
      <c r="DK31">
        <v>47713.599999999999</v>
      </c>
      <c r="DL31">
        <v>131696.4</v>
      </c>
      <c r="DM31">
        <v>0</v>
      </c>
      <c r="DN31">
        <v>0</v>
      </c>
      <c r="DO31">
        <v>0.57999999999999996</v>
      </c>
      <c r="DP31">
        <v>0</v>
      </c>
      <c r="DQ31">
        <v>0.91</v>
      </c>
      <c r="DR31">
        <v>0</v>
      </c>
    </row>
    <row r="32" spans="1:122" x14ac:dyDescent="0.3">
      <c r="A32" t="s">
        <v>158</v>
      </c>
      <c r="B32">
        <v>2044</v>
      </c>
      <c r="C32">
        <v>382491406.5</v>
      </c>
      <c r="D32">
        <v>346289901.5</v>
      </c>
      <c r="E32">
        <v>333843450.19999999</v>
      </c>
      <c r="F32">
        <v>0</v>
      </c>
      <c r="G32">
        <v>33802412</v>
      </c>
      <c r="H32">
        <v>132637868.09999999</v>
      </c>
      <c r="I32">
        <v>20971430</v>
      </c>
      <c r="J32">
        <v>12830980</v>
      </c>
      <c r="K32">
        <v>2399094.7999999998</v>
      </c>
      <c r="L32">
        <v>3.5900000000000001E-2</v>
      </c>
      <c r="M32">
        <v>5.3900000000000003E-2</v>
      </c>
      <c r="N32">
        <v>0.14610000000000001</v>
      </c>
      <c r="O32">
        <v>76940.39</v>
      </c>
      <c r="P32">
        <v>79948.899999999994</v>
      </c>
      <c r="Q32">
        <v>43.1</v>
      </c>
      <c r="R32">
        <v>0.8</v>
      </c>
      <c r="S32">
        <v>0.08</v>
      </c>
      <c r="T32">
        <v>5.2</v>
      </c>
      <c r="U32">
        <v>225.7</v>
      </c>
      <c r="V32">
        <v>0.02</v>
      </c>
      <c r="W32">
        <v>43.2</v>
      </c>
      <c r="X32">
        <v>11.6</v>
      </c>
      <c r="Y32">
        <v>54.7</v>
      </c>
      <c r="Z32">
        <v>72.099999999999994</v>
      </c>
      <c r="AA32">
        <v>2.2999999999999998</v>
      </c>
      <c r="AB32">
        <v>0.28000000000000003</v>
      </c>
      <c r="AC32">
        <v>7.9</v>
      </c>
      <c r="AD32">
        <v>347.1</v>
      </c>
      <c r="AE32">
        <v>0.03</v>
      </c>
      <c r="AF32">
        <v>72.3</v>
      </c>
      <c r="AG32">
        <v>17.600000000000001</v>
      </c>
      <c r="AH32">
        <v>89.9</v>
      </c>
      <c r="AI32">
        <v>47.4</v>
      </c>
      <c r="AJ32">
        <v>0.9</v>
      </c>
      <c r="AK32">
        <v>0.1</v>
      </c>
      <c r="AL32">
        <v>5.6</v>
      </c>
      <c r="AM32">
        <v>246.4</v>
      </c>
      <c r="AN32">
        <v>0.02</v>
      </c>
      <c r="AO32">
        <v>47.5</v>
      </c>
      <c r="AP32">
        <v>12.5</v>
      </c>
      <c r="AQ32">
        <v>59.9</v>
      </c>
      <c r="AR32">
        <v>544.9</v>
      </c>
      <c r="AS32">
        <v>30.1</v>
      </c>
      <c r="AT32">
        <v>4.0999999999999996</v>
      </c>
      <c r="AU32">
        <v>47.3</v>
      </c>
      <c r="AV32">
        <v>2210.6</v>
      </c>
      <c r="AW32">
        <v>0.26</v>
      </c>
      <c r="AX32">
        <v>546.9</v>
      </c>
      <c r="AY32">
        <v>109.2</v>
      </c>
      <c r="AZ32">
        <v>656.1</v>
      </c>
      <c r="BA32">
        <v>15721868.4</v>
      </c>
      <c r="BB32">
        <v>296.3</v>
      </c>
      <c r="BC32">
        <v>29.6</v>
      </c>
      <c r="BD32">
        <v>1908389.2</v>
      </c>
      <c r="BE32">
        <v>82270.100000000006</v>
      </c>
      <c r="BF32">
        <v>7.1</v>
      </c>
      <c r="BG32">
        <v>15738018.800000001</v>
      </c>
      <c r="BH32">
        <v>4213827.8</v>
      </c>
      <c r="BI32">
        <v>19951846.600000001</v>
      </c>
      <c r="BJ32">
        <v>0</v>
      </c>
      <c r="BK32">
        <v>0</v>
      </c>
      <c r="BL32">
        <v>15721868.4</v>
      </c>
      <c r="BM32">
        <v>17630257.600000001</v>
      </c>
      <c r="BN32">
        <v>19951846.600000001</v>
      </c>
      <c r="BO32">
        <v>30.85</v>
      </c>
      <c r="BP32">
        <v>13.98</v>
      </c>
      <c r="BQ32">
        <v>0</v>
      </c>
      <c r="BR32">
        <v>44.83</v>
      </c>
      <c r="BS32">
        <v>33.36</v>
      </c>
      <c r="BT32">
        <v>16.54</v>
      </c>
      <c r="BU32">
        <v>0</v>
      </c>
      <c r="BV32">
        <v>49.9</v>
      </c>
      <c r="BW32">
        <v>365881250</v>
      </c>
      <c r="BX32">
        <v>213652030</v>
      </c>
      <c r="BY32">
        <v>0</v>
      </c>
      <c r="BZ32">
        <v>0</v>
      </c>
      <c r="CA32">
        <v>0</v>
      </c>
      <c r="CB32">
        <v>171.6</v>
      </c>
      <c r="CC32">
        <v>40972572</v>
      </c>
      <c r="CD32">
        <v>0</v>
      </c>
      <c r="CE32">
        <v>33934.1</v>
      </c>
      <c r="CF32">
        <v>33345804</v>
      </c>
      <c r="CG32">
        <v>48017564</v>
      </c>
      <c r="CH32">
        <v>1598441.9</v>
      </c>
      <c r="CI32">
        <v>0</v>
      </c>
      <c r="CJ32">
        <v>62914764</v>
      </c>
      <c r="CK32">
        <v>0</v>
      </c>
      <c r="CL32">
        <v>0</v>
      </c>
      <c r="CM32">
        <v>119570620</v>
      </c>
      <c r="CN32">
        <v>31166650</v>
      </c>
      <c r="CO32">
        <v>10411195</v>
      </c>
      <c r="CP32">
        <v>17849520</v>
      </c>
      <c r="CQ32">
        <v>0</v>
      </c>
      <c r="CR32">
        <v>8381.7999999999993</v>
      </c>
      <c r="CS32">
        <v>0</v>
      </c>
      <c r="CT32">
        <v>285</v>
      </c>
      <c r="CU32">
        <v>0</v>
      </c>
      <c r="CV32">
        <v>0</v>
      </c>
      <c r="CW32">
        <v>0</v>
      </c>
      <c r="CX32">
        <v>20957</v>
      </c>
      <c r="CY32">
        <v>19792.3</v>
      </c>
      <c r="CZ32">
        <v>0</v>
      </c>
      <c r="DA32">
        <v>8217.1</v>
      </c>
      <c r="DB32">
        <v>6453.5</v>
      </c>
      <c r="DC32">
        <v>10838.8</v>
      </c>
      <c r="DD32">
        <v>0</v>
      </c>
      <c r="DE32">
        <v>131.9</v>
      </c>
      <c r="DF32">
        <v>13392.8</v>
      </c>
      <c r="DG32">
        <v>45253.2</v>
      </c>
      <c r="DH32">
        <v>0</v>
      </c>
      <c r="DI32">
        <v>21229.1</v>
      </c>
      <c r="DJ32">
        <v>0</v>
      </c>
      <c r="DK32">
        <v>56205.4</v>
      </c>
      <c r="DL32">
        <v>133927.79999999999</v>
      </c>
      <c r="DM32">
        <v>0</v>
      </c>
      <c r="DN32">
        <v>0</v>
      </c>
      <c r="DO32">
        <v>0.57999999999999996</v>
      </c>
      <c r="DP32">
        <v>0</v>
      </c>
      <c r="DQ32">
        <v>0.97</v>
      </c>
      <c r="DR32">
        <v>0</v>
      </c>
    </row>
    <row r="33" spans="1:122" x14ac:dyDescent="0.3">
      <c r="A33" t="s">
        <v>158</v>
      </c>
      <c r="B33">
        <v>2046</v>
      </c>
      <c r="C33">
        <v>393411638.30000001</v>
      </c>
      <c r="D33">
        <v>356525070.60000002</v>
      </c>
      <c r="E33">
        <v>343710743.89999998</v>
      </c>
      <c r="F33">
        <v>0</v>
      </c>
      <c r="G33">
        <v>34497204</v>
      </c>
      <c r="H33">
        <v>129922443</v>
      </c>
      <c r="I33">
        <v>24505008</v>
      </c>
      <c r="J33">
        <v>9992198</v>
      </c>
      <c r="K33">
        <v>2389362.1</v>
      </c>
      <c r="L33">
        <v>3.5900000000000001E-2</v>
      </c>
      <c r="M33">
        <v>5.3900000000000003E-2</v>
      </c>
      <c r="N33">
        <v>0.14610000000000001</v>
      </c>
      <c r="O33">
        <v>81272.19</v>
      </c>
      <c r="P33">
        <v>82308.3</v>
      </c>
      <c r="Q33">
        <v>40.799999999999997</v>
      </c>
      <c r="R33">
        <v>0.8</v>
      </c>
      <c r="S33">
        <v>0.08</v>
      </c>
      <c r="T33">
        <v>5</v>
      </c>
      <c r="U33">
        <v>213.3</v>
      </c>
      <c r="V33">
        <v>0.02</v>
      </c>
      <c r="W33">
        <v>40.799999999999997</v>
      </c>
      <c r="X33">
        <v>10.9</v>
      </c>
      <c r="Y33">
        <v>51.7</v>
      </c>
      <c r="Z33">
        <v>66.5</v>
      </c>
      <c r="AA33">
        <v>2</v>
      </c>
      <c r="AB33">
        <v>0.25</v>
      </c>
      <c r="AC33">
        <v>7.3</v>
      </c>
      <c r="AD33">
        <v>322.89999999999998</v>
      </c>
      <c r="AE33">
        <v>0.03</v>
      </c>
      <c r="AF33">
        <v>66.599999999999994</v>
      </c>
      <c r="AG33">
        <v>16.399999999999999</v>
      </c>
      <c r="AH33">
        <v>83</v>
      </c>
      <c r="AI33">
        <v>35.1</v>
      </c>
      <c r="AJ33">
        <v>0.7</v>
      </c>
      <c r="AK33">
        <v>7.0000000000000007E-2</v>
      </c>
      <c r="AL33">
        <v>4.0999999999999996</v>
      </c>
      <c r="AM33">
        <v>182.6</v>
      </c>
      <c r="AN33">
        <v>0.02</v>
      </c>
      <c r="AO33">
        <v>35.200000000000003</v>
      </c>
      <c r="AP33">
        <v>9.1999999999999993</v>
      </c>
      <c r="AQ33">
        <v>44.4</v>
      </c>
      <c r="AR33">
        <v>518.70000000000005</v>
      </c>
      <c r="AS33">
        <v>26.7</v>
      </c>
      <c r="AT33">
        <v>3.59</v>
      </c>
      <c r="AU33">
        <v>46.7</v>
      </c>
      <c r="AV33">
        <v>2172.8000000000002</v>
      </c>
      <c r="AW33">
        <v>0.24</v>
      </c>
      <c r="AX33">
        <v>520.4</v>
      </c>
      <c r="AY33">
        <v>107.6</v>
      </c>
      <c r="AZ33">
        <v>628</v>
      </c>
      <c r="BA33">
        <v>15442589.6</v>
      </c>
      <c r="BB33">
        <v>291</v>
      </c>
      <c r="BC33">
        <v>29.1</v>
      </c>
      <c r="BD33">
        <v>1875045.9</v>
      </c>
      <c r="BE33">
        <v>80809.3</v>
      </c>
      <c r="BF33">
        <v>7</v>
      </c>
      <c r="BG33">
        <v>15458453.199999999</v>
      </c>
      <c r="BH33">
        <v>4139548.6</v>
      </c>
      <c r="BI33">
        <v>19598001.800000001</v>
      </c>
      <c r="BJ33">
        <v>0</v>
      </c>
      <c r="BK33">
        <v>0</v>
      </c>
      <c r="BL33">
        <v>15442589.6</v>
      </c>
      <c r="BM33">
        <v>17317635.5</v>
      </c>
      <c r="BN33">
        <v>19598001.800000001</v>
      </c>
      <c r="BO33">
        <v>31.12</v>
      </c>
      <c r="BP33">
        <v>14.74</v>
      </c>
      <c r="BQ33">
        <v>0</v>
      </c>
      <c r="BR33">
        <v>45.86</v>
      </c>
      <c r="BS33">
        <v>33.6</v>
      </c>
      <c r="BT33">
        <v>17.43</v>
      </c>
      <c r="BU33">
        <v>0</v>
      </c>
      <c r="BV33">
        <v>51.02</v>
      </c>
      <c r="BW33">
        <v>380223740</v>
      </c>
      <c r="BX33">
        <v>226602620</v>
      </c>
      <c r="BY33">
        <v>0</v>
      </c>
      <c r="BZ33">
        <v>0</v>
      </c>
      <c r="CA33">
        <v>0</v>
      </c>
      <c r="CB33">
        <v>193.5</v>
      </c>
      <c r="CC33">
        <v>40565440</v>
      </c>
      <c r="CD33">
        <v>0</v>
      </c>
      <c r="CE33">
        <v>24378.9</v>
      </c>
      <c r="CF33">
        <v>33319932</v>
      </c>
      <c r="CG33">
        <v>49277660</v>
      </c>
      <c r="CH33">
        <v>1592127.2</v>
      </c>
      <c r="CI33">
        <v>0</v>
      </c>
      <c r="CJ33">
        <v>75903464</v>
      </c>
      <c r="CK33">
        <v>0</v>
      </c>
      <c r="CL33">
        <v>0</v>
      </c>
      <c r="CM33">
        <v>119554264</v>
      </c>
      <c r="CN33">
        <v>31144902</v>
      </c>
      <c r="CO33">
        <v>8035449.5</v>
      </c>
      <c r="CP33">
        <v>20805954</v>
      </c>
      <c r="CQ33">
        <v>0</v>
      </c>
      <c r="CR33">
        <v>10261.200000000001</v>
      </c>
      <c r="CS33">
        <v>0</v>
      </c>
      <c r="CT33">
        <v>285</v>
      </c>
      <c r="CU33">
        <v>0</v>
      </c>
      <c r="CV33">
        <v>0</v>
      </c>
      <c r="CW33">
        <v>0</v>
      </c>
      <c r="CX33">
        <v>21195.9</v>
      </c>
      <c r="CY33">
        <v>19792.3</v>
      </c>
      <c r="CZ33">
        <v>0</v>
      </c>
      <c r="DA33">
        <v>8000.7</v>
      </c>
      <c r="DB33">
        <v>6619.7</v>
      </c>
      <c r="DC33">
        <v>10838.8</v>
      </c>
      <c r="DD33">
        <v>0</v>
      </c>
      <c r="DE33">
        <v>131.9</v>
      </c>
      <c r="DF33">
        <v>13406.5</v>
      </c>
      <c r="DG33">
        <v>44400.7</v>
      </c>
      <c r="DH33">
        <v>0</v>
      </c>
      <c r="DI33">
        <v>25609.3</v>
      </c>
      <c r="DJ33">
        <v>0</v>
      </c>
      <c r="DK33">
        <v>67525.3</v>
      </c>
      <c r="DL33">
        <v>134065.29999999999</v>
      </c>
      <c r="DM33">
        <v>0</v>
      </c>
      <c r="DN33">
        <v>0</v>
      </c>
      <c r="DO33">
        <v>0.57999999999999996</v>
      </c>
      <c r="DP33">
        <v>0</v>
      </c>
      <c r="DQ33">
        <v>1</v>
      </c>
      <c r="DR33">
        <v>0</v>
      </c>
    </row>
    <row r="34" spans="1:122" x14ac:dyDescent="0.3">
      <c r="A34" t="s">
        <v>158</v>
      </c>
      <c r="B34">
        <v>2048</v>
      </c>
      <c r="C34">
        <v>409486037.89999998</v>
      </c>
      <c r="D34">
        <v>367816250</v>
      </c>
      <c r="E34">
        <v>354596092.5</v>
      </c>
      <c r="F34">
        <v>0</v>
      </c>
      <c r="G34">
        <v>39056130</v>
      </c>
      <c r="H34">
        <v>132327483.5</v>
      </c>
      <c r="I34">
        <v>27387142</v>
      </c>
      <c r="J34">
        <v>11668985</v>
      </c>
      <c r="K34">
        <v>2613661.6</v>
      </c>
      <c r="L34">
        <v>3.5900000000000001E-2</v>
      </c>
      <c r="M34">
        <v>5.3900000000000003E-2</v>
      </c>
      <c r="N34">
        <v>0.14610000000000001</v>
      </c>
      <c r="O34">
        <v>82502.22</v>
      </c>
      <c r="P34">
        <v>84914.9</v>
      </c>
      <c r="Q34">
        <v>35.6</v>
      </c>
      <c r="R34">
        <v>0.7</v>
      </c>
      <c r="S34">
        <v>7.0000000000000007E-2</v>
      </c>
      <c r="T34">
        <v>4.3</v>
      </c>
      <c r="U34">
        <v>186.3</v>
      </c>
      <c r="V34">
        <v>0.02</v>
      </c>
      <c r="W34">
        <v>35.6</v>
      </c>
      <c r="X34">
        <v>9.6</v>
      </c>
      <c r="Y34">
        <v>45.2</v>
      </c>
      <c r="Z34">
        <v>61.7</v>
      </c>
      <c r="AA34">
        <v>1.9</v>
      </c>
      <c r="AB34">
        <v>0.24</v>
      </c>
      <c r="AC34">
        <v>6.8</v>
      </c>
      <c r="AD34">
        <v>298.10000000000002</v>
      </c>
      <c r="AE34">
        <v>0.03</v>
      </c>
      <c r="AF34">
        <v>61.8</v>
      </c>
      <c r="AG34">
        <v>15.1</v>
      </c>
      <c r="AH34">
        <v>76.900000000000006</v>
      </c>
      <c r="AI34">
        <v>35.4</v>
      </c>
      <c r="AJ34">
        <v>0.7</v>
      </c>
      <c r="AK34">
        <v>7.0000000000000007E-2</v>
      </c>
      <c r="AL34">
        <v>4.0999999999999996</v>
      </c>
      <c r="AM34">
        <v>183.6</v>
      </c>
      <c r="AN34">
        <v>0.02</v>
      </c>
      <c r="AO34">
        <v>35.4</v>
      </c>
      <c r="AP34">
        <v>9.3000000000000007</v>
      </c>
      <c r="AQ34">
        <v>44.7</v>
      </c>
      <c r="AR34">
        <v>507</v>
      </c>
      <c r="AS34">
        <v>25.7</v>
      </c>
      <c r="AT34">
        <v>3.45</v>
      </c>
      <c r="AU34">
        <v>46.6</v>
      </c>
      <c r="AV34">
        <v>2138.6999999999998</v>
      </c>
      <c r="AW34">
        <v>0.24</v>
      </c>
      <c r="AX34">
        <v>508.7</v>
      </c>
      <c r="AY34">
        <v>106.5</v>
      </c>
      <c r="AZ34">
        <v>615.20000000000005</v>
      </c>
      <c r="BA34">
        <v>13838119.4</v>
      </c>
      <c r="BB34">
        <v>260.8</v>
      </c>
      <c r="BC34">
        <v>26.1</v>
      </c>
      <c r="BD34">
        <v>1684840.4</v>
      </c>
      <c r="BE34">
        <v>72418.8</v>
      </c>
      <c r="BF34">
        <v>6.3</v>
      </c>
      <c r="BG34">
        <v>13852334.800000001</v>
      </c>
      <c r="BH34">
        <v>3714224.5</v>
      </c>
      <c r="BI34">
        <v>17566559.300000001</v>
      </c>
      <c r="BJ34">
        <v>0</v>
      </c>
      <c r="BK34">
        <v>0</v>
      </c>
      <c r="BL34">
        <v>13838119.4</v>
      </c>
      <c r="BM34">
        <v>15522959.9</v>
      </c>
      <c r="BN34">
        <v>17566559.300000001</v>
      </c>
      <c r="BO34">
        <v>31.2</v>
      </c>
      <c r="BP34">
        <v>14.84</v>
      </c>
      <c r="BQ34">
        <v>0</v>
      </c>
      <c r="BR34">
        <v>46.04</v>
      </c>
      <c r="BS34">
        <v>33.799999999999997</v>
      </c>
      <c r="BT34">
        <v>17.71</v>
      </c>
      <c r="BU34">
        <v>0</v>
      </c>
      <c r="BV34">
        <v>51.5</v>
      </c>
      <c r="BW34">
        <v>390247140</v>
      </c>
      <c r="BX34">
        <v>235488770</v>
      </c>
      <c r="BY34">
        <v>0</v>
      </c>
      <c r="BZ34">
        <v>0</v>
      </c>
      <c r="CA34">
        <v>0</v>
      </c>
      <c r="CB34">
        <v>162.80000000000001</v>
      </c>
      <c r="CC34">
        <v>36209740</v>
      </c>
      <c r="CD34">
        <v>0</v>
      </c>
      <c r="CE34">
        <v>30543</v>
      </c>
      <c r="CF34">
        <v>33464058</v>
      </c>
      <c r="CG34">
        <v>50684736</v>
      </c>
      <c r="CH34">
        <v>1564048</v>
      </c>
      <c r="CI34">
        <v>0</v>
      </c>
      <c r="CJ34">
        <v>78769200</v>
      </c>
      <c r="CK34">
        <v>0</v>
      </c>
      <c r="CL34">
        <v>0</v>
      </c>
      <c r="CM34">
        <v>124472856</v>
      </c>
      <c r="CN34">
        <v>32246708</v>
      </c>
      <c r="CO34">
        <v>9523821</v>
      </c>
      <c r="CP34">
        <v>23281262</v>
      </c>
      <c r="CQ34">
        <v>0</v>
      </c>
      <c r="CR34">
        <v>11198</v>
      </c>
      <c r="CS34">
        <v>0</v>
      </c>
      <c r="CT34">
        <v>280.3</v>
      </c>
      <c r="CU34">
        <v>0</v>
      </c>
      <c r="CV34">
        <v>0</v>
      </c>
      <c r="CW34">
        <v>0</v>
      </c>
      <c r="CX34">
        <v>22096.6</v>
      </c>
      <c r="CY34">
        <v>18979.7</v>
      </c>
      <c r="CZ34">
        <v>0</v>
      </c>
      <c r="DA34">
        <v>8000.7</v>
      </c>
      <c r="DB34">
        <v>6815.7</v>
      </c>
      <c r="DC34">
        <v>10913.4</v>
      </c>
      <c r="DD34">
        <v>0</v>
      </c>
      <c r="DE34">
        <v>131.9</v>
      </c>
      <c r="DF34">
        <v>13580.4</v>
      </c>
      <c r="DG34">
        <v>45695.6</v>
      </c>
      <c r="DH34">
        <v>0</v>
      </c>
      <c r="DI34">
        <v>26569.599999999999</v>
      </c>
      <c r="DJ34">
        <v>0</v>
      </c>
      <c r="DK34">
        <v>74684.7</v>
      </c>
      <c r="DL34">
        <v>135804.5</v>
      </c>
      <c r="DM34">
        <v>0</v>
      </c>
      <c r="DN34">
        <v>0</v>
      </c>
      <c r="DO34">
        <v>0.57999999999999996</v>
      </c>
      <c r="DP34">
        <v>0</v>
      </c>
      <c r="DQ34">
        <v>1</v>
      </c>
      <c r="DR34">
        <v>0</v>
      </c>
    </row>
    <row r="35" spans="1:122" x14ac:dyDescent="0.3">
      <c r="A35" t="s">
        <v>158</v>
      </c>
      <c r="B35">
        <v>2050</v>
      </c>
      <c r="C35">
        <v>421311251</v>
      </c>
      <c r="D35">
        <v>380136361.80000001</v>
      </c>
      <c r="E35">
        <v>366473391.39999998</v>
      </c>
      <c r="F35">
        <v>0</v>
      </c>
      <c r="G35">
        <v>38491376</v>
      </c>
      <c r="H35">
        <v>138163135.69999999</v>
      </c>
      <c r="I35">
        <v>28304266</v>
      </c>
      <c r="J35">
        <v>10187108</v>
      </c>
      <c r="K35">
        <v>2683515</v>
      </c>
      <c r="L35">
        <v>3.5900000000000001E-2</v>
      </c>
      <c r="M35">
        <v>5.3900000000000003E-2</v>
      </c>
      <c r="N35">
        <v>0.14610000000000001</v>
      </c>
      <c r="O35">
        <v>86216.9</v>
      </c>
      <c r="P35">
        <v>87760.6</v>
      </c>
      <c r="Q35">
        <v>33.700000000000003</v>
      </c>
      <c r="R35">
        <v>0.6</v>
      </c>
      <c r="S35">
        <v>0.06</v>
      </c>
      <c r="T35">
        <v>4.0999999999999996</v>
      </c>
      <c r="U35">
        <v>176.4</v>
      </c>
      <c r="V35">
        <v>0.02</v>
      </c>
      <c r="W35">
        <v>33.700000000000003</v>
      </c>
      <c r="X35">
        <v>9</v>
      </c>
      <c r="Y35">
        <v>42.8</v>
      </c>
      <c r="Z35">
        <v>58.3</v>
      </c>
      <c r="AA35">
        <v>1.7</v>
      </c>
      <c r="AB35">
        <v>0.21</v>
      </c>
      <c r="AC35">
        <v>6.5</v>
      </c>
      <c r="AD35">
        <v>285.8</v>
      </c>
      <c r="AE35">
        <v>0.03</v>
      </c>
      <c r="AF35">
        <v>58.4</v>
      </c>
      <c r="AG35">
        <v>14.5</v>
      </c>
      <c r="AH35">
        <v>73</v>
      </c>
      <c r="AI35">
        <v>28.6</v>
      </c>
      <c r="AJ35">
        <v>0.6</v>
      </c>
      <c r="AK35">
        <v>0.06</v>
      </c>
      <c r="AL35">
        <v>3.3</v>
      </c>
      <c r="AM35">
        <v>148.1</v>
      </c>
      <c r="AN35">
        <v>0.01</v>
      </c>
      <c r="AO35">
        <v>28.6</v>
      </c>
      <c r="AP35">
        <v>7.5</v>
      </c>
      <c r="AQ35">
        <v>36.1</v>
      </c>
      <c r="AR35">
        <v>510.2</v>
      </c>
      <c r="AS35">
        <v>27</v>
      </c>
      <c r="AT35">
        <v>3.65</v>
      </c>
      <c r="AU35">
        <v>45.9</v>
      </c>
      <c r="AV35">
        <v>2116.9</v>
      </c>
      <c r="AW35">
        <v>0.24</v>
      </c>
      <c r="AX35">
        <v>511.9</v>
      </c>
      <c r="AY35">
        <v>105.3</v>
      </c>
      <c r="AZ35">
        <v>617.1</v>
      </c>
      <c r="BA35">
        <v>13307454.800000001</v>
      </c>
      <c r="BB35">
        <v>250.8</v>
      </c>
      <c r="BC35">
        <v>25.1</v>
      </c>
      <c r="BD35">
        <v>1620631</v>
      </c>
      <c r="BE35">
        <v>69642.3</v>
      </c>
      <c r="BF35">
        <v>6</v>
      </c>
      <c r="BG35">
        <v>13321124.9</v>
      </c>
      <c r="BH35">
        <v>3572209.8</v>
      </c>
      <c r="BI35">
        <v>16893334.699999999</v>
      </c>
      <c r="BJ35">
        <v>0</v>
      </c>
      <c r="BK35">
        <v>0</v>
      </c>
      <c r="BL35">
        <v>13307454.800000001</v>
      </c>
      <c r="BM35">
        <v>14928085.800000001</v>
      </c>
      <c r="BN35">
        <v>16893334.699999999</v>
      </c>
      <c r="BO35">
        <v>31.34</v>
      </c>
      <c r="BP35">
        <v>15.55</v>
      </c>
      <c r="BQ35">
        <v>0</v>
      </c>
      <c r="BR35">
        <v>46.9</v>
      </c>
      <c r="BS35">
        <v>33.89</v>
      </c>
      <c r="BT35">
        <v>18.46</v>
      </c>
      <c r="BU35">
        <v>0</v>
      </c>
      <c r="BV35">
        <v>52.35</v>
      </c>
      <c r="BW35">
        <v>396435550</v>
      </c>
      <c r="BX35">
        <v>241973220</v>
      </c>
      <c r="BY35">
        <v>0</v>
      </c>
      <c r="BZ35">
        <v>0</v>
      </c>
      <c r="CA35">
        <v>0</v>
      </c>
      <c r="CB35">
        <v>111.4</v>
      </c>
      <c r="CC35">
        <v>34887052</v>
      </c>
      <c r="CD35">
        <v>0</v>
      </c>
      <c r="CE35">
        <v>15840.9</v>
      </c>
      <c r="CF35">
        <v>33409926</v>
      </c>
      <c r="CG35">
        <v>52418372</v>
      </c>
      <c r="CH35">
        <v>1514882.2</v>
      </c>
      <c r="CI35">
        <v>0</v>
      </c>
      <c r="CJ35">
        <v>86716130</v>
      </c>
      <c r="CK35">
        <v>0</v>
      </c>
      <c r="CL35">
        <v>0</v>
      </c>
      <c r="CM35">
        <v>121657190</v>
      </c>
      <c r="CN35">
        <v>33599904</v>
      </c>
      <c r="CO35">
        <v>8181520</v>
      </c>
      <c r="CP35">
        <v>24034610</v>
      </c>
      <c r="CQ35">
        <v>0</v>
      </c>
      <c r="CR35">
        <v>11828.3</v>
      </c>
      <c r="CS35">
        <v>0</v>
      </c>
      <c r="CT35">
        <v>271.2</v>
      </c>
      <c r="CU35">
        <v>0</v>
      </c>
      <c r="CV35">
        <v>0</v>
      </c>
      <c r="CW35">
        <v>0</v>
      </c>
      <c r="CX35">
        <v>23158.5</v>
      </c>
      <c r="CY35">
        <v>18979.7</v>
      </c>
      <c r="CZ35">
        <v>0</v>
      </c>
      <c r="DA35">
        <v>8000.7</v>
      </c>
      <c r="DB35">
        <v>7045.5</v>
      </c>
      <c r="DC35">
        <v>10913.4</v>
      </c>
      <c r="DD35">
        <v>0</v>
      </c>
      <c r="DE35">
        <v>131.9</v>
      </c>
      <c r="DF35">
        <v>13580.4</v>
      </c>
      <c r="DG35">
        <v>44167</v>
      </c>
      <c r="DH35">
        <v>0</v>
      </c>
      <c r="DI35">
        <v>29666.400000000001</v>
      </c>
      <c r="DJ35">
        <v>0</v>
      </c>
      <c r="DK35">
        <v>79219.199999999997</v>
      </c>
      <c r="DL35">
        <v>135804.5</v>
      </c>
      <c r="DM35">
        <v>0</v>
      </c>
      <c r="DN35">
        <v>0</v>
      </c>
      <c r="DO35">
        <v>0.57999999999999996</v>
      </c>
      <c r="DP35">
        <v>0</v>
      </c>
      <c r="DQ35">
        <v>1</v>
      </c>
      <c r="DR35">
        <v>0</v>
      </c>
    </row>
    <row r="36" spans="1:122" x14ac:dyDescent="0.3">
      <c r="A36" t="s">
        <v>159</v>
      </c>
      <c r="B36">
        <v>2022</v>
      </c>
      <c r="C36">
        <v>374743556.69999999</v>
      </c>
      <c r="D36">
        <v>369272183.30000001</v>
      </c>
      <c r="E36">
        <v>355997715.30000001</v>
      </c>
      <c r="F36">
        <v>0</v>
      </c>
      <c r="G36">
        <v>1467442.1</v>
      </c>
      <c r="H36">
        <v>245615791.09999999</v>
      </c>
      <c r="I36">
        <v>1467442.1</v>
      </c>
      <c r="J36">
        <v>0</v>
      </c>
      <c r="K36">
        <v>4003931.3</v>
      </c>
      <c r="L36">
        <v>3.5900000000000001E-2</v>
      </c>
      <c r="M36">
        <v>5.3900000000000003E-2</v>
      </c>
      <c r="N36">
        <v>0.13750000000000001</v>
      </c>
      <c r="O36">
        <v>31848.67</v>
      </c>
      <c r="P36">
        <v>86009.4</v>
      </c>
      <c r="Q36">
        <v>365.4</v>
      </c>
      <c r="R36">
        <v>27.8</v>
      </c>
      <c r="S36">
        <v>3.94</v>
      </c>
      <c r="T36">
        <v>25.3</v>
      </c>
      <c r="U36">
        <v>1237.5</v>
      </c>
      <c r="V36">
        <v>0.2</v>
      </c>
      <c r="W36">
        <v>367.3</v>
      </c>
      <c r="X36">
        <v>60</v>
      </c>
      <c r="Y36">
        <v>427.3</v>
      </c>
      <c r="Z36">
        <v>384.3</v>
      </c>
      <c r="AA36">
        <v>29.3</v>
      </c>
      <c r="AB36">
        <v>4.1500000000000004</v>
      </c>
      <c r="AC36">
        <v>26.5</v>
      </c>
      <c r="AD36">
        <v>1299.4000000000001</v>
      </c>
      <c r="AE36">
        <v>0.21</v>
      </c>
      <c r="AF36">
        <v>386.2</v>
      </c>
      <c r="AG36">
        <v>63</v>
      </c>
      <c r="AH36">
        <v>449.2</v>
      </c>
      <c r="AI36">
        <v>470.1</v>
      </c>
      <c r="AJ36">
        <v>18.8</v>
      </c>
      <c r="AK36">
        <v>2.48</v>
      </c>
      <c r="AL36">
        <v>47.2</v>
      </c>
      <c r="AM36">
        <v>2089.3000000000002</v>
      </c>
      <c r="AN36">
        <v>0.25</v>
      </c>
      <c r="AO36">
        <v>471.3</v>
      </c>
      <c r="AP36">
        <v>105.8</v>
      </c>
      <c r="AQ36">
        <v>577.1</v>
      </c>
      <c r="AR36">
        <v>690</v>
      </c>
      <c r="AS36">
        <v>49.3</v>
      </c>
      <c r="AT36">
        <v>7.05</v>
      </c>
      <c r="AU36">
        <v>50.3</v>
      </c>
      <c r="AV36">
        <v>2328</v>
      </c>
      <c r="AW36">
        <v>0.42</v>
      </c>
      <c r="AX36">
        <v>693.3</v>
      </c>
      <c r="AY36">
        <v>115.6</v>
      </c>
      <c r="AZ36">
        <v>808.9</v>
      </c>
      <c r="BA36">
        <v>137356065.59999999</v>
      </c>
      <c r="BB36">
        <v>10457.700000000001</v>
      </c>
      <c r="BC36">
        <v>1478.9</v>
      </c>
      <c r="BD36">
        <v>9510327.1999999993</v>
      </c>
      <c r="BE36">
        <v>465233.9</v>
      </c>
      <c r="BF36">
        <v>76.2</v>
      </c>
      <c r="BG36">
        <v>138040783.90000001</v>
      </c>
      <c r="BH36">
        <v>22557059.100000001</v>
      </c>
      <c r="BI36">
        <v>160597843</v>
      </c>
      <c r="BJ36">
        <v>0</v>
      </c>
      <c r="BK36">
        <v>0</v>
      </c>
      <c r="BL36">
        <v>137356065.59999999</v>
      </c>
      <c r="BM36">
        <v>146866392.80000001</v>
      </c>
      <c r="BN36">
        <v>160597843</v>
      </c>
      <c r="BO36">
        <v>33.93</v>
      </c>
      <c r="BP36">
        <v>7</v>
      </c>
      <c r="BQ36">
        <v>0</v>
      </c>
      <c r="BR36">
        <v>40.93</v>
      </c>
      <c r="BS36">
        <v>36.090000000000003</v>
      </c>
      <c r="BT36">
        <v>7.65</v>
      </c>
      <c r="BU36">
        <v>0</v>
      </c>
      <c r="BV36">
        <v>43.74</v>
      </c>
      <c r="BW36">
        <v>378265760</v>
      </c>
      <c r="BX36">
        <v>123656400</v>
      </c>
      <c r="BY36">
        <v>39617348</v>
      </c>
      <c r="BZ36">
        <v>79320080</v>
      </c>
      <c r="CA36">
        <v>0</v>
      </c>
      <c r="CB36">
        <v>1881877.8</v>
      </c>
      <c r="CC36">
        <v>125271940</v>
      </c>
      <c r="CD36">
        <v>0</v>
      </c>
      <c r="CE36">
        <v>6419574.5</v>
      </c>
      <c r="CF36">
        <v>580099.80000000005</v>
      </c>
      <c r="CG36">
        <v>0</v>
      </c>
      <c r="CH36">
        <v>275522.2</v>
      </c>
      <c r="CI36">
        <v>0</v>
      </c>
      <c r="CJ36">
        <v>94555460</v>
      </c>
      <c r="CK36">
        <v>0</v>
      </c>
      <c r="CL36">
        <v>0</v>
      </c>
      <c r="CM36">
        <v>27082330</v>
      </c>
      <c r="CN36">
        <v>2018609</v>
      </c>
      <c r="CO36">
        <v>0</v>
      </c>
      <c r="CP36">
        <v>1242928.1000000001</v>
      </c>
      <c r="CQ36">
        <v>0</v>
      </c>
      <c r="CR36">
        <v>1712</v>
      </c>
      <c r="CS36">
        <v>0</v>
      </c>
      <c r="CT36">
        <v>61</v>
      </c>
      <c r="CU36">
        <v>15006.6</v>
      </c>
      <c r="CV36">
        <v>0</v>
      </c>
      <c r="CW36">
        <v>0</v>
      </c>
      <c r="CX36">
        <v>1368.2</v>
      </c>
      <c r="CY36">
        <v>33484.800000000003</v>
      </c>
      <c r="CZ36">
        <v>0</v>
      </c>
      <c r="DA36">
        <v>10955.8</v>
      </c>
      <c r="DB36">
        <v>0</v>
      </c>
      <c r="DC36">
        <v>541</v>
      </c>
      <c r="DD36">
        <v>4960</v>
      </c>
      <c r="DE36">
        <v>9679.5</v>
      </c>
      <c r="DF36">
        <v>0</v>
      </c>
      <c r="DG36">
        <v>11420.5</v>
      </c>
      <c r="DH36">
        <v>0</v>
      </c>
      <c r="DI36">
        <v>29099.5</v>
      </c>
      <c r="DJ36">
        <v>0</v>
      </c>
      <c r="DK36">
        <v>3424</v>
      </c>
      <c r="DL36">
        <v>0</v>
      </c>
      <c r="DM36">
        <v>0</v>
      </c>
      <c r="DN36">
        <v>0</v>
      </c>
      <c r="DO36">
        <v>0.04</v>
      </c>
      <c r="DP36">
        <v>0</v>
      </c>
      <c r="DQ36">
        <v>0</v>
      </c>
      <c r="DR36">
        <v>0</v>
      </c>
    </row>
    <row r="37" spans="1:122" x14ac:dyDescent="0.3">
      <c r="A37" t="s">
        <v>159</v>
      </c>
      <c r="B37">
        <v>2024</v>
      </c>
      <c r="C37">
        <v>385387534.19999999</v>
      </c>
      <c r="D37">
        <v>380649603.69999999</v>
      </c>
      <c r="E37">
        <v>366966144.19999999</v>
      </c>
      <c r="F37">
        <v>0</v>
      </c>
      <c r="G37">
        <v>1482937.1</v>
      </c>
      <c r="H37">
        <v>254341599.5</v>
      </c>
      <c r="I37">
        <v>1482937.1</v>
      </c>
      <c r="J37">
        <v>0</v>
      </c>
      <c r="K37">
        <v>3254993.4</v>
      </c>
      <c r="L37">
        <v>3.5900000000000001E-2</v>
      </c>
      <c r="M37">
        <v>5.3900000000000003E-2</v>
      </c>
      <c r="N37">
        <v>0.13750000000000001</v>
      </c>
      <c r="O37">
        <v>31848.67</v>
      </c>
      <c r="P37">
        <v>88657.8</v>
      </c>
      <c r="Q37">
        <v>321.2</v>
      </c>
      <c r="R37">
        <v>20.100000000000001</v>
      </c>
      <c r="S37">
        <v>2.79</v>
      </c>
      <c r="T37">
        <v>26.3</v>
      </c>
      <c r="U37">
        <v>1221.9000000000001</v>
      </c>
      <c r="V37">
        <v>0.18</v>
      </c>
      <c r="W37">
        <v>322.5</v>
      </c>
      <c r="X37">
        <v>60.6</v>
      </c>
      <c r="Y37">
        <v>383.1</v>
      </c>
      <c r="Z37">
        <v>337.8</v>
      </c>
      <c r="AA37">
        <v>21.2</v>
      </c>
      <c r="AB37">
        <v>2.94</v>
      </c>
      <c r="AC37">
        <v>27.6</v>
      </c>
      <c r="AD37">
        <v>1282.9000000000001</v>
      </c>
      <c r="AE37">
        <v>0.19</v>
      </c>
      <c r="AF37">
        <v>339.1</v>
      </c>
      <c r="AG37">
        <v>63.6</v>
      </c>
      <c r="AH37">
        <v>402.8</v>
      </c>
      <c r="AI37">
        <v>400.4</v>
      </c>
      <c r="AJ37">
        <v>16.2</v>
      </c>
      <c r="AK37">
        <v>2.15</v>
      </c>
      <c r="AL37">
        <v>40.1</v>
      </c>
      <c r="AM37">
        <v>1771</v>
      </c>
      <c r="AN37">
        <v>0.21</v>
      </c>
      <c r="AO37">
        <v>401.5</v>
      </c>
      <c r="AP37">
        <v>89.7</v>
      </c>
      <c r="AQ37">
        <v>491.2</v>
      </c>
      <c r="AR37">
        <v>661.4</v>
      </c>
      <c r="AS37">
        <v>45.6</v>
      </c>
      <c r="AT37">
        <v>6.5</v>
      </c>
      <c r="AU37">
        <v>49.7</v>
      </c>
      <c r="AV37">
        <v>2283.6</v>
      </c>
      <c r="AW37">
        <v>0.4</v>
      </c>
      <c r="AX37">
        <v>664.4</v>
      </c>
      <c r="AY37">
        <v>113.8</v>
      </c>
      <c r="AZ37">
        <v>778.2</v>
      </c>
      <c r="BA37">
        <v>124332267.5</v>
      </c>
      <c r="BB37">
        <v>7772</v>
      </c>
      <c r="BC37">
        <v>1079.0999999999999</v>
      </c>
      <c r="BD37">
        <v>10200956.4</v>
      </c>
      <c r="BE37">
        <v>473099.1</v>
      </c>
      <c r="BF37">
        <v>69.900000000000006</v>
      </c>
      <c r="BG37">
        <v>124835851.59999999</v>
      </c>
      <c r="BH37">
        <v>23466242.399999999</v>
      </c>
      <c r="BI37">
        <v>148302093.90000001</v>
      </c>
      <c r="BJ37">
        <v>0</v>
      </c>
      <c r="BK37">
        <v>0</v>
      </c>
      <c r="BL37">
        <v>124332267.5</v>
      </c>
      <c r="BM37">
        <v>134533223.90000001</v>
      </c>
      <c r="BN37">
        <v>148302093.90000001</v>
      </c>
      <c r="BO37">
        <v>29.13</v>
      </c>
      <c r="BP37">
        <v>7</v>
      </c>
      <c r="BQ37">
        <v>0</v>
      </c>
      <c r="BR37">
        <v>36.130000000000003</v>
      </c>
      <c r="BS37">
        <v>31</v>
      </c>
      <c r="BT37">
        <v>7.63</v>
      </c>
      <c r="BU37">
        <v>0</v>
      </c>
      <c r="BV37">
        <v>38.630000000000003</v>
      </c>
      <c r="BW37">
        <v>389611550</v>
      </c>
      <c r="BX37">
        <v>126308010</v>
      </c>
      <c r="BY37">
        <v>39617348</v>
      </c>
      <c r="BZ37">
        <v>55262344</v>
      </c>
      <c r="CA37">
        <v>0</v>
      </c>
      <c r="CB37">
        <v>2400974.2000000002</v>
      </c>
      <c r="CC37">
        <v>157119020</v>
      </c>
      <c r="CD37">
        <v>0</v>
      </c>
      <c r="CE37">
        <v>6794073.5</v>
      </c>
      <c r="CF37">
        <v>581079.4</v>
      </c>
      <c r="CG37">
        <v>0</v>
      </c>
      <c r="CH37">
        <v>271025.7</v>
      </c>
      <c r="CI37">
        <v>0</v>
      </c>
      <c r="CJ37">
        <v>94467960</v>
      </c>
      <c r="CK37">
        <v>0</v>
      </c>
      <c r="CL37">
        <v>0</v>
      </c>
      <c r="CM37">
        <v>28721876</v>
      </c>
      <c r="CN37">
        <v>3118170.8</v>
      </c>
      <c r="CO37">
        <v>0</v>
      </c>
      <c r="CP37">
        <v>1257673.8</v>
      </c>
      <c r="CQ37">
        <v>0</v>
      </c>
      <c r="CR37">
        <v>1712</v>
      </c>
      <c r="CS37">
        <v>0</v>
      </c>
      <c r="CT37">
        <v>61</v>
      </c>
      <c r="CU37">
        <v>13000.8</v>
      </c>
      <c r="CV37">
        <v>0</v>
      </c>
      <c r="CW37">
        <v>0</v>
      </c>
      <c r="CX37">
        <v>2118.4</v>
      </c>
      <c r="CY37">
        <v>37436.800000000003</v>
      </c>
      <c r="CZ37">
        <v>0</v>
      </c>
      <c r="DA37">
        <v>10588.1</v>
      </c>
      <c r="DB37">
        <v>0</v>
      </c>
      <c r="DC37">
        <v>541</v>
      </c>
      <c r="DD37">
        <v>4960</v>
      </c>
      <c r="DE37">
        <v>8659.7999999999993</v>
      </c>
      <c r="DF37">
        <v>0</v>
      </c>
      <c r="DG37">
        <v>12180.5</v>
      </c>
      <c r="DH37">
        <v>0</v>
      </c>
      <c r="DI37">
        <v>29099.5</v>
      </c>
      <c r="DJ37">
        <v>0</v>
      </c>
      <c r="DK37">
        <v>3424</v>
      </c>
      <c r="DL37">
        <v>0</v>
      </c>
      <c r="DM37">
        <v>0</v>
      </c>
      <c r="DN37">
        <v>0</v>
      </c>
      <c r="DO37">
        <v>0.04</v>
      </c>
      <c r="DP37">
        <v>0</v>
      </c>
      <c r="DQ37">
        <v>0</v>
      </c>
      <c r="DR37">
        <v>0</v>
      </c>
    </row>
    <row r="38" spans="1:122" x14ac:dyDescent="0.3">
      <c r="A38" t="s">
        <v>159</v>
      </c>
      <c r="B38">
        <v>2026</v>
      </c>
      <c r="C38">
        <v>395705758.39999998</v>
      </c>
      <c r="D38">
        <v>390465417.19999999</v>
      </c>
      <c r="E38">
        <v>376429102.19999999</v>
      </c>
      <c r="F38">
        <v>0</v>
      </c>
      <c r="G38">
        <v>1525552</v>
      </c>
      <c r="H38">
        <v>243336313</v>
      </c>
      <c r="I38">
        <v>1525552</v>
      </c>
      <c r="J38">
        <v>0</v>
      </c>
      <c r="K38">
        <v>3714789.2</v>
      </c>
      <c r="L38">
        <v>3.5900000000000001E-2</v>
      </c>
      <c r="M38">
        <v>5.3900000000000003E-2</v>
      </c>
      <c r="N38">
        <v>0.13750000000000001</v>
      </c>
      <c r="O38">
        <v>39219.199999999997</v>
      </c>
      <c r="P38">
        <v>90945.5</v>
      </c>
      <c r="Q38">
        <v>295.2</v>
      </c>
      <c r="R38">
        <v>18.7</v>
      </c>
      <c r="S38">
        <v>2.6</v>
      </c>
      <c r="T38">
        <v>24</v>
      </c>
      <c r="U38">
        <v>1121.7</v>
      </c>
      <c r="V38">
        <v>0.16</v>
      </c>
      <c r="W38">
        <v>296.39999999999998</v>
      </c>
      <c r="X38">
        <v>55.4</v>
      </c>
      <c r="Y38">
        <v>351.8</v>
      </c>
      <c r="Z38">
        <v>310</v>
      </c>
      <c r="AA38">
        <v>19.7</v>
      </c>
      <c r="AB38">
        <v>2.73</v>
      </c>
      <c r="AC38">
        <v>25.1</v>
      </c>
      <c r="AD38">
        <v>1176.2</v>
      </c>
      <c r="AE38">
        <v>0.17</v>
      </c>
      <c r="AF38">
        <v>311.3</v>
      </c>
      <c r="AG38">
        <v>58.1</v>
      </c>
      <c r="AH38">
        <v>369.4</v>
      </c>
      <c r="AI38">
        <v>363.8</v>
      </c>
      <c r="AJ38">
        <v>13.5</v>
      </c>
      <c r="AK38">
        <v>1.74</v>
      </c>
      <c r="AL38">
        <v>37.200000000000003</v>
      </c>
      <c r="AM38">
        <v>1669.8</v>
      </c>
      <c r="AN38">
        <v>0.18</v>
      </c>
      <c r="AO38">
        <v>364.7</v>
      </c>
      <c r="AP38">
        <v>84</v>
      </c>
      <c r="AQ38">
        <v>448.7</v>
      </c>
      <c r="AR38">
        <v>637.6</v>
      </c>
      <c r="AS38">
        <v>44.3</v>
      </c>
      <c r="AT38">
        <v>6.27</v>
      </c>
      <c r="AU38">
        <v>47.1</v>
      </c>
      <c r="AV38">
        <v>2234.6999999999998</v>
      </c>
      <c r="AW38">
        <v>0.35</v>
      </c>
      <c r="AX38">
        <v>640.5</v>
      </c>
      <c r="AY38">
        <v>109.8</v>
      </c>
      <c r="AZ38">
        <v>750.3</v>
      </c>
      <c r="BA38">
        <v>116980660.59999999</v>
      </c>
      <c r="BB38">
        <v>7411.6</v>
      </c>
      <c r="BC38">
        <v>1027.7</v>
      </c>
      <c r="BD38">
        <v>9495256.4000000004</v>
      </c>
      <c r="BE38">
        <v>444594.5</v>
      </c>
      <c r="BF38">
        <v>64.5</v>
      </c>
      <c r="BG38">
        <v>117460536.09999999</v>
      </c>
      <c r="BH38">
        <v>21960984.199999999</v>
      </c>
      <c r="BI38">
        <v>139421520.30000001</v>
      </c>
      <c r="BJ38">
        <v>0</v>
      </c>
      <c r="BK38">
        <v>0</v>
      </c>
      <c r="BL38">
        <v>116980660.59999999</v>
      </c>
      <c r="BM38">
        <v>126475916.90000001</v>
      </c>
      <c r="BN38">
        <v>139421520.30000001</v>
      </c>
      <c r="BO38">
        <v>28.71</v>
      </c>
      <c r="BP38">
        <v>8.5</v>
      </c>
      <c r="BQ38">
        <v>0</v>
      </c>
      <c r="BR38">
        <v>37.21</v>
      </c>
      <c r="BS38">
        <v>30.56</v>
      </c>
      <c r="BT38">
        <v>9.27</v>
      </c>
      <c r="BU38">
        <v>0</v>
      </c>
      <c r="BV38">
        <v>39.83</v>
      </c>
      <c r="BW38">
        <v>398895000</v>
      </c>
      <c r="BX38">
        <v>147129100</v>
      </c>
      <c r="BY38">
        <v>39617348</v>
      </c>
      <c r="BZ38">
        <v>53203070</v>
      </c>
      <c r="CA38">
        <v>0</v>
      </c>
      <c r="CB38">
        <v>1205814</v>
      </c>
      <c r="CC38">
        <v>149030930</v>
      </c>
      <c r="CD38">
        <v>0</v>
      </c>
      <c r="CE38">
        <v>6564792</v>
      </c>
      <c r="CF38">
        <v>588408.69999999995</v>
      </c>
      <c r="CG38">
        <v>0</v>
      </c>
      <c r="CH38">
        <v>264184.3</v>
      </c>
      <c r="CI38">
        <v>0</v>
      </c>
      <c r="CJ38">
        <v>106077870</v>
      </c>
      <c r="CK38">
        <v>0</v>
      </c>
      <c r="CL38">
        <v>0</v>
      </c>
      <c r="CM38">
        <v>36264340</v>
      </c>
      <c r="CN38">
        <v>4786893.5</v>
      </c>
      <c r="CO38">
        <v>0</v>
      </c>
      <c r="CP38">
        <v>1291359.8999999999</v>
      </c>
      <c r="CQ38">
        <v>0</v>
      </c>
      <c r="CR38">
        <v>1704</v>
      </c>
      <c r="CS38">
        <v>0</v>
      </c>
      <c r="CT38">
        <v>61</v>
      </c>
      <c r="CU38">
        <v>13000.8</v>
      </c>
      <c r="CV38">
        <v>0</v>
      </c>
      <c r="CW38">
        <v>0</v>
      </c>
      <c r="CX38">
        <v>3229.9</v>
      </c>
      <c r="CY38">
        <v>38302.800000000003</v>
      </c>
      <c r="CZ38">
        <v>0</v>
      </c>
      <c r="DA38">
        <v>10588.1</v>
      </c>
      <c r="DB38">
        <v>0</v>
      </c>
      <c r="DC38">
        <v>541</v>
      </c>
      <c r="DD38">
        <v>4960</v>
      </c>
      <c r="DE38">
        <v>7096.6</v>
      </c>
      <c r="DF38">
        <v>0</v>
      </c>
      <c r="DG38">
        <v>14716.5</v>
      </c>
      <c r="DH38">
        <v>0</v>
      </c>
      <c r="DI38">
        <v>30237.5</v>
      </c>
      <c r="DJ38">
        <v>0</v>
      </c>
      <c r="DK38">
        <v>3408</v>
      </c>
      <c r="DL38">
        <v>0</v>
      </c>
      <c r="DM38">
        <v>0</v>
      </c>
      <c r="DN38">
        <v>0</v>
      </c>
      <c r="DO38">
        <v>0.04</v>
      </c>
      <c r="DP38">
        <v>0</v>
      </c>
      <c r="DQ38">
        <v>0</v>
      </c>
      <c r="DR38">
        <v>0</v>
      </c>
    </row>
    <row r="39" spans="1:122" x14ac:dyDescent="0.3">
      <c r="A39" t="s">
        <v>159</v>
      </c>
      <c r="B39">
        <v>2028</v>
      </c>
      <c r="C39">
        <v>401954186.19999999</v>
      </c>
      <c r="D39">
        <v>396552496.39999998</v>
      </c>
      <c r="E39">
        <v>382297365.19999999</v>
      </c>
      <c r="F39">
        <v>0</v>
      </c>
      <c r="G39">
        <v>1747725.6</v>
      </c>
      <c r="H39">
        <v>244804987.09999999</v>
      </c>
      <c r="I39">
        <v>1747725.6</v>
      </c>
      <c r="J39">
        <v>0</v>
      </c>
      <c r="K39">
        <v>3653964.4</v>
      </c>
      <c r="L39">
        <v>3.5900000000000001E-2</v>
      </c>
      <c r="M39">
        <v>5.3900000000000003E-2</v>
      </c>
      <c r="N39">
        <v>0.13750000000000001</v>
      </c>
      <c r="O39">
        <v>50250.35</v>
      </c>
      <c r="P39">
        <v>92365.2</v>
      </c>
      <c r="Q39">
        <v>303.39999999999998</v>
      </c>
      <c r="R39">
        <v>20.8</v>
      </c>
      <c r="S39">
        <v>2.91</v>
      </c>
      <c r="T39">
        <v>23.1</v>
      </c>
      <c r="U39">
        <v>1103.9000000000001</v>
      </c>
      <c r="V39">
        <v>0.17</v>
      </c>
      <c r="W39">
        <v>304.7</v>
      </c>
      <c r="X39">
        <v>54</v>
      </c>
      <c r="Y39">
        <v>358.8</v>
      </c>
      <c r="Z39">
        <v>318.7</v>
      </c>
      <c r="AA39">
        <v>21.9</v>
      </c>
      <c r="AB39">
        <v>3.07</v>
      </c>
      <c r="AC39">
        <v>24.2</v>
      </c>
      <c r="AD39">
        <v>1158.2</v>
      </c>
      <c r="AE39">
        <v>0.17</v>
      </c>
      <c r="AF39">
        <v>320.2</v>
      </c>
      <c r="AG39">
        <v>56.7</v>
      </c>
      <c r="AH39">
        <v>376.9</v>
      </c>
      <c r="AI39">
        <v>310.39999999999998</v>
      </c>
      <c r="AJ39">
        <v>9.5</v>
      </c>
      <c r="AK39">
        <v>1.17</v>
      </c>
      <c r="AL39">
        <v>33.700000000000003</v>
      </c>
      <c r="AM39">
        <v>1487.1</v>
      </c>
      <c r="AN39">
        <v>0.15</v>
      </c>
      <c r="AO39">
        <v>311</v>
      </c>
      <c r="AP39">
        <v>75.400000000000006</v>
      </c>
      <c r="AQ39">
        <v>386.4</v>
      </c>
      <c r="AR39">
        <v>642.29999999999995</v>
      </c>
      <c r="AS39">
        <v>45.4</v>
      </c>
      <c r="AT39">
        <v>6.42</v>
      </c>
      <c r="AU39">
        <v>46.6</v>
      </c>
      <c r="AV39">
        <v>2237.5</v>
      </c>
      <c r="AW39">
        <v>0.35</v>
      </c>
      <c r="AX39">
        <v>645.20000000000005</v>
      </c>
      <c r="AY39">
        <v>109.3</v>
      </c>
      <c r="AZ39">
        <v>754.6</v>
      </c>
      <c r="BA39">
        <v>121967626</v>
      </c>
      <c r="BB39">
        <v>8373.2999999999993</v>
      </c>
      <c r="BC39">
        <v>1170.3</v>
      </c>
      <c r="BD39">
        <v>9288979.5999999996</v>
      </c>
      <c r="BE39">
        <v>443861.3</v>
      </c>
      <c r="BF39">
        <v>66.7</v>
      </c>
      <c r="BG39">
        <v>122512214.59999999</v>
      </c>
      <c r="BH39">
        <v>21734774.5</v>
      </c>
      <c r="BI39">
        <v>144246989.09999999</v>
      </c>
      <c r="BJ39">
        <v>0</v>
      </c>
      <c r="BK39">
        <v>0</v>
      </c>
      <c r="BL39">
        <v>121967626</v>
      </c>
      <c r="BM39">
        <v>131256605.59999999</v>
      </c>
      <c r="BN39">
        <v>144246989.09999999</v>
      </c>
      <c r="BO39">
        <v>30.31</v>
      </c>
      <c r="BP39">
        <v>10.85</v>
      </c>
      <c r="BQ39">
        <v>0</v>
      </c>
      <c r="BR39">
        <v>41.16</v>
      </c>
      <c r="BS39">
        <v>32.270000000000003</v>
      </c>
      <c r="BT39">
        <v>11.84</v>
      </c>
      <c r="BU39">
        <v>0</v>
      </c>
      <c r="BV39">
        <v>44.11</v>
      </c>
      <c r="BW39">
        <v>404729570</v>
      </c>
      <c r="BX39">
        <v>151747500</v>
      </c>
      <c r="BY39">
        <v>39617348</v>
      </c>
      <c r="BZ39">
        <v>61985880</v>
      </c>
      <c r="CA39">
        <v>0</v>
      </c>
      <c r="CB39">
        <v>952456.9</v>
      </c>
      <c r="CC39">
        <v>142290750</v>
      </c>
      <c r="CD39">
        <v>0</v>
      </c>
      <c r="CE39">
        <v>5785701</v>
      </c>
      <c r="CF39">
        <v>605726.80000000005</v>
      </c>
      <c r="CG39">
        <v>0</v>
      </c>
      <c r="CH39">
        <v>263836.2</v>
      </c>
      <c r="CI39">
        <v>0</v>
      </c>
      <c r="CJ39">
        <v>108400400</v>
      </c>
      <c r="CK39">
        <v>0</v>
      </c>
      <c r="CL39">
        <v>0</v>
      </c>
      <c r="CM39">
        <v>36279972</v>
      </c>
      <c r="CN39">
        <v>7067137</v>
      </c>
      <c r="CO39">
        <v>0</v>
      </c>
      <c r="CP39">
        <v>1480350.6</v>
      </c>
      <c r="CQ39">
        <v>0</v>
      </c>
      <c r="CR39">
        <v>1765.5</v>
      </c>
      <c r="CS39">
        <v>0</v>
      </c>
      <c r="CT39">
        <v>61</v>
      </c>
      <c r="CU39">
        <v>13000.8</v>
      </c>
      <c r="CV39">
        <v>0</v>
      </c>
      <c r="CW39">
        <v>0</v>
      </c>
      <c r="CX39">
        <v>4756.5</v>
      </c>
      <c r="CY39">
        <v>39668.699999999997</v>
      </c>
      <c r="CZ39">
        <v>0</v>
      </c>
      <c r="DA39">
        <v>10588.1</v>
      </c>
      <c r="DB39">
        <v>0</v>
      </c>
      <c r="DC39">
        <v>541</v>
      </c>
      <c r="DD39">
        <v>4960</v>
      </c>
      <c r="DE39">
        <v>6667.2</v>
      </c>
      <c r="DF39">
        <v>0</v>
      </c>
      <c r="DG39">
        <v>14716.5</v>
      </c>
      <c r="DH39">
        <v>0</v>
      </c>
      <c r="DI39">
        <v>30237.5</v>
      </c>
      <c r="DJ39">
        <v>0</v>
      </c>
      <c r="DK39">
        <v>3798</v>
      </c>
      <c r="DL39">
        <v>0</v>
      </c>
      <c r="DM39">
        <v>0</v>
      </c>
      <c r="DN39">
        <v>0</v>
      </c>
      <c r="DO39">
        <v>0.04</v>
      </c>
      <c r="DP39">
        <v>0</v>
      </c>
      <c r="DQ39">
        <v>0</v>
      </c>
      <c r="DR39">
        <v>0</v>
      </c>
    </row>
    <row r="40" spans="1:122" x14ac:dyDescent="0.3">
      <c r="A40" t="s">
        <v>159</v>
      </c>
      <c r="B40">
        <v>2030</v>
      </c>
      <c r="C40">
        <v>410695726.89999998</v>
      </c>
      <c r="D40">
        <v>402958270.89999998</v>
      </c>
      <c r="E40">
        <v>388472867.19999999</v>
      </c>
      <c r="F40">
        <v>0</v>
      </c>
      <c r="G40">
        <v>3592826.8</v>
      </c>
      <c r="H40">
        <v>234447976.09999999</v>
      </c>
      <c r="I40">
        <v>3592826.8</v>
      </c>
      <c r="J40">
        <v>0</v>
      </c>
      <c r="K40">
        <v>4144629.2</v>
      </c>
      <c r="L40">
        <v>3.5900000000000001E-2</v>
      </c>
      <c r="M40">
        <v>5.3900000000000003E-2</v>
      </c>
      <c r="N40">
        <v>0.13750000000000001</v>
      </c>
      <c r="O40">
        <v>60718</v>
      </c>
      <c r="P40">
        <v>93851</v>
      </c>
      <c r="Q40">
        <v>281.5</v>
      </c>
      <c r="R40">
        <v>19.600000000000001</v>
      </c>
      <c r="S40">
        <v>2.74</v>
      </c>
      <c r="T40">
        <v>21.2</v>
      </c>
      <c r="U40">
        <v>1018.4</v>
      </c>
      <c r="V40">
        <v>0.15</v>
      </c>
      <c r="W40">
        <v>282.8</v>
      </c>
      <c r="X40">
        <v>49.8</v>
      </c>
      <c r="Y40">
        <v>332.6</v>
      </c>
      <c r="Z40">
        <v>297.3</v>
      </c>
      <c r="AA40">
        <v>20.7</v>
      </c>
      <c r="AB40">
        <v>2.9</v>
      </c>
      <c r="AC40">
        <v>22.4</v>
      </c>
      <c r="AD40">
        <v>1074</v>
      </c>
      <c r="AE40">
        <v>0.16</v>
      </c>
      <c r="AF40">
        <v>298.60000000000002</v>
      </c>
      <c r="AG40">
        <v>52.5</v>
      </c>
      <c r="AH40">
        <v>351.1</v>
      </c>
      <c r="AI40">
        <v>323.8</v>
      </c>
      <c r="AJ40">
        <v>8</v>
      </c>
      <c r="AK40">
        <v>0.92</v>
      </c>
      <c r="AL40">
        <v>36.700000000000003</v>
      </c>
      <c r="AM40">
        <v>1621</v>
      </c>
      <c r="AN40">
        <v>0.15</v>
      </c>
      <c r="AO40">
        <v>324.3</v>
      </c>
      <c r="AP40">
        <v>82.1</v>
      </c>
      <c r="AQ40">
        <v>406.4</v>
      </c>
      <c r="AR40">
        <v>651.1</v>
      </c>
      <c r="AS40">
        <v>47.3</v>
      </c>
      <c r="AT40">
        <v>6.72</v>
      </c>
      <c r="AU40">
        <v>46</v>
      </c>
      <c r="AV40">
        <v>2226.3000000000002</v>
      </c>
      <c r="AW40">
        <v>0.35</v>
      </c>
      <c r="AX40">
        <v>654.20000000000005</v>
      </c>
      <c r="AY40">
        <v>108.5</v>
      </c>
      <c r="AZ40">
        <v>762.7</v>
      </c>
      <c r="BA40">
        <v>115568144.90000001</v>
      </c>
      <c r="BB40">
        <v>8035.5</v>
      </c>
      <c r="BC40">
        <v>1123.8</v>
      </c>
      <c r="BD40">
        <v>8718775.1999999993</v>
      </c>
      <c r="BE40">
        <v>418138.6</v>
      </c>
      <c r="BF40">
        <v>63.2</v>
      </c>
      <c r="BG40">
        <v>116090938</v>
      </c>
      <c r="BH40">
        <v>20443399.100000001</v>
      </c>
      <c r="BI40">
        <v>136534337.09999999</v>
      </c>
      <c r="BJ40">
        <v>0</v>
      </c>
      <c r="BK40">
        <v>0</v>
      </c>
      <c r="BL40">
        <v>115568144.90000001</v>
      </c>
      <c r="BM40">
        <v>124286920.09999999</v>
      </c>
      <c r="BN40">
        <v>136534337.09999999</v>
      </c>
      <c r="BO40">
        <v>29.41</v>
      </c>
      <c r="BP40">
        <v>12.58</v>
      </c>
      <c r="BQ40">
        <v>0</v>
      </c>
      <c r="BR40">
        <v>41.99</v>
      </c>
      <c r="BS40">
        <v>31.36</v>
      </c>
      <c r="BT40">
        <v>13.77</v>
      </c>
      <c r="BU40">
        <v>0</v>
      </c>
      <c r="BV40">
        <v>45.13</v>
      </c>
      <c r="BW40">
        <v>413372350</v>
      </c>
      <c r="BX40">
        <v>168510290</v>
      </c>
      <c r="BY40">
        <v>39617348</v>
      </c>
      <c r="BZ40">
        <v>60084120</v>
      </c>
      <c r="CA40">
        <v>0</v>
      </c>
      <c r="CB40">
        <v>624922</v>
      </c>
      <c r="CC40">
        <v>135969840</v>
      </c>
      <c r="CD40">
        <v>0</v>
      </c>
      <c r="CE40">
        <v>4628710.5</v>
      </c>
      <c r="CF40">
        <v>623605.80000000005</v>
      </c>
      <c r="CG40">
        <v>0</v>
      </c>
      <c r="CH40">
        <v>269775.09999999998</v>
      </c>
      <c r="CI40">
        <v>0</v>
      </c>
      <c r="CJ40">
        <v>111610240</v>
      </c>
      <c r="CK40">
        <v>0</v>
      </c>
      <c r="CL40">
        <v>0</v>
      </c>
      <c r="CM40">
        <v>46452140</v>
      </c>
      <c r="CN40">
        <v>10447914</v>
      </c>
      <c r="CO40">
        <v>0</v>
      </c>
      <c r="CP40">
        <v>3043720.5</v>
      </c>
      <c r="CQ40">
        <v>0</v>
      </c>
      <c r="CR40">
        <v>2483.1999999999998</v>
      </c>
      <c r="CS40">
        <v>0</v>
      </c>
      <c r="CT40">
        <v>61</v>
      </c>
      <c r="CU40">
        <v>12686.2</v>
      </c>
      <c r="CV40">
        <v>0</v>
      </c>
      <c r="CW40">
        <v>0</v>
      </c>
      <c r="CX40">
        <v>7034.6</v>
      </c>
      <c r="CY40">
        <v>39858.1</v>
      </c>
      <c r="CZ40">
        <v>0</v>
      </c>
      <c r="DA40">
        <v>10266.1</v>
      </c>
      <c r="DB40">
        <v>0</v>
      </c>
      <c r="DC40">
        <v>541</v>
      </c>
      <c r="DD40">
        <v>4960</v>
      </c>
      <c r="DE40">
        <v>6506.2</v>
      </c>
      <c r="DF40">
        <v>0</v>
      </c>
      <c r="DG40">
        <v>18881.5</v>
      </c>
      <c r="DH40">
        <v>0</v>
      </c>
      <c r="DI40">
        <v>30900.9</v>
      </c>
      <c r="DJ40">
        <v>0</v>
      </c>
      <c r="DK40">
        <v>9430.7000000000007</v>
      </c>
      <c r="DL40">
        <v>0</v>
      </c>
      <c r="DM40">
        <v>0</v>
      </c>
      <c r="DN40">
        <v>0</v>
      </c>
      <c r="DO40">
        <v>0.04</v>
      </c>
      <c r="DP40">
        <v>0</v>
      </c>
      <c r="DQ40">
        <v>0</v>
      </c>
      <c r="DR40">
        <v>0</v>
      </c>
    </row>
    <row r="41" spans="1:122" x14ac:dyDescent="0.3">
      <c r="A41" t="s">
        <v>159</v>
      </c>
      <c r="B41">
        <v>2032</v>
      </c>
      <c r="C41">
        <v>422432521</v>
      </c>
      <c r="D41">
        <v>409905827.30000001</v>
      </c>
      <c r="E41">
        <v>395170675.19999999</v>
      </c>
      <c r="F41">
        <v>0</v>
      </c>
      <c r="G41">
        <v>8297311</v>
      </c>
      <c r="H41">
        <v>227216814.30000001</v>
      </c>
      <c r="I41">
        <v>8297311</v>
      </c>
      <c r="J41">
        <v>0</v>
      </c>
      <c r="K41">
        <v>4229382.7</v>
      </c>
      <c r="L41">
        <v>3.5900000000000001E-2</v>
      </c>
      <c r="M41">
        <v>5.3900000000000003E-2</v>
      </c>
      <c r="N41">
        <v>0.13750000000000001</v>
      </c>
      <c r="O41">
        <v>58533.69</v>
      </c>
      <c r="P41">
        <v>95472.8</v>
      </c>
      <c r="Q41">
        <v>265.5</v>
      </c>
      <c r="R41">
        <v>18.8</v>
      </c>
      <c r="S41">
        <v>2.63</v>
      </c>
      <c r="T41">
        <v>19.8</v>
      </c>
      <c r="U41">
        <v>953</v>
      </c>
      <c r="V41">
        <v>0.14000000000000001</v>
      </c>
      <c r="W41">
        <v>266.8</v>
      </c>
      <c r="X41">
        <v>46.5</v>
      </c>
      <c r="Y41">
        <v>313.2</v>
      </c>
      <c r="Z41">
        <v>283.8</v>
      </c>
      <c r="AA41">
        <v>20.100000000000001</v>
      </c>
      <c r="AB41">
        <v>2.82</v>
      </c>
      <c r="AC41">
        <v>21.1</v>
      </c>
      <c r="AD41">
        <v>1016.6</v>
      </c>
      <c r="AE41">
        <v>0.15</v>
      </c>
      <c r="AF41">
        <v>285.10000000000002</v>
      </c>
      <c r="AG41">
        <v>49.6</v>
      </c>
      <c r="AH41">
        <v>334.6</v>
      </c>
      <c r="AI41">
        <v>256.10000000000002</v>
      </c>
      <c r="AJ41">
        <v>6.2</v>
      </c>
      <c r="AK41">
        <v>0.71</v>
      </c>
      <c r="AL41">
        <v>29.2</v>
      </c>
      <c r="AM41">
        <v>1284.5</v>
      </c>
      <c r="AN41">
        <v>0.12</v>
      </c>
      <c r="AO41">
        <v>256.5</v>
      </c>
      <c r="AP41">
        <v>65.2</v>
      </c>
      <c r="AQ41">
        <v>321.60000000000002</v>
      </c>
      <c r="AR41">
        <v>669.8</v>
      </c>
      <c r="AS41">
        <v>50.3</v>
      </c>
      <c r="AT41">
        <v>7.13</v>
      </c>
      <c r="AU41">
        <v>45.5</v>
      </c>
      <c r="AV41">
        <v>2267.1</v>
      </c>
      <c r="AW41">
        <v>0.35</v>
      </c>
      <c r="AX41">
        <v>673.1</v>
      </c>
      <c r="AY41">
        <v>109.1</v>
      </c>
      <c r="AZ41">
        <v>782.2</v>
      </c>
      <c r="BA41">
        <v>112021863.8</v>
      </c>
      <c r="BB41">
        <v>7913.5</v>
      </c>
      <c r="BC41">
        <v>1107.7</v>
      </c>
      <c r="BD41">
        <v>8339897.7999999998</v>
      </c>
      <c r="BE41">
        <v>402113.5</v>
      </c>
      <c r="BF41">
        <v>61.1</v>
      </c>
      <c r="BG41">
        <v>112536979.40000001</v>
      </c>
      <c r="BH41">
        <v>19615255.300000001</v>
      </c>
      <c r="BI41">
        <v>132152234.59999999</v>
      </c>
      <c r="BJ41">
        <v>0</v>
      </c>
      <c r="BK41">
        <v>0</v>
      </c>
      <c r="BL41">
        <v>112021863.8</v>
      </c>
      <c r="BM41">
        <v>120361761.5</v>
      </c>
      <c r="BN41">
        <v>132152234.59999999</v>
      </c>
      <c r="BO41">
        <v>28.82</v>
      </c>
      <c r="BP41">
        <v>11.84</v>
      </c>
      <c r="BQ41">
        <v>0</v>
      </c>
      <c r="BR41">
        <v>40.659999999999997</v>
      </c>
      <c r="BS41">
        <v>30.79</v>
      </c>
      <c r="BT41">
        <v>13.09</v>
      </c>
      <c r="BU41">
        <v>0</v>
      </c>
      <c r="BV41">
        <v>43.88</v>
      </c>
      <c r="BW41">
        <v>424901120</v>
      </c>
      <c r="BX41">
        <v>182689010</v>
      </c>
      <c r="BY41">
        <v>39617348</v>
      </c>
      <c r="BZ41">
        <v>59584652</v>
      </c>
      <c r="CA41">
        <v>0</v>
      </c>
      <c r="CB41">
        <v>331080.7</v>
      </c>
      <c r="CC41">
        <v>131358740</v>
      </c>
      <c r="CD41">
        <v>0</v>
      </c>
      <c r="CE41">
        <v>3359860.8</v>
      </c>
      <c r="CF41">
        <v>640373.80000000005</v>
      </c>
      <c r="CG41">
        <v>0</v>
      </c>
      <c r="CH41">
        <v>274761</v>
      </c>
      <c r="CI41">
        <v>0</v>
      </c>
      <c r="CJ41">
        <v>119047630</v>
      </c>
      <c r="CK41">
        <v>0</v>
      </c>
      <c r="CL41">
        <v>0</v>
      </c>
      <c r="CM41">
        <v>49701900</v>
      </c>
      <c r="CN41">
        <v>13939485</v>
      </c>
      <c r="CO41">
        <v>0</v>
      </c>
      <c r="CP41">
        <v>7045297</v>
      </c>
      <c r="CQ41">
        <v>0</v>
      </c>
      <c r="CR41">
        <v>5513.3</v>
      </c>
      <c r="CS41">
        <v>0</v>
      </c>
      <c r="CT41">
        <v>61</v>
      </c>
      <c r="CU41">
        <v>12686.2</v>
      </c>
      <c r="CV41">
        <v>0</v>
      </c>
      <c r="CW41">
        <v>0</v>
      </c>
      <c r="CX41">
        <v>9383.7000000000007</v>
      </c>
      <c r="CY41">
        <v>39537.1</v>
      </c>
      <c r="CZ41">
        <v>0</v>
      </c>
      <c r="DA41">
        <v>10105.1</v>
      </c>
      <c r="DB41">
        <v>0</v>
      </c>
      <c r="DC41">
        <v>541</v>
      </c>
      <c r="DD41">
        <v>4960</v>
      </c>
      <c r="DE41">
        <v>6398.9</v>
      </c>
      <c r="DF41">
        <v>0</v>
      </c>
      <c r="DG41">
        <v>20619.8</v>
      </c>
      <c r="DH41">
        <v>0</v>
      </c>
      <c r="DI41">
        <v>32244.2</v>
      </c>
      <c r="DJ41">
        <v>0</v>
      </c>
      <c r="DK41">
        <v>25031.9</v>
      </c>
      <c r="DL41">
        <v>0</v>
      </c>
      <c r="DM41">
        <v>0</v>
      </c>
      <c r="DN41">
        <v>0</v>
      </c>
      <c r="DO41">
        <v>0.04</v>
      </c>
      <c r="DP41">
        <v>0</v>
      </c>
      <c r="DQ41">
        <v>0</v>
      </c>
      <c r="DR41">
        <v>0</v>
      </c>
    </row>
    <row r="42" spans="1:122" x14ac:dyDescent="0.3">
      <c r="A42" t="s">
        <v>159</v>
      </c>
      <c r="B42">
        <v>2034</v>
      </c>
      <c r="C42">
        <v>431468260.30000001</v>
      </c>
      <c r="D42">
        <v>417331426.5</v>
      </c>
      <c r="E42">
        <v>402329341.60000002</v>
      </c>
      <c r="F42">
        <v>0</v>
      </c>
      <c r="G42">
        <v>9660049</v>
      </c>
      <c r="H42">
        <v>219444124.09999999</v>
      </c>
      <c r="I42">
        <v>9660049</v>
      </c>
      <c r="J42">
        <v>0</v>
      </c>
      <c r="K42">
        <v>4476784.5999999996</v>
      </c>
      <c r="L42">
        <v>3.5900000000000001E-2</v>
      </c>
      <c r="M42">
        <v>5.3900000000000003E-2</v>
      </c>
      <c r="N42">
        <v>0.13750000000000001</v>
      </c>
      <c r="O42">
        <v>65619.199999999997</v>
      </c>
      <c r="P42">
        <v>97201.600000000006</v>
      </c>
      <c r="Q42">
        <v>250.8</v>
      </c>
      <c r="R42">
        <v>17.8</v>
      </c>
      <c r="S42">
        <v>2.4900000000000002</v>
      </c>
      <c r="T42">
        <v>18.600000000000001</v>
      </c>
      <c r="U42">
        <v>898.2</v>
      </c>
      <c r="V42">
        <v>0.14000000000000001</v>
      </c>
      <c r="W42">
        <v>252</v>
      </c>
      <c r="X42">
        <v>43.8</v>
      </c>
      <c r="Y42">
        <v>295.8</v>
      </c>
      <c r="Z42">
        <v>269</v>
      </c>
      <c r="AA42">
        <v>19.100000000000001</v>
      </c>
      <c r="AB42">
        <v>2.68</v>
      </c>
      <c r="AC42">
        <v>19.899999999999999</v>
      </c>
      <c r="AD42">
        <v>961.2</v>
      </c>
      <c r="AE42">
        <v>0.15</v>
      </c>
      <c r="AF42">
        <v>270.2</v>
      </c>
      <c r="AG42">
        <v>46.9</v>
      </c>
      <c r="AH42">
        <v>317.10000000000002</v>
      </c>
      <c r="AI42">
        <v>218.8</v>
      </c>
      <c r="AJ42">
        <v>5.7</v>
      </c>
      <c r="AK42">
        <v>0.67</v>
      </c>
      <c r="AL42">
        <v>24.6</v>
      </c>
      <c r="AM42">
        <v>1083.0999999999999</v>
      </c>
      <c r="AN42">
        <v>0.1</v>
      </c>
      <c r="AO42">
        <v>219.1</v>
      </c>
      <c r="AP42">
        <v>55</v>
      </c>
      <c r="AQ42">
        <v>274.10000000000002</v>
      </c>
      <c r="AR42">
        <v>664.7</v>
      </c>
      <c r="AS42">
        <v>50</v>
      </c>
      <c r="AT42">
        <v>7.08</v>
      </c>
      <c r="AU42">
        <v>44.9</v>
      </c>
      <c r="AV42">
        <v>2254.6999999999998</v>
      </c>
      <c r="AW42">
        <v>0.34</v>
      </c>
      <c r="AX42">
        <v>667.9</v>
      </c>
      <c r="AY42">
        <v>108.2</v>
      </c>
      <c r="AZ42">
        <v>776.1</v>
      </c>
      <c r="BA42">
        <v>107898544.2</v>
      </c>
      <c r="BB42">
        <v>7650.4</v>
      </c>
      <c r="BC42">
        <v>1071.2</v>
      </c>
      <c r="BD42">
        <v>8019979.7999999998</v>
      </c>
      <c r="BE42">
        <v>386487.9</v>
      </c>
      <c r="BF42">
        <v>59.1</v>
      </c>
      <c r="BG42">
        <v>108396630.5</v>
      </c>
      <c r="BH42">
        <v>18857300.5</v>
      </c>
      <c r="BI42">
        <v>127253931</v>
      </c>
      <c r="BJ42">
        <v>0</v>
      </c>
      <c r="BK42">
        <v>0</v>
      </c>
      <c r="BL42">
        <v>107898544.2</v>
      </c>
      <c r="BM42">
        <v>115918524</v>
      </c>
      <c r="BN42">
        <v>127253931</v>
      </c>
      <c r="BO42">
        <v>28.74</v>
      </c>
      <c r="BP42">
        <v>13.3</v>
      </c>
      <c r="BQ42">
        <v>0</v>
      </c>
      <c r="BR42">
        <v>42.04</v>
      </c>
      <c r="BS42">
        <v>30.75</v>
      </c>
      <c r="BT42">
        <v>14.76</v>
      </c>
      <c r="BU42">
        <v>0</v>
      </c>
      <c r="BV42">
        <v>45.51</v>
      </c>
      <c r="BW42">
        <v>433344320</v>
      </c>
      <c r="BX42">
        <v>197887300</v>
      </c>
      <c r="BY42">
        <v>39617348</v>
      </c>
      <c r="BZ42">
        <v>57648628</v>
      </c>
      <c r="CA42">
        <v>0</v>
      </c>
      <c r="CB42">
        <v>305821.2</v>
      </c>
      <c r="CC42">
        <v>125632040</v>
      </c>
      <c r="CD42">
        <v>0</v>
      </c>
      <c r="CE42">
        <v>3164393.2</v>
      </c>
      <c r="CF42">
        <v>637313.69999999995</v>
      </c>
      <c r="CG42">
        <v>0</v>
      </c>
      <c r="CH42">
        <v>273424.5</v>
      </c>
      <c r="CI42">
        <v>0</v>
      </c>
      <c r="CJ42">
        <v>133259930</v>
      </c>
      <c r="CK42">
        <v>0</v>
      </c>
      <c r="CL42">
        <v>0</v>
      </c>
      <c r="CM42">
        <v>49777064</v>
      </c>
      <c r="CN42">
        <v>14850306</v>
      </c>
      <c r="CO42">
        <v>0</v>
      </c>
      <c r="CP42">
        <v>8178065.5</v>
      </c>
      <c r="CQ42">
        <v>0</v>
      </c>
      <c r="CR42">
        <v>6311.8</v>
      </c>
      <c r="CS42">
        <v>0</v>
      </c>
      <c r="CT42">
        <v>61</v>
      </c>
      <c r="CU42">
        <v>12686.2</v>
      </c>
      <c r="CV42">
        <v>0</v>
      </c>
      <c r="CW42">
        <v>0</v>
      </c>
      <c r="CX42">
        <v>10093.6</v>
      </c>
      <c r="CY42">
        <v>39694.300000000003</v>
      </c>
      <c r="CZ42">
        <v>0</v>
      </c>
      <c r="DA42">
        <v>10105.1</v>
      </c>
      <c r="DB42">
        <v>0</v>
      </c>
      <c r="DC42">
        <v>541</v>
      </c>
      <c r="DD42">
        <v>4960</v>
      </c>
      <c r="DE42">
        <v>6130.6</v>
      </c>
      <c r="DF42">
        <v>0</v>
      </c>
      <c r="DG42">
        <v>20948.900000000001</v>
      </c>
      <c r="DH42">
        <v>0</v>
      </c>
      <c r="DI42">
        <v>35460.800000000003</v>
      </c>
      <c r="DJ42">
        <v>0</v>
      </c>
      <c r="DK42">
        <v>29184.3</v>
      </c>
      <c r="DL42">
        <v>0</v>
      </c>
      <c r="DM42">
        <v>0</v>
      </c>
      <c r="DN42">
        <v>0</v>
      </c>
      <c r="DO42">
        <v>0.04</v>
      </c>
      <c r="DP42">
        <v>0</v>
      </c>
      <c r="DQ42">
        <v>0</v>
      </c>
      <c r="DR42">
        <v>0</v>
      </c>
    </row>
    <row r="43" spans="1:122" x14ac:dyDescent="0.3">
      <c r="A43" t="s">
        <v>159</v>
      </c>
      <c r="B43">
        <v>2036</v>
      </c>
      <c r="C43">
        <v>441220228.80000001</v>
      </c>
      <c r="D43">
        <v>425235068.69999999</v>
      </c>
      <c r="E43">
        <v>409948866.39999998</v>
      </c>
      <c r="F43">
        <v>0</v>
      </c>
      <c r="G43">
        <v>11192322</v>
      </c>
      <c r="H43">
        <v>191449861.09999999</v>
      </c>
      <c r="I43">
        <v>11192322</v>
      </c>
      <c r="J43">
        <v>0</v>
      </c>
      <c r="K43">
        <v>4792837.9000000004</v>
      </c>
      <c r="L43">
        <v>3.5900000000000001E-2</v>
      </c>
      <c r="M43">
        <v>5.3900000000000003E-2</v>
      </c>
      <c r="N43">
        <v>0.13750000000000001</v>
      </c>
      <c r="O43">
        <v>67086.259999999995</v>
      </c>
      <c r="P43">
        <v>99039.7</v>
      </c>
      <c r="Q43">
        <v>209.9</v>
      </c>
      <c r="R43">
        <v>14.8</v>
      </c>
      <c r="S43">
        <v>2.08</v>
      </c>
      <c r="T43">
        <v>15.8</v>
      </c>
      <c r="U43">
        <v>752.6</v>
      </c>
      <c r="V43">
        <v>0.12</v>
      </c>
      <c r="W43">
        <v>210.8</v>
      </c>
      <c r="X43">
        <v>36.9</v>
      </c>
      <c r="Y43">
        <v>247.7</v>
      </c>
      <c r="Z43">
        <v>226.7</v>
      </c>
      <c r="AA43">
        <v>16.100000000000001</v>
      </c>
      <c r="AB43">
        <v>2.2599999999999998</v>
      </c>
      <c r="AC43">
        <v>16.899999999999999</v>
      </c>
      <c r="AD43">
        <v>810.8</v>
      </c>
      <c r="AE43">
        <v>0.13</v>
      </c>
      <c r="AF43">
        <v>227.7</v>
      </c>
      <c r="AG43">
        <v>39.700000000000003</v>
      </c>
      <c r="AH43">
        <v>267.39999999999998</v>
      </c>
      <c r="AI43">
        <v>174.2</v>
      </c>
      <c r="AJ43">
        <v>5.3</v>
      </c>
      <c r="AK43">
        <v>0.65</v>
      </c>
      <c r="AL43">
        <v>18.899999999999999</v>
      </c>
      <c r="AM43">
        <v>837</v>
      </c>
      <c r="AN43">
        <v>0.08</v>
      </c>
      <c r="AO43">
        <v>174.5</v>
      </c>
      <c r="AP43">
        <v>42.4</v>
      </c>
      <c r="AQ43">
        <v>216.9</v>
      </c>
      <c r="AR43">
        <v>618.4</v>
      </c>
      <c r="AS43">
        <v>46.9</v>
      </c>
      <c r="AT43">
        <v>6.64</v>
      </c>
      <c r="AU43">
        <v>41.6</v>
      </c>
      <c r="AV43">
        <v>2082.1999999999998</v>
      </c>
      <c r="AW43">
        <v>0.32</v>
      </c>
      <c r="AX43">
        <v>621.4</v>
      </c>
      <c r="AY43">
        <v>100</v>
      </c>
      <c r="AZ43">
        <v>721.4</v>
      </c>
      <c r="BA43">
        <v>92492110.299999997</v>
      </c>
      <c r="BB43">
        <v>6538.5</v>
      </c>
      <c r="BC43">
        <v>915.5</v>
      </c>
      <c r="BD43">
        <v>6945994.5999999996</v>
      </c>
      <c r="BE43">
        <v>331790.7</v>
      </c>
      <c r="BF43">
        <v>52</v>
      </c>
      <c r="BG43">
        <v>92917807.900000006</v>
      </c>
      <c r="BH43">
        <v>16249906.1</v>
      </c>
      <c r="BI43">
        <v>109167714</v>
      </c>
      <c r="BJ43">
        <v>0</v>
      </c>
      <c r="BK43">
        <v>0</v>
      </c>
      <c r="BL43">
        <v>92492110.299999997</v>
      </c>
      <c r="BM43">
        <v>99438104.900000006</v>
      </c>
      <c r="BN43">
        <v>109167714</v>
      </c>
      <c r="BO43">
        <v>26.45</v>
      </c>
      <c r="BP43">
        <v>13.65</v>
      </c>
      <c r="BQ43">
        <v>0</v>
      </c>
      <c r="BR43">
        <v>40.1</v>
      </c>
      <c r="BS43">
        <v>28.46</v>
      </c>
      <c r="BT43">
        <v>15.2</v>
      </c>
      <c r="BU43">
        <v>0</v>
      </c>
      <c r="BV43">
        <v>43.66</v>
      </c>
      <c r="BW43">
        <v>444147040</v>
      </c>
      <c r="BX43">
        <v>233785180</v>
      </c>
      <c r="BY43">
        <v>39617348</v>
      </c>
      <c r="BZ43">
        <v>49256500</v>
      </c>
      <c r="CA43">
        <v>0</v>
      </c>
      <c r="CB43">
        <v>361562.4</v>
      </c>
      <c r="CC43">
        <v>107460290</v>
      </c>
      <c r="CD43">
        <v>0</v>
      </c>
      <c r="CE43">
        <v>3346417.8</v>
      </c>
      <c r="CF43">
        <v>601321</v>
      </c>
      <c r="CG43">
        <v>0</v>
      </c>
      <c r="CH43">
        <v>250542</v>
      </c>
      <c r="CI43">
        <v>0</v>
      </c>
      <c r="CJ43">
        <v>165742600</v>
      </c>
      <c r="CK43">
        <v>0</v>
      </c>
      <c r="CL43">
        <v>0</v>
      </c>
      <c r="CM43">
        <v>52431524</v>
      </c>
      <c r="CN43">
        <v>15611098</v>
      </c>
      <c r="CO43">
        <v>0</v>
      </c>
      <c r="CP43">
        <v>9467846</v>
      </c>
      <c r="CQ43">
        <v>0</v>
      </c>
      <c r="CR43">
        <v>6925.3</v>
      </c>
      <c r="CS43">
        <v>0</v>
      </c>
      <c r="CT43">
        <v>61</v>
      </c>
      <c r="CU43">
        <v>12686.2</v>
      </c>
      <c r="CV43">
        <v>0</v>
      </c>
      <c r="CW43">
        <v>0</v>
      </c>
      <c r="CX43">
        <v>10726.5</v>
      </c>
      <c r="CY43">
        <v>39373.4</v>
      </c>
      <c r="CZ43">
        <v>0</v>
      </c>
      <c r="DA43">
        <v>10105.1</v>
      </c>
      <c r="DB43">
        <v>0</v>
      </c>
      <c r="DC43">
        <v>541</v>
      </c>
      <c r="DD43">
        <v>4960</v>
      </c>
      <c r="DE43">
        <v>5862.3</v>
      </c>
      <c r="DF43">
        <v>0</v>
      </c>
      <c r="DG43">
        <v>22196.9</v>
      </c>
      <c r="DH43">
        <v>0</v>
      </c>
      <c r="DI43">
        <v>43167.1</v>
      </c>
      <c r="DJ43">
        <v>0</v>
      </c>
      <c r="DK43">
        <v>33130.1</v>
      </c>
      <c r="DL43">
        <v>0</v>
      </c>
      <c r="DM43">
        <v>0</v>
      </c>
      <c r="DN43">
        <v>0</v>
      </c>
      <c r="DO43">
        <v>0.03</v>
      </c>
      <c r="DP43">
        <v>0</v>
      </c>
      <c r="DQ43">
        <v>0</v>
      </c>
      <c r="DR43">
        <v>0</v>
      </c>
    </row>
    <row r="44" spans="1:122" x14ac:dyDescent="0.3">
      <c r="A44" t="s">
        <v>159</v>
      </c>
      <c r="B44">
        <v>2038</v>
      </c>
      <c r="C44">
        <v>449662060.60000002</v>
      </c>
      <c r="D44">
        <v>433807970.89999998</v>
      </c>
      <c r="E44">
        <v>418213592.89999998</v>
      </c>
      <c r="F44">
        <v>0</v>
      </c>
      <c r="G44">
        <v>11277187</v>
      </c>
      <c r="H44">
        <v>182484801.69999999</v>
      </c>
      <c r="I44">
        <v>11277187</v>
      </c>
      <c r="J44">
        <v>0</v>
      </c>
      <c r="K44">
        <v>4576902.4000000004</v>
      </c>
      <c r="L44">
        <v>3.5900000000000001E-2</v>
      </c>
      <c r="M44">
        <v>5.3900000000000003E-2</v>
      </c>
      <c r="N44">
        <v>0.13750000000000001</v>
      </c>
      <c r="O44">
        <v>74301.240000000005</v>
      </c>
      <c r="P44">
        <v>101039.6</v>
      </c>
      <c r="Q44">
        <v>190.1</v>
      </c>
      <c r="R44">
        <v>13</v>
      </c>
      <c r="S44">
        <v>1.82</v>
      </c>
      <c r="T44">
        <v>14.7</v>
      </c>
      <c r="U44">
        <v>695.3</v>
      </c>
      <c r="V44">
        <v>0.11</v>
      </c>
      <c r="W44">
        <v>190.9</v>
      </c>
      <c r="X44">
        <v>34.200000000000003</v>
      </c>
      <c r="Y44">
        <v>225.1</v>
      </c>
      <c r="Z44">
        <v>205.3</v>
      </c>
      <c r="AA44">
        <v>14.1</v>
      </c>
      <c r="AB44">
        <v>1.97</v>
      </c>
      <c r="AC44">
        <v>15.8</v>
      </c>
      <c r="AD44">
        <v>749.3</v>
      </c>
      <c r="AE44">
        <v>0.12</v>
      </c>
      <c r="AF44">
        <v>206.2</v>
      </c>
      <c r="AG44">
        <v>36.9</v>
      </c>
      <c r="AH44">
        <v>243.1</v>
      </c>
      <c r="AI44">
        <v>194.7</v>
      </c>
      <c r="AJ44">
        <v>6.2</v>
      </c>
      <c r="AK44">
        <v>0.76</v>
      </c>
      <c r="AL44">
        <v>20.9</v>
      </c>
      <c r="AM44">
        <v>931.9</v>
      </c>
      <c r="AN44">
        <v>0.09</v>
      </c>
      <c r="AO44">
        <v>195.1</v>
      </c>
      <c r="AP44">
        <v>47</v>
      </c>
      <c r="AQ44">
        <v>242.1</v>
      </c>
      <c r="AR44">
        <v>583.1</v>
      </c>
      <c r="AS44">
        <v>44</v>
      </c>
      <c r="AT44">
        <v>6.23</v>
      </c>
      <c r="AU44">
        <v>39.299999999999997</v>
      </c>
      <c r="AV44">
        <v>1976.7</v>
      </c>
      <c r="AW44">
        <v>0.28999999999999998</v>
      </c>
      <c r="AX44">
        <v>586</v>
      </c>
      <c r="AY44">
        <v>94.7</v>
      </c>
      <c r="AZ44">
        <v>680.7</v>
      </c>
      <c r="BA44">
        <v>85459624.700000003</v>
      </c>
      <c r="BB44">
        <v>5840.2</v>
      </c>
      <c r="BC44">
        <v>815.1</v>
      </c>
      <c r="BD44">
        <v>6628793.9000000004</v>
      </c>
      <c r="BE44">
        <v>312785.7</v>
      </c>
      <c r="BF44">
        <v>48.6</v>
      </c>
      <c r="BG44">
        <v>85839158.900000006</v>
      </c>
      <c r="BH44">
        <v>15399683.300000001</v>
      </c>
      <c r="BI44">
        <v>101238842.09999999</v>
      </c>
      <c r="BJ44">
        <v>0</v>
      </c>
      <c r="BK44">
        <v>0</v>
      </c>
      <c r="BL44">
        <v>85459624.700000003</v>
      </c>
      <c r="BM44">
        <v>92088418.5</v>
      </c>
      <c r="BN44">
        <v>101238842.09999999</v>
      </c>
      <c r="BO44">
        <v>24.5</v>
      </c>
      <c r="BP44">
        <v>15.04</v>
      </c>
      <c r="BQ44">
        <v>0</v>
      </c>
      <c r="BR44">
        <v>39.54</v>
      </c>
      <c r="BS44">
        <v>26.39</v>
      </c>
      <c r="BT44">
        <v>16.739999999999998</v>
      </c>
      <c r="BU44">
        <v>0</v>
      </c>
      <c r="BV44">
        <v>43.13</v>
      </c>
      <c r="BW44">
        <v>453379260</v>
      </c>
      <c r="BX44">
        <v>251323170</v>
      </c>
      <c r="BY44">
        <v>39617348</v>
      </c>
      <c r="BZ44">
        <v>43460804</v>
      </c>
      <c r="CA44">
        <v>0</v>
      </c>
      <c r="CB44">
        <v>415803.8</v>
      </c>
      <c r="CC44">
        <v>104803620</v>
      </c>
      <c r="CD44">
        <v>0</v>
      </c>
      <c r="CE44">
        <v>3414012.8</v>
      </c>
      <c r="CF44">
        <v>582785.5</v>
      </c>
      <c r="CG44">
        <v>0</v>
      </c>
      <c r="CH44">
        <v>217899.3</v>
      </c>
      <c r="CI44">
        <v>0</v>
      </c>
      <c r="CJ44">
        <v>176624240</v>
      </c>
      <c r="CK44">
        <v>0</v>
      </c>
      <c r="CL44">
        <v>0</v>
      </c>
      <c r="CM44">
        <v>58470530</v>
      </c>
      <c r="CN44">
        <v>16228402</v>
      </c>
      <c r="CO44">
        <v>0</v>
      </c>
      <c r="CP44">
        <v>9543846</v>
      </c>
      <c r="CQ44">
        <v>0</v>
      </c>
      <c r="CR44">
        <v>6525.8</v>
      </c>
      <c r="CS44">
        <v>0</v>
      </c>
      <c r="CT44">
        <v>55.2</v>
      </c>
      <c r="CU44">
        <v>12686.2</v>
      </c>
      <c r="CV44">
        <v>0</v>
      </c>
      <c r="CW44">
        <v>0</v>
      </c>
      <c r="CX44">
        <v>11262.6</v>
      </c>
      <c r="CY44">
        <v>40140.1</v>
      </c>
      <c r="CZ44">
        <v>0</v>
      </c>
      <c r="DA44">
        <v>9145.7999999999993</v>
      </c>
      <c r="DB44">
        <v>0</v>
      </c>
      <c r="DC44">
        <v>541</v>
      </c>
      <c r="DD44">
        <v>4960</v>
      </c>
      <c r="DE44">
        <v>5486.8</v>
      </c>
      <c r="DF44">
        <v>0</v>
      </c>
      <c r="DG44">
        <v>24785.4</v>
      </c>
      <c r="DH44">
        <v>0</v>
      </c>
      <c r="DI44">
        <v>45641.7</v>
      </c>
      <c r="DJ44">
        <v>0</v>
      </c>
      <c r="DK44">
        <v>34477.699999999997</v>
      </c>
      <c r="DL44">
        <v>0</v>
      </c>
      <c r="DM44">
        <v>0</v>
      </c>
      <c r="DN44">
        <v>0</v>
      </c>
      <c r="DO44">
        <v>0.03</v>
      </c>
      <c r="DP44">
        <v>0</v>
      </c>
      <c r="DQ44">
        <v>0</v>
      </c>
      <c r="DR44">
        <v>0</v>
      </c>
    </row>
    <row r="45" spans="1:122" x14ac:dyDescent="0.3">
      <c r="A45" t="s">
        <v>159</v>
      </c>
      <c r="B45">
        <v>2040</v>
      </c>
      <c r="C45">
        <v>460529276.69999999</v>
      </c>
      <c r="D45">
        <v>442508351.39999998</v>
      </c>
      <c r="E45">
        <v>426601215.10000002</v>
      </c>
      <c r="F45">
        <v>0</v>
      </c>
      <c r="G45">
        <v>13999010</v>
      </c>
      <c r="H45">
        <v>172037530.5</v>
      </c>
      <c r="I45">
        <v>13999010</v>
      </c>
      <c r="J45">
        <v>0</v>
      </c>
      <c r="K45">
        <v>4021915.5</v>
      </c>
      <c r="L45">
        <v>3.5900000000000001E-2</v>
      </c>
      <c r="M45">
        <v>5.3900000000000003E-2</v>
      </c>
      <c r="N45">
        <v>0.13750000000000001</v>
      </c>
      <c r="O45">
        <v>73414.89</v>
      </c>
      <c r="P45">
        <v>103067.6</v>
      </c>
      <c r="Q45">
        <v>172.3</v>
      </c>
      <c r="R45">
        <v>11.8</v>
      </c>
      <c r="S45">
        <v>1.64</v>
      </c>
      <c r="T45">
        <v>13.4</v>
      </c>
      <c r="U45">
        <v>632.1</v>
      </c>
      <c r="V45">
        <v>0.1</v>
      </c>
      <c r="W45">
        <v>173.1</v>
      </c>
      <c r="X45">
        <v>31.2</v>
      </c>
      <c r="Y45">
        <v>204.2</v>
      </c>
      <c r="Z45">
        <v>187.2</v>
      </c>
      <c r="AA45">
        <v>12.8</v>
      </c>
      <c r="AB45">
        <v>1.79</v>
      </c>
      <c r="AC45">
        <v>14.5</v>
      </c>
      <c r="AD45">
        <v>685.1</v>
      </c>
      <c r="AE45">
        <v>0.11</v>
      </c>
      <c r="AF45">
        <v>188.1</v>
      </c>
      <c r="AG45">
        <v>33.700000000000003</v>
      </c>
      <c r="AH45">
        <v>221.8</v>
      </c>
      <c r="AI45">
        <v>232</v>
      </c>
      <c r="AJ45">
        <v>10.1</v>
      </c>
      <c r="AK45">
        <v>1.32</v>
      </c>
      <c r="AL45">
        <v>22.3</v>
      </c>
      <c r="AM45">
        <v>1030.3</v>
      </c>
      <c r="AN45">
        <v>0.11</v>
      </c>
      <c r="AO45">
        <v>232.7</v>
      </c>
      <c r="AP45">
        <v>51.2</v>
      </c>
      <c r="AQ45">
        <v>283.8</v>
      </c>
      <c r="AR45">
        <v>563.70000000000005</v>
      </c>
      <c r="AS45">
        <v>42.3</v>
      </c>
      <c r="AT45">
        <v>5.98</v>
      </c>
      <c r="AU45">
        <v>38.200000000000003</v>
      </c>
      <c r="AV45">
        <v>1923.9</v>
      </c>
      <c r="AW45">
        <v>0.28000000000000003</v>
      </c>
      <c r="AX45">
        <v>566.5</v>
      </c>
      <c r="AY45">
        <v>92.1</v>
      </c>
      <c r="AZ45">
        <v>658.6</v>
      </c>
      <c r="BA45">
        <v>79364579.799999997</v>
      </c>
      <c r="BB45">
        <v>5406.9</v>
      </c>
      <c r="BC45">
        <v>754</v>
      </c>
      <c r="BD45">
        <v>6191847</v>
      </c>
      <c r="BE45">
        <v>291392.3</v>
      </c>
      <c r="BF45">
        <v>45.5</v>
      </c>
      <c r="BG45">
        <v>79715795.200000003</v>
      </c>
      <c r="BH45">
        <v>14362890.199999999</v>
      </c>
      <c r="BI45">
        <v>94078685.400000006</v>
      </c>
      <c r="BJ45">
        <v>0</v>
      </c>
      <c r="BK45">
        <v>0</v>
      </c>
      <c r="BL45">
        <v>79364579.799999997</v>
      </c>
      <c r="BM45">
        <v>85556426.799999997</v>
      </c>
      <c r="BN45">
        <v>94078685.400000006</v>
      </c>
      <c r="BO45">
        <v>23.31</v>
      </c>
      <c r="BP45">
        <v>14.94</v>
      </c>
      <c r="BQ45">
        <v>0</v>
      </c>
      <c r="BR45">
        <v>38.25</v>
      </c>
      <c r="BS45">
        <v>25.14</v>
      </c>
      <c r="BT45">
        <v>16.71</v>
      </c>
      <c r="BU45">
        <v>0</v>
      </c>
      <c r="BV45">
        <v>41.85</v>
      </c>
      <c r="BW45">
        <v>464576160</v>
      </c>
      <c r="BX45">
        <v>270470820</v>
      </c>
      <c r="BY45">
        <v>39617348</v>
      </c>
      <c r="BZ45">
        <v>40297420</v>
      </c>
      <c r="CA45">
        <v>0</v>
      </c>
      <c r="CB45">
        <v>260704</v>
      </c>
      <c r="CC45">
        <v>98409390</v>
      </c>
      <c r="CD45">
        <v>0</v>
      </c>
      <c r="CE45">
        <v>2925180.2</v>
      </c>
      <c r="CF45">
        <v>563681</v>
      </c>
      <c r="CG45">
        <v>0</v>
      </c>
      <c r="CH45">
        <v>204272.4</v>
      </c>
      <c r="CI45">
        <v>0</v>
      </c>
      <c r="CJ45">
        <v>195666240</v>
      </c>
      <c r="CK45">
        <v>0</v>
      </c>
      <c r="CL45">
        <v>0</v>
      </c>
      <c r="CM45">
        <v>57929704</v>
      </c>
      <c r="CN45">
        <v>16874880</v>
      </c>
      <c r="CO45">
        <v>0</v>
      </c>
      <c r="CP45">
        <v>11827335</v>
      </c>
      <c r="CQ45">
        <v>0</v>
      </c>
      <c r="CR45">
        <v>8821.4</v>
      </c>
      <c r="CS45">
        <v>0</v>
      </c>
      <c r="CT45">
        <v>55.2</v>
      </c>
      <c r="CU45">
        <v>12686.2</v>
      </c>
      <c r="CV45">
        <v>0</v>
      </c>
      <c r="CW45">
        <v>0</v>
      </c>
      <c r="CX45">
        <v>11841.5</v>
      </c>
      <c r="CY45">
        <v>40140.1</v>
      </c>
      <c r="CZ45">
        <v>0</v>
      </c>
      <c r="DA45">
        <v>8796.7999999999993</v>
      </c>
      <c r="DB45">
        <v>0</v>
      </c>
      <c r="DC45">
        <v>541</v>
      </c>
      <c r="DD45">
        <v>4960</v>
      </c>
      <c r="DE45">
        <v>4574.3</v>
      </c>
      <c r="DF45">
        <v>0</v>
      </c>
      <c r="DG45">
        <v>25032.1</v>
      </c>
      <c r="DH45">
        <v>0</v>
      </c>
      <c r="DI45">
        <v>48513.8</v>
      </c>
      <c r="DJ45">
        <v>0</v>
      </c>
      <c r="DK45">
        <v>43769</v>
      </c>
      <c r="DL45">
        <v>0</v>
      </c>
      <c r="DM45">
        <v>0</v>
      </c>
      <c r="DN45">
        <v>0</v>
      </c>
      <c r="DO45">
        <v>0.03</v>
      </c>
      <c r="DP45">
        <v>0</v>
      </c>
      <c r="DQ45">
        <v>0</v>
      </c>
      <c r="DR45">
        <v>0</v>
      </c>
    </row>
    <row r="46" spans="1:122" x14ac:dyDescent="0.3">
      <c r="A46" t="s">
        <v>159</v>
      </c>
      <c r="B46">
        <v>2042</v>
      </c>
      <c r="C46">
        <v>473974667.89999998</v>
      </c>
      <c r="D46">
        <v>452387903.89999998</v>
      </c>
      <c r="E46">
        <v>436125620.89999998</v>
      </c>
      <c r="F46">
        <v>0</v>
      </c>
      <c r="G46">
        <v>17790650</v>
      </c>
      <c r="H46">
        <v>159663239.09999999</v>
      </c>
      <c r="I46">
        <v>17790650</v>
      </c>
      <c r="J46">
        <v>0</v>
      </c>
      <c r="K46">
        <v>3796114.9</v>
      </c>
      <c r="L46">
        <v>3.5900000000000001E-2</v>
      </c>
      <c r="M46">
        <v>5.3900000000000003E-2</v>
      </c>
      <c r="N46">
        <v>0.13750000000000001</v>
      </c>
      <c r="O46">
        <v>74857.039999999994</v>
      </c>
      <c r="P46">
        <v>105370.6</v>
      </c>
      <c r="Q46">
        <v>152.9</v>
      </c>
      <c r="R46">
        <v>10.4</v>
      </c>
      <c r="S46">
        <v>1.45</v>
      </c>
      <c r="T46">
        <v>12</v>
      </c>
      <c r="U46">
        <v>561.29999999999995</v>
      </c>
      <c r="V46">
        <v>0.09</v>
      </c>
      <c r="W46">
        <v>153.5</v>
      </c>
      <c r="X46">
        <v>27.7</v>
      </c>
      <c r="Y46">
        <v>181.2</v>
      </c>
      <c r="Z46">
        <v>167.4</v>
      </c>
      <c r="AA46">
        <v>11.5</v>
      </c>
      <c r="AB46">
        <v>1.6</v>
      </c>
      <c r="AC46">
        <v>13</v>
      </c>
      <c r="AD46">
        <v>612.9</v>
      </c>
      <c r="AE46">
        <v>0.1</v>
      </c>
      <c r="AF46">
        <v>168.1</v>
      </c>
      <c r="AG46">
        <v>30.2</v>
      </c>
      <c r="AH46">
        <v>198.3</v>
      </c>
      <c r="AI46">
        <v>294.3</v>
      </c>
      <c r="AJ46">
        <v>15</v>
      </c>
      <c r="AK46">
        <v>2.02</v>
      </c>
      <c r="AL46">
        <v>26.2</v>
      </c>
      <c r="AM46">
        <v>1237.9000000000001</v>
      </c>
      <c r="AN46">
        <v>0.14000000000000001</v>
      </c>
      <c r="AO46">
        <v>295.3</v>
      </c>
      <c r="AP46">
        <v>60.9</v>
      </c>
      <c r="AQ46">
        <v>356.2</v>
      </c>
      <c r="AR46">
        <v>557.4</v>
      </c>
      <c r="AS46">
        <v>43.5</v>
      </c>
      <c r="AT46">
        <v>6.16</v>
      </c>
      <c r="AU46">
        <v>36.200000000000003</v>
      </c>
      <c r="AV46">
        <v>1854.3</v>
      </c>
      <c r="AW46">
        <v>0.28000000000000003</v>
      </c>
      <c r="AX46">
        <v>560.20000000000005</v>
      </c>
      <c r="AY46">
        <v>88.2</v>
      </c>
      <c r="AZ46">
        <v>648.4</v>
      </c>
      <c r="BA46">
        <v>72579363.5</v>
      </c>
      <c r="BB46">
        <v>4947.3999999999996</v>
      </c>
      <c r="BC46">
        <v>689.7</v>
      </c>
      <c r="BD46">
        <v>5686389.4000000004</v>
      </c>
      <c r="BE46">
        <v>266761.8</v>
      </c>
      <c r="BF46">
        <v>42.1</v>
      </c>
      <c r="BG46">
        <v>72900650.700000003</v>
      </c>
      <c r="BH46">
        <v>13166873.9</v>
      </c>
      <c r="BI46">
        <v>86067524.599999994</v>
      </c>
      <c r="BJ46">
        <v>0</v>
      </c>
      <c r="BK46">
        <v>0</v>
      </c>
      <c r="BL46">
        <v>72579363.5</v>
      </c>
      <c r="BM46">
        <v>78265752.900000006</v>
      </c>
      <c r="BN46">
        <v>86067524.599999994</v>
      </c>
      <c r="BO46">
        <v>22.46</v>
      </c>
      <c r="BP46">
        <v>14.38</v>
      </c>
      <c r="BQ46">
        <v>0</v>
      </c>
      <c r="BR46">
        <v>36.840000000000003</v>
      </c>
      <c r="BS46">
        <v>24.24</v>
      </c>
      <c r="BT46">
        <v>16.14</v>
      </c>
      <c r="BU46">
        <v>0</v>
      </c>
      <c r="BV46">
        <v>40.380000000000003</v>
      </c>
      <c r="BW46">
        <v>479194430</v>
      </c>
      <c r="BX46">
        <v>292724670</v>
      </c>
      <c r="BY46">
        <v>39617348</v>
      </c>
      <c r="BZ46">
        <v>37000868</v>
      </c>
      <c r="CA46">
        <v>0</v>
      </c>
      <c r="CB46">
        <v>124970.1</v>
      </c>
      <c r="CC46">
        <v>92210024</v>
      </c>
      <c r="CD46">
        <v>0</v>
      </c>
      <c r="CE46">
        <v>1718069.4</v>
      </c>
      <c r="CF46">
        <v>560652.6</v>
      </c>
      <c r="CG46">
        <v>0</v>
      </c>
      <c r="CH46">
        <v>202643.8</v>
      </c>
      <c r="CI46">
        <v>0</v>
      </c>
      <c r="CJ46">
        <v>200218900</v>
      </c>
      <c r="CK46">
        <v>0</v>
      </c>
      <c r="CL46">
        <v>0</v>
      </c>
      <c r="CM46">
        <v>75424904</v>
      </c>
      <c r="CN46">
        <v>17080866</v>
      </c>
      <c r="CO46">
        <v>0</v>
      </c>
      <c r="CP46">
        <v>15035178</v>
      </c>
      <c r="CQ46">
        <v>0</v>
      </c>
      <c r="CR46">
        <v>11540.3</v>
      </c>
      <c r="CS46">
        <v>0</v>
      </c>
      <c r="CT46">
        <v>55.2</v>
      </c>
      <c r="CU46">
        <v>12686.2</v>
      </c>
      <c r="CV46">
        <v>0</v>
      </c>
      <c r="CW46">
        <v>0</v>
      </c>
      <c r="CX46">
        <v>12158.1</v>
      </c>
      <c r="CY46">
        <v>40140.1</v>
      </c>
      <c r="CZ46">
        <v>0</v>
      </c>
      <c r="DA46">
        <v>8796.7999999999993</v>
      </c>
      <c r="DB46">
        <v>0</v>
      </c>
      <c r="DC46">
        <v>541</v>
      </c>
      <c r="DD46">
        <v>4960</v>
      </c>
      <c r="DE46">
        <v>4038.8</v>
      </c>
      <c r="DF46">
        <v>0</v>
      </c>
      <c r="DG46">
        <v>32012.9</v>
      </c>
      <c r="DH46">
        <v>0</v>
      </c>
      <c r="DI46">
        <v>49389.3</v>
      </c>
      <c r="DJ46">
        <v>0</v>
      </c>
      <c r="DK46">
        <v>60875.6</v>
      </c>
      <c r="DL46">
        <v>0</v>
      </c>
      <c r="DM46">
        <v>0</v>
      </c>
      <c r="DN46">
        <v>0</v>
      </c>
      <c r="DO46">
        <v>0.03</v>
      </c>
      <c r="DP46">
        <v>0</v>
      </c>
      <c r="DQ46">
        <v>0</v>
      </c>
      <c r="DR46">
        <v>0</v>
      </c>
    </row>
    <row r="47" spans="1:122" x14ac:dyDescent="0.3">
      <c r="A47" t="s">
        <v>159</v>
      </c>
      <c r="B47">
        <v>2044</v>
      </c>
      <c r="C47">
        <v>487963450.30000001</v>
      </c>
      <c r="D47">
        <v>463478498.5</v>
      </c>
      <c r="E47">
        <v>446817534.69999999</v>
      </c>
      <c r="F47">
        <v>0</v>
      </c>
      <c r="G47">
        <v>20647272</v>
      </c>
      <c r="H47">
        <v>159327755</v>
      </c>
      <c r="I47">
        <v>20647272</v>
      </c>
      <c r="J47">
        <v>0</v>
      </c>
      <c r="K47">
        <v>3837680.4</v>
      </c>
      <c r="L47">
        <v>3.5900000000000001E-2</v>
      </c>
      <c r="M47">
        <v>5.3900000000000003E-2</v>
      </c>
      <c r="N47">
        <v>0.13750000000000001</v>
      </c>
      <c r="O47">
        <v>74964.23</v>
      </c>
      <c r="P47">
        <v>107947.8</v>
      </c>
      <c r="Q47">
        <v>150.6</v>
      </c>
      <c r="R47">
        <v>10.5</v>
      </c>
      <c r="S47">
        <v>1.46</v>
      </c>
      <c r="T47">
        <v>11.6</v>
      </c>
      <c r="U47">
        <v>547.4</v>
      </c>
      <c r="V47">
        <v>0.09</v>
      </c>
      <c r="W47">
        <v>151.30000000000001</v>
      </c>
      <c r="X47">
        <v>26.9</v>
      </c>
      <c r="Y47">
        <v>178.2</v>
      </c>
      <c r="Z47">
        <v>166.1</v>
      </c>
      <c r="AA47">
        <v>11.6</v>
      </c>
      <c r="AB47">
        <v>1.62</v>
      </c>
      <c r="AC47">
        <v>12.7</v>
      </c>
      <c r="AD47">
        <v>601.9</v>
      </c>
      <c r="AE47">
        <v>0.1</v>
      </c>
      <c r="AF47">
        <v>166.9</v>
      </c>
      <c r="AG47">
        <v>29.6</v>
      </c>
      <c r="AH47">
        <v>196.5</v>
      </c>
      <c r="AI47">
        <v>299.2</v>
      </c>
      <c r="AJ47">
        <v>17</v>
      </c>
      <c r="AK47">
        <v>2.31</v>
      </c>
      <c r="AL47">
        <v>25.1</v>
      </c>
      <c r="AM47">
        <v>1204.5</v>
      </c>
      <c r="AN47">
        <v>0.14000000000000001</v>
      </c>
      <c r="AO47">
        <v>300.2</v>
      </c>
      <c r="AP47">
        <v>58.8</v>
      </c>
      <c r="AQ47">
        <v>359.1</v>
      </c>
      <c r="AR47">
        <v>574.20000000000005</v>
      </c>
      <c r="AS47">
        <v>45.2</v>
      </c>
      <c r="AT47">
        <v>6.4</v>
      </c>
      <c r="AU47">
        <v>36.799999999999997</v>
      </c>
      <c r="AV47">
        <v>1902.4</v>
      </c>
      <c r="AW47">
        <v>0.28000000000000003</v>
      </c>
      <c r="AX47">
        <v>577.20000000000005</v>
      </c>
      <c r="AY47">
        <v>90.2</v>
      </c>
      <c r="AZ47">
        <v>667.3</v>
      </c>
      <c r="BA47">
        <v>73693451.400000006</v>
      </c>
      <c r="BB47">
        <v>5115.2</v>
      </c>
      <c r="BC47">
        <v>714.3</v>
      </c>
      <c r="BD47">
        <v>5683105</v>
      </c>
      <c r="BE47">
        <v>268081.7</v>
      </c>
      <c r="BF47">
        <v>42.6</v>
      </c>
      <c r="BG47">
        <v>74025953.599999994</v>
      </c>
      <c r="BH47">
        <v>13200674.4</v>
      </c>
      <c r="BI47">
        <v>87226628</v>
      </c>
      <c r="BJ47">
        <v>0</v>
      </c>
      <c r="BK47">
        <v>0</v>
      </c>
      <c r="BL47">
        <v>73693451.400000006</v>
      </c>
      <c r="BM47">
        <v>79376556.400000006</v>
      </c>
      <c r="BN47">
        <v>87226628</v>
      </c>
      <c r="BO47">
        <v>22.55</v>
      </c>
      <c r="BP47">
        <v>14.23</v>
      </c>
      <c r="BQ47">
        <v>0</v>
      </c>
      <c r="BR47">
        <v>36.78</v>
      </c>
      <c r="BS47">
        <v>24.33</v>
      </c>
      <c r="BT47">
        <v>16.03</v>
      </c>
      <c r="BU47">
        <v>0</v>
      </c>
      <c r="BV47">
        <v>40.36</v>
      </c>
      <c r="BW47">
        <v>493895230</v>
      </c>
      <c r="BX47">
        <v>304150750</v>
      </c>
      <c r="BY47">
        <v>39617348</v>
      </c>
      <c r="BZ47">
        <v>38368590</v>
      </c>
      <c r="CA47">
        <v>0</v>
      </c>
      <c r="CB47">
        <v>70768</v>
      </c>
      <c r="CC47">
        <v>92319784</v>
      </c>
      <c r="CD47">
        <v>0</v>
      </c>
      <c r="CE47">
        <v>1176201.2</v>
      </c>
      <c r="CF47">
        <v>562818.1</v>
      </c>
      <c r="CG47">
        <v>0</v>
      </c>
      <c r="CH47">
        <v>201627.1</v>
      </c>
      <c r="CI47">
        <v>0</v>
      </c>
      <c r="CJ47">
        <v>206868110</v>
      </c>
      <c r="CK47">
        <v>0</v>
      </c>
      <c r="CL47">
        <v>0</v>
      </c>
      <c r="CM47">
        <v>79773624</v>
      </c>
      <c r="CN47">
        <v>17509006</v>
      </c>
      <c r="CO47">
        <v>0</v>
      </c>
      <c r="CP47">
        <v>17427342</v>
      </c>
      <c r="CQ47">
        <v>0</v>
      </c>
      <c r="CR47">
        <v>14283.1</v>
      </c>
      <c r="CS47">
        <v>0</v>
      </c>
      <c r="CT47">
        <v>55.2</v>
      </c>
      <c r="CU47">
        <v>12686.2</v>
      </c>
      <c r="CV47">
        <v>0</v>
      </c>
      <c r="CW47">
        <v>0</v>
      </c>
      <c r="CX47">
        <v>12585.5</v>
      </c>
      <c r="CY47">
        <v>40140.1</v>
      </c>
      <c r="CZ47">
        <v>0</v>
      </c>
      <c r="DA47">
        <v>8650.7999999999993</v>
      </c>
      <c r="DB47">
        <v>0</v>
      </c>
      <c r="DC47">
        <v>541</v>
      </c>
      <c r="DD47">
        <v>4960</v>
      </c>
      <c r="DE47">
        <v>3501.8</v>
      </c>
      <c r="DF47">
        <v>0</v>
      </c>
      <c r="DG47">
        <v>34691</v>
      </c>
      <c r="DH47">
        <v>0</v>
      </c>
      <c r="DI47">
        <v>51011.8</v>
      </c>
      <c r="DJ47">
        <v>0</v>
      </c>
      <c r="DK47">
        <v>77392.600000000006</v>
      </c>
      <c r="DL47">
        <v>0</v>
      </c>
      <c r="DM47">
        <v>0</v>
      </c>
      <c r="DN47">
        <v>0</v>
      </c>
      <c r="DO47">
        <v>0.03</v>
      </c>
      <c r="DP47">
        <v>0</v>
      </c>
      <c r="DQ47">
        <v>0</v>
      </c>
      <c r="DR47">
        <v>0</v>
      </c>
    </row>
    <row r="48" spans="1:122" x14ac:dyDescent="0.3">
      <c r="A48" t="s">
        <v>159</v>
      </c>
      <c r="B48">
        <v>2046</v>
      </c>
      <c r="C48">
        <v>499672125.10000002</v>
      </c>
      <c r="D48">
        <v>474250397.80000001</v>
      </c>
      <c r="E48">
        <v>457202209.5</v>
      </c>
      <c r="F48">
        <v>0</v>
      </c>
      <c r="G48">
        <v>21450884</v>
      </c>
      <c r="H48">
        <v>171551505</v>
      </c>
      <c r="I48">
        <v>21450884</v>
      </c>
      <c r="J48">
        <v>0</v>
      </c>
      <c r="K48">
        <v>3970844.1</v>
      </c>
      <c r="L48">
        <v>3.5900000000000001E-2</v>
      </c>
      <c r="M48">
        <v>5.3900000000000003E-2</v>
      </c>
      <c r="N48">
        <v>0.13750000000000001</v>
      </c>
      <c r="O48">
        <v>80007.820000000007</v>
      </c>
      <c r="P48">
        <v>110458</v>
      </c>
      <c r="Q48">
        <v>156.80000000000001</v>
      </c>
      <c r="R48">
        <v>10.5</v>
      </c>
      <c r="S48">
        <v>1.47</v>
      </c>
      <c r="T48">
        <v>12.3</v>
      </c>
      <c r="U48">
        <v>581.4</v>
      </c>
      <c r="V48">
        <v>0.09</v>
      </c>
      <c r="W48">
        <v>157.5</v>
      </c>
      <c r="X48">
        <v>28.7</v>
      </c>
      <c r="Y48">
        <v>186.2</v>
      </c>
      <c r="Z48">
        <v>173</v>
      </c>
      <c r="AA48">
        <v>11.7</v>
      </c>
      <c r="AB48">
        <v>1.63</v>
      </c>
      <c r="AC48">
        <v>13.5</v>
      </c>
      <c r="AD48">
        <v>638.6</v>
      </c>
      <c r="AE48">
        <v>0.1</v>
      </c>
      <c r="AF48">
        <v>173.8</v>
      </c>
      <c r="AG48">
        <v>31.4</v>
      </c>
      <c r="AH48">
        <v>205.2</v>
      </c>
      <c r="AI48">
        <v>254.9</v>
      </c>
      <c r="AJ48">
        <v>13.7</v>
      </c>
      <c r="AK48">
        <v>1.85</v>
      </c>
      <c r="AL48">
        <v>22.1</v>
      </c>
      <c r="AM48">
        <v>1051.5999999999999</v>
      </c>
      <c r="AN48">
        <v>0.12</v>
      </c>
      <c r="AO48">
        <v>255.8</v>
      </c>
      <c r="AP48">
        <v>51.6</v>
      </c>
      <c r="AQ48">
        <v>307.39999999999998</v>
      </c>
      <c r="AR48">
        <v>587.5</v>
      </c>
      <c r="AS48">
        <v>44.3</v>
      </c>
      <c r="AT48">
        <v>6.25</v>
      </c>
      <c r="AU48">
        <v>39.4</v>
      </c>
      <c r="AV48">
        <v>2013</v>
      </c>
      <c r="AW48">
        <v>0.28000000000000003</v>
      </c>
      <c r="AX48">
        <v>590.4</v>
      </c>
      <c r="AY48">
        <v>95.8</v>
      </c>
      <c r="AZ48">
        <v>686.2</v>
      </c>
      <c r="BA48">
        <v>78287114.299999997</v>
      </c>
      <c r="BB48">
        <v>5262.7</v>
      </c>
      <c r="BC48">
        <v>732.2</v>
      </c>
      <c r="BD48">
        <v>6168920.9000000004</v>
      </c>
      <c r="BE48">
        <v>290321</v>
      </c>
      <c r="BF48">
        <v>44.5</v>
      </c>
      <c r="BG48">
        <v>78628489.599999994</v>
      </c>
      <c r="BH48">
        <v>14309704.1</v>
      </c>
      <c r="BI48">
        <v>92938193.700000003</v>
      </c>
      <c r="BJ48">
        <v>0</v>
      </c>
      <c r="BK48">
        <v>0</v>
      </c>
      <c r="BL48">
        <v>78287114.299999997</v>
      </c>
      <c r="BM48">
        <v>84456035.200000003</v>
      </c>
      <c r="BN48">
        <v>92938193.700000003</v>
      </c>
      <c r="BO48">
        <v>24.21</v>
      </c>
      <c r="BP48">
        <v>15.28</v>
      </c>
      <c r="BQ48">
        <v>0</v>
      </c>
      <c r="BR48">
        <v>39.49</v>
      </c>
      <c r="BS48">
        <v>26.07</v>
      </c>
      <c r="BT48">
        <v>17.239999999999998</v>
      </c>
      <c r="BU48">
        <v>0</v>
      </c>
      <c r="BV48">
        <v>43.31</v>
      </c>
      <c r="BW48">
        <v>503591500</v>
      </c>
      <c r="BX48">
        <v>302698880</v>
      </c>
      <c r="BY48">
        <v>39617348</v>
      </c>
      <c r="BZ48">
        <v>39229510</v>
      </c>
      <c r="CA48">
        <v>0</v>
      </c>
      <c r="CB48">
        <v>13778.4</v>
      </c>
      <c r="CC48">
        <v>101120000</v>
      </c>
      <c r="CD48">
        <v>0</v>
      </c>
      <c r="CE48">
        <v>1997259.6</v>
      </c>
      <c r="CF48">
        <v>587117.4</v>
      </c>
      <c r="CG48">
        <v>0</v>
      </c>
      <c r="CH48">
        <v>215411.7</v>
      </c>
      <c r="CI48">
        <v>0</v>
      </c>
      <c r="CJ48">
        <v>205186990</v>
      </c>
      <c r="CK48">
        <v>0</v>
      </c>
      <c r="CL48">
        <v>0</v>
      </c>
      <c r="CM48">
        <v>79274840</v>
      </c>
      <c r="CN48">
        <v>18237052</v>
      </c>
      <c r="CO48">
        <v>0</v>
      </c>
      <c r="CP48">
        <v>18112140</v>
      </c>
      <c r="CQ48">
        <v>0</v>
      </c>
      <c r="CR48">
        <v>15591.8</v>
      </c>
      <c r="CS48">
        <v>0</v>
      </c>
      <c r="CT48">
        <v>55.2</v>
      </c>
      <c r="CU48">
        <v>10172.200000000001</v>
      </c>
      <c r="CV48">
        <v>0</v>
      </c>
      <c r="CW48">
        <v>0</v>
      </c>
      <c r="CX48">
        <v>13183</v>
      </c>
      <c r="CY48">
        <v>39725.1</v>
      </c>
      <c r="CZ48">
        <v>0</v>
      </c>
      <c r="DA48">
        <v>13532.3</v>
      </c>
      <c r="DB48">
        <v>0</v>
      </c>
      <c r="DC48">
        <v>541</v>
      </c>
      <c r="DD48">
        <v>4960</v>
      </c>
      <c r="DE48">
        <v>2694.2</v>
      </c>
      <c r="DF48">
        <v>0</v>
      </c>
      <c r="DG48">
        <v>34272</v>
      </c>
      <c r="DH48">
        <v>0</v>
      </c>
      <c r="DI48">
        <v>49836</v>
      </c>
      <c r="DJ48">
        <v>0</v>
      </c>
      <c r="DK48">
        <v>82380</v>
      </c>
      <c r="DL48">
        <v>0</v>
      </c>
      <c r="DM48">
        <v>0</v>
      </c>
      <c r="DN48">
        <v>0</v>
      </c>
      <c r="DO48">
        <v>0.03</v>
      </c>
      <c r="DP48">
        <v>0</v>
      </c>
      <c r="DQ48">
        <v>0</v>
      </c>
      <c r="DR48">
        <v>0</v>
      </c>
    </row>
    <row r="49" spans="1:122" x14ac:dyDescent="0.3">
      <c r="A49" t="s">
        <v>159</v>
      </c>
      <c r="B49">
        <v>2048</v>
      </c>
      <c r="C49">
        <v>510206434.89999998</v>
      </c>
      <c r="D49">
        <v>485213514.30000001</v>
      </c>
      <c r="E49">
        <v>467771227.80000001</v>
      </c>
      <c r="F49">
        <v>0</v>
      </c>
      <c r="G49">
        <v>21232622</v>
      </c>
      <c r="H49">
        <v>180589692.19999999</v>
      </c>
      <c r="I49">
        <v>21232622</v>
      </c>
      <c r="J49">
        <v>0</v>
      </c>
      <c r="K49">
        <v>3760297.9</v>
      </c>
      <c r="L49">
        <v>3.5900000000000001E-2</v>
      </c>
      <c r="M49">
        <v>5.3900000000000003E-2</v>
      </c>
      <c r="N49">
        <v>0.13750000000000001</v>
      </c>
      <c r="O49">
        <v>80821.740000000005</v>
      </c>
      <c r="P49">
        <v>113013.1</v>
      </c>
      <c r="Q49">
        <v>165.9</v>
      </c>
      <c r="R49">
        <v>11.4</v>
      </c>
      <c r="S49">
        <v>1.59</v>
      </c>
      <c r="T49">
        <v>12.8</v>
      </c>
      <c r="U49">
        <v>608</v>
      </c>
      <c r="V49">
        <v>0.09</v>
      </c>
      <c r="W49">
        <v>166.6</v>
      </c>
      <c r="X49">
        <v>29.9</v>
      </c>
      <c r="Y49">
        <v>196.5</v>
      </c>
      <c r="Z49">
        <v>182.8</v>
      </c>
      <c r="AA49">
        <v>12.6</v>
      </c>
      <c r="AB49">
        <v>1.76</v>
      </c>
      <c r="AC49">
        <v>14</v>
      </c>
      <c r="AD49">
        <v>667</v>
      </c>
      <c r="AE49">
        <v>0.1</v>
      </c>
      <c r="AF49">
        <v>183.6</v>
      </c>
      <c r="AG49">
        <v>32.700000000000003</v>
      </c>
      <c r="AH49">
        <v>216.4</v>
      </c>
      <c r="AI49">
        <v>193.5</v>
      </c>
      <c r="AJ49">
        <v>9.8000000000000007</v>
      </c>
      <c r="AK49">
        <v>1.31</v>
      </c>
      <c r="AL49">
        <v>17.3</v>
      </c>
      <c r="AM49">
        <v>818</v>
      </c>
      <c r="AN49">
        <v>0.09</v>
      </c>
      <c r="AO49">
        <v>194.2</v>
      </c>
      <c r="AP49">
        <v>40.299999999999997</v>
      </c>
      <c r="AQ49">
        <v>234.4</v>
      </c>
      <c r="AR49">
        <v>592.70000000000005</v>
      </c>
      <c r="AS49">
        <v>43.5</v>
      </c>
      <c r="AT49">
        <v>6.11</v>
      </c>
      <c r="AU49">
        <v>40.799999999999997</v>
      </c>
      <c r="AV49">
        <v>2071</v>
      </c>
      <c r="AW49">
        <v>0.28000000000000003</v>
      </c>
      <c r="AX49">
        <v>595.6</v>
      </c>
      <c r="AY49">
        <v>98.9</v>
      </c>
      <c r="AZ49">
        <v>694.5</v>
      </c>
      <c r="BA49">
        <v>84641417.799999997</v>
      </c>
      <c r="BB49">
        <v>5802</v>
      </c>
      <c r="BC49">
        <v>808.9</v>
      </c>
      <c r="BD49">
        <v>6538845.5</v>
      </c>
      <c r="BE49">
        <v>310292.09999999998</v>
      </c>
      <c r="BF49">
        <v>47.5</v>
      </c>
      <c r="BG49">
        <v>85018225</v>
      </c>
      <c r="BH49">
        <v>15239617.699999999</v>
      </c>
      <c r="BI49">
        <v>100257842.7</v>
      </c>
      <c r="BJ49">
        <v>0</v>
      </c>
      <c r="BK49">
        <v>0</v>
      </c>
      <c r="BL49">
        <v>84641417.799999997</v>
      </c>
      <c r="BM49">
        <v>91180263.400000006</v>
      </c>
      <c r="BN49">
        <v>100257842.7</v>
      </c>
      <c r="BO49">
        <v>25.25</v>
      </c>
      <c r="BP49">
        <v>15.67</v>
      </c>
      <c r="BQ49">
        <v>0</v>
      </c>
      <c r="BR49">
        <v>40.92</v>
      </c>
      <c r="BS49">
        <v>27.16</v>
      </c>
      <c r="BT49">
        <v>17.670000000000002</v>
      </c>
      <c r="BU49">
        <v>0</v>
      </c>
      <c r="BV49">
        <v>44.82</v>
      </c>
      <c r="BW49">
        <v>514596930</v>
      </c>
      <c r="BX49">
        <v>304623800</v>
      </c>
      <c r="BY49">
        <v>39617348</v>
      </c>
      <c r="BZ49">
        <v>43550636</v>
      </c>
      <c r="CA49">
        <v>0</v>
      </c>
      <c r="CB49">
        <v>3221.8</v>
      </c>
      <c r="CC49">
        <v>105343480</v>
      </c>
      <c r="CD49">
        <v>0</v>
      </c>
      <c r="CE49">
        <v>2716497.2</v>
      </c>
      <c r="CF49">
        <v>595968.19999999995</v>
      </c>
      <c r="CG49">
        <v>0</v>
      </c>
      <c r="CH49">
        <v>218519.1</v>
      </c>
      <c r="CI49">
        <v>0</v>
      </c>
      <c r="CJ49">
        <v>208721020</v>
      </c>
      <c r="CK49">
        <v>0</v>
      </c>
      <c r="CL49">
        <v>0</v>
      </c>
      <c r="CM49">
        <v>77618040</v>
      </c>
      <c r="CN49">
        <v>18284756</v>
      </c>
      <c r="CO49">
        <v>0</v>
      </c>
      <c r="CP49">
        <v>17927430</v>
      </c>
      <c r="CQ49">
        <v>0</v>
      </c>
      <c r="CR49">
        <v>15329.8</v>
      </c>
      <c r="CS49">
        <v>0</v>
      </c>
      <c r="CT49">
        <v>55.2</v>
      </c>
      <c r="CU49">
        <v>10172.200000000001</v>
      </c>
      <c r="CV49">
        <v>0</v>
      </c>
      <c r="CW49">
        <v>0</v>
      </c>
      <c r="CX49">
        <v>13370.7</v>
      </c>
      <c r="CY49">
        <v>39175.699999999997</v>
      </c>
      <c r="CZ49">
        <v>0</v>
      </c>
      <c r="DA49">
        <v>17435</v>
      </c>
      <c r="DB49">
        <v>0</v>
      </c>
      <c r="DC49">
        <v>541</v>
      </c>
      <c r="DD49">
        <v>4960</v>
      </c>
      <c r="DE49">
        <v>1671.6</v>
      </c>
      <c r="DF49">
        <v>0</v>
      </c>
      <c r="DG49">
        <v>33624</v>
      </c>
      <c r="DH49">
        <v>0</v>
      </c>
      <c r="DI49">
        <v>50137.599999999999</v>
      </c>
      <c r="DJ49">
        <v>0</v>
      </c>
      <c r="DK49">
        <v>83349.600000000006</v>
      </c>
      <c r="DL49">
        <v>0</v>
      </c>
      <c r="DM49">
        <v>0</v>
      </c>
      <c r="DN49">
        <v>0</v>
      </c>
      <c r="DO49">
        <v>0.03</v>
      </c>
      <c r="DP49">
        <v>0</v>
      </c>
      <c r="DQ49">
        <v>0</v>
      </c>
      <c r="DR49">
        <v>0</v>
      </c>
    </row>
    <row r="50" spans="1:122" x14ac:dyDescent="0.3">
      <c r="A50" t="s">
        <v>159</v>
      </c>
      <c r="B50">
        <v>2050</v>
      </c>
      <c r="C50">
        <v>525544702.89999998</v>
      </c>
      <c r="D50">
        <v>497260195</v>
      </c>
      <c r="E50">
        <v>479384858.5</v>
      </c>
      <c r="F50">
        <v>0</v>
      </c>
      <c r="G50">
        <v>24471810</v>
      </c>
      <c r="H50">
        <v>147544700.19999999</v>
      </c>
      <c r="I50">
        <v>24471810</v>
      </c>
      <c r="J50">
        <v>0</v>
      </c>
      <c r="K50">
        <v>3812698.5</v>
      </c>
      <c r="L50">
        <v>3.5900000000000001E-2</v>
      </c>
      <c r="M50">
        <v>5.3900000000000003E-2</v>
      </c>
      <c r="N50">
        <v>0.13750000000000001</v>
      </c>
      <c r="O50">
        <v>80700.399999999994</v>
      </c>
      <c r="P50">
        <v>115822</v>
      </c>
      <c r="Q50">
        <v>129.30000000000001</v>
      </c>
      <c r="R50">
        <v>8.8000000000000007</v>
      </c>
      <c r="S50">
        <v>1.22</v>
      </c>
      <c r="T50">
        <v>10.199999999999999</v>
      </c>
      <c r="U50">
        <v>476.7</v>
      </c>
      <c r="V50">
        <v>0.08</v>
      </c>
      <c r="W50">
        <v>129.9</v>
      </c>
      <c r="X50">
        <v>23.5</v>
      </c>
      <c r="Y50">
        <v>153.4</v>
      </c>
      <c r="Z50">
        <v>144.19999999999999</v>
      </c>
      <c r="AA50">
        <v>9.9</v>
      </c>
      <c r="AB50">
        <v>1.38</v>
      </c>
      <c r="AC50">
        <v>11.3</v>
      </c>
      <c r="AD50">
        <v>529.29999999999995</v>
      </c>
      <c r="AE50">
        <v>0.08</v>
      </c>
      <c r="AF50">
        <v>144.80000000000001</v>
      </c>
      <c r="AG50">
        <v>26.1</v>
      </c>
      <c r="AH50">
        <v>171</v>
      </c>
      <c r="AI50">
        <v>165.4</v>
      </c>
      <c r="AJ50">
        <v>8.3000000000000007</v>
      </c>
      <c r="AK50">
        <v>1.1000000000000001</v>
      </c>
      <c r="AL50">
        <v>14.9</v>
      </c>
      <c r="AM50">
        <v>702.1</v>
      </c>
      <c r="AN50">
        <v>0.08</v>
      </c>
      <c r="AO50">
        <v>166</v>
      </c>
      <c r="AP50">
        <v>34.6</v>
      </c>
      <c r="AQ50">
        <v>200.5</v>
      </c>
      <c r="AR50">
        <v>525</v>
      </c>
      <c r="AS50">
        <v>38.9</v>
      </c>
      <c r="AT50">
        <v>5.47</v>
      </c>
      <c r="AU50">
        <v>35.799999999999997</v>
      </c>
      <c r="AV50">
        <v>1825.6</v>
      </c>
      <c r="AW50">
        <v>0.25</v>
      </c>
      <c r="AX50">
        <v>527.6</v>
      </c>
      <c r="AY50">
        <v>86.9</v>
      </c>
      <c r="AZ50">
        <v>614.5</v>
      </c>
      <c r="BA50">
        <v>68550203.200000003</v>
      </c>
      <c r="BB50">
        <v>4657.3999999999996</v>
      </c>
      <c r="BC50">
        <v>648.70000000000005</v>
      </c>
      <c r="BD50">
        <v>5400012.7000000002</v>
      </c>
      <c r="BE50">
        <v>252790.9</v>
      </c>
      <c r="BF50">
        <v>40</v>
      </c>
      <c r="BG50">
        <v>68852503.5</v>
      </c>
      <c r="BH50">
        <v>12488751</v>
      </c>
      <c r="BI50">
        <v>81341254.599999994</v>
      </c>
      <c r="BJ50">
        <v>0</v>
      </c>
      <c r="BK50">
        <v>0</v>
      </c>
      <c r="BL50">
        <v>68550203.200000003</v>
      </c>
      <c r="BM50">
        <v>73950215.900000006</v>
      </c>
      <c r="BN50">
        <v>81341254.599999994</v>
      </c>
      <c r="BO50">
        <v>21.93</v>
      </c>
      <c r="BP50">
        <v>14.64</v>
      </c>
      <c r="BQ50">
        <v>0</v>
      </c>
      <c r="BR50">
        <v>36.57</v>
      </c>
      <c r="BS50">
        <v>23.7</v>
      </c>
      <c r="BT50">
        <v>16.53</v>
      </c>
      <c r="BU50">
        <v>0</v>
      </c>
      <c r="BV50">
        <v>40.22</v>
      </c>
      <c r="BW50">
        <v>535203260</v>
      </c>
      <c r="BX50">
        <v>349715500</v>
      </c>
      <c r="BY50">
        <v>39617348</v>
      </c>
      <c r="BZ50">
        <v>34846224</v>
      </c>
      <c r="CA50">
        <v>0</v>
      </c>
      <c r="CB50">
        <v>1122.4000000000001</v>
      </c>
      <c r="CC50">
        <v>88154750</v>
      </c>
      <c r="CD50">
        <v>0</v>
      </c>
      <c r="CE50">
        <v>1481228.5</v>
      </c>
      <c r="CF50">
        <v>541302.6</v>
      </c>
      <c r="CG50">
        <v>0</v>
      </c>
      <c r="CH50">
        <v>191367.4</v>
      </c>
      <c r="CI50">
        <v>0</v>
      </c>
      <c r="CJ50">
        <v>235512600</v>
      </c>
      <c r="CK50">
        <v>0</v>
      </c>
      <c r="CL50">
        <v>0</v>
      </c>
      <c r="CM50">
        <v>95932670</v>
      </c>
      <c r="CN50">
        <v>18270232</v>
      </c>
      <c r="CO50">
        <v>0</v>
      </c>
      <c r="CP50">
        <v>20654446</v>
      </c>
      <c r="CQ50">
        <v>0</v>
      </c>
      <c r="CR50">
        <v>18117.099999999999</v>
      </c>
      <c r="CS50">
        <v>0</v>
      </c>
      <c r="CT50">
        <v>55.2</v>
      </c>
      <c r="CU50">
        <v>10172.200000000001</v>
      </c>
      <c r="CV50">
        <v>0</v>
      </c>
      <c r="CW50">
        <v>0</v>
      </c>
      <c r="CX50">
        <v>13722.6</v>
      </c>
      <c r="CY50">
        <v>38851.199999999997</v>
      </c>
      <c r="CZ50">
        <v>0</v>
      </c>
      <c r="DA50">
        <v>17327.599999999999</v>
      </c>
      <c r="DB50">
        <v>0</v>
      </c>
      <c r="DC50">
        <v>541</v>
      </c>
      <c r="DD50">
        <v>4960</v>
      </c>
      <c r="DE50">
        <v>1511</v>
      </c>
      <c r="DF50">
        <v>0</v>
      </c>
      <c r="DG50">
        <v>40400.5</v>
      </c>
      <c r="DH50">
        <v>0</v>
      </c>
      <c r="DI50">
        <v>56842.400000000001</v>
      </c>
      <c r="DJ50">
        <v>0</v>
      </c>
      <c r="DK50">
        <v>102180.4</v>
      </c>
      <c r="DL50">
        <v>0</v>
      </c>
      <c r="DM50">
        <v>0</v>
      </c>
      <c r="DN50">
        <v>0</v>
      </c>
      <c r="DO50">
        <v>0.03</v>
      </c>
      <c r="DP50">
        <v>0</v>
      </c>
      <c r="DQ50">
        <v>0</v>
      </c>
      <c r="DR50">
        <v>0</v>
      </c>
    </row>
    <row r="51" spans="1:122" x14ac:dyDescent="0.3">
      <c r="A51" t="s">
        <v>160</v>
      </c>
      <c r="B51">
        <v>2022</v>
      </c>
      <c r="C51">
        <v>231613670.30000001</v>
      </c>
      <c r="D51">
        <v>230007424.80000001</v>
      </c>
      <c r="E51">
        <v>221741570</v>
      </c>
      <c r="F51">
        <v>0</v>
      </c>
      <c r="G51">
        <v>654434.6</v>
      </c>
      <c r="H51">
        <v>218439459.59999999</v>
      </c>
      <c r="I51">
        <v>654434.6</v>
      </c>
      <c r="J51">
        <v>0</v>
      </c>
      <c r="K51">
        <v>951810.9</v>
      </c>
      <c r="L51">
        <v>3.5900000000000001E-2</v>
      </c>
      <c r="M51">
        <v>5.3900000000000003E-2</v>
      </c>
      <c r="N51">
        <v>0.15</v>
      </c>
      <c r="O51">
        <v>27016.7</v>
      </c>
      <c r="P51">
        <v>52128.5</v>
      </c>
      <c r="Q51">
        <v>412.9</v>
      </c>
      <c r="R51">
        <v>24.2</v>
      </c>
      <c r="S51">
        <v>3.31</v>
      </c>
      <c r="T51">
        <v>36</v>
      </c>
      <c r="U51">
        <v>1642.5</v>
      </c>
      <c r="V51">
        <v>0.22</v>
      </c>
      <c r="W51">
        <v>414.4</v>
      </c>
      <c r="X51">
        <v>82</v>
      </c>
      <c r="Y51">
        <v>496.5</v>
      </c>
      <c r="Z51">
        <v>426.6</v>
      </c>
      <c r="AA51">
        <v>25.6</v>
      </c>
      <c r="AB51">
        <v>3.51</v>
      </c>
      <c r="AC51">
        <v>36.799999999999997</v>
      </c>
      <c r="AD51">
        <v>1679.2</v>
      </c>
      <c r="AE51">
        <v>0.23</v>
      </c>
      <c r="AF51">
        <v>428.2</v>
      </c>
      <c r="AG51">
        <v>83.9</v>
      </c>
      <c r="AH51">
        <v>512.1</v>
      </c>
      <c r="AI51">
        <v>424</v>
      </c>
      <c r="AJ51">
        <v>20.2</v>
      </c>
      <c r="AK51">
        <v>2.75</v>
      </c>
      <c r="AL51">
        <v>39.799999999999997</v>
      </c>
      <c r="AM51">
        <v>1772.9</v>
      </c>
      <c r="AN51">
        <v>0.23</v>
      </c>
      <c r="AO51">
        <v>425.3</v>
      </c>
      <c r="AP51">
        <v>89.5</v>
      </c>
      <c r="AQ51">
        <v>514.70000000000005</v>
      </c>
      <c r="AR51">
        <v>658.9</v>
      </c>
      <c r="AS51">
        <v>43.3</v>
      </c>
      <c r="AT51">
        <v>6.12</v>
      </c>
      <c r="AU51">
        <v>51.1</v>
      </c>
      <c r="AV51">
        <v>2372.8000000000002</v>
      </c>
      <c r="AW51">
        <v>0.37</v>
      </c>
      <c r="AX51">
        <v>661.7</v>
      </c>
      <c r="AY51">
        <v>117.6</v>
      </c>
      <c r="AZ51">
        <v>779.4</v>
      </c>
      <c r="BA51">
        <v>90539006.900000006</v>
      </c>
      <c r="BB51">
        <v>5299.8</v>
      </c>
      <c r="BC51">
        <v>725.5</v>
      </c>
      <c r="BD51">
        <v>7899950.5999999996</v>
      </c>
      <c r="BE51">
        <v>360406.5</v>
      </c>
      <c r="BF51">
        <v>48.5</v>
      </c>
      <c r="BG51">
        <v>90879648.599999994</v>
      </c>
      <c r="BH51">
        <v>18004191.5</v>
      </c>
      <c r="BI51">
        <v>108883840.2</v>
      </c>
      <c r="BJ51">
        <v>0</v>
      </c>
      <c r="BK51">
        <v>0</v>
      </c>
      <c r="BL51">
        <v>90539006.900000006</v>
      </c>
      <c r="BM51">
        <v>98438957.5</v>
      </c>
      <c r="BN51">
        <v>108883840.2</v>
      </c>
      <c r="BO51">
        <v>39.130000000000003</v>
      </c>
      <c r="BP51">
        <v>5.77</v>
      </c>
      <c r="BQ51">
        <v>0</v>
      </c>
      <c r="BR51">
        <v>44.9</v>
      </c>
      <c r="BS51">
        <v>41.45</v>
      </c>
      <c r="BT51">
        <v>6.26</v>
      </c>
      <c r="BU51">
        <v>0</v>
      </c>
      <c r="BV51">
        <v>47.7</v>
      </c>
      <c r="BW51">
        <v>220433060</v>
      </c>
      <c r="BX51">
        <v>11567965</v>
      </c>
      <c r="BY51">
        <v>28962196</v>
      </c>
      <c r="BZ51">
        <v>34912332</v>
      </c>
      <c r="CA51">
        <v>0</v>
      </c>
      <c r="CB51">
        <v>61134.400000000001</v>
      </c>
      <c r="CC51">
        <v>139211260</v>
      </c>
      <c r="CD51">
        <v>0</v>
      </c>
      <c r="CE51">
        <v>934957.6</v>
      </c>
      <c r="CF51">
        <v>201716.5</v>
      </c>
      <c r="CG51">
        <v>0</v>
      </c>
      <c r="CH51">
        <v>4024784.8</v>
      </c>
      <c r="CI51">
        <v>0</v>
      </c>
      <c r="CJ51">
        <v>0</v>
      </c>
      <c r="CK51">
        <v>0</v>
      </c>
      <c r="CL51">
        <v>0</v>
      </c>
      <c r="CM51">
        <v>10000439</v>
      </c>
      <c r="CN51">
        <v>1567526.5</v>
      </c>
      <c r="CO51">
        <v>0</v>
      </c>
      <c r="CP51">
        <v>556705</v>
      </c>
      <c r="CQ51">
        <v>0</v>
      </c>
      <c r="CR51">
        <v>856</v>
      </c>
      <c r="CS51">
        <v>0</v>
      </c>
      <c r="CT51">
        <v>748.4</v>
      </c>
      <c r="CU51">
        <v>6266</v>
      </c>
      <c r="CV51">
        <v>0</v>
      </c>
      <c r="CW51">
        <v>0</v>
      </c>
      <c r="CX51">
        <v>1018.4</v>
      </c>
      <c r="CY51">
        <v>33109</v>
      </c>
      <c r="CZ51">
        <v>0</v>
      </c>
      <c r="DA51">
        <v>8758.1</v>
      </c>
      <c r="DB51">
        <v>0</v>
      </c>
      <c r="DC51">
        <v>55</v>
      </c>
      <c r="DD51">
        <v>3626</v>
      </c>
      <c r="DE51">
        <v>3251.7</v>
      </c>
      <c r="DF51">
        <v>0</v>
      </c>
      <c r="DG51">
        <v>4273.8999999999996</v>
      </c>
      <c r="DH51">
        <v>0</v>
      </c>
      <c r="DI51">
        <v>0</v>
      </c>
      <c r="DJ51">
        <v>0</v>
      </c>
      <c r="DK51">
        <v>1712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</row>
    <row r="52" spans="1:122" x14ac:dyDescent="0.3">
      <c r="A52" t="s">
        <v>160</v>
      </c>
      <c r="B52">
        <v>2024</v>
      </c>
      <c r="C52">
        <v>237227907.5</v>
      </c>
      <c r="D52">
        <v>235467883.59999999</v>
      </c>
      <c r="E52">
        <v>227005794.5</v>
      </c>
      <c r="F52">
        <v>0</v>
      </c>
      <c r="G52">
        <v>641640.4</v>
      </c>
      <c r="H52">
        <v>220976932.90000001</v>
      </c>
      <c r="I52">
        <v>641640.4</v>
      </c>
      <c r="J52">
        <v>0</v>
      </c>
      <c r="K52">
        <v>1118383.5</v>
      </c>
      <c r="L52">
        <v>3.5900000000000001E-2</v>
      </c>
      <c r="M52">
        <v>5.3900000000000003E-2</v>
      </c>
      <c r="N52">
        <v>0.15</v>
      </c>
      <c r="O52">
        <v>27016.7</v>
      </c>
      <c r="P52">
        <v>53366.6</v>
      </c>
      <c r="Q52">
        <v>371.9</v>
      </c>
      <c r="R52">
        <v>17.2</v>
      </c>
      <c r="S52">
        <v>2.27</v>
      </c>
      <c r="T52">
        <v>36.700000000000003</v>
      </c>
      <c r="U52">
        <v>1625.8</v>
      </c>
      <c r="V52">
        <v>0.2</v>
      </c>
      <c r="W52">
        <v>372.9</v>
      </c>
      <c r="X52">
        <v>82.3</v>
      </c>
      <c r="Y52">
        <v>455.3</v>
      </c>
      <c r="Z52">
        <v>382.3</v>
      </c>
      <c r="AA52">
        <v>17.7</v>
      </c>
      <c r="AB52">
        <v>2.33</v>
      </c>
      <c r="AC52">
        <v>37.9</v>
      </c>
      <c r="AD52">
        <v>1671.4</v>
      </c>
      <c r="AE52">
        <v>0.21</v>
      </c>
      <c r="AF52">
        <v>383.4</v>
      </c>
      <c r="AG52">
        <v>84.7</v>
      </c>
      <c r="AH52">
        <v>468.2</v>
      </c>
      <c r="AI52">
        <v>449.2</v>
      </c>
      <c r="AJ52">
        <v>21.4</v>
      </c>
      <c r="AK52">
        <v>2.9</v>
      </c>
      <c r="AL52">
        <v>42</v>
      </c>
      <c r="AM52">
        <v>1892.2</v>
      </c>
      <c r="AN52">
        <v>0.24</v>
      </c>
      <c r="AO52">
        <v>450.6</v>
      </c>
      <c r="AP52">
        <v>95</v>
      </c>
      <c r="AQ52">
        <v>545.6</v>
      </c>
      <c r="AR52">
        <v>694.8</v>
      </c>
      <c r="AS52">
        <v>47.4</v>
      </c>
      <c r="AT52">
        <v>6.75</v>
      </c>
      <c r="AU52">
        <v>52.6</v>
      </c>
      <c r="AV52">
        <v>2420</v>
      </c>
      <c r="AW52">
        <v>0.41</v>
      </c>
      <c r="AX52">
        <v>697.9</v>
      </c>
      <c r="AY52">
        <v>120.5</v>
      </c>
      <c r="AZ52">
        <v>818.3</v>
      </c>
      <c r="BA52">
        <v>85602884.299999997</v>
      </c>
      <c r="BB52">
        <v>3941.3</v>
      </c>
      <c r="BC52">
        <v>521</v>
      </c>
      <c r="BD52">
        <v>8466855.8000000007</v>
      </c>
      <c r="BE52">
        <v>374522</v>
      </c>
      <c r="BF52">
        <v>45.7</v>
      </c>
      <c r="BG52">
        <v>85851305.299999997</v>
      </c>
      <c r="BH52">
        <v>18965577.699999999</v>
      </c>
      <c r="BI52">
        <v>104816883</v>
      </c>
      <c r="BJ52">
        <v>0</v>
      </c>
      <c r="BK52">
        <v>0</v>
      </c>
      <c r="BL52">
        <v>85602884.299999997</v>
      </c>
      <c r="BM52">
        <v>94069740</v>
      </c>
      <c r="BN52">
        <v>104816883</v>
      </c>
      <c r="BO52">
        <v>34.96</v>
      </c>
      <c r="BP52">
        <v>5.71</v>
      </c>
      <c r="BQ52">
        <v>0</v>
      </c>
      <c r="BR52">
        <v>40.67</v>
      </c>
      <c r="BS52">
        <v>37.04</v>
      </c>
      <c r="BT52">
        <v>6.19</v>
      </c>
      <c r="BU52">
        <v>0</v>
      </c>
      <c r="BV52">
        <v>43.23</v>
      </c>
      <c r="BW52">
        <v>231469820</v>
      </c>
      <c r="BX52">
        <v>14490950</v>
      </c>
      <c r="BY52">
        <v>28962196</v>
      </c>
      <c r="BZ52">
        <v>22732202</v>
      </c>
      <c r="CA52">
        <v>0</v>
      </c>
      <c r="CB52">
        <v>113707</v>
      </c>
      <c r="CC52">
        <v>159051250</v>
      </c>
      <c r="CD52">
        <v>0</v>
      </c>
      <c r="CE52">
        <v>1346232.9</v>
      </c>
      <c r="CF52">
        <v>201526.2</v>
      </c>
      <c r="CG52">
        <v>0</v>
      </c>
      <c r="CH52">
        <v>4024784.8</v>
      </c>
      <c r="CI52">
        <v>0</v>
      </c>
      <c r="CJ52">
        <v>0</v>
      </c>
      <c r="CK52">
        <v>0</v>
      </c>
      <c r="CL52">
        <v>0</v>
      </c>
      <c r="CM52">
        <v>11957804</v>
      </c>
      <c r="CN52">
        <v>2533146.7999999998</v>
      </c>
      <c r="CO52">
        <v>0</v>
      </c>
      <c r="CP52">
        <v>546970.5</v>
      </c>
      <c r="CQ52">
        <v>0</v>
      </c>
      <c r="CR52">
        <v>860.6</v>
      </c>
      <c r="CS52">
        <v>0</v>
      </c>
      <c r="CT52">
        <v>748.4</v>
      </c>
      <c r="CU52">
        <v>6266</v>
      </c>
      <c r="CV52">
        <v>0</v>
      </c>
      <c r="CW52">
        <v>0</v>
      </c>
      <c r="CX52">
        <v>1650</v>
      </c>
      <c r="CY52">
        <v>33109</v>
      </c>
      <c r="CZ52">
        <v>0</v>
      </c>
      <c r="DA52">
        <v>8758.1</v>
      </c>
      <c r="DB52">
        <v>0</v>
      </c>
      <c r="DC52">
        <v>55</v>
      </c>
      <c r="DD52">
        <v>3626</v>
      </c>
      <c r="DE52">
        <v>1604.6</v>
      </c>
      <c r="DF52">
        <v>0</v>
      </c>
      <c r="DG52">
        <v>5125.8</v>
      </c>
      <c r="DH52">
        <v>0</v>
      </c>
      <c r="DI52">
        <v>0</v>
      </c>
      <c r="DJ52">
        <v>0</v>
      </c>
      <c r="DK52">
        <v>1748.9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</row>
    <row r="53" spans="1:122" x14ac:dyDescent="0.3">
      <c r="A53" t="s">
        <v>160</v>
      </c>
      <c r="B53">
        <v>2026</v>
      </c>
      <c r="C53">
        <v>242204938.09999999</v>
      </c>
      <c r="D53">
        <v>240444504.09999999</v>
      </c>
      <c r="E53">
        <v>231803568.5</v>
      </c>
      <c r="F53">
        <v>0</v>
      </c>
      <c r="G53">
        <v>658539.19999999995</v>
      </c>
      <c r="H53">
        <v>224603314.19999999</v>
      </c>
      <c r="I53">
        <v>658539.19999999995</v>
      </c>
      <c r="J53">
        <v>0</v>
      </c>
      <c r="K53">
        <v>1101894.7</v>
      </c>
      <c r="L53">
        <v>3.5900000000000001E-2</v>
      </c>
      <c r="M53">
        <v>5.3900000000000003E-2</v>
      </c>
      <c r="N53">
        <v>0.15</v>
      </c>
      <c r="O53">
        <v>37657.769999999997</v>
      </c>
      <c r="P53">
        <v>54496.5</v>
      </c>
      <c r="Q53">
        <v>373.3</v>
      </c>
      <c r="R53">
        <v>17.399999999999999</v>
      </c>
      <c r="S53">
        <v>2.31</v>
      </c>
      <c r="T53">
        <v>36.700000000000003</v>
      </c>
      <c r="U53">
        <v>1624.9</v>
      </c>
      <c r="V53">
        <v>0.2</v>
      </c>
      <c r="W53">
        <v>374.4</v>
      </c>
      <c r="X53">
        <v>82.2</v>
      </c>
      <c r="Y53">
        <v>456.6</v>
      </c>
      <c r="Z53">
        <v>384</v>
      </c>
      <c r="AA53">
        <v>18</v>
      </c>
      <c r="AB53">
        <v>2.39</v>
      </c>
      <c r="AC53">
        <v>37.700000000000003</v>
      </c>
      <c r="AD53">
        <v>1669.6</v>
      </c>
      <c r="AE53">
        <v>0.21</v>
      </c>
      <c r="AF53">
        <v>385.2</v>
      </c>
      <c r="AG53">
        <v>84.5</v>
      </c>
      <c r="AH53">
        <v>469.7</v>
      </c>
      <c r="AI53">
        <v>410.8</v>
      </c>
      <c r="AJ53">
        <v>17.100000000000001</v>
      </c>
      <c r="AK53">
        <v>2.2400000000000002</v>
      </c>
      <c r="AL53">
        <v>40.4</v>
      </c>
      <c r="AM53">
        <v>1829.4</v>
      </c>
      <c r="AN53">
        <v>0.2</v>
      </c>
      <c r="AO53">
        <v>411.9</v>
      </c>
      <c r="AP53">
        <v>91.7</v>
      </c>
      <c r="AQ53">
        <v>503.5</v>
      </c>
      <c r="AR53">
        <v>703.7</v>
      </c>
      <c r="AS53">
        <v>48.6</v>
      </c>
      <c r="AT53">
        <v>6.89</v>
      </c>
      <c r="AU53">
        <v>52.4</v>
      </c>
      <c r="AV53">
        <v>2460.6999999999998</v>
      </c>
      <c r="AW53">
        <v>0.4</v>
      </c>
      <c r="AX53">
        <v>706.9</v>
      </c>
      <c r="AY53">
        <v>121.4</v>
      </c>
      <c r="AZ53">
        <v>828.3</v>
      </c>
      <c r="BA53">
        <v>87321577.400000006</v>
      </c>
      <c r="BB53">
        <v>4070.8</v>
      </c>
      <c r="BC53">
        <v>539.29999999999995</v>
      </c>
      <c r="BD53">
        <v>8583124.3000000007</v>
      </c>
      <c r="BE53">
        <v>380360.4</v>
      </c>
      <c r="BF53">
        <v>46.5</v>
      </c>
      <c r="BG53">
        <v>87578478.599999994</v>
      </c>
      <c r="BH53">
        <v>19245550</v>
      </c>
      <c r="BI53">
        <v>106824028.59999999</v>
      </c>
      <c r="BJ53">
        <v>0</v>
      </c>
      <c r="BK53">
        <v>0</v>
      </c>
      <c r="BL53">
        <v>87321577.400000006</v>
      </c>
      <c r="BM53">
        <v>95904701.799999997</v>
      </c>
      <c r="BN53">
        <v>106824028.59999999</v>
      </c>
      <c r="BO53">
        <v>35.64</v>
      </c>
      <c r="BP53">
        <v>7.92</v>
      </c>
      <c r="BQ53">
        <v>0</v>
      </c>
      <c r="BR53">
        <v>43.57</v>
      </c>
      <c r="BS53">
        <v>37.76</v>
      </c>
      <c r="BT53">
        <v>8.59</v>
      </c>
      <c r="BU53">
        <v>0</v>
      </c>
      <c r="BV53">
        <v>46.35</v>
      </c>
      <c r="BW53">
        <v>235225500</v>
      </c>
      <c r="BX53">
        <v>15841190</v>
      </c>
      <c r="BY53">
        <v>28962196</v>
      </c>
      <c r="BZ53">
        <v>23658042</v>
      </c>
      <c r="CA53">
        <v>0</v>
      </c>
      <c r="CB53">
        <v>143772.6</v>
      </c>
      <c r="CC53">
        <v>160163120</v>
      </c>
      <c r="CD53">
        <v>0</v>
      </c>
      <c r="CE53">
        <v>1669280.2</v>
      </c>
      <c r="CF53">
        <v>201723.5</v>
      </c>
      <c r="CG53">
        <v>0</v>
      </c>
      <c r="CH53">
        <v>4024784.8</v>
      </c>
      <c r="CI53">
        <v>0</v>
      </c>
      <c r="CJ53">
        <v>0</v>
      </c>
      <c r="CK53">
        <v>0</v>
      </c>
      <c r="CL53">
        <v>0</v>
      </c>
      <c r="CM53">
        <v>11790979</v>
      </c>
      <c r="CN53">
        <v>4050210.8</v>
      </c>
      <c r="CO53">
        <v>0</v>
      </c>
      <c r="CP53">
        <v>561386.1</v>
      </c>
      <c r="CQ53">
        <v>0</v>
      </c>
      <c r="CR53">
        <v>860.6</v>
      </c>
      <c r="CS53">
        <v>0</v>
      </c>
      <c r="CT53">
        <v>748.4</v>
      </c>
      <c r="CU53">
        <v>6266</v>
      </c>
      <c r="CV53">
        <v>0</v>
      </c>
      <c r="CW53">
        <v>0</v>
      </c>
      <c r="CX53">
        <v>2642.6</v>
      </c>
      <c r="CY53">
        <v>32785.699999999997</v>
      </c>
      <c r="CZ53">
        <v>0</v>
      </c>
      <c r="DA53">
        <v>8758.1</v>
      </c>
      <c r="DB53">
        <v>0</v>
      </c>
      <c r="DC53">
        <v>55</v>
      </c>
      <c r="DD53">
        <v>3626</v>
      </c>
      <c r="DE53">
        <v>1285.9000000000001</v>
      </c>
      <c r="DF53">
        <v>0</v>
      </c>
      <c r="DG53">
        <v>5125.7</v>
      </c>
      <c r="DH53">
        <v>0</v>
      </c>
      <c r="DI53">
        <v>0</v>
      </c>
      <c r="DJ53">
        <v>0</v>
      </c>
      <c r="DK53">
        <v>1748.4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</row>
    <row r="54" spans="1:122" x14ac:dyDescent="0.3">
      <c r="A54" t="s">
        <v>160</v>
      </c>
      <c r="B54">
        <v>2028</v>
      </c>
      <c r="C54">
        <v>245665368.30000001</v>
      </c>
      <c r="D54">
        <v>243946570.59999999</v>
      </c>
      <c r="E54">
        <v>235179780</v>
      </c>
      <c r="F54">
        <v>0</v>
      </c>
      <c r="G54">
        <v>657240</v>
      </c>
      <c r="H54">
        <v>226118507.19999999</v>
      </c>
      <c r="I54">
        <v>657240</v>
      </c>
      <c r="J54">
        <v>0</v>
      </c>
      <c r="K54">
        <v>1061557.6000000001</v>
      </c>
      <c r="L54">
        <v>3.5900000000000001E-2</v>
      </c>
      <c r="M54">
        <v>5.3900000000000003E-2</v>
      </c>
      <c r="N54">
        <v>0.15</v>
      </c>
      <c r="O54">
        <v>43837.01</v>
      </c>
      <c r="P54">
        <v>55288.5</v>
      </c>
      <c r="Q54">
        <v>386</v>
      </c>
      <c r="R54">
        <v>20</v>
      </c>
      <c r="S54">
        <v>2.69</v>
      </c>
      <c r="T54">
        <v>36</v>
      </c>
      <c r="U54">
        <v>1617.7</v>
      </c>
      <c r="V54">
        <v>0.21</v>
      </c>
      <c r="W54">
        <v>387.2</v>
      </c>
      <c r="X54">
        <v>81.400000000000006</v>
      </c>
      <c r="Y54">
        <v>468.6</v>
      </c>
      <c r="Z54">
        <v>398.2</v>
      </c>
      <c r="AA54">
        <v>20.9</v>
      </c>
      <c r="AB54">
        <v>2.82</v>
      </c>
      <c r="AC54">
        <v>37</v>
      </c>
      <c r="AD54">
        <v>1660.7</v>
      </c>
      <c r="AE54">
        <v>0.21</v>
      </c>
      <c r="AF54">
        <v>399.6</v>
      </c>
      <c r="AG54">
        <v>83.6</v>
      </c>
      <c r="AH54">
        <v>483.1</v>
      </c>
      <c r="AI54">
        <v>382.4</v>
      </c>
      <c r="AJ54">
        <v>16.600000000000001</v>
      </c>
      <c r="AK54">
        <v>2.19</v>
      </c>
      <c r="AL54">
        <v>36.9</v>
      </c>
      <c r="AM54">
        <v>1686.2</v>
      </c>
      <c r="AN54">
        <v>0.18</v>
      </c>
      <c r="AO54">
        <v>383.5</v>
      </c>
      <c r="AP54">
        <v>84.1</v>
      </c>
      <c r="AQ54">
        <v>467.6</v>
      </c>
      <c r="AR54">
        <v>694.8</v>
      </c>
      <c r="AS54">
        <v>48</v>
      </c>
      <c r="AT54">
        <v>6.79</v>
      </c>
      <c r="AU54">
        <v>51.4</v>
      </c>
      <c r="AV54">
        <v>2447.6999999999998</v>
      </c>
      <c r="AW54">
        <v>0.38</v>
      </c>
      <c r="AX54">
        <v>697.9</v>
      </c>
      <c r="AY54">
        <v>120</v>
      </c>
      <c r="AZ54">
        <v>817.9</v>
      </c>
      <c r="BA54">
        <v>90863232.200000003</v>
      </c>
      <c r="BB54">
        <v>4700.5</v>
      </c>
      <c r="BC54">
        <v>632.9</v>
      </c>
      <c r="BD54">
        <v>8491015.5</v>
      </c>
      <c r="BE54">
        <v>381032.1</v>
      </c>
      <c r="BF54">
        <v>48.5</v>
      </c>
      <c r="BG54">
        <v>91162567.900000006</v>
      </c>
      <c r="BH54">
        <v>19172753.699999999</v>
      </c>
      <c r="BI54">
        <v>110335321.59999999</v>
      </c>
      <c r="BJ54">
        <v>0</v>
      </c>
      <c r="BK54">
        <v>0</v>
      </c>
      <c r="BL54">
        <v>90863232.200000003</v>
      </c>
      <c r="BM54">
        <v>99354247.700000003</v>
      </c>
      <c r="BN54">
        <v>110335321.59999999</v>
      </c>
      <c r="BO54">
        <v>36.94</v>
      </c>
      <c r="BP54">
        <v>9.15</v>
      </c>
      <c r="BQ54">
        <v>0</v>
      </c>
      <c r="BR54">
        <v>46.1</v>
      </c>
      <c r="BS54">
        <v>39.14</v>
      </c>
      <c r="BT54">
        <v>9.91</v>
      </c>
      <c r="BU54">
        <v>0</v>
      </c>
      <c r="BV54">
        <v>49.05</v>
      </c>
      <c r="BW54">
        <v>236684880</v>
      </c>
      <c r="BX54">
        <v>17828064</v>
      </c>
      <c r="BY54">
        <v>28962196</v>
      </c>
      <c r="BZ54">
        <v>29075014</v>
      </c>
      <c r="CA54">
        <v>0</v>
      </c>
      <c r="CB54">
        <v>154697.9</v>
      </c>
      <c r="CC54">
        <v>154108080</v>
      </c>
      <c r="CD54">
        <v>0</v>
      </c>
      <c r="CE54">
        <v>1769753</v>
      </c>
      <c r="CF54">
        <v>201533.6</v>
      </c>
      <c r="CG54">
        <v>0</v>
      </c>
      <c r="CH54">
        <v>4024784.8</v>
      </c>
      <c r="CI54">
        <v>0</v>
      </c>
      <c r="CJ54">
        <v>0</v>
      </c>
      <c r="CK54">
        <v>0</v>
      </c>
      <c r="CL54">
        <v>0</v>
      </c>
      <c r="CM54">
        <v>11626482</v>
      </c>
      <c r="CN54">
        <v>6201581.5</v>
      </c>
      <c r="CO54">
        <v>0</v>
      </c>
      <c r="CP54">
        <v>560746.80000000005</v>
      </c>
      <c r="CQ54">
        <v>0</v>
      </c>
      <c r="CR54">
        <v>860.5</v>
      </c>
      <c r="CS54">
        <v>0</v>
      </c>
      <c r="CT54">
        <v>748.4</v>
      </c>
      <c r="CU54">
        <v>6266</v>
      </c>
      <c r="CV54">
        <v>0</v>
      </c>
      <c r="CW54">
        <v>0</v>
      </c>
      <c r="CX54">
        <v>4054.4</v>
      </c>
      <c r="CY54">
        <v>32462.400000000001</v>
      </c>
      <c r="CZ54">
        <v>0</v>
      </c>
      <c r="DA54">
        <v>8758.1</v>
      </c>
      <c r="DB54">
        <v>0</v>
      </c>
      <c r="DC54">
        <v>55</v>
      </c>
      <c r="DD54">
        <v>3626</v>
      </c>
      <c r="DE54">
        <v>1285.9000000000001</v>
      </c>
      <c r="DF54">
        <v>0</v>
      </c>
      <c r="DG54">
        <v>5125.5</v>
      </c>
      <c r="DH54">
        <v>0</v>
      </c>
      <c r="DI54">
        <v>0</v>
      </c>
      <c r="DJ54">
        <v>0</v>
      </c>
      <c r="DK54">
        <v>1747.9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</row>
    <row r="55" spans="1:122" x14ac:dyDescent="0.3">
      <c r="A55" t="s">
        <v>160</v>
      </c>
      <c r="B55">
        <v>2030</v>
      </c>
      <c r="C55">
        <v>254529201.69999999</v>
      </c>
      <c r="D55">
        <v>247379517.09999999</v>
      </c>
      <c r="E55">
        <v>238489355.5</v>
      </c>
      <c r="F55">
        <v>0</v>
      </c>
      <c r="G55">
        <v>5338699</v>
      </c>
      <c r="H55">
        <v>190919013.40000001</v>
      </c>
      <c r="I55">
        <v>5338699</v>
      </c>
      <c r="J55">
        <v>0</v>
      </c>
      <c r="K55">
        <v>1810985.6</v>
      </c>
      <c r="L55">
        <v>3.5900000000000001E-2</v>
      </c>
      <c r="M55">
        <v>5.3900000000000003E-2</v>
      </c>
      <c r="N55">
        <v>0.15</v>
      </c>
      <c r="O55">
        <v>49380.52</v>
      </c>
      <c r="P55">
        <v>56065.4</v>
      </c>
      <c r="Q55">
        <v>308.3</v>
      </c>
      <c r="R55">
        <v>16.2</v>
      </c>
      <c r="S55">
        <v>2.1800000000000002</v>
      </c>
      <c r="T55">
        <v>28.9</v>
      </c>
      <c r="U55">
        <v>1287</v>
      </c>
      <c r="V55">
        <v>0.17</v>
      </c>
      <c r="W55">
        <v>309.3</v>
      </c>
      <c r="X55">
        <v>65</v>
      </c>
      <c r="Y55">
        <v>374.3</v>
      </c>
      <c r="Z55">
        <v>328.7</v>
      </c>
      <c r="AA55">
        <v>17.5</v>
      </c>
      <c r="AB55">
        <v>2.36</v>
      </c>
      <c r="AC55">
        <v>30.6</v>
      </c>
      <c r="AD55">
        <v>1364.4</v>
      </c>
      <c r="AE55">
        <v>0.18</v>
      </c>
      <c r="AF55">
        <v>329.8</v>
      </c>
      <c r="AG55">
        <v>68.900000000000006</v>
      </c>
      <c r="AH55">
        <v>398.7</v>
      </c>
      <c r="AI55">
        <v>327.60000000000002</v>
      </c>
      <c r="AJ55">
        <v>11.1</v>
      </c>
      <c r="AK55">
        <v>1.38</v>
      </c>
      <c r="AL55">
        <v>34.4</v>
      </c>
      <c r="AM55">
        <v>1550.6</v>
      </c>
      <c r="AN55">
        <v>0.15</v>
      </c>
      <c r="AO55">
        <v>328.3</v>
      </c>
      <c r="AP55">
        <v>77.8</v>
      </c>
      <c r="AQ55">
        <v>406.1</v>
      </c>
      <c r="AR55">
        <v>619.79999999999995</v>
      </c>
      <c r="AS55">
        <v>40.700000000000003</v>
      </c>
      <c r="AT55">
        <v>5.73</v>
      </c>
      <c r="AU55">
        <v>48</v>
      </c>
      <c r="AV55">
        <v>2242.1999999999998</v>
      </c>
      <c r="AW55">
        <v>0.35</v>
      </c>
      <c r="AX55">
        <v>622.5</v>
      </c>
      <c r="AY55">
        <v>110.9</v>
      </c>
      <c r="AZ55">
        <v>733.4</v>
      </c>
      <c r="BA55">
        <v>77381402.900000006</v>
      </c>
      <c r="BB55">
        <v>4050</v>
      </c>
      <c r="BC55">
        <v>546.20000000000005</v>
      </c>
      <c r="BD55">
        <v>7254942.2999999998</v>
      </c>
      <c r="BE55">
        <v>323210</v>
      </c>
      <c r="BF55">
        <v>42.2</v>
      </c>
      <c r="BG55">
        <v>77639537.799999997</v>
      </c>
      <c r="BH55">
        <v>16316016.699999999</v>
      </c>
      <c r="BI55">
        <v>93955554.5</v>
      </c>
      <c r="BJ55">
        <v>0</v>
      </c>
      <c r="BK55">
        <v>0</v>
      </c>
      <c r="BL55">
        <v>77381402.900000006</v>
      </c>
      <c r="BM55">
        <v>84636345.200000003</v>
      </c>
      <c r="BN55">
        <v>93955554.5</v>
      </c>
      <c r="BO55">
        <v>33.08</v>
      </c>
      <c r="BP55">
        <v>9.56</v>
      </c>
      <c r="BQ55">
        <v>0</v>
      </c>
      <c r="BR55">
        <v>42.64</v>
      </c>
      <c r="BS55">
        <v>35.299999999999997</v>
      </c>
      <c r="BT55">
        <v>10.54</v>
      </c>
      <c r="BU55">
        <v>0</v>
      </c>
      <c r="BV55">
        <v>45.84</v>
      </c>
      <c r="BW55">
        <v>252377940</v>
      </c>
      <c r="BX55">
        <v>56460504</v>
      </c>
      <c r="BY55">
        <v>28962196</v>
      </c>
      <c r="BZ55">
        <v>25239292</v>
      </c>
      <c r="CA55">
        <v>0</v>
      </c>
      <c r="CB55">
        <v>103445.6</v>
      </c>
      <c r="CC55">
        <v>131420504</v>
      </c>
      <c r="CD55">
        <v>0</v>
      </c>
      <c r="CE55">
        <v>1452651.2</v>
      </c>
      <c r="CF55">
        <v>200816.6</v>
      </c>
      <c r="CG55">
        <v>0</v>
      </c>
      <c r="CH55">
        <v>4005351.5</v>
      </c>
      <c r="CI55">
        <v>0</v>
      </c>
      <c r="CJ55">
        <v>0</v>
      </c>
      <c r="CK55">
        <v>0</v>
      </c>
      <c r="CL55">
        <v>0</v>
      </c>
      <c r="CM55">
        <v>47195284</v>
      </c>
      <c r="CN55">
        <v>9265220</v>
      </c>
      <c r="CO55">
        <v>0</v>
      </c>
      <c r="CP55">
        <v>4533171.5</v>
      </c>
      <c r="CQ55">
        <v>0</v>
      </c>
      <c r="CR55">
        <v>2802</v>
      </c>
      <c r="CS55">
        <v>0</v>
      </c>
      <c r="CT55">
        <v>748.4</v>
      </c>
      <c r="CU55">
        <v>6266</v>
      </c>
      <c r="CV55">
        <v>0</v>
      </c>
      <c r="CW55">
        <v>0</v>
      </c>
      <c r="CX55">
        <v>6106.8</v>
      </c>
      <c r="CY55">
        <v>31492.400000000001</v>
      </c>
      <c r="CZ55">
        <v>0</v>
      </c>
      <c r="DA55">
        <v>8531.7999999999993</v>
      </c>
      <c r="DB55">
        <v>0</v>
      </c>
      <c r="DC55">
        <v>55</v>
      </c>
      <c r="DD55">
        <v>3626</v>
      </c>
      <c r="DE55">
        <v>1126.2</v>
      </c>
      <c r="DF55">
        <v>0</v>
      </c>
      <c r="DG55">
        <v>19985.599999999999</v>
      </c>
      <c r="DH55">
        <v>0</v>
      </c>
      <c r="DI55">
        <v>0</v>
      </c>
      <c r="DJ55">
        <v>0</v>
      </c>
      <c r="DK55">
        <v>17280.099999999999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</row>
    <row r="56" spans="1:122" x14ac:dyDescent="0.3">
      <c r="A56" t="s">
        <v>160</v>
      </c>
      <c r="B56">
        <v>2032</v>
      </c>
      <c r="C56">
        <v>258739584.40000001</v>
      </c>
      <c r="D56">
        <v>251595820.69999999</v>
      </c>
      <c r="E56">
        <v>242554136.40000001</v>
      </c>
      <c r="F56">
        <v>0</v>
      </c>
      <c r="G56">
        <v>5333445</v>
      </c>
      <c r="H56">
        <v>193097551.09999999</v>
      </c>
      <c r="I56">
        <v>5333445</v>
      </c>
      <c r="J56">
        <v>0</v>
      </c>
      <c r="K56">
        <v>1810318.9</v>
      </c>
      <c r="L56">
        <v>3.5900000000000001E-2</v>
      </c>
      <c r="M56">
        <v>5.3900000000000003E-2</v>
      </c>
      <c r="N56">
        <v>0.15</v>
      </c>
      <c r="O56">
        <v>61877.63</v>
      </c>
      <c r="P56">
        <v>57023.6</v>
      </c>
      <c r="Q56">
        <v>303.7</v>
      </c>
      <c r="R56">
        <v>15.3</v>
      </c>
      <c r="S56">
        <v>2.06</v>
      </c>
      <c r="T56">
        <v>28.9</v>
      </c>
      <c r="U56">
        <v>1286.2</v>
      </c>
      <c r="V56">
        <v>0.17</v>
      </c>
      <c r="W56">
        <v>304.7</v>
      </c>
      <c r="X56">
        <v>65</v>
      </c>
      <c r="Y56">
        <v>369.7</v>
      </c>
      <c r="Z56">
        <v>322.7</v>
      </c>
      <c r="AA56">
        <v>16.5</v>
      </c>
      <c r="AB56">
        <v>2.2200000000000002</v>
      </c>
      <c r="AC56">
        <v>30.6</v>
      </c>
      <c r="AD56">
        <v>1360</v>
      </c>
      <c r="AE56">
        <v>0.18</v>
      </c>
      <c r="AF56">
        <v>323.8</v>
      </c>
      <c r="AG56">
        <v>68.7</v>
      </c>
      <c r="AH56">
        <v>392.5</v>
      </c>
      <c r="AI56">
        <v>323.2</v>
      </c>
      <c r="AJ56">
        <v>10.4</v>
      </c>
      <c r="AK56">
        <v>1.28</v>
      </c>
      <c r="AL56">
        <v>34.4</v>
      </c>
      <c r="AM56">
        <v>1547.1</v>
      </c>
      <c r="AN56">
        <v>0.15</v>
      </c>
      <c r="AO56">
        <v>323.8</v>
      </c>
      <c r="AP56">
        <v>77.7</v>
      </c>
      <c r="AQ56">
        <v>401.5</v>
      </c>
      <c r="AR56">
        <v>614.9</v>
      </c>
      <c r="AS56">
        <v>40.799999999999997</v>
      </c>
      <c r="AT56">
        <v>5.72</v>
      </c>
      <c r="AU56">
        <v>46.9</v>
      </c>
      <c r="AV56">
        <v>2239.6999999999998</v>
      </c>
      <c r="AW56">
        <v>0.32</v>
      </c>
      <c r="AX56">
        <v>617.6</v>
      </c>
      <c r="AY56">
        <v>109.7</v>
      </c>
      <c r="AZ56">
        <v>727.3</v>
      </c>
      <c r="BA56">
        <v>77468193.299999997</v>
      </c>
      <c r="BB56">
        <v>3904</v>
      </c>
      <c r="BC56">
        <v>523.6</v>
      </c>
      <c r="BD56">
        <v>7380046.7000000002</v>
      </c>
      <c r="BE56">
        <v>328245.5</v>
      </c>
      <c r="BF56">
        <v>42.1</v>
      </c>
      <c r="BG56">
        <v>77716266.5</v>
      </c>
      <c r="BH56">
        <v>16582087.5</v>
      </c>
      <c r="BI56">
        <v>94298353.900000006</v>
      </c>
      <c r="BJ56">
        <v>0</v>
      </c>
      <c r="BK56">
        <v>0</v>
      </c>
      <c r="BL56">
        <v>77468193.299999997</v>
      </c>
      <c r="BM56">
        <v>84848240.099999994</v>
      </c>
      <c r="BN56">
        <v>94298353.900000006</v>
      </c>
      <c r="BO56">
        <v>32.630000000000003</v>
      </c>
      <c r="BP56">
        <v>11.99</v>
      </c>
      <c r="BQ56">
        <v>0</v>
      </c>
      <c r="BR56">
        <v>44.62</v>
      </c>
      <c r="BS56">
        <v>34.83</v>
      </c>
      <c r="BT56">
        <v>13.2</v>
      </c>
      <c r="BU56">
        <v>0</v>
      </c>
      <c r="BV56">
        <v>48.03</v>
      </c>
      <c r="BW56">
        <v>256444110</v>
      </c>
      <c r="BX56">
        <v>58498264</v>
      </c>
      <c r="BY56">
        <v>28962196</v>
      </c>
      <c r="BZ56">
        <v>23811968</v>
      </c>
      <c r="CA56">
        <v>0</v>
      </c>
      <c r="CB56">
        <v>130436.4</v>
      </c>
      <c r="CC56">
        <v>134999580</v>
      </c>
      <c r="CD56">
        <v>0</v>
      </c>
      <c r="CE56">
        <v>1612556.4</v>
      </c>
      <c r="CF56">
        <v>200510.6</v>
      </c>
      <c r="CG56">
        <v>0</v>
      </c>
      <c r="CH56">
        <v>3676466.5</v>
      </c>
      <c r="CI56">
        <v>0</v>
      </c>
      <c r="CJ56">
        <v>0</v>
      </c>
      <c r="CK56">
        <v>0</v>
      </c>
      <c r="CL56">
        <v>0</v>
      </c>
      <c r="CM56">
        <v>46509184</v>
      </c>
      <c r="CN56">
        <v>11989084</v>
      </c>
      <c r="CO56">
        <v>0</v>
      </c>
      <c r="CP56">
        <v>4552114.5</v>
      </c>
      <c r="CQ56">
        <v>0</v>
      </c>
      <c r="CR56">
        <v>2792.5</v>
      </c>
      <c r="CS56">
        <v>0</v>
      </c>
      <c r="CT56">
        <v>676.8</v>
      </c>
      <c r="CU56">
        <v>5945</v>
      </c>
      <c r="CV56">
        <v>0</v>
      </c>
      <c r="CW56">
        <v>0</v>
      </c>
      <c r="CX56">
        <v>7952</v>
      </c>
      <c r="CY56">
        <v>31492.400000000001</v>
      </c>
      <c r="CZ56">
        <v>0</v>
      </c>
      <c r="DA56">
        <v>8531.7999999999993</v>
      </c>
      <c r="DB56">
        <v>0</v>
      </c>
      <c r="DC56">
        <v>55</v>
      </c>
      <c r="DD56">
        <v>3626</v>
      </c>
      <c r="DE56">
        <v>1126.2</v>
      </c>
      <c r="DF56">
        <v>0</v>
      </c>
      <c r="DG56">
        <v>19966.599999999999</v>
      </c>
      <c r="DH56">
        <v>0</v>
      </c>
      <c r="DI56">
        <v>0</v>
      </c>
      <c r="DJ56">
        <v>0</v>
      </c>
      <c r="DK56">
        <v>17204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</row>
    <row r="57" spans="1:122" x14ac:dyDescent="0.3">
      <c r="A57" t="s">
        <v>160</v>
      </c>
      <c r="B57">
        <v>2034</v>
      </c>
      <c r="C57">
        <v>266948047.19999999</v>
      </c>
      <c r="D57">
        <v>255904284</v>
      </c>
      <c r="E57">
        <v>246707765</v>
      </c>
      <c r="F57">
        <v>0</v>
      </c>
      <c r="G57">
        <v>9179642</v>
      </c>
      <c r="H57">
        <v>191427849.59999999</v>
      </c>
      <c r="I57">
        <v>9179642</v>
      </c>
      <c r="J57">
        <v>0</v>
      </c>
      <c r="K57">
        <v>1864120.9</v>
      </c>
      <c r="L57">
        <v>3.5900000000000001E-2</v>
      </c>
      <c r="M57">
        <v>5.3900000000000003E-2</v>
      </c>
      <c r="N57">
        <v>0.15</v>
      </c>
      <c r="O57">
        <v>63974.25</v>
      </c>
      <c r="P57">
        <v>57998.2</v>
      </c>
      <c r="Q57">
        <v>291.2</v>
      </c>
      <c r="R57">
        <v>14.7</v>
      </c>
      <c r="S57">
        <v>1.98</v>
      </c>
      <c r="T57">
        <v>27.7</v>
      </c>
      <c r="U57">
        <v>1232.2</v>
      </c>
      <c r="V57">
        <v>0.16</v>
      </c>
      <c r="W57">
        <v>292.10000000000002</v>
      </c>
      <c r="X57">
        <v>62.2</v>
      </c>
      <c r="Y57">
        <v>354.3</v>
      </c>
      <c r="Z57">
        <v>313.5</v>
      </c>
      <c r="AA57">
        <v>16.100000000000001</v>
      </c>
      <c r="AB57">
        <v>2.17</v>
      </c>
      <c r="AC57">
        <v>29.6</v>
      </c>
      <c r="AD57">
        <v>1318.8</v>
      </c>
      <c r="AE57">
        <v>0.17</v>
      </c>
      <c r="AF57">
        <v>314.5</v>
      </c>
      <c r="AG57">
        <v>66.599999999999994</v>
      </c>
      <c r="AH57">
        <v>381.1</v>
      </c>
      <c r="AI57">
        <v>372.8</v>
      </c>
      <c r="AJ57">
        <v>7.4</v>
      </c>
      <c r="AK57">
        <v>0.77</v>
      </c>
      <c r="AL57">
        <v>43.7</v>
      </c>
      <c r="AM57">
        <v>1934.3</v>
      </c>
      <c r="AN57">
        <v>0.16</v>
      </c>
      <c r="AO57">
        <v>373.2</v>
      </c>
      <c r="AP57">
        <v>97.9</v>
      </c>
      <c r="AQ57">
        <v>471.1</v>
      </c>
      <c r="AR57">
        <v>624.4</v>
      </c>
      <c r="AS57">
        <v>42.1</v>
      </c>
      <c r="AT57">
        <v>5.91</v>
      </c>
      <c r="AU57">
        <v>46.8</v>
      </c>
      <c r="AV57">
        <v>2259</v>
      </c>
      <c r="AW57">
        <v>0.32</v>
      </c>
      <c r="AX57">
        <v>627.1</v>
      </c>
      <c r="AY57">
        <v>110.2</v>
      </c>
      <c r="AZ57">
        <v>737.3</v>
      </c>
      <c r="BA57">
        <v>76225993.400000006</v>
      </c>
      <c r="BB57">
        <v>3849.9</v>
      </c>
      <c r="BC57">
        <v>516.5</v>
      </c>
      <c r="BD57">
        <v>7250416.2000000002</v>
      </c>
      <c r="BE57">
        <v>322748.5</v>
      </c>
      <c r="BF57">
        <v>41.5</v>
      </c>
      <c r="BG57">
        <v>76470662.5</v>
      </c>
      <c r="BH57">
        <v>16298374.4</v>
      </c>
      <c r="BI57">
        <v>92769036.900000006</v>
      </c>
      <c r="BJ57">
        <v>0</v>
      </c>
      <c r="BK57">
        <v>0</v>
      </c>
      <c r="BL57">
        <v>76225993.400000006</v>
      </c>
      <c r="BM57">
        <v>83476409.5</v>
      </c>
      <c r="BN57">
        <v>92769036.900000006</v>
      </c>
      <c r="BO57">
        <v>32.5</v>
      </c>
      <c r="BP57">
        <v>12.21</v>
      </c>
      <c r="BQ57">
        <v>0</v>
      </c>
      <c r="BR57">
        <v>44.71</v>
      </c>
      <c r="BS57">
        <v>34.81</v>
      </c>
      <c r="BT57">
        <v>13.64</v>
      </c>
      <c r="BU57">
        <v>0</v>
      </c>
      <c r="BV57">
        <v>48.45</v>
      </c>
      <c r="BW57">
        <v>263232930</v>
      </c>
      <c r="BX57">
        <v>64476436</v>
      </c>
      <c r="BY57">
        <v>28962196</v>
      </c>
      <c r="BZ57">
        <v>23525620</v>
      </c>
      <c r="CA57">
        <v>0</v>
      </c>
      <c r="CB57">
        <v>115056</v>
      </c>
      <c r="CC57">
        <v>133243500</v>
      </c>
      <c r="CD57">
        <v>0</v>
      </c>
      <c r="CE57">
        <v>1406776.9</v>
      </c>
      <c r="CF57">
        <v>200954.1</v>
      </c>
      <c r="CG57">
        <v>0</v>
      </c>
      <c r="CH57">
        <v>3490582</v>
      </c>
      <c r="CI57">
        <v>0</v>
      </c>
      <c r="CJ57">
        <v>0</v>
      </c>
      <c r="CK57">
        <v>0</v>
      </c>
      <c r="CL57">
        <v>0</v>
      </c>
      <c r="CM57">
        <v>52068910</v>
      </c>
      <c r="CN57">
        <v>12407521</v>
      </c>
      <c r="CO57">
        <v>0</v>
      </c>
      <c r="CP57">
        <v>7811785.5</v>
      </c>
      <c r="CQ57">
        <v>0</v>
      </c>
      <c r="CR57">
        <v>4447.5</v>
      </c>
      <c r="CS57">
        <v>0</v>
      </c>
      <c r="CT57">
        <v>635.70000000000005</v>
      </c>
      <c r="CU57">
        <v>5945</v>
      </c>
      <c r="CV57">
        <v>0</v>
      </c>
      <c r="CW57">
        <v>0</v>
      </c>
      <c r="CX57">
        <v>8287</v>
      </c>
      <c r="CY57">
        <v>31169.1</v>
      </c>
      <c r="CZ57">
        <v>0</v>
      </c>
      <c r="DA57">
        <v>8531.7999999999993</v>
      </c>
      <c r="DB57">
        <v>0</v>
      </c>
      <c r="DC57">
        <v>55</v>
      </c>
      <c r="DD57">
        <v>3626</v>
      </c>
      <c r="DE57">
        <v>1126.2</v>
      </c>
      <c r="DF57">
        <v>0</v>
      </c>
      <c r="DG57">
        <v>23332.6</v>
      </c>
      <c r="DH57">
        <v>0</v>
      </c>
      <c r="DI57">
        <v>0</v>
      </c>
      <c r="DJ57">
        <v>0</v>
      </c>
      <c r="DK57">
        <v>30612.2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</row>
    <row r="58" spans="1:122" x14ac:dyDescent="0.3">
      <c r="A58" t="s">
        <v>160</v>
      </c>
      <c r="B58">
        <v>2036</v>
      </c>
      <c r="C58">
        <v>272535251.30000001</v>
      </c>
      <c r="D58">
        <v>260742665.19999999</v>
      </c>
      <c r="E58">
        <v>251372267.69999999</v>
      </c>
      <c r="F58">
        <v>0</v>
      </c>
      <c r="G58">
        <v>10035215</v>
      </c>
      <c r="H58">
        <v>195046369.59999999</v>
      </c>
      <c r="I58">
        <v>10035215</v>
      </c>
      <c r="J58">
        <v>0</v>
      </c>
      <c r="K58">
        <v>1757371.6</v>
      </c>
      <c r="L58">
        <v>3.5900000000000001E-2</v>
      </c>
      <c r="M58">
        <v>5.3900000000000003E-2</v>
      </c>
      <c r="N58">
        <v>0.15</v>
      </c>
      <c r="O58">
        <v>65878.7</v>
      </c>
      <c r="P58">
        <v>59095.199999999997</v>
      </c>
      <c r="Q58">
        <v>292.8</v>
      </c>
      <c r="R58">
        <v>15.1</v>
      </c>
      <c r="S58">
        <v>2.04</v>
      </c>
      <c r="T58">
        <v>27.4</v>
      </c>
      <c r="U58">
        <v>1228.5</v>
      </c>
      <c r="V58">
        <v>0.16</v>
      </c>
      <c r="W58">
        <v>293.8</v>
      </c>
      <c r="X58">
        <v>61.9</v>
      </c>
      <c r="Y58">
        <v>355.7</v>
      </c>
      <c r="Z58">
        <v>315.8</v>
      </c>
      <c r="AA58">
        <v>16.600000000000001</v>
      </c>
      <c r="AB58">
        <v>2.2400000000000002</v>
      </c>
      <c r="AC58">
        <v>29.4</v>
      </c>
      <c r="AD58">
        <v>1317.2</v>
      </c>
      <c r="AE58">
        <v>0.17</v>
      </c>
      <c r="AF58">
        <v>316.89999999999998</v>
      </c>
      <c r="AG58">
        <v>66.400000000000006</v>
      </c>
      <c r="AH58">
        <v>383.3</v>
      </c>
      <c r="AI58">
        <v>382.2</v>
      </c>
      <c r="AJ58">
        <v>7.4</v>
      </c>
      <c r="AK58">
        <v>0.75</v>
      </c>
      <c r="AL58">
        <v>45</v>
      </c>
      <c r="AM58">
        <v>1989.8</v>
      </c>
      <c r="AN58">
        <v>0.17</v>
      </c>
      <c r="AO58">
        <v>382.6</v>
      </c>
      <c r="AP58">
        <v>100.8</v>
      </c>
      <c r="AQ58">
        <v>483.4</v>
      </c>
      <c r="AR58">
        <v>614</v>
      </c>
      <c r="AS58">
        <v>40.700000000000003</v>
      </c>
      <c r="AT58">
        <v>5.71</v>
      </c>
      <c r="AU58">
        <v>46.7</v>
      </c>
      <c r="AV58">
        <v>2239.1</v>
      </c>
      <c r="AW58">
        <v>0.32</v>
      </c>
      <c r="AX58">
        <v>616.6</v>
      </c>
      <c r="AY58">
        <v>109.5</v>
      </c>
      <c r="AZ58">
        <v>726.1</v>
      </c>
      <c r="BA58">
        <v>78040185.799999997</v>
      </c>
      <c r="BB58">
        <v>4030.8</v>
      </c>
      <c r="BC58">
        <v>542.5</v>
      </c>
      <c r="BD58">
        <v>7320623.7999999998</v>
      </c>
      <c r="BE58">
        <v>327605.5</v>
      </c>
      <c r="BF58">
        <v>42.3</v>
      </c>
      <c r="BG58">
        <v>78296820.099999994</v>
      </c>
      <c r="BH58">
        <v>16504794.4</v>
      </c>
      <c r="BI58">
        <v>94801614.5</v>
      </c>
      <c r="BJ58">
        <v>0</v>
      </c>
      <c r="BK58">
        <v>0</v>
      </c>
      <c r="BL58">
        <v>78040185.799999997</v>
      </c>
      <c r="BM58">
        <v>85360809.5</v>
      </c>
      <c r="BN58">
        <v>94801614.5</v>
      </c>
      <c r="BO58">
        <v>32.880000000000003</v>
      </c>
      <c r="BP58">
        <v>12.55</v>
      </c>
      <c r="BQ58">
        <v>0</v>
      </c>
      <c r="BR58">
        <v>45.43</v>
      </c>
      <c r="BS58">
        <v>35.229999999999997</v>
      </c>
      <c r="BT58">
        <v>14.05</v>
      </c>
      <c r="BU58">
        <v>0</v>
      </c>
      <c r="BV58">
        <v>49.28</v>
      </c>
      <c r="BW58">
        <v>267978600</v>
      </c>
      <c r="BX58">
        <v>65696296</v>
      </c>
      <c r="BY58">
        <v>28962196</v>
      </c>
      <c r="BZ58">
        <v>24947610</v>
      </c>
      <c r="CA58">
        <v>0</v>
      </c>
      <c r="CB58">
        <v>103779.2</v>
      </c>
      <c r="CC58">
        <v>134895460</v>
      </c>
      <c r="CD58">
        <v>0</v>
      </c>
      <c r="CE58">
        <v>1322335</v>
      </c>
      <c r="CF58">
        <v>200726.3</v>
      </c>
      <c r="CG58">
        <v>0</v>
      </c>
      <c r="CH58">
        <v>3278317.5</v>
      </c>
      <c r="CI58">
        <v>0</v>
      </c>
      <c r="CJ58">
        <v>0</v>
      </c>
      <c r="CK58">
        <v>0</v>
      </c>
      <c r="CL58">
        <v>0</v>
      </c>
      <c r="CM58">
        <v>52958264</v>
      </c>
      <c r="CN58">
        <v>12738033</v>
      </c>
      <c r="CO58">
        <v>0</v>
      </c>
      <c r="CP58">
        <v>8571885</v>
      </c>
      <c r="CQ58">
        <v>0</v>
      </c>
      <c r="CR58">
        <v>4831.6000000000004</v>
      </c>
      <c r="CS58">
        <v>0</v>
      </c>
      <c r="CT58">
        <v>593.20000000000005</v>
      </c>
      <c r="CU58">
        <v>5945</v>
      </c>
      <c r="CV58">
        <v>0</v>
      </c>
      <c r="CW58">
        <v>0</v>
      </c>
      <c r="CX58">
        <v>8608.4</v>
      </c>
      <c r="CY58">
        <v>32226.1</v>
      </c>
      <c r="CZ58">
        <v>0</v>
      </c>
      <c r="DA58">
        <v>8531.7999999999993</v>
      </c>
      <c r="DB58">
        <v>0</v>
      </c>
      <c r="DC58">
        <v>55</v>
      </c>
      <c r="DD58">
        <v>3626</v>
      </c>
      <c r="DE58">
        <v>1126.2</v>
      </c>
      <c r="DF58">
        <v>0</v>
      </c>
      <c r="DG58">
        <v>24065.4</v>
      </c>
      <c r="DH58">
        <v>0</v>
      </c>
      <c r="DI58">
        <v>0</v>
      </c>
      <c r="DJ58">
        <v>0</v>
      </c>
      <c r="DK58">
        <v>33634.1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</row>
    <row r="59" spans="1:122" x14ac:dyDescent="0.3">
      <c r="A59" t="s">
        <v>160</v>
      </c>
      <c r="B59">
        <v>2038</v>
      </c>
      <c r="C59">
        <v>277913248.30000001</v>
      </c>
      <c r="D59">
        <v>266064884.69999999</v>
      </c>
      <c r="E59">
        <v>256503220.80000001</v>
      </c>
      <c r="F59">
        <v>0</v>
      </c>
      <c r="G59">
        <v>10184891</v>
      </c>
      <c r="H59">
        <v>199849340.19999999</v>
      </c>
      <c r="I59">
        <v>10184891</v>
      </c>
      <c r="J59">
        <v>0</v>
      </c>
      <c r="K59">
        <v>1663472.5</v>
      </c>
      <c r="L59">
        <v>3.5900000000000001E-2</v>
      </c>
      <c r="M59">
        <v>5.3900000000000003E-2</v>
      </c>
      <c r="N59">
        <v>0.15</v>
      </c>
      <c r="O59">
        <v>66543.56</v>
      </c>
      <c r="P59">
        <v>60302.2</v>
      </c>
      <c r="Q59">
        <v>290.10000000000002</v>
      </c>
      <c r="R59">
        <v>14.5</v>
      </c>
      <c r="S59">
        <v>1.95</v>
      </c>
      <c r="T59">
        <v>27.6</v>
      </c>
      <c r="U59">
        <v>1231.3</v>
      </c>
      <c r="V59">
        <v>0.16</v>
      </c>
      <c r="W59">
        <v>291</v>
      </c>
      <c r="X59">
        <v>62.1</v>
      </c>
      <c r="Y59">
        <v>353.1</v>
      </c>
      <c r="Z59">
        <v>312.3</v>
      </c>
      <c r="AA59">
        <v>15.9</v>
      </c>
      <c r="AB59">
        <v>2.13</v>
      </c>
      <c r="AC59">
        <v>29.6</v>
      </c>
      <c r="AD59">
        <v>1319.2</v>
      </c>
      <c r="AE59">
        <v>0.17</v>
      </c>
      <c r="AF59">
        <v>313.3</v>
      </c>
      <c r="AG59">
        <v>66.599999999999994</v>
      </c>
      <c r="AH59">
        <v>379.8</v>
      </c>
      <c r="AI59">
        <v>374.9</v>
      </c>
      <c r="AJ59">
        <v>7.4</v>
      </c>
      <c r="AK59">
        <v>0.76</v>
      </c>
      <c r="AL59">
        <v>44</v>
      </c>
      <c r="AM59">
        <v>1948</v>
      </c>
      <c r="AN59">
        <v>0.17</v>
      </c>
      <c r="AO59">
        <v>375.4</v>
      </c>
      <c r="AP59">
        <v>98.6</v>
      </c>
      <c r="AQ59">
        <v>474</v>
      </c>
      <c r="AR59">
        <v>605.29999999999995</v>
      </c>
      <c r="AS59">
        <v>39.9</v>
      </c>
      <c r="AT59">
        <v>5.59</v>
      </c>
      <c r="AU59">
        <v>46.2</v>
      </c>
      <c r="AV59">
        <v>2221.3000000000002</v>
      </c>
      <c r="AW59">
        <v>0.31</v>
      </c>
      <c r="AX59">
        <v>607.9</v>
      </c>
      <c r="AY59">
        <v>108.5</v>
      </c>
      <c r="AZ59">
        <v>716.4</v>
      </c>
      <c r="BA59">
        <v>78851999.700000003</v>
      </c>
      <c r="BB59">
        <v>3948.3</v>
      </c>
      <c r="BC59">
        <v>529</v>
      </c>
      <c r="BD59">
        <v>7500260.2000000002</v>
      </c>
      <c r="BE59">
        <v>334869</v>
      </c>
      <c r="BF59">
        <v>42.6</v>
      </c>
      <c r="BG59">
        <v>79102747.599999994</v>
      </c>
      <c r="BH59">
        <v>16887890.399999999</v>
      </c>
      <c r="BI59">
        <v>95990638</v>
      </c>
      <c r="BJ59">
        <v>0</v>
      </c>
      <c r="BK59">
        <v>0</v>
      </c>
      <c r="BL59">
        <v>78851999.700000003</v>
      </c>
      <c r="BM59">
        <v>86352259.900000006</v>
      </c>
      <c r="BN59">
        <v>95990638</v>
      </c>
      <c r="BO59">
        <v>32.24</v>
      </c>
      <c r="BP59">
        <v>12.69</v>
      </c>
      <c r="BQ59">
        <v>0</v>
      </c>
      <c r="BR59">
        <v>44.93</v>
      </c>
      <c r="BS59">
        <v>34.54</v>
      </c>
      <c r="BT59">
        <v>14.2</v>
      </c>
      <c r="BU59">
        <v>0</v>
      </c>
      <c r="BV59">
        <v>48.73</v>
      </c>
      <c r="BW59">
        <v>273313340</v>
      </c>
      <c r="BX59">
        <v>66215544</v>
      </c>
      <c r="BY59">
        <v>28962196</v>
      </c>
      <c r="BZ59">
        <v>23995644</v>
      </c>
      <c r="CA59">
        <v>0</v>
      </c>
      <c r="CB59">
        <v>132502.29999999999</v>
      </c>
      <c r="CC59">
        <v>140593520</v>
      </c>
      <c r="CD59">
        <v>0</v>
      </c>
      <c r="CE59">
        <v>1395865.1</v>
      </c>
      <c r="CF59">
        <v>201125.4</v>
      </c>
      <c r="CG59">
        <v>0</v>
      </c>
      <c r="CH59">
        <v>3161105</v>
      </c>
      <c r="CI59">
        <v>0</v>
      </c>
      <c r="CJ59">
        <v>0</v>
      </c>
      <c r="CK59">
        <v>0</v>
      </c>
      <c r="CL59">
        <v>0</v>
      </c>
      <c r="CM59">
        <v>53211410</v>
      </c>
      <c r="CN59">
        <v>13004138</v>
      </c>
      <c r="CO59">
        <v>0</v>
      </c>
      <c r="CP59">
        <v>8655852</v>
      </c>
      <c r="CQ59">
        <v>0</v>
      </c>
      <c r="CR59">
        <v>4549.1000000000004</v>
      </c>
      <c r="CS59">
        <v>0</v>
      </c>
      <c r="CT59">
        <v>567.20000000000005</v>
      </c>
      <c r="CU59">
        <v>5945</v>
      </c>
      <c r="CV59">
        <v>0</v>
      </c>
      <c r="CW59">
        <v>0</v>
      </c>
      <c r="CX59">
        <v>8894.6</v>
      </c>
      <c r="CY59">
        <v>33364.1</v>
      </c>
      <c r="CZ59">
        <v>0</v>
      </c>
      <c r="DA59">
        <v>8531.7999999999993</v>
      </c>
      <c r="DB59">
        <v>0</v>
      </c>
      <c r="DC59">
        <v>55</v>
      </c>
      <c r="DD59">
        <v>3626</v>
      </c>
      <c r="DE59">
        <v>1126.2</v>
      </c>
      <c r="DF59">
        <v>0</v>
      </c>
      <c r="DG59">
        <v>24546</v>
      </c>
      <c r="DH59">
        <v>0</v>
      </c>
      <c r="DI59">
        <v>0</v>
      </c>
      <c r="DJ59">
        <v>0</v>
      </c>
      <c r="DK59">
        <v>34900.6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</row>
    <row r="60" spans="1:122" x14ac:dyDescent="0.3">
      <c r="A60" t="s">
        <v>160</v>
      </c>
      <c r="B60">
        <v>2040</v>
      </c>
      <c r="C60">
        <v>283265119.19999999</v>
      </c>
      <c r="D60">
        <v>271387103.69999999</v>
      </c>
      <c r="E60">
        <v>261634173.40000001</v>
      </c>
      <c r="F60">
        <v>0</v>
      </c>
      <c r="G60">
        <v>10330366</v>
      </c>
      <c r="H60">
        <v>205581905.69999999</v>
      </c>
      <c r="I60">
        <v>10330366</v>
      </c>
      <c r="J60">
        <v>0</v>
      </c>
      <c r="K60">
        <v>1547650</v>
      </c>
      <c r="L60">
        <v>3.5900000000000001E-2</v>
      </c>
      <c r="M60">
        <v>5.3900000000000003E-2</v>
      </c>
      <c r="N60">
        <v>0.15</v>
      </c>
      <c r="O60">
        <v>66614.25</v>
      </c>
      <c r="P60">
        <v>61507.6</v>
      </c>
      <c r="Q60">
        <v>289.10000000000002</v>
      </c>
      <c r="R60">
        <v>13.9</v>
      </c>
      <c r="S60">
        <v>1.85</v>
      </c>
      <c r="T60">
        <v>28</v>
      </c>
      <c r="U60">
        <v>1246.5</v>
      </c>
      <c r="V60">
        <v>0.16</v>
      </c>
      <c r="W60">
        <v>290</v>
      </c>
      <c r="X60">
        <v>62.9</v>
      </c>
      <c r="Y60">
        <v>352.9</v>
      </c>
      <c r="Z60">
        <v>310.3</v>
      </c>
      <c r="AA60">
        <v>15.1</v>
      </c>
      <c r="AB60">
        <v>2.0099999999999998</v>
      </c>
      <c r="AC60">
        <v>29.9</v>
      </c>
      <c r="AD60">
        <v>1333.3</v>
      </c>
      <c r="AE60">
        <v>0.17</v>
      </c>
      <c r="AF60">
        <v>311.3</v>
      </c>
      <c r="AG60">
        <v>67.3</v>
      </c>
      <c r="AH60">
        <v>378.6</v>
      </c>
      <c r="AI60">
        <v>366.5</v>
      </c>
      <c r="AJ60">
        <v>7.5</v>
      </c>
      <c r="AK60">
        <v>0.78</v>
      </c>
      <c r="AL60">
        <v>42.8</v>
      </c>
      <c r="AM60">
        <v>1896.8</v>
      </c>
      <c r="AN60">
        <v>0.16</v>
      </c>
      <c r="AO60">
        <v>366.9</v>
      </c>
      <c r="AP60">
        <v>96</v>
      </c>
      <c r="AQ60">
        <v>462.9</v>
      </c>
      <c r="AR60">
        <v>583.9</v>
      </c>
      <c r="AS60">
        <v>36.5</v>
      </c>
      <c r="AT60">
        <v>5.08</v>
      </c>
      <c r="AU60">
        <v>46.3</v>
      </c>
      <c r="AV60">
        <v>2208.6999999999998</v>
      </c>
      <c r="AW60">
        <v>0.3</v>
      </c>
      <c r="AX60">
        <v>586.20000000000005</v>
      </c>
      <c r="AY60">
        <v>108.2</v>
      </c>
      <c r="AZ60">
        <v>694.4</v>
      </c>
      <c r="BA60">
        <v>80054476.099999994</v>
      </c>
      <c r="BB60">
        <v>3839.3</v>
      </c>
      <c r="BC60">
        <v>510.9</v>
      </c>
      <c r="BD60">
        <v>7745372.2999999998</v>
      </c>
      <c r="BE60">
        <v>345355.2</v>
      </c>
      <c r="BF60">
        <v>43</v>
      </c>
      <c r="BG60">
        <v>80297376.200000003</v>
      </c>
      <c r="BH60">
        <v>17426706.399999999</v>
      </c>
      <c r="BI60">
        <v>97724082.599999994</v>
      </c>
      <c r="BJ60">
        <v>0</v>
      </c>
      <c r="BK60">
        <v>0</v>
      </c>
      <c r="BL60">
        <v>80054476.099999994</v>
      </c>
      <c r="BM60">
        <v>87799848.400000006</v>
      </c>
      <c r="BN60">
        <v>97724082.599999994</v>
      </c>
      <c r="BO60">
        <v>32.04</v>
      </c>
      <c r="BP60">
        <v>12.71</v>
      </c>
      <c r="BQ60">
        <v>0</v>
      </c>
      <c r="BR60">
        <v>44.75</v>
      </c>
      <c r="BS60">
        <v>34.29</v>
      </c>
      <c r="BT60">
        <v>14.22</v>
      </c>
      <c r="BU60">
        <v>0</v>
      </c>
      <c r="BV60">
        <v>48.51</v>
      </c>
      <c r="BW60">
        <v>278408000</v>
      </c>
      <c r="BX60">
        <v>65805196</v>
      </c>
      <c r="BY60">
        <v>28962196</v>
      </c>
      <c r="BZ60">
        <v>22733622</v>
      </c>
      <c r="CA60">
        <v>0</v>
      </c>
      <c r="CB60">
        <v>111866.4</v>
      </c>
      <c r="CC60">
        <v>147610110</v>
      </c>
      <c r="CD60">
        <v>0</v>
      </c>
      <c r="CE60">
        <v>1324429.3999999999</v>
      </c>
      <c r="CF60">
        <v>200936.1</v>
      </c>
      <c r="CG60">
        <v>0</v>
      </c>
      <c r="CH60">
        <v>2836594</v>
      </c>
      <c r="CI60">
        <v>0</v>
      </c>
      <c r="CJ60">
        <v>0</v>
      </c>
      <c r="CK60">
        <v>0</v>
      </c>
      <c r="CL60">
        <v>0</v>
      </c>
      <c r="CM60">
        <v>52576336</v>
      </c>
      <c r="CN60">
        <v>13228862</v>
      </c>
      <c r="CO60">
        <v>0</v>
      </c>
      <c r="CP60">
        <v>8823039</v>
      </c>
      <c r="CQ60">
        <v>0</v>
      </c>
      <c r="CR60">
        <v>4679.8999999999996</v>
      </c>
      <c r="CS60">
        <v>0</v>
      </c>
      <c r="CT60">
        <v>496</v>
      </c>
      <c r="CU60">
        <v>5945</v>
      </c>
      <c r="CV60">
        <v>0</v>
      </c>
      <c r="CW60">
        <v>0</v>
      </c>
      <c r="CX60">
        <v>9154.4</v>
      </c>
      <c r="CY60">
        <v>34693.5</v>
      </c>
      <c r="CZ60">
        <v>0</v>
      </c>
      <c r="DA60">
        <v>8425.5</v>
      </c>
      <c r="DB60">
        <v>0</v>
      </c>
      <c r="DC60">
        <v>55</v>
      </c>
      <c r="DD60">
        <v>3626</v>
      </c>
      <c r="DE60">
        <v>966.4</v>
      </c>
      <c r="DF60">
        <v>0</v>
      </c>
      <c r="DG60">
        <v>24416.7</v>
      </c>
      <c r="DH60">
        <v>0</v>
      </c>
      <c r="DI60">
        <v>0</v>
      </c>
      <c r="DJ60">
        <v>0</v>
      </c>
      <c r="DK60">
        <v>35240.6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</row>
    <row r="61" spans="1:122" x14ac:dyDescent="0.3">
      <c r="A61" t="s">
        <v>160</v>
      </c>
      <c r="B61">
        <v>2042</v>
      </c>
      <c r="C61">
        <v>290293959.69999999</v>
      </c>
      <c r="D61">
        <v>277377480.5</v>
      </c>
      <c r="E61">
        <v>267409272</v>
      </c>
      <c r="F61">
        <v>0</v>
      </c>
      <c r="G61">
        <v>11475583</v>
      </c>
      <c r="H61">
        <v>210336178.30000001</v>
      </c>
      <c r="I61">
        <v>11475583</v>
      </c>
      <c r="J61">
        <v>0</v>
      </c>
      <c r="K61">
        <v>1440896.3</v>
      </c>
      <c r="L61">
        <v>3.5900000000000001E-2</v>
      </c>
      <c r="M61">
        <v>5.3900000000000003E-2</v>
      </c>
      <c r="N61">
        <v>0.15</v>
      </c>
      <c r="O61">
        <v>67371.44</v>
      </c>
      <c r="P61">
        <v>62863.5</v>
      </c>
      <c r="Q61">
        <v>282.10000000000002</v>
      </c>
      <c r="R61">
        <v>12.8</v>
      </c>
      <c r="S61">
        <v>1.69</v>
      </c>
      <c r="T61">
        <v>27.9</v>
      </c>
      <c r="U61">
        <v>1240</v>
      </c>
      <c r="V61">
        <v>0.15</v>
      </c>
      <c r="W61">
        <v>283</v>
      </c>
      <c r="X61">
        <v>62.6</v>
      </c>
      <c r="Y61">
        <v>345.6</v>
      </c>
      <c r="Z61">
        <v>303</v>
      </c>
      <c r="AA61">
        <v>13.9</v>
      </c>
      <c r="AB61">
        <v>1.84</v>
      </c>
      <c r="AC61">
        <v>29.9</v>
      </c>
      <c r="AD61">
        <v>1327.1</v>
      </c>
      <c r="AE61">
        <v>0.16</v>
      </c>
      <c r="AF61">
        <v>303.8</v>
      </c>
      <c r="AG61">
        <v>67.099999999999994</v>
      </c>
      <c r="AH61">
        <v>370.9</v>
      </c>
      <c r="AI61">
        <v>375.7</v>
      </c>
      <c r="AJ61">
        <v>8.3000000000000007</v>
      </c>
      <c r="AK61">
        <v>0.89</v>
      </c>
      <c r="AL61">
        <v>43.3</v>
      </c>
      <c r="AM61">
        <v>1925.7</v>
      </c>
      <c r="AN61">
        <v>0.17</v>
      </c>
      <c r="AO61">
        <v>376.1</v>
      </c>
      <c r="AP61">
        <v>97.3</v>
      </c>
      <c r="AQ61">
        <v>473.4</v>
      </c>
      <c r="AR61">
        <v>583.79999999999995</v>
      </c>
      <c r="AS61">
        <v>36.799999999999997</v>
      </c>
      <c r="AT61">
        <v>5.1100000000000003</v>
      </c>
      <c r="AU61">
        <v>45.9</v>
      </c>
      <c r="AV61">
        <v>2209.1999999999998</v>
      </c>
      <c r="AW61">
        <v>0.28999999999999998</v>
      </c>
      <c r="AX61">
        <v>586.20000000000005</v>
      </c>
      <c r="AY61">
        <v>107.8</v>
      </c>
      <c r="AZ61">
        <v>694</v>
      </c>
      <c r="BA61">
        <v>80246816.599999994</v>
      </c>
      <c r="BB61">
        <v>3637.9</v>
      </c>
      <c r="BC61">
        <v>479.6</v>
      </c>
      <c r="BD61">
        <v>7935537.2999999998</v>
      </c>
      <c r="BE61">
        <v>352878.3</v>
      </c>
      <c r="BF61">
        <v>42.8</v>
      </c>
      <c r="BG61">
        <v>80475769</v>
      </c>
      <c r="BH61">
        <v>17827474.399999999</v>
      </c>
      <c r="BI61">
        <v>98303243.400000006</v>
      </c>
      <c r="BJ61">
        <v>0</v>
      </c>
      <c r="BK61">
        <v>0</v>
      </c>
      <c r="BL61">
        <v>80246816.599999994</v>
      </c>
      <c r="BM61">
        <v>88182353.900000006</v>
      </c>
      <c r="BN61">
        <v>98303243.400000006</v>
      </c>
      <c r="BO61">
        <v>31.53</v>
      </c>
      <c r="BP61">
        <v>12.82</v>
      </c>
      <c r="BQ61">
        <v>0</v>
      </c>
      <c r="BR61">
        <v>44.35</v>
      </c>
      <c r="BS61">
        <v>33.729999999999997</v>
      </c>
      <c r="BT61">
        <v>14.38</v>
      </c>
      <c r="BU61">
        <v>0</v>
      </c>
      <c r="BV61">
        <v>48.11</v>
      </c>
      <c r="BW61">
        <v>285966100</v>
      </c>
      <c r="BX61">
        <v>67041304</v>
      </c>
      <c r="BY61">
        <v>28962196</v>
      </c>
      <c r="BZ61">
        <v>20750386</v>
      </c>
      <c r="CA61">
        <v>0</v>
      </c>
      <c r="CB61">
        <v>93287.4</v>
      </c>
      <c r="CC61">
        <v>155504080</v>
      </c>
      <c r="CD61">
        <v>0</v>
      </c>
      <c r="CE61">
        <v>1172653.8999999999</v>
      </c>
      <c r="CF61">
        <v>201129.9</v>
      </c>
      <c r="CG61">
        <v>0</v>
      </c>
      <c r="CH61">
        <v>2473171.7999999998</v>
      </c>
      <c r="CI61">
        <v>0</v>
      </c>
      <c r="CJ61">
        <v>0</v>
      </c>
      <c r="CK61">
        <v>0</v>
      </c>
      <c r="CL61">
        <v>0</v>
      </c>
      <c r="CM61">
        <v>53569796</v>
      </c>
      <c r="CN61">
        <v>13471507</v>
      </c>
      <c r="CO61">
        <v>0</v>
      </c>
      <c r="CP61">
        <v>9767892</v>
      </c>
      <c r="CQ61">
        <v>0</v>
      </c>
      <c r="CR61">
        <v>5229</v>
      </c>
      <c r="CS61">
        <v>0</v>
      </c>
      <c r="CT61">
        <v>416</v>
      </c>
      <c r="CU61">
        <v>5624</v>
      </c>
      <c r="CV61">
        <v>0</v>
      </c>
      <c r="CW61">
        <v>0</v>
      </c>
      <c r="CX61">
        <v>9419.7999999999993</v>
      </c>
      <c r="CY61">
        <v>36396.5</v>
      </c>
      <c r="CZ61">
        <v>0</v>
      </c>
      <c r="DA61">
        <v>8000.6</v>
      </c>
      <c r="DB61">
        <v>0</v>
      </c>
      <c r="DC61">
        <v>55</v>
      </c>
      <c r="DD61">
        <v>3626</v>
      </c>
      <c r="DE61">
        <v>860.1</v>
      </c>
      <c r="DF61">
        <v>0</v>
      </c>
      <c r="DG61">
        <v>25099.9</v>
      </c>
      <c r="DH61">
        <v>0</v>
      </c>
      <c r="DI61">
        <v>0</v>
      </c>
      <c r="DJ61">
        <v>0</v>
      </c>
      <c r="DK61">
        <v>39045.300000000003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</row>
    <row r="62" spans="1:122" x14ac:dyDescent="0.3">
      <c r="A62" t="s">
        <v>160</v>
      </c>
      <c r="B62">
        <v>2044</v>
      </c>
      <c r="C62">
        <v>296971014.39999998</v>
      </c>
      <c r="D62">
        <v>284059054.30000001</v>
      </c>
      <c r="E62">
        <v>273850727.80000001</v>
      </c>
      <c r="F62">
        <v>0</v>
      </c>
      <c r="G62">
        <v>11631622</v>
      </c>
      <c r="H62">
        <v>216840903.80000001</v>
      </c>
      <c r="I62">
        <v>11631622</v>
      </c>
      <c r="J62">
        <v>0</v>
      </c>
      <c r="K62">
        <v>1280337.8</v>
      </c>
      <c r="L62">
        <v>3.5900000000000001E-2</v>
      </c>
      <c r="M62">
        <v>5.3900000000000003E-2</v>
      </c>
      <c r="N62">
        <v>0.15</v>
      </c>
      <c r="O62">
        <v>69370.87</v>
      </c>
      <c r="P62">
        <v>64378.7</v>
      </c>
      <c r="Q62">
        <v>284.2</v>
      </c>
      <c r="R62">
        <v>12.9</v>
      </c>
      <c r="S62">
        <v>1.7</v>
      </c>
      <c r="T62">
        <v>28</v>
      </c>
      <c r="U62">
        <v>1249.7</v>
      </c>
      <c r="V62">
        <v>0.15</v>
      </c>
      <c r="W62">
        <v>285</v>
      </c>
      <c r="X62">
        <v>63.1</v>
      </c>
      <c r="Y62">
        <v>348.1</v>
      </c>
      <c r="Z62">
        <v>304.10000000000002</v>
      </c>
      <c r="AA62">
        <v>13.9</v>
      </c>
      <c r="AB62">
        <v>1.84</v>
      </c>
      <c r="AC62">
        <v>30</v>
      </c>
      <c r="AD62">
        <v>1333</v>
      </c>
      <c r="AE62">
        <v>0.16</v>
      </c>
      <c r="AF62">
        <v>304.89999999999998</v>
      </c>
      <c r="AG62">
        <v>67.3</v>
      </c>
      <c r="AH62">
        <v>372.3</v>
      </c>
      <c r="AI62">
        <v>345.2</v>
      </c>
      <c r="AJ62">
        <v>9.1999999999999993</v>
      </c>
      <c r="AK62">
        <v>1.06</v>
      </c>
      <c r="AL62">
        <v>38.4</v>
      </c>
      <c r="AM62">
        <v>1719.2</v>
      </c>
      <c r="AN62">
        <v>0.15</v>
      </c>
      <c r="AO62">
        <v>345.8</v>
      </c>
      <c r="AP62">
        <v>86.6</v>
      </c>
      <c r="AQ62">
        <v>432.4</v>
      </c>
      <c r="AR62">
        <v>570.20000000000005</v>
      </c>
      <c r="AS62">
        <v>35.1</v>
      </c>
      <c r="AT62">
        <v>4.8600000000000003</v>
      </c>
      <c r="AU62">
        <v>45.5</v>
      </c>
      <c r="AV62">
        <v>2191.9</v>
      </c>
      <c r="AW62">
        <v>0.28000000000000003</v>
      </c>
      <c r="AX62">
        <v>572.5</v>
      </c>
      <c r="AY62">
        <v>107</v>
      </c>
      <c r="AZ62">
        <v>679.4</v>
      </c>
      <c r="BA62">
        <v>82627790.099999994</v>
      </c>
      <c r="BB62">
        <v>3742.2</v>
      </c>
      <c r="BC62">
        <v>493.2</v>
      </c>
      <c r="BD62">
        <v>8154213.7999999998</v>
      </c>
      <c r="BE62">
        <v>363461.5</v>
      </c>
      <c r="BF62">
        <v>43.8</v>
      </c>
      <c r="BG62">
        <v>82863277.799999997</v>
      </c>
      <c r="BH62">
        <v>18342751.600000001</v>
      </c>
      <c r="BI62">
        <v>101206029.40000001</v>
      </c>
      <c r="BJ62">
        <v>0</v>
      </c>
      <c r="BK62">
        <v>0</v>
      </c>
      <c r="BL62">
        <v>82627790.099999994</v>
      </c>
      <c r="BM62">
        <v>90782003.900000006</v>
      </c>
      <c r="BN62">
        <v>101206029.40000001</v>
      </c>
      <c r="BO62">
        <v>31.85</v>
      </c>
      <c r="BP62">
        <v>13.22</v>
      </c>
      <c r="BQ62">
        <v>0</v>
      </c>
      <c r="BR62">
        <v>45.06</v>
      </c>
      <c r="BS62">
        <v>34.07</v>
      </c>
      <c r="BT62">
        <v>14.81</v>
      </c>
      <c r="BU62">
        <v>0</v>
      </c>
      <c r="BV62">
        <v>48.88</v>
      </c>
      <c r="BW62">
        <v>292293340</v>
      </c>
      <c r="BX62">
        <v>67218150</v>
      </c>
      <c r="BY62">
        <v>28962196</v>
      </c>
      <c r="BZ62">
        <v>21325528</v>
      </c>
      <c r="CA62">
        <v>0</v>
      </c>
      <c r="CB62">
        <v>83078.3</v>
      </c>
      <c r="CC62">
        <v>161204160</v>
      </c>
      <c r="CD62">
        <v>0</v>
      </c>
      <c r="CE62">
        <v>1068146.8</v>
      </c>
      <c r="CF62">
        <v>200848.2</v>
      </c>
      <c r="CG62">
        <v>0</v>
      </c>
      <c r="CH62">
        <v>2294580.2000000002</v>
      </c>
      <c r="CI62">
        <v>0</v>
      </c>
      <c r="CJ62">
        <v>0</v>
      </c>
      <c r="CK62">
        <v>0</v>
      </c>
      <c r="CL62">
        <v>0</v>
      </c>
      <c r="CM62">
        <v>53481420</v>
      </c>
      <c r="CN62">
        <v>13736733</v>
      </c>
      <c r="CO62">
        <v>0</v>
      </c>
      <c r="CP62">
        <v>9936656</v>
      </c>
      <c r="CQ62">
        <v>0</v>
      </c>
      <c r="CR62">
        <v>5410.1</v>
      </c>
      <c r="CS62">
        <v>0</v>
      </c>
      <c r="CT62">
        <v>377</v>
      </c>
      <c r="CU62">
        <v>5624</v>
      </c>
      <c r="CV62">
        <v>0</v>
      </c>
      <c r="CW62">
        <v>0</v>
      </c>
      <c r="CX62">
        <v>9708.4</v>
      </c>
      <c r="CY62">
        <v>38389.599999999999</v>
      </c>
      <c r="CZ62">
        <v>0</v>
      </c>
      <c r="DA62">
        <v>7523.1</v>
      </c>
      <c r="DB62">
        <v>0</v>
      </c>
      <c r="DC62">
        <v>55</v>
      </c>
      <c r="DD62">
        <v>3626</v>
      </c>
      <c r="DE62">
        <v>860.1</v>
      </c>
      <c r="DF62">
        <v>0</v>
      </c>
      <c r="DG62">
        <v>25182</v>
      </c>
      <c r="DH62">
        <v>0</v>
      </c>
      <c r="DI62">
        <v>0</v>
      </c>
      <c r="DJ62">
        <v>0</v>
      </c>
      <c r="DK62">
        <v>39715.199999999997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</row>
    <row r="63" spans="1:122" x14ac:dyDescent="0.3">
      <c r="A63" t="s">
        <v>160</v>
      </c>
      <c r="B63">
        <v>2046</v>
      </c>
      <c r="C63">
        <v>304472284.19999999</v>
      </c>
      <c r="D63">
        <v>290855828</v>
      </c>
      <c r="E63">
        <v>280403243.5</v>
      </c>
      <c r="F63">
        <v>0</v>
      </c>
      <c r="G63">
        <v>12443901</v>
      </c>
      <c r="H63">
        <v>222083718.69999999</v>
      </c>
      <c r="I63">
        <v>12443901</v>
      </c>
      <c r="J63">
        <v>0</v>
      </c>
      <c r="K63">
        <v>1172555.3</v>
      </c>
      <c r="L63">
        <v>3.5900000000000001E-2</v>
      </c>
      <c r="M63">
        <v>5.3900000000000003E-2</v>
      </c>
      <c r="N63">
        <v>0.15</v>
      </c>
      <c r="O63">
        <v>72028.649999999994</v>
      </c>
      <c r="P63">
        <v>65921</v>
      </c>
      <c r="Q63">
        <v>277</v>
      </c>
      <c r="R63">
        <v>11.6</v>
      </c>
      <c r="S63">
        <v>1.51</v>
      </c>
      <c r="T63">
        <v>27.9</v>
      </c>
      <c r="U63">
        <v>1247.0999999999999</v>
      </c>
      <c r="V63">
        <v>0.15</v>
      </c>
      <c r="W63">
        <v>277.8</v>
      </c>
      <c r="X63">
        <v>62.9</v>
      </c>
      <c r="Y63">
        <v>340.6</v>
      </c>
      <c r="Z63">
        <v>295.5</v>
      </c>
      <c r="AA63">
        <v>12.5</v>
      </c>
      <c r="AB63">
        <v>1.62</v>
      </c>
      <c r="AC63">
        <v>29.8</v>
      </c>
      <c r="AD63">
        <v>1328.6</v>
      </c>
      <c r="AE63">
        <v>0.16</v>
      </c>
      <c r="AF63">
        <v>296.3</v>
      </c>
      <c r="AG63">
        <v>67</v>
      </c>
      <c r="AH63">
        <v>363.4</v>
      </c>
      <c r="AI63">
        <v>334.3</v>
      </c>
      <c r="AJ63">
        <v>9.1</v>
      </c>
      <c r="AK63">
        <v>1.07</v>
      </c>
      <c r="AL63">
        <v>37</v>
      </c>
      <c r="AM63">
        <v>1656.5</v>
      </c>
      <c r="AN63">
        <v>0.15</v>
      </c>
      <c r="AO63">
        <v>334.8</v>
      </c>
      <c r="AP63">
        <v>83.4</v>
      </c>
      <c r="AQ63">
        <v>418.2</v>
      </c>
      <c r="AR63">
        <v>560</v>
      </c>
      <c r="AS63">
        <v>34.1</v>
      </c>
      <c r="AT63">
        <v>4.6900000000000004</v>
      </c>
      <c r="AU63">
        <v>44.9</v>
      </c>
      <c r="AV63">
        <v>2177</v>
      </c>
      <c r="AW63">
        <v>0.26</v>
      </c>
      <c r="AX63">
        <v>562.20000000000005</v>
      </c>
      <c r="AY63">
        <v>106</v>
      </c>
      <c r="AZ63">
        <v>668.2</v>
      </c>
      <c r="BA63">
        <v>82915803</v>
      </c>
      <c r="BB63">
        <v>3477.2</v>
      </c>
      <c r="BC63">
        <v>452</v>
      </c>
      <c r="BD63">
        <v>8359741.5</v>
      </c>
      <c r="BE63">
        <v>373446.8</v>
      </c>
      <c r="BF63">
        <v>43.4</v>
      </c>
      <c r="BG63">
        <v>83132947.799999997</v>
      </c>
      <c r="BH63">
        <v>18827766.300000001</v>
      </c>
      <c r="BI63">
        <v>101960714.09999999</v>
      </c>
      <c r="BJ63">
        <v>0</v>
      </c>
      <c r="BK63">
        <v>0</v>
      </c>
      <c r="BL63">
        <v>82915803</v>
      </c>
      <c r="BM63">
        <v>91275544.5</v>
      </c>
      <c r="BN63">
        <v>101960714.09999999</v>
      </c>
      <c r="BO63">
        <v>31.32</v>
      </c>
      <c r="BP63">
        <v>13.7</v>
      </c>
      <c r="BQ63">
        <v>0</v>
      </c>
      <c r="BR63">
        <v>45.03</v>
      </c>
      <c r="BS63">
        <v>33.5</v>
      </c>
      <c r="BT63">
        <v>15.38</v>
      </c>
      <c r="BU63">
        <v>0</v>
      </c>
      <c r="BV63">
        <v>48.88</v>
      </c>
      <c r="BW63">
        <v>300945540</v>
      </c>
      <c r="BX63">
        <v>68772110</v>
      </c>
      <c r="BY63">
        <v>28962196</v>
      </c>
      <c r="BZ63">
        <v>18724044</v>
      </c>
      <c r="CA63">
        <v>0</v>
      </c>
      <c r="CB63">
        <v>80942.399999999994</v>
      </c>
      <c r="CC63">
        <v>171108740</v>
      </c>
      <c r="CD63">
        <v>0</v>
      </c>
      <c r="CE63">
        <v>989381.6</v>
      </c>
      <c r="CF63">
        <v>201485.4</v>
      </c>
      <c r="CG63">
        <v>0</v>
      </c>
      <c r="CH63">
        <v>1521378.2</v>
      </c>
      <c r="CI63">
        <v>0</v>
      </c>
      <c r="CJ63">
        <v>0</v>
      </c>
      <c r="CK63">
        <v>0</v>
      </c>
      <c r="CL63">
        <v>0</v>
      </c>
      <c r="CM63">
        <v>55078104</v>
      </c>
      <c r="CN63">
        <v>13694003</v>
      </c>
      <c r="CO63">
        <v>0</v>
      </c>
      <c r="CP63">
        <v>10585251</v>
      </c>
      <c r="CQ63">
        <v>0</v>
      </c>
      <c r="CR63">
        <v>5827.8</v>
      </c>
      <c r="CS63">
        <v>0</v>
      </c>
      <c r="CT63">
        <v>272.10000000000002</v>
      </c>
      <c r="CU63">
        <v>5303</v>
      </c>
      <c r="CV63">
        <v>0</v>
      </c>
      <c r="CW63">
        <v>0</v>
      </c>
      <c r="CX63">
        <v>9797.7000000000007</v>
      </c>
      <c r="CY63">
        <v>40660.300000000003</v>
      </c>
      <c r="CZ63">
        <v>0</v>
      </c>
      <c r="DA63">
        <v>7470</v>
      </c>
      <c r="DB63">
        <v>0</v>
      </c>
      <c r="DC63">
        <v>55</v>
      </c>
      <c r="DD63">
        <v>3626</v>
      </c>
      <c r="DE63">
        <v>860.1</v>
      </c>
      <c r="DF63">
        <v>0</v>
      </c>
      <c r="DG63">
        <v>25928.6</v>
      </c>
      <c r="DH63">
        <v>0</v>
      </c>
      <c r="DI63">
        <v>0</v>
      </c>
      <c r="DJ63">
        <v>0</v>
      </c>
      <c r="DK63">
        <v>42695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</row>
    <row r="64" spans="1:122" x14ac:dyDescent="0.3">
      <c r="A64" t="s">
        <v>160</v>
      </c>
      <c r="B64">
        <v>2048</v>
      </c>
      <c r="C64">
        <v>314180772.69999999</v>
      </c>
      <c r="D64">
        <v>297883000.69999999</v>
      </c>
      <c r="E64">
        <v>287177878.30000001</v>
      </c>
      <c r="F64">
        <v>0</v>
      </c>
      <c r="G64">
        <v>15107741</v>
      </c>
      <c r="H64">
        <v>221874521.30000001</v>
      </c>
      <c r="I64">
        <v>15107741</v>
      </c>
      <c r="J64">
        <v>0</v>
      </c>
      <c r="K64">
        <v>1190031.6000000001</v>
      </c>
      <c r="L64">
        <v>3.5900000000000001E-2</v>
      </c>
      <c r="M64">
        <v>5.3900000000000003E-2</v>
      </c>
      <c r="N64">
        <v>0.15</v>
      </c>
      <c r="O64">
        <v>72064.320000000007</v>
      </c>
      <c r="P64">
        <v>67511.7</v>
      </c>
      <c r="Q64">
        <v>271.89999999999998</v>
      </c>
      <c r="R64">
        <v>11.8</v>
      </c>
      <c r="S64">
        <v>1.55</v>
      </c>
      <c r="T64">
        <v>27</v>
      </c>
      <c r="U64">
        <v>1211.5</v>
      </c>
      <c r="V64">
        <v>0.14000000000000001</v>
      </c>
      <c r="W64">
        <v>272.7</v>
      </c>
      <c r="X64">
        <v>61</v>
      </c>
      <c r="Y64">
        <v>333.7</v>
      </c>
      <c r="Z64">
        <v>292.2</v>
      </c>
      <c r="AA64">
        <v>12.8</v>
      </c>
      <c r="AB64">
        <v>1.67</v>
      </c>
      <c r="AC64">
        <v>29.1</v>
      </c>
      <c r="AD64">
        <v>1299.9000000000001</v>
      </c>
      <c r="AE64">
        <v>0.16</v>
      </c>
      <c r="AF64">
        <v>293</v>
      </c>
      <c r="AG64">
        <v>65.5</v>
      </c>
      <c r="AH64">
        <v>358.5</v>
      </c>
      <c r="AI64">
        <v>259</v>
      </c>
      <c r="AJ64">
        <v>9.4</v>
      </c>
      <c r="AK64">
        <v>1.19</v>
      </c>
      <c r="AL64">
        <v>26.5</v>
      </c>
      <c r="AM64">
        <v>1208.2</v>
      </c>
      <c r="AN64">
        <v>0.12</v>
      </c>
      <c r="AO64">
        <v>259.60000000000002</v>
      </c>
      <c r="AP64">
        <v>60.4</v>
      </c>
      <c r="AQ64">
        <v>319.89999999999998</v>
      </c>
      <c r="AR64">
        <v>557.5</v>
      </c>
      <c r="AS64">
        <v>33.4</v>
      </c>
      <c r="AT64">
        <v>4.5999999999999996</v>
      </c>
      <c r="AU64">
        <v>45.2</v>
      </c>
      <c r="AV64">
        <v>2179.9</v>
      </c>
      <c r="AW64">
        <v>0.26</v>
      </c>
      <c r="AX64">
        <v>559.70000000000005</v>
      </c>
      <c r="AY64">
        <v>106.3</v>
      </c>
      <c r="AZ64">
        <v>666</v>
      </c>
      <c r="BA64">
        <v>84086589</v>
      </c>
      <c r="BB64">
        <v>3651.5</v>
      </c>
      <c r="BC64">
        <v>477.7</v>
      </c>
      <c r="BD64">
        <v>8359151.2999999998</v>
      </c>
      <c r="BE64">
        <v>374781.7</v>
      </c>
      <c r="BF64">
        <v>44</v>
      </c>
      <c r="BG64">
        <v>84315419.5</v>
      </c>
      <c r="BH64">
        <v>18864705</v>
      </c>
      <c r="BI64">
        <v>103180124.5</v>
      </c>
      <c r="BJ64">
        <v>0</v>
      </c>
      <c r="BK64">
        <v>0</v>
      </c>
      <c r="BL64">
        <v>84086589</v>
      </c>
      <c r="BM64">
        <v>92445740.299999997</v>
      </c>
      <c r="BN64">
        <v>103180124.5</v>
      </c>
      <c r="BO64">
        <v>31.84</v>
      </c>
      <c r="BP64">
        <v>13.55</v>
      </c>
      <c r="BQ64">
        <v>0</v>
      </c>
      <c r="BR64">
        <v>45.4</v>
      </c>
      <c r="BS64">
        <v>34.1</v>
      </c>
      <c r="BT64">
        <v>15.33</v>
      </c>
      <c r="BU64">
        <v>0</v>
      </c>
      <c r="BV64">
        <v>49.43</v>
      </c>
      <c r="BW64">
        <v>310920350</v>
      </c>
      <c r="BX64">
        <v>76008480</v>
      </c>
      <c r="BY64">
        <v>28962196</v>
      </c>
      <c r="BZ64">
        <v>20203938</v>
      </c>
      <c r="CA64">
        <v>0</v>
      </c>
      <c r="CB64">
        <v>67318.3</v>
      </c>
      <c r="CC64">
        <v>170110530</v>
      </c>
      <c r="CD64">
        <v>0</v>
      </c>
      <c r="CE64">
        <v>930188.1</v>
      </c>
      <c r="CF64">
        <v>201164.3</v>
      </c>
      <c r="CG64">
        <v>0</v>
      </c>
      <c r="CH64">
        <v>1522162.9</v>
      </c>
      <c r="CI64">
        <v>0</v>
      </c>
      <c r="CJ64">
        <v>675299.6</v>
      </c>
      <c r="CK64">
        <v>0</v>
      </c>
      <c r="CL64">
        <v>0</v>
      </c>
      <c r="CM64">
        <v>61757930</v>
      </c>
      <c r="CN64">
        <v>13575258</v>
      </c>
      <c r="CO64">
        <v>0</v>
      </c>
      <c r="CP64">
        <v>12914368</v>
      </c>
      <c r="CQ64">
        <v>0</v>
      </c>
      <c r="CR64">
        <v>7199.7</v>
      </c>
      <c r="CS64">
        <v>0</v>
      </c>
      <c r="CT64">
        <v>272.10000000000002</v>
      </c>
      <c r="CU64">
        <v>4982</v>
      </c>
      <c r="CV64">
        <v>0</v>
      </c>
      <c r="CW64">
        <v>0</v>
      </c>
      <c r="CX64">
        <v>9843.7999999999993</v>
      </c>
      <c r="CY64">
        <v>40660.300000000003</v>
      </c>
      <c r="CZ64">
        <v>0</v>
      </c>
      <c r="DA64">
        <v>7470</v>
      </c>
      <c r="DB64">
        <v>0</v>
      </c>
      <c r="DC64">
        <v>55</v>
      </c>
      <c r="DD64">
        <v>3626</v>
      </c>
      <c r="DE64">
        <v>753.9</v>
      </c>
      <c r="DF64">
        <v>0</v>
      </c>
      <c r="DG64">
        <v>28306.9</v>
      </c>
      <c r="DH64">
        <v>0</v>
      </c>
      <c r="DI64">
        <v>259.2</v>
      </c>
      <c r="DJ64">
        <v>0</v>
      </c>
      <c r="DK64">
        <v>52960.3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</row>
    <row r="65" spans="1:122" x14ac:dyDescent="0.3">
      <c r="A65" t="s">
        <v>160</v>
      </c>
      <c r="B65">
        <v>2050</v>
      </c>
      <c r="C65">
        <v>325924081.60000002</v>
      </c>
      <c r="D65">
        <v>305670490.10000002</v>
      </c>
      <c r="E65">
        <v>294685506.10000002</v>
      </c>
      <c r="F65">
        <v>0</v>
      </c>
      <c r="G65">
        <v>18780598</v>
      </c>
      <c r="H65">
        <v>211552248</v>
      </c>
      <c r="I65">
        <v>18780598</v>
      </c>
      <c r="J65">
        <v>0</v>
      </c>
      <c r="K65">
        <v>1472993.3</v>
      </c>
      <c r="L65">
        <v>3.5900000000000001E-2</v>
      </c>
      <c r="M65">
        <v>5.3900000000000003E-2</v>
      </c>
      <c r="N65">
        <v>0.15</v>
      </c>
      <c r="O65">
        <v>71370.240000000005</v>
      </c>
      <c r="P65">
        <v>69278.600000000006</v>
      </c>
      <c r="Q65">
        <v>246.2</v>
      </c>
      <c r="R65">
        <v>10.3</v>
      </c>
      <c r="S65">
        <v>1.34</v>
      </c>
      <c r="T65">
        <v>24.9</v>
      </c>
      <c r="U65">
        <v>1110</v>
      </c>
      <c r="V65">
        <v>0.13</v>
      </c>
      <c r="W65">
        <v>246.8</v>
      </c>
      <c r="X65">
        <v>56</v>
      </c>
      <c r="Y65">
        <v>302.8</v>
      </c>
      <c r="Z65">
        <v>266.60000000000002</v>
      </c>
      <c r="AA65">
        <v>11.1</v>
      </c>
      <c r="AB65">
        <v>1.45</v>
      </c>
      <c r="AC65">
        <v>27</v>
      </c>
      <c r="AD65">
        <v>1202.5999999999999</v>
      </c>
      <c r="AE65">
        <v>0.14000000000000001</v>
      </c>
      <c r="AF65">
        <v>267.3</v>
      </c>
      <c r="AG65">
        <v>60.7</v>
      </c>
      <c r="AH65">
        <v>328.1</v>
      </c>
      <c r="AI65">
        <v>249.9</v>
      </c>
      <c r="AJ65">
        <v>9.1</v>
      </c>
      <c r="AK65">
        <v>1.1399999999999999</v>
      </c>
      <c r="AL65">
        <v>25.6</v>
      </c>
      <c r="AM65">
        <v>1167.5999999999999</v>
      </c>
      <c r="AN65">
        <v>0.11</v>
      </c>
      <c r="AO65">
        <v>250.5</v>
      </c>
      <c r="AP65">
        <v>58.3</v>
      </c>
      <c r="AQ65">
        <v>308.8</v>
      </c>
      <c r="AR65">
        <v>550.6</v>
      </c>
      <c r="AS65">
        <v>32.9</v>
      </c>
      <c r="AT65">
        <v>4.51</v>
      </c>
      <c r="AU65">
        <v>44.8</v>
      </c>
      <c r="AV65">
        <v>2161.4</v>
      </c>
      <c r="AW65">
        <v>0.26</v>
      </c>
      <c r="AX65">
        <v>552.70000000000005</v>
      </c>
      <c r="AY65">
        <v>105.3</v>
      </c>
      <c r="AZ65">
        <v>658</v>
      </c>
      <c r="BA65">
        <v>79283235.099999994</v>
      </c>
      <c r="BB65">
        <v>3310.1</v>
      </c>
      <c r="BC65">
        <v>429.8</v>
      </c>
      <c r="BD65">
        <v>8017981.4000000004</v>
      </c>
      <c r="BE65">
        <v>357669.5</v>
      </c>
      <c r="BF65">
        <v>41.7</v>
      </c>
      <c r="BG65">
        <v>79489827.200000003</v>
      </c>
      <c r="BH65">
        <v>18043786.800000001</v>
      </c>
      <c r="BI65">
        <v>97533614.099999994</v>
      </c>
      <c r="BJ65">
        <v>0</v>
      </c>
      <c r="BK65">
        <v>0</v>
      </c>
      <c r="BL65">
        <v>79283235.099999994</v>
      </c>
      <c r="BM65">
        <v>87301216.5</v>
      </c>
      <c r="BN65">
        <v>97533614.099999994</v>
      </c>
      <c r="BO65">
        <v>31.04</v>
      </c>
      <c r="BP65">
        <v>13.21</v>
      </c>
      <c r="BQ65">
        <v>0</v>
      </c>
      <c r="BR65">
        <v>44.25</v>
      </c>
      <c r="BS65">
        <v>33.369999999999997</v>
      </c>
      <c r="BT65">
        <v>15.09</v>
      </c>
      <c r="BU65">
        <v>0</v>
      </c>
      <c r="BV65">
        <v>48.45</v>
      </c>
      <c r="BW65">
        <v>323862200</v>
      </c>
      <c r="BX65">
        <v>94118240</v>
      </c>
      <c r="BY65">
        <v>28962196</v>
      </c>
      <c r="BZ65">
        <v>17790966</v>
      </c>
      <c r="CA65">
        <v>0</v>
      </c>
      <c r="CB65">
        <v>41418.800000000003</v>
      </c>
      <c r="CC65">
        <v>164376350</v>
      </c>
      <c r="CD65">
        <v>0</v>
      </c>
      <c r="CE65">
        <v>854034.1</v>
      </c>
      <c r="CF65">
        <v>201612.4</v>
      </c>
      <c r="CG65">
        <v>0</v>
      </c>
      <c r="CH65">
        <v>1508738.9</v>
      </c>
      <c r="CI65">
        <v>0</v>
      </c>
      <c r="CJ65">
        <v>8698144</v>
      </c>
      <c r="CK65">
        <v>0</v>
      </c>
      <c r="CL65">
        <v>0</v>
      </c>
      <c r="CM65">
        <v>71349064</v>
      </c>
      <c r="CN65">
        <v>14071030</v>
      </c>
      <c r="CO65">
        <v>0</v>
      </c>
      <c r="CP65">
        <v>16008629</v>
      </c>
      <c r="CQ65">
        <v>0</v>
      </c>
      <c r="CR65">
        <v>9011.1</v>
      </c>
      <c r="CS65">
        <v>0</v>
      </c>
      <c r="CT65">
        <v>269.89999999999998</v>
      </c>
      <c r="CU65">
        <v>4982</v>
      </c>
      <c r="CV65">
        <v>0</v>
      </c>
      <c r="CW65">
        <v>0</v>
      </c>
      <c r="CX65">
        <v>10281.700000000001</v>
      </c>
      <c r="CY65">
        <v>40660.300000000003</v>
      </c>
      <c r="CZ65">
        <v>0</v>
      </c>
      <c r="DA65">
        <v>6992.8</v>
      </c>
      <c r="DB65">
        <v>0</v>
      </c>
      <c r="DC65">
        <v>55</v>
      </c>
      <c r="DD65">
        <v>3626</v>
      </c>
      <c r="DE65">
        <v>425</v>
      </c>
      <c r="DF65">
        <v>0</v>
      </c>
      <c r="DG65">
        <v>31698.5</v>
      </c>
      <c r="DH65">
        <v>0</v>
      </c>
      <c r="DI65">
        <v>3556.4</v>
      </c>
      <c r="DJ65">
        <v>0</v>
      </c>
      <c r="DK65">
        <v>66014.100000000006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</row>
    <row r="66" spans="1:122" x14ac:dyDescent="0.3">
      <c r="A66" t="s">
        <v>161</v>
      </c>
      <c r="B66">
        <v>2022</v>
      </c>
      <c r="C66">
        <v>31562125.699999999</v>
      </c>
      <c r="D66">
        <v>31264219.300000001</v>
      </c>
      <c r="E66">
        <v>30140434.699999999</v>
      </c>
      <c r="F66">
        <v>0</v>
      </c>
      <c r="G66">
        <v>0</v>
      </c>
      <c r="H66">
        <v>29731393.399999999</v>
      </c>
      <c r="I66">
        <v>0</v>
      </c>
      <c r="J66">
        <v>0</v>
      </c>
      <c r="K66">
        <v>297906.40000000002</v>
      </c>
      <c r="L66">
        <v>3.5900000000000001E-2</v>
      </c>
      <c r="M66">
        <v>5.3999999999999999E-2</v>
      </c>
      <c r="N66">
        <v>0.15</v>
      </c>
      <c r="O66">
        <v>53259.1</v>
      </c>
      <c r="P66">
        <v>7408.1</v>
      </c>
      <c r="Q66">
        <v>388.7</v>
      </c>
      <c r="R66">
        <v>35.200000000000003</v>
      </c>
      <c r="S66">
        <v>5.04</v>
      </c>
      <c r="T66">
        <v>24.7</v>
      </c>
      <c r="U66">
        <v>1154.2</v>
      </c>
      <c r="V66">
        <v>0.27</v>
      </c>
      <c r="W66">
        <v>391</v>
      </c>
      <c r="X66">
        <v>57.1</v>
      </c>
      <c r="Y66">
        <v>448.1</v>
      </c>
      <c r="Z66">
        <v>385.1</v>
      </c>
      <c r="AA66">
        <v>35.4</v>
      </c>
      <c r="AB66">
        <v>5.08</v>
      </c>
      <c r="AC66">
        <v>24.1</v>
      </c>
      <c r="AD66">
        <v>1126.3</v>
      </c>
      <c r="AE66">
        <v>0.27</v>
      </c>
      <c r="AF66">
        <v>387.4</v>
      </c>
      <c r="AG66">
        <v>55.7</v>
      </c>
      <c r="AH66">
        <v>443.1</v>
      </c>
      <c r="AI66">
        <v>586.1</v>
      </c>
      <c r="AJ66">
        <v>47.6</v>
      </c>
      <c r="AK66">
        <v>6.8</v>
      </c>
      <c r="AL66">
        <v>36.6</v>
      </c>
      <c r="AM66">
        <v>1866.7</v>
      </c>
      <c r="AN66">
        <v>0.31</v>
      </c>
      <c r="AO66">
        <v>589.20000000000005</v>
      </c>
      <c r="AP66">
        <v>89</v>
      </c>
      <c r="AQ66">
        <v>678.2</v>
      </c>
      <c r="AR66">
        <v>791.9</v>
      </c>
      <c r="AS66">
        <v>68.2</v>
      </c>
      <c r="AT66">
        <v>9.81</v>
      </c>
      <c r="AU66">
        <v>46.2</v>
      </c>
      <c r="AV66">
        <v>2375.3000000000002</v>
      </c>
      <c r="AW66">
        <v>0.43</v>
      </c>
      <c r="AX66">
        <v>796.5</v>
      </c>
      <c r="AY66">
        <v>112.9</v>
      </c>
      <c r="AZ66">
        <v>909.3</v>
      </c>
      <c r="BA66">
        <v>14677403.300000001</v>
      </c>
      <c r="BB66">
        <v>1330.5</v>
      </c>
      <c r="BC66">
        <v>190.5</v>
      </c>
      <c r="BD66">
        <v>933727</v>
      </c>
      <c r="BE66">
        <v>43586.2</v>
      </c>
      <c r="BF66">
        <v>10.1</v>
      </c>
      <c r="BG66">
        <v>14765138</v>
      </c>
      <c r="BH66">
        <v>2156824</v>
      </c>
      <c r="BI66">
        <v>16921962</v>
      </c>
      <c r="BJ66">
        <v>0</v>
      </c>
      <c r="BK66">
        <v>0</v>
      </c>
      <c r="BL66">
        <v>14677403.300000001</v>
      </c>
      <c r="BM66">
        <v>15611130.300000001</v>
      </c>
      <c r="BN66">
        <v>16921962</v>
      </c>
      <c r="BO66">
        <v>33.159999999999997</v>
      </c>
      <c r="BP66">
        <v>11.42</v>
      </c>
      <c r="BQ66">
        <v>0.21</v>
      </c>
      <c r="BR66">
        <v>44.79</v>
      </c>
      <c r="BS66">
        <v>35.15</v>
      </c>
      <c r="BT66">
        <v>12.42</v>
      </c>
      <c r="BU66">
        <v>0.22</v>
      </c>
      <c r="BV66">
        <v>47.79</v>
      </c>
      <c r="BW66">
        <v>38034856</v>
      </c>
      <c r="BX66">
        <v>1532826</v>
      </c>
      <c r="BY66">
        <v>14114478</v>
      </c>
      <c r="BZ66">
        <v>10496618</v>
      </c>
      <c r="CA66">
        <v>0</v>
      </c>
      <c r="CB66">
        <v>66183.8</v>
      </c>
      <c r="CC66">
        <v>9079045</v>
      </c>
      <c r="CD66">
        <v>0</v>
      </c>
      <c r="CE66">
        <v>459142.9</v>
      </c>
      <c r="CF66">
        <v>1402339.6</v>
      </c>
      <c r="CG66">
        <v>0</v>
      </c>
      <c r="CH66">
        <v>884220.6</v>
      </c>
      <c r="CI66">
        <v>0</v>
      </c>
      <c r="CJ66">
        <v>1142203</v>
      </c>
      <c r="CK66">
        <v>0</v>
      </c>
      <c r="CL66">
        <v>0</v>
      </c>
      <c r="CM66">
        <v>341749.4</v>
      </c>
      <c r="CN66">
        <v>48873.599999999999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127.1</v>
      </c>
      <c r="CU66">
        <v>2062.4</v>
      </c>
      <c r="CV66">
        <v>0</v>
      </c>
      <c r="CW66">
        <v>0</v>
      </c>
      <c r="CX66">
        <v>36.1</v>
      </c>
      <c r="CY66">
        <v>1961.2</v>
      </c>
      <c r="CZ66">
        <v>0</v>
      </c>
      <c r="DA66">
        <v>2240.3000000000002</v>
      </c>
      <c r="DB66">
        <v>0</v>
      </c>
      <c r="DC66">
        <v>247</v>
      </c>
      <c r="DD66">
        <v>1767.1</v>
      </c>
      <c r="DE66">
        <v>417.3</v>
      </c>
      <c r="DF66">
        <v>0</v>
      </c>
      <c r="DG66">
        <v>167</v>
      </c>
      <c r="DH66">
        <v>0</v>
      </c>
      <c r="DI66">
        <v>336.2</v>
      </c>
      <c r="DJ66">
        <v>0</v>
      </c>
      <c r="DK66">
        <v>0</v>
      </c>
      <c r="DL66">
        <v>0</v>
      </c>
      <c r="DM66">
        <v>0</v>
      </c>
      <c r="DN66">
        <v>2.2000000000000002</v>
      </c>
      <c r="DO66">
        <v>0.1</v>
      </c>
      <c r="DP66">
        <v>0</v>
      </c>
      <c r="DQ66">
        <v>0</v>
      </c>
      <c r="DR66">
        <v>0</v>
      </c>
    </row>
    <row r="67" spans="1:122" x14ac:dyDescent="0.3">
      <c r="A67" t="s">
        <v>161</v>
      </c>
      <c r="B67">
        <v>2024</v>
      </c>
      <c r="C67">
        <v>32109950.699999999</v>
      </c>
      <c r="D67">
        <v>31827865.199999999</v>
      </c>
      <c r="E67">
        <v>30683820.5</v>
      </c>
      <c r="F67">
        <v>0</v>
      </c>
      <c r="G67">
        <v>0</v>
      </c>
      <c r="H67">
        <v>29738207.699999999</v>
      </c>
      <c r="I67">
        <v>0</v>
      </c>
      <c r="J67">
        <v>0</v>
      </c>
      <c r="K67">
        <v>282085.5</v>
      </c>
      <c r="L67">
        <v>3.5900000000000001E-2</v>
      </c>
      <c r="M67">
        <v>5.3999999999999999E-2</v>
      </c>
      <c r="N67">
        <v>0.15</v>
      </c>
      <c r="O67">
        <v>53259.1</v>
      </c>
      <c r="P67">
        <v>7541.3</v>
      </c>
      <c r="Q67">
        <v>368.3</v>
      </c>
      <c r="R67">
        <v>30.5</v>
      </c>
      <c r="S67">
        <v>4.34</v>
      </c>
      <c r="T67">
        <v>26.1</v>
      </c>
      <c r="U67">
        <v>1182.4000000000001</v>
      </c>
      <c r="V67">
        <v>0.25</v>
      </c>
      <c r="W67">
        <v>370.3</v>
      </c>
      <c r="X67">
        <v>59.2</v>
      </c>
      <c r="Y67">
        <v>429.6</v>
      </c>
      <c r="Z67">
        <v>364.3</v>
      </c>
      <c r="AA67">
        <v>30.8</v>
      </c>
      <c r="AB67">
        <v>4.3899999999999997</v>
      </c>
      <c r="AC67">
        <v>25.4</v>
      </c>
      <c r="AD67">
        <v>1149.4000000000001</v>
      </c>
      <c r="AE67">
        <v>0.26</v>
      </c>
      <c r="AF67">
        <v>366.3</v>
      </c>
      <c r="AG67">
        <v>57.7</v>
      </c>
      <c r="AH67">
        <v>423.9</v>
      </c>
      <c r="AI67">
        <v>486.4</v>
      </c>
      <c r="AJ67">
        <v>38</v>
      </c>
      <c r="AK67">
        <v>5.4</v>
      </c>
      <c r="AL67">
        <v>31.8</v>
      </c>
      <c r="AM67">
        <v>1596.9</v>
      </c>
      <c r="AN67">
        <v>0.25</v>
      </c>
      <c r="AO67">
        <v>488.9</v>
      </c>
      <c r="AP67">
        <v>76.599999999999994</v>
      </c>
      <c r="AQ67">
        <v>565.4</v>
      </c>
      <c r="AR67">
        <v>839.8</v>
      </c>
      <c r="AS67">
        <v>74.7</v>
      </c>
      <c r="AT67">
        <v>10.74</v>
      </c>
      <c r="AU67">
        <v>46.7</v>
      </c>
      <c r="AV67">
        <v>2463.8000000000002</v>
      </c>
      <c r="AW67">
        <v>0.45</v>
      </c>
      <c r="AX67">
        <v>844.8</v>
      </c>
      <c r="AY67">
        <v>115.8</v>
      </c>
      <c r="AZ67">
        <v>960.6</v>
      </c>
      <c r="BA67">
        <v>14733233.699999999</v>
      </c>
      <c r="BB67">
        <v>1219.9000000000001</v>
      </c>
      <c r="BC67">
        <v>173.5</v>
      </c>
      <c r="BD67">
        <v>1042758.3</v>
      </c>
      <c r="BE67">
        <v>47299.4</v>
      </c>
      <c r="BF67">
        <v>10.199999999999999</v>
      </c>
      <c r="BG67">
        <v>14813369.4</v>
      </c>
      <c r="BH67">
        <v>2369831.7999999998</v>
      </c>
      <c r="BI67">
        <v>17183201.199999999</v>
      </c>
      <c r="BJ67">
        <v>0</v>
      </c>
      <c r="BK67">
        <v>0</v>
      </c>
      <c r="BL67">
        <v>14733233.699999999</v>
      </c>
      <c r="BM67">
        <v>15775992</v>
      </c>
      <c r="BN67">
        <v>17183201.199999999</v>
      </c>
      <c r="BO67">
        <v>30.48</v>
      </c>
      <c r="BP67">
        <v>11.43</v>
      </c>
      <c r="BQ67">
        <v>0</v>
      </c>
      <c r="BR67">
        <v>41.91</v>
      </c>
      <c r="BS67">
        <v>32.299999999999997</v>
      </c>
      <c r="BT67">
        <v>12.43</v>
      </c>
      <c r="BU67">
        <v>0</v>
      </c>
      <c r="BV67">
        <v>44.72</v>
      </c>
      <c r="BW67">
        <v>40289204</v>
      </c>
      <c r="BX67">
        <v>2089657.6</v>
      </c>
      <c r="BY67">
        <v>14114478</v>
      </c>
      <c r="BZ67">
        <v>9377072</v>
      </c>
      <c r="CA67">
        <v>0</v>
      </c>
      <c r="CB67">
        <v>116739.8</v>
      </c>
      <c r="CC67">
        <v>11634665</v>
      </c>
      <c r="CD67">
        <v>0</v>
      </c>
      <c r="CE67">
        <v>671986.9</v>
      </c>
      <c r="CF67">
        <v>1401200.1</v>
      </c>
      <c r="CG67">
        <v>0</v>
      </c>
      <c r="CH67">
        <v>883403.8</v>
      </c>
      <c r="CI67">
        <v>0</v>
      </c>
      <c r="CJ67">
        <v>1139204.3999999999</v>
      </c>
      <c r="CK67">
        <v>0</v>
      </c>
      <c r="CL67">
        <v>0</v>
      </c>
      <c r="CM67">
        <v>887789.9</v>
      </c>
      <c r="CN67">
        <v>62663.199999999997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127.1</v>
      </c>
      <c r="CU67">
        <v>2062.4</v>
      </c>
      <c r="CV67">
        <v>0</v>
      </c>
      <c r="CW67">
        <v>0</v>
      </c>
      <c r="CX67">
        <v>46.4</v>
      </c>
      <c r="CY67">
        <v>1961.2</v>
      </c>
      <c r="CZ67">
        <v>0</v>
      </c>
      <c r="DA67">
        <v>2240.3000000000002</v>
      </c>
      <c r="DB67">
        <v>0</v>
      </c>
      <c r="DC67">
        <v>247</v>
      </c>
      <c r="DD67">
        <v>1767.1</v>
      </c>
      <c r="DE67">
        <v>362.8</v>
      </c>
      <c r="DF67">
        <v>0</v>
      </c>
      <c r="DG67">
        <v>415.8</v>
      </c>
      <c r="DH67">
        <v>0</v>
      </c>
      <c r="DI67">
        <v>337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0.1</v>
      </c>
      <c r="DP67">
        <v>0</v>
      </c>
      <c r="DQ67">
        <v>0</v>
      </c>
      <c r="DR67">
        <v>0</v>
      </c>
    </row>
    <row r="68" spans="1:122" x14ac:dyDescent="0.3">
      <c r="A68" t="s">
        <v>161</v>
      </c>
      <c r="B68">
        <v>2026</v>
      </c>
      <c r="C68">
        <v>32777580.5</v>
      </c>
      <c r="D68">
        <v>32457434.600000001</v>
      </c>
      <c r="E68">
        <v>31290760.199999999</v>
      </c>
      <c r="F68">
        <v>0</v>
      </c>
      <c r="G68">
        <v>0</v>
      </c>
      <c r="H68">
        <v>25190290.100000001</v>
      </c>
      <c r="I68">
        <v>0</v>
      </c>
      <c r="J68">
        <v>0</v>
      </c>
      <c r="K68">
        <v>320145.90000000002</v>
      </c>
      <c r="L68">
        <v>3.5900000000000001E-2</v>
      </c>
      <c r="M68">
        <v>5.3999999999999999E-2</v>
      </c>
      <c r="N68">
        <v>0.15</v>
      </c>
      <c r="O68">
        <v>47738.28</v>
      </c>
      <c r="P68">
        <v>7691.2</v>
      </c>
      <c r="Q68">
        <v>309.39999999999998</v>
      </c>
      <c r="R68">
        <v>25.3</v>
      </c>
      <c r="S68">
        <v>3.59</v>
      </c>
      <c r="T68">
        <v>22.5</v>
      </c>
      <c r="U68">
        <v>1005</v>
      </c>
      <c r="V68">
        <v>0.22</v>
      </c>
      <c r="W68">
        <v>311</v>
      </c>
      <c r="X68">
        <v>50.7</v>
      </c>
      <c r="Y68">
        <v>361.7</v>
      </c>
      <c r="Z68">
        <v>315.3</v>
      </c>
      <c r="AA68">
        <v>26</v>
      </c>
      <c r="AB68">
        <v>3.69</v>
      </c>
      <c r="AC68">
        <v>22.6</v>
      </c>
      <c r="AD68">
        <v>1016.7</v>
      </c>
      <c r="AE68">
        <v>0.22</v>
      </c>
      <c r="AF68">
        <v>317</v>
      </c>
      <c r="AG68">
        <v>51.1</v>
      </c>
      <c r="AH68">
        <v>368.1</v>
      </c>
      <c r="AI68">
        <v>386.2</v>
      </c>
      <c r="AJ68">
        <v>28.6</v>
      </c>
      <c r="AK68">
        <v>4.05</v>
      </c>
      <c r="AL68">
        <v>26.6</v>
      </c>
      <c r="AM68">
        <v>1317.8</v>
      </c>
      <c r="AN68">
        <v>0.2</v>
      </c>
      <c r="AO68">
        <v>388.1</v>
      </c>
      <c r="AP68">
        <v>63.6</v>
      </c>
      <c r="AQ68">
        <v>451.7</v>
      </c>
      <c r="AR68">
        <v>809.5</v>
      </c>
      <c r="AS68">
        <v>72.5</v>
      </c>
      <c r="AT68">
        <v>10.4</v>
      </c>
      <c r="AU68">
        <v>44.3</v>
      </c>
      <c r="AV68">
        <v>2382.6</v>
      </c>
      <c r="AW68">
        <v>0.42</v>
      </c>
      <c r="AX68">
        <v>814.3</v>
      </c>
      <c r="AY68">
        <v>111.1</v>
      </c>
      <c r="AZ68">
        <v>925.4</v>
      </c>
      <c r="BA68">
        <v>13574158.1</v>
      </c>
      <c r="BB68">
        <v>1108.3</v>
      </c>
      <c r="BC68">
        <v>157.4</v>
      </c>
      <c r="BD68">
        <v>986789.7</v>
      </c>
      <c r="BE68">
        <v>44101.3</v>
      </c>
      <c r="BF68">
        <v>9.6</v>
      </c>
      <c r="BG68">
        <v>13646911.699999999</v>
      </c>
      <c r="BH68">
        <v>2224163.5</v>
      </c>
      <c r="BI68">
        <v>15871075.199999999</v>
      </c>
      <c r="BJ68">
        <v>0</v>
      </c>
      <c r="BK68">
        <v>0</v>
      </c>
      <c r="BL68">
        <v>13574158.1</v>
      </c>
      <c r="BM68">
        <v>14560947.800000001</v>
      </c>
      <c r="BN68">
        <v>15871075.199999999</v>
      </c>
      <c r="BO68">
        <v>29.02</v>
      </c>
      <c r="BP68">
        <v>10.24</v>
      </c>
      <c r="BQ68">
        <v>0</v>
      </c>
      <c r="BR68">
        <v>39.26</v>
      </c>
      <c r="BS68">
        <v>30.74</v>
      </c>
      <c r="BT68">
        <v>11.11</v>
      </c>
      <c r="BU68">
        <v>0</v>
      </c>
      <c r="BV68">
        <v>41.86</v>
      </c>
      <c r="BW68">
        <v>44257230</v>
      </c>
      <c r="BX68">
        <v>7267145</v>
      </c>
      <c r="BY68">
        <v>14114478</v>
      </c>
      <c r="BZ68">
        <v>8490673</v>
      </c>
      <c r="CA68">
        <v>0</v>
      </c>
      <c r="CB68">
        <v>108630.6</v>
      </c>
      <c r="CC68">
        <v>11493513</v>
      </c>
      <c r="CD68">
        <v>0</v>
      </c>
      <c r="CE68">
        <v>516367.3</v>
      </c>
      <c r="CF68">
        <v>1389128.6</v>
      </c>
      <c r="CG68">
        <v>0</v>
      </c>
      <c r="CH68">
        <v>877297.8</v>
      </c>
      <c r="CI68">
        <v>0</v>
      </c>
      <c r="CJ68">
        <v>2219128</v>
      </c>
      <c r="CK68">
        <v>0</v>
      </c>
      <c r="CL68">
        <v>0</v>
      </c>
      <c r="CM68">
        <v>4960652.5</v>
      </c>
      <c r="CN68">
        <v>87364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127.1</v>
      </c>
      <c r="CU68">
        <v>2062.4</v>
      </c>
      <c r="CV68">
        <v>0</v>
      </c>
      <c r="CW68">
        <v>0</v>
      </c>
      <c r="CX68">
        <v>64.7</v>
      </c>
      <c r="CY68">
        <v>1961.2</v>
      </c>
      <c r="CZ68">
        <v>0</v>
      </c>
      <c r="DA68">
        <v>2240.3000000000002</v>
      </c>
      <c r="DB68">
        <v>0</v>
      </c>
      <c r="DC68">
        <v>247</v>
      </c>
      <c r="DD68">
        <v>1767.1</v>
      </c>
      <c r="DE68">
        <v>342.8</v>
      </c>
      <c r="DF68">
        <v>0</v>
      </c>
      <c r="DG68">
        <v>2269.3000000000002</v>
      </c>
      <c r="DH68">
        <v>0</v>
      </c>
      <c r="DI68">
        <v>610.79999999999995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0.1</v>
      </c>
      <c r="DP68">
        <v>0</v>
      </c>
      <c r="DQ68">
        <v>0</v>
      </c>
      <c r="DR68">
        <v>0</v>
      </c>
    </row>
    <row r="69" spans="1:122" x14ac:dyDescent="0.3">
      <c r="A69" t="s">
        <v>161</v>
      </c>
      <c r="B69">
        <v>2028</v>
      </c>
      <c r="C69">
        <v>33127673.800000001</v>
      </c>
      <c r="D69">
        <v>32816717.699999999</v>
      </c>
      <c r="E69">
        <v>31637128.899999999</v>
      </c>
      <c r="F69">
        <v>0</v>
      </c>
      <c r="G69">
        <v>0</v>
      </c>
      <c r="H69">
        <v>25589340.800000001</v>
      </c>
      <c r="I69">
        <v>0</v>
      </c>
      <c r="J69">
        <v>0</v>
      </c>
      <c r="K69">
        <v>310956.09999999998</v>
      </c>
      <c r="L69">
        <v>3.5900000000000001E-2</v>
      </c>
      <c r="M69">
        <v>5.3999999999999999E-2</v>
      </c>
      <c r="N69">
        <v>0.15</v>
      </c>
      <c r="O69">
        <v>49242.61</v>
      </c>
      <c r="P69">
        <v>7775.9</v>
      </c>
      <c r="Q69">
        <v>306.39999999999998</v>
      </c>
      <c r="R69">
        <v>26.3</v>
      </c>
      <c r="S69">
        <v>3.75</v>
      </c>
      <c r="T69">
        <v>21.3</v>
      </c>
      <c r="U69">
        <v>957.2</v>
      </c>
      <c r="V69">
        <v>0.22</v>
      </c>
      <c r="W69">
        <v>308.10000000000002</v>
      </c>
      <c r="X69">
        <v>48.1</v>
      </c>
      <c r="Y69">
        <v>356.3</v>
      </c>
      <c r="Z69">
        <v>309.2</v>
      </c>
      <c r="AA69">
        <v>26.8</v>
      </c>
      <c r="AB69">
        <v>3.82</v>
      </c>
      <c r="AC69">
        <v>21.1</v>
      </c>
      <c r="AD69">
        <v>957.5</v>
      </c>
      <c r="AE69">
        <v>0.22</v>
      </c>
      <c r="AF69">
        <v>311</v>
      </c>
      <c r="AG69">
        <v>48</v>
      </c>
      <c r="AH69">
        <v>359</v>
      </c>
      <c r="AI69">
        <v>307</v>
      </c>
      <c r="AJ69">
        <v>21.8</v>
      </c>
      <c r="AK69">
        <v>3.07</v>
      </c>
      <c r="AL69">
        <v>22</v>
      </c>
      <c r="AM69">
        <v>1079.5</v>
      </c>
      <c r="AN69">
        <v>0.16</v>
      </c>
      <c r="AO69">
        <v>308.39999999999998</v>
      </c>
      <c r="AP69">
        <v>52.3</v>
      </c>
      <c r="AQ69">
        <v>360.7</v>
      </c>
      <c r="AR69">
        <v>761</v>
      </c>
      <c r="AS69">
        <v>68.099999999999994</v>
      </c>
      <c r="AT69">
        <v>9.77</v>
      </c>
      <c r="AU69">
        <v>41.7</v>
      </c>
      <c r="AV69">
        <v>2240.6999999999998</v>
      </c>
      <c r="AW69">
        <v>0.39</v>
      </c>
      <c r="AX69">
        <v>765.5</v>
      </c>
      <c r="AY69">
        <v>104.5</v>
      </c>
      <c r="AZ69">
        <v>870</v>
      </c>
      <c r="BA69">
        <v>12801429.6</v>
      </c>
      <c r="BB69">
        <v>1098.5</v>
      </c>
      <c r="BC69">
        <v>156.6</v>
      </c>
      <c r="BD69">
        <v>889856.1</v>
      </c>
      <c r="BE69">
        <v>39988.1</v>
      </c>
      <c r="BF69">
        <v>9.1999999999999993</v>
      </c>
      <c r="BG69">
        <v>12873692.300000001</v>
      </c>
      <c r="BH69">
        <v>2011958.3</v>
      </c>
      <c r="BI69">
        <v>14885650.6</v>
      </c>
      <c r="BJ69">
        <v>0</v>
      </c>
      <c r="BK69">
        <v>0</v>
      </c>
      <c r="BL69">
        <v>12801429.6</v>
      </c>
      <c r="BM69">
        <v>13691285.699999999</v>
      </c>
      <c r="BN69">
        <v>14885650.6</v>
      </c>
      <c r="BO69">
        <v>28.28</v>
      </c>
      <c r="BP69">
        <v>9.75</v>
      </c>
      <c r="BQ69">
        <v>0</v>
      </c>
      <c r="BR69">
        <v>38.04</v>
      </c>
      <c r="BS69">
        <v>29.96</v>
      </c>
      <c r="BT69">
        <v>10.53</v>
      </c>
      <c r="BU69">
        <v>0</v>
      </c>
      <c r="BV69">
        <v>40.5</v>
      </c>
      <c r="BW69">
        <v>42160076</v>
      </c>
      <c r="BX69">
        <v>7227377</v>
      </c>
      <c r="BY69">
        <v>14114478</v>
      </c>
      <c r="BZ69">
        <v>8551274</v>
      </c>
      <c r="CA69">
        <v>0</v>
      </c>
      <c r="CB69">
        <v>73535.600000000006</v>
      </c>
      <c r="CC69">
        <v>9603414</v>
      </c>
      <c r="CD69">
        <v>0</v>
      </c>
      <c r="CE69">
        <v>369932.6</v>
      </c>
      <c r="CF69">
        <v>1356892.1</v>
      </c>
      <c r="CG69">
        <v>0</v>
      </c>
      <c r="CH69">
        <v>863171.4</v>
      </c>
      <c r="CI69">
        <v>0</v>
      </c>
      <c r="CJ69">
        <v>2207160.7999999998</v>
      </c>
      <c r="CK69">
        <v>0</v>
      </c>
      <c r="CL69">
        <v>0</v>
      </c>
      <c r="CM69">
        <v>4891447.5</v>
      </c>
      <c r="CN69">
        <v>128768.7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127.1</v>
      </c>
      <c r="CU69">
        <v>2062.4</v>
      </c>
      <c r="CV69">
        <v>0</v>
      </c>
      <c r="CW69">
        <v>0</v>
      </c>
      <c r="CX69">
        <v>95.2</v>
      </c>
      <c r="CY69">
        <v>1961.2</v>
      </c>
      <c r="CZ69">
        <v>0</v>
      </c>
      <c r="DA69">
        <v>2240.3000000000002</v>
      </c>
      <c r="DB69">
        <v>0</v>
      </c>
      <c r="DC69">
        <v>247</v>
      </c>
      <c r="DD69">
        <v>1767.1</v>
      </c>
      <c r="DE69">
        <v>342.8</v>
      </c>
      <c r="DF69">
        <v>0</v>
      </c>
      <c r="DG69">
        <v>2269.3000000000002</v>
      </c>
      <c r="DH69">
        <v>0</v>
      </c>
      <c r="DI69">
        <v>610.79999999999995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0.1</v>
      </c>
      <c r="DP69">
        <v>0</v>
      </c>
      <c r="DQ69">
        <v>0</v>
      </c>
      <c r="DR69">
        <v>0</v>
      </c>
    </row>
    <row r="70" spans="1:122" x14ac:dyDescent="0.3">
      <c r="A70" t="s">
        <v>161</v>
      </c>
      <c r="B70">
        <v>2030</v>
      </c>
      <c r="C70">
        <v>33703899.600000001</v>
      </c>
      <c r="D70">
        <v>33149631.300000001</v>
      </c>
      <c r="E70">
        <v>31958076.100000001</v>
      </c>
      <c r="F70">
        <v>0</v>
      </c>
      <c r="G70">
        <v>215631.6</v>
      </c>
      <c r="H70">
        <v>24438914.199999999</v>
      </c>
      <c r="I70">
        <v>215631.6</v>
      </c>
      <c r="J70">
        <v>0</v>
      </c>
      <c r="K70">
        <v>338636.7</v>
      </c>
      <c r="L70">
        <v>3.5900000000000001E-2</v>
      </c>
      <c r="M70">
        <v>5.3999999999999999E-2</v>
      </c>
      <c r="N70">
        <v>0.15</v>
      </c>
      <c r="O70">
        <v>64959.49</v>
      </c>
      <c r="P70">
        <v>7854.6</v>
      </c>
      <c r="Q70">
        <v>308.7</v>
      </c>
      <c r="R70">
        <v>28</v>
      </c>
      <c r="S70">
        <v>4</v>
      </c>
      <c r="T70">
        <v>19.600000000000001</v>
      </c>
      <c r="U70">
        <v>921.4</v>
      </c>
      <c r="V70">
        <v>0.22</v>
      </c>
      <c r="W70">
        <v>310.60000000000002</v>
      </c>
      <c r="X70">
        <v>45.5</v>
      </c>
      <c r="Y70">
        <v>356</v>
      </c>
      <c r="Z70">
        <v>311.60000000000002</v>
      </c>
      <c r="AA70">
        <v>28.4</v>
      </c>
      <c r="AB70">
        <v>4.0599999999999996</v>
      </c>
      <c r="AC70">
        <v>19.5</v>
      </c>
      <c r="AD70">
        <v>923.6</v>
      </c>
      <c r="AE70">
        <v>0.21</v>
      </c>
      <c r="AF70">
        <v>313.5</v>
      </c>
      <c r="AG70">
        <v>45.4</v>
      </c>
      <c r="AH70">
        <v>358.8</v>
      </c>
      <c r="AI70">
        <v>321</v>
      </c>
      <c r="AJ70">
        <v>18.600000000000001</v>
      </c>
      <c r="AK70">
        <v>2.56</v>
      </c>
      <c r="AL70">
        <v>26.7</v>
      </c>
      <c r="AM70">
        <v>1268</v>
      </c>
      <c r="AN70">
        <v>0.16</v>
      </c>
      <c r="AO70">
        <v>322.2</v>
      </c>
      <c r="AP70">
        <v>62.3</v>
      </c>
      <c r="AQ70">
        <v>384.5</v>
      </c>
      <c r="AR70">
        <v>768</v>
      </c>
      <c r="AS70">
        <v>69.099999999999994</v>
      </c>
      <c r="AT70">
        <v>9.93</v>
      </c>
      <c r="AU70">
        <v>41.9</v>
      </c>
      <c r="AV70">
        <v>2236.8000000000002</v>
      </c>
      <c r="AW70">
        <v>0.41</v>
      </c>
      <c r="AX70">
        <v>772.6</v>
      </c>
      <c r="AY70">
        <v>104.7</v>
      </c>
      <c r="AZ70">
        <v>877.3</v>
      </c>
      <c r="BA70">
        <v>13187322.300000001</v>
      </c>
      <c r="BB70">
        <v>1194.0999999999999</v>
      </c>
      <c r="BC70">
        <v>170.8</v>
      </c>
      <c r="BD70">
        <v>837250.3</v>
      </c>
      <c r="BE70">
        <v>39346.699999999997</v>
      </c>
      <c r="BF70">
        <v>9.1999999999999993</v>
      </c>
      <c r="BG70">
        <v>13266021.800000001</v>
      </c>
      <c r="BH70">
        <v>1941402.4</v>
      </c>
      <c r="BI70">
        <v>15207424.199999999</v>
      </c>
      <c r="BJ70">
        <v>0</v>
      </c>
      <c r="BK70">
        <v>0</v>
      </c>
      <c r="BL70">
        <v>13187322.300000001</v>
      </c>
      <c r="BM70">
        <v>14024572.6</v>
      </c>
      <c r="BN70">
        <v>15207424.199999999</v>
      </c>
      <c r="BO70">
        <v>27.97</v>
      </c>
      <c r="BP70">
        <v>12.78</v>
      </c>
      <c r="BQ70">
        <v>0</v>
      </c>
      <c r="BR70">
        <v>40.75</v>
      </c>
      <c r="BS70">
        <v>29.71</v>
      </c>
      <c r="BT70">
        <v>13.91</v>
      </c>
      <c r="BU70">
        <v>0</v>
      </c>
      <c r="BV70">
        <v>43.62</v>
      </c>
      <c r="BW70">
        <v>43082484</v>
      </c>
      <c r="BX70">
        <v>8710717</v>
      </c>
      <c r="BY70">
        <v>14114478</v>
      </c>
      <c r="BZ70">
        <v>9451337</v>
      </c>
      <c r="CA70">
        <v>0</v>
      </c>
      <c r="CB70">
        <v>652.1</v>
      </c>
      <c r="CC70">
        <v>8606182</v>
      </c>
      <c r="CD70">
        <v>0</v>
      </c>
      <c r="CE70">
        <v>241715.3</v>
      </c>
      <c r="CF70">
        <v>1363763.4</v>
      </c>
      <c r="CG70">
        <v>0</v>
      </c>
      <c r="CH70">
        <v>409624.8</v>
      </c>
      <c r="CI70">
        <v>0</v>
      </c>
      <c r="CJ70">
        <v>3626354</v>
      </c>
      <c r="CK70">
        <v>0</v>
      </c>
      <c r="CL70">
        <v>0</v>
      </c>
      <c r="CM70">
        <v>4880350.5</v>
      </c>
      <c r="CN70">
        <v>204012.4</v>
      </c>
      <c r="CO70">
        <v>0</v>
      </c>
      <c r="CP70">
        <v>184014.4</v>
      </c>
      <c r="CQ70">
        <v>0</v>
      </c>
      <c r="CR70">
        <v>179.9</v>
      </c>
      <c r="CS70">
        <v>0</v>
      </c>
      <c r="CT70">
        <v>65.400000000000006</v>
      </c>
      <c r="CU70">
        <v>2062.4</v>
      </c>
      <c r="CV70">
        <v>0</v>
      </c>
      <c r="CW70">
        <v>0</v>
      </c>
      <c r="CX70">
        <v>150.19999999999999</v>
      </c>
      <c r="CY70">
        <v>1961.2</v>
      </c>
      <c r="CZ70">
        <v>0</v>
      </c>
      <c r="DA70">
        <v>2240.3000000000002</v>
      </c>
      <c r="DB70">
        <v>0</v>
      </c>
      <c r="DC70">
        <v>247</v>
      </c>
      <c r="DD70">
        <v>1767.1</v>
      </c>
      <c r="DE70">
        <v>96.6</v>
      </c>
      <c r="DF70">
        <v>0</v>
      </c>
      <c r="DG70">
        <v>2305.8000000000002</v>
      </c>
      <c r="DH70">
        <v>0</v>
      </c>
      <c r="DI70">
        <v>958.8</v>
      </c>
      <c r="DJ70">
        <v>0</v>
      </c>
      <c r="DK70">
        <v>792.4</v>
      </c>
      <c r="DL70">
        <v>0</v>
      </c>
      <c r="DM70">
        <v>0</v>
      </c>
      <c r="DN70">
        <v>0</v>
      </c>
      <c r="DO70">
        <v>0.1</v>
      </c>
      <c r="DP70">
        <v>0</v>
      </c>
      <c r="DQ70">
        <v>0</v>
      </c>
      <c r="DR70">
        <v>0</v>
      </c>
    </row>
    <row r="71" spans="1:122" x14ac:dyDescent="0.3">
      <c r="A71" t="s">
        <v>161</v>
      </c>
      <c r="B71">
        <v>2032</v>
      </c>
      <c r="C71">
        <v>34320730.700000003</v>
      </c>
      <c r="D71">
        <v>33482545</v>
      </c>
      <c r="E71">
        <v>32279023.300000001</v>
      </c>
      <c r="F71">
        <v>0</v>
      </c>
      <c r="G71">
        <v>511635.3</v>
      </c>
      <c r="H71">
        <v>22867561.399999999</v>
      </c>
      <c r="I71">
        <v>511635.3</v>
      </c>
      <c r="J71">
        <v>0</v>
      </c>
      <c r="K71">
        <v>326550.40000000002</v>
      </c>
      <c r="L71">
        <v>3.5900000000000001E-2</v>
      </c>
      <c r="M71">
        <v>5.3999999999999999E-2</v>
      </c>
      <c r="N71">
        <v>0.15</v>
      </c>
      <c r="O71">
        <v>73576.86</v>
      </c>
      <c r="P71">
        <v>7933.5</v>
      </c>
      <c r="Q71">
        <v>293.10000000000002</v>
      </c>
      <c r="R71">
        <v>26.9</v>
      </c>
      <c r="S71">
        <v>3.85</v>
      </c>
      <c r="T71">
        <v>18.399999999999999</v>
      </c>
      <c r="U71">
        <v>864.6</v>
      </c>
      <c r="V71">
        <v>0.21</v>
      </c>
      <c r="W71">
        <v>294.89999999999998</v>
      </c>
      <c r="X71">
        <v>42.6</v>
      </c>
      <c r="Y71">
        <v>337.5</v>
      </c>
      <c r="Z71">
        <v>296</v>
      </c>
      <c r="AA71">
        <v>27.1</v>
      </c>
      <c r="AB71">
        <v>3.88</v>
      </c>
      <c r="AC71">
        <v>18.5</v>
      </c>
      <c r="AD71">
        <v>873.2</v>
      </c>
      <c r="AE71">
        <v>0.21</v>
      </c>
      <c r="AF71">
        <v>297.8</v>
      </c>
      <c r="AG71">
        <v>43</v>
      </c>
      <c r="AH71">
        <v>340.8</v>
      </c>
      <c r="AI71">
        <v>258.7</v>
      </c>
      <c r="AJ71">
        <v>8.9</v>
      </c>
      <c r="AK71">
        <v>1.1100000000000001</v>
      </c>
      <c r="AL71">
        <v>27</v>
      </c>
      <c r="AM71">
        <v>1221.0999999999999</v>
      </c>
      <c r="AN71">
        <v>0.12</v>
      </c>
      <c r="AO71">
        <v>259.2</v>
      </c>
      <c r="AP71">
        <v>61.2</v>
      </c>
      <c r="AQ71">
        <v>320.39999999999998</v>
      </c>
      <c r="AR71">
        <v>774.4</v>
      </c>
      <c r="AS71">
        <v>70</v>
      </c>
      <c r="AT71">
        <v>10.039999999999999</v>
      </c>
      <c r="AU71">
        <v>41.7</v>
      </c>
      <c r="AV71">
        <v>2266.1999999999998</v>
      </c>
      <c r="AW71">
        <v>0.39</v>
      </c>
      <c r="AX71">
        <v>779</v>
      </c>
      <c r="AY71">
        <v>105.2</v>
      </c>
      <c r="AZ71">
        <v>884.2</v>
      </c>
      <c r="BA71">
        <v>13034054.1</v>
      </c>
      <c r="BB71">
        <v>1194.8</v>
      </c>
      <c r="BC71">
        <v>171.1</v>
      </c>
      <c r="BD71">
        <v>816176.5</v>
      </c>
      <c r="BE71">
        <v>38432.6</v>
      </c>
      <c r="BF71">
        <v>9.1999999999999993</v>
      </c>
      <c r="BG71">
        <v>13112844</v>
      </c>
      <c r="BH71">
        <v>1894716.9</v>
      </c>
      <c r="BI71">
        <v>15007560.9</v>
      </c>
      <c r="BJ71">
        <v>0</v>
      </c>
      <c r="BK71">
        <v>0</v>
      </c>
      <c r="BL71">
        <v>13034054.1</v>
      </c>
      <c r="BM71">
        <v>13850230.6</v>
      </c>
      <c r="BN71">
        <v>15007560.9</v>
      </c>
      <c r="BO71">
        <v>27.71</v>
      </c>
      <c r="BP71">
        <v>14.36</v>
      </c>
      <c r="BQ71">
        <v>0</v>
      </c>
      <c r="BR71">
        <v>42.07</v>
      </c>
      <c r="BS71">
        <v>29.49</v>
      </c>
      <c r="BT71">
        <v>15.77</v>
      </c>
      <c r="BU71">
        <v>0</v>
      </c>
      <c r="BV71">
        <v>45.26</v>
      </c>
      <c r="BW71">
        <v>44852804</v>
      </c>
      <c r="BX71">
        <v>10614984</v>
      </c>
      <c r="BY71">
        <v>14114478</v>
      </c>
      <c r="BZ71">
        <v>9490604</v>
      </c>
      <c r="CA71">
        <v>0</v>
      </c>
      <c r="CB71">
        <v>293.3</v>
      </c>
      <c r="CC71">
        <v>8221599</v>
      </c>
      <c r="CD71">
        <v>0</v>
      </c>
      <c r="CE71">
        <v>183331</v>
      </c>
      <c r="CF71">
        <v>1376219.9</v>
      </c>
      <c r="CG71">
        <v>0</v>
      </c>
      <c r="CH71">
        <v>413297.4</v>
      </c>
      <c r="CI71">
        <v>0</v>
      </c>
      <c r="CJ71">
        <v>5329603</v>
      </c>
      <c r="CK71">
        <v>0</v>
      </c>
      <c r="CL71">
        <v>0</v>
      </c>
      <c r="CM71">
        <v>4978046</v>
      </c>
      <c r="CN71">
        <v>307334.5</v>
      </c>
      <c r="CO71">
        <v>0</v>
      </c>
      <c r="CP71">
        <v>437996.3</v>
      </c>
      <c r="CQ71">
        <v>0</v>
      </c>
      <c r="CR71">
        <v>405.2</v>
      </c>
      <c r="CS71">
        <v>0</v>
      </c>
      <c r="CT71">
        <v>65.400000000000006</v>
      </c>
      <c r="CU71">
        <v>2062.4</v>
      </c>
      <c r="CV71">
        <v>0</v>
      </c>
      <c r="CW71">
        <v>0</v>
      </c>
      <c r="CX71">
        <v>225.9</v>
      </c>
      <c r="CY71">
        <v>1961.2</v>
      </c>
      <c r="CZ71">
        <v>0</v>
      </c>
      <c r="DA71">
        <v>2240.3000000000002</v>
      </c>
      <c r="DB71">
        <v>0</v>
      </c>
      <c r="DC71">
        <v>247</v>
      </c>
      <c r="DD71">
        <v>1767.1</v>
      </c>
      <c r="DE71">
        <v>96.6</v>
      </c>
      <c r="DF71">
        <v>0</v>
      </c>
      <c r="DG71">
        <v>2410.3000000000002</v>
      </c>
      <c r="DH71">
        <v>0</v>
      </c>
      <c r="DI71">
        <v>1379.7</v>
      </c>
      <c r="DJ71">
        <v>0</v>
      </c>
      <c r="DK71">
        <v>1902.5</v>
      </c>
      <c r="DL71">
        <v>0</v>
      </c>
      <c r="DM71">
        <v>0</v>
      </c>
      <c r="DN71">
        <v>0</v>
      </c>
      <c r="DO71">
        <v>0.1</v>
      </c>
      <c r="DP71">
        <v>0</v>
      </c>
      <c r="DQ71">
        <v>0</v>
      </c>
      <c r="DR71">
        <v>0</v>
      </c>
    </row>
    <row r="72" spans="1:122" x14ac:dyDescent="0.3">
      <c r="A72" t="s">
        <v>161</v>
      </c>
      <c r="B72">
        <v>2034</v>
      </c>
      <c r="C72">
        <v>34721600.5</v>
      </c>
      <c r="D72">
        <v>33868197.5</v>
      </c>
      <c r="E72">
        <v>32650813.600000001</v>
      </c>
      <c r="F72">
        <v>0</v>
      </c>
      <c r="G72">
        <v>513625.8</v>
      </c>
      <c r="H72">
        <v>20359600</v>
      </c>
      <c r="I72">
        <v>513625.8</v>
      </c>
      <c r="J72">
        <v>0</v>
      </c>
      <c r="K72">
        <v>339777.2</v>
      </c>
      <c r="L72">
        <v>3.5900000000000001E-2</v>
      </c>
      <c r="M72">
        <v>5.3999999999999999E-2</v>
      </c>
      <c r="N72">
        <v>0.15</v>
      </c>
      <c r="O72">
        <v>80705.73</v>
      </c>
      <c r="P72">
        <v>8025.4</v>
      </c>
      <c r="Q72">
        <v>269.8</v>
      </c>
      <c r="R72">
        <v>24.9</v>
      </c>
      <c r="S72">
        <v>3.56</v>
      </c>
      <c r="T72">
        <v>16.899999999999999</v>
      </c>
      <c r="U72">
        <v>791.6</v>
      </c>
      <c r="V72">
        <v>0.19</v>
      </c>
      <c r="W72">
        <v>271.39999999999998</v>
      </c>
      <c r="X72">
        <v>39.1</v>
      </c>
      <c r="Y72">
        <v>310.5</v>
      </c>
      <c r="Z72">
        <v>265.39999999999998</v>
      </c>
      <c r="AA72">
        <v>24.1</v>
      </c>
      <c r="AB72">
        <v>3.45</v>
      </c>
      <c r="AC72">
        <v>17</v>
      </c>
      <c r="AD72">
        <v>790.3</v>
      </c>
      <c r="AE72">
        <v>0.19</v>
      </c>
      <c r="AF72">
        <v>267</v>
      </c>
      <c r="AG72">
        <v>39.200000000000003</v>
      </c>
      <c r="AH72">
        <v>306.10000000000002</v>
      </c>
      <c r="AI72">
        <v>263.8</v>
      </c>
      <c r="AJ72">
        <v>7</v>
      </c>
      <c r="AK72">
        <v>0.8</v>
      </c>
      <c r="AL72">
        <v>29.4</v>
      </c>
      <c r="AM72">
        <v>1315.9</v>
      </c>
      <c r="AN72">
        <v>0.12</v>
      </c>
      <c r="AO72">
        <v>264.2</v>
      </c>
      <c r="AP72">
        <v>66.3</v>
      </c>
      <c r="AQ72">
        <v>330.6</v>
      </c>
      <c r="AR72">
        <v>758.2</v>
      </c>
      <c r="AS72">
        <v>68</v>
      </c>
      <c r="AT72">
        <v>9.75</v>
      </c>
      <c r="AU72">
        <v>41.3</v>
      </c>
      <c r="AV72">
        <v>2235.4</v>
      </c>
      <c r="AW72">
        <v>0.38</v>
      </c>
      <c r="AX72">
        <v>762.7</v>
      </c>
      <c r="AY72">
        <v>103.9</v>
      </c>
      <c r="AZ72">
        <v>866.6</v>
      </c>
      <c r="BA72">
        <v>12553752.4</v>
      </c>
      <c r="BB72">
        <v>1157.3</v>
      </c>
      <c r="BC72">
        <v>165.8</v>
      </c>
      <c r="BD72">
        <v>784941</v>
      </c>
      <c r="BE72">
        <v>36823.5</v>
      </c>
      <c r="BF72">
        <v>8.9</v>
      </c>
      <c r="BG72">
        <v>12630083.6</v>
      </c>
      <c r="BH72">
        <v>1818367.7</v>
      </c>
      <c r="BI72">
        <v>14448451.199999999</v>
      </c>
      <c r="BJ72">
        <v>0</v>
      </c>
      <c r="BK72">
        <v>0</v>
      </c>
      <c r="BL72">
        <v>12553752.4</v>
      </c>
      <c r="BM72">
        <v>13338693.300000001</v>
      </c>
      <c r="BN72">
        <v>14448451.199999999</v>
      </c>
      <c r="BO72">
        <v>27.56</v>
      </c>
      <c r="BP72">
        <v>15.77</v>
      </c>
      <c r="BQ72">
        <v>0</v>
      </c>
      <c r="BR72">
        <v>43.32</v>
      </c>
      <c r="BS72">
        <v>29.34</v>
      </c>
      <c r="BT72">
        <v>17.309999999999999</v>
      </c>
      <c r="BU72">
        <v>0</v>
      </c>
      <c r="BV72">
        <v>46.65</v>
      </c>
      <c r="BW72">
        <v>46958596</v>
      </c>
      <c r="BX72">
        <v>13508597</v>
      </c>
      <c r="BY72">
        <v>14114478</v>
      </c>
      <c r="BZ72">
        <v>9188636</v>
      </c>
      <c r="CA72">
        <v>0</v>
      </c>
      <c r="CB72">
        <v>310.89999999999998</v>
      </c>
      <c r="CC72">
        <v>7731414.5</v>
      </c>
      <c r="CD72">
        <v>0</v>
      </c>
      <c r="CE72">
        <v>194442.1</v>
      </c>
      <c r="CF72">
        <v>1372149.5</v>
      </c>
      <c r="CG72">
        <v>0</v>
      </c>
      <c r="CH72">
        <v>409781</v>
      </c>
      <c r="CI72">
        <v>0</v>
      </c>
      <c r="CJ72">
        <v>8128959</v>
      </c>
      <c r="CK72">
        <v>0</v>
      </c>
      <c r="CL72">
        <v>0</v>
      </c>
      <c r="CM72">
        <v>4951529</v>
      </c>
      <c r="CN72">
        <v>428108.9</v>
      </c>
      <c r="CO72">
        <v>0</v>
      </c>
      <c r="CP72">
        <v>438786.8</v>
      </c>
      <c r="CQ72">
        <v>0</v>
      </c>
      <c r="CR72">
        <v>412.2</v>
      </c>
      <c r="CS72">
        <v>0</v>
      </c>
      <c r="CT72">
        <v>65.400000000000006</v>
      </c>
      <c r="CU72">
        <v>2062.4</v>
      </c>
      <c r="CV72">
        <v>0</v>
      </c>
      <c r="CW72">
        <v>0</v>
      </c>
      <c r="CX72">
        <v>315.3</v>
      </c>
      <c r="CY72">
        <v>1961.2</v>
      </c>
      <c r="CZ72">
        <v>0</v>
      </c>
      <c r="DA72">
        <v>2240.3000000000002</v>
      </c>
      <c r="DB72">
        <v>0</v>
      </c>
      <c r="DC72">
        <v>247</v>
      </c>
      <c r="DD72">
        <v>1767.1</v>
      </c>
      <c r="DE72">
        <v>96.6</v>
      </c>
      <c r="DF72">
        <v>0</v>
      </c>
      <c r="DG72">
        <v>2426.4</v>
      </c>
      <c r="DH72">
        <v>0</v>
      </c>
      <c r="DI72">
        <v>2063.8000000000002</v>
      </c>
      <c r="DJ72">
        <v>0</v>
      </c>
      <c r="DK72">
        <v>1926.7</v>
      </c>
      <c r="DL72">
        <v>0</v>
      </c>
      <c r="DM72">
        <v>0</v>
      </c>
      <c r="DN72">
        <v>0</v>
      </c>
      <c r="DO72">
        <v>0.1</v>
      </c>
      <c r="DP72">
        <v>0</v>
      </c>
      <c r="DQ72">
        <v>0</v>
      </c>
      <c r="DR72">
        <v>0</v>
      </c>
    </row>
    <row r="73" spans="1:122" x14ac:dyDescent="0.3">
      <c r="A73" t="s">
        <v>161</v>
      </c>
      <c r="B73">
        <v>2036</v>
      </c>
      <c r="C73">
        <v>35181857</v>
      </c>
      <c r="D73">
        <v>34299996.399999999</v>
      </c>
      <c r="E73">
        <v>33067091.600000001</v>
      </c>
      <c r="F73">
        <v>0</v>
      </c>
      <c r="G73">
        <v>551604.19999999995</v>
      </c>
      <c r="H73">
        <v>19924220.199999999</v>
      </c>
      <c r="I73">
        <v>551604.19999999995</v>
      </c>
      <c r="J73">
        <v>0</v>
      </c>
      <c r="K73">
        <v>330256.40000000002</v>
      </c>
      <c r="L73">
        <v>3.5900000000000001E-2</v>
      </c>
      <c r="M73">
        <v>5.3999999999999999E-2</v>
      </c>
      <c r="N73">
        <v>0.15</v>
      </c>
      <c r="O73">
        <v>80474.53</v>
      </c>
      <c r="P73">
        <v>8127.4</v>
      </c>
      <c r="Q73">
        <v>259.10000000000002</v>
      </c>
      <c r="R73">
        <v>23.6</v>
      </c>
      <c r="S73">
        <v>3.38</v>
      </c>
      <c r="T73">
        <v>16.5</v>
      </c>
      <c r="U73">
        <v>768.3</v>
      </c>
      <c r="V73">
        <v>0.19</v>
      </c>
      <c r="W73">
        <v>260.60000000000002</v>
      </c>
      <c r="X73">
        <v>38.1</v>
      </c>
      <c r="Y73">
        <v>298.7</v>
      </c>
      <c r="Z73">
        <v>255.3</v>
      </c>
      <c r="AA73">
        <v>22.9</v>
      </c>
      <c r="AB73">
        <v>3.27</v>
      </c>
      <c r="AC73">
        <v>16.7</v>
      </c>
      <c r="AD73">
        <v>770.3</v>
      </c>
      <c r="AE73">
        <v>0.18</v>
      </c>
      <c r="AF73">
        <v>256.8</v>
      </c>
      <c r="AG73">
        <v>38.299999999999997</v>
      </c>
      <c r="AH73">
        <v>295.10000000000002</v>
      </c>
      <c r="AI73">
        <v>238.1</v>
      </c>
      <c r="AJ73">
        <v>6.6</v>
      </c>
      <c r="AK73">
        <v>0.78</v>
      </c>
      <c r="AL73">
        <v>26.3</v>
      </c>
      <c r="AM73">
        <v>1176.2</v>
      </c>
      <c r="AN73">
        <v>0.11</v>
      </c>
      <c r="AO73">
        <v>238.5</v>
      </c>
      <c r="AP73">
        <v>59.2</v>
      </c>
      <c r="AQ73">
        <v>297.8</v>
      </c>
      <c r="AR73">
        <v>738.1</v>
      </c>
      <c r="AS73">
        <v>65.5</v>
      </c>
      <c r="AT73">
        <v>9.3800000000000008</v>
      </c>
      <c r="AU73">
        <v>40.799999999999997</v>
      </c>
      <c r="AV73">
        <v>2200.6</v>
      </c>
      <c r="AW73">
        <v>0.37</v>
      </c>
      <c r="AX73">
        <v>742.4</v>
      </c>
      <c r="AY73">
        <v>102.5</v>
      </c>
      <c r="AZ73">
        <v>845</v>
      </c>
      <c r="BA73">
        <v>12259912.9</v>
      </c>
      <c r="BB73">
        <v>1118.2</v>
      </c>
      <c r="BC73">
        <v>160</v>
      </c>
      <c r="BD73">
        <v>780741</v>
      </c>
      <c r="BE73">
        <v>36349.9</v>
      </c>
      <c r="BF73">
        <v>8.8000000000000007</v>
      </c>
      <c r="BG73">
        <v>12333629.1</v>
      </c>
      <c r="BH73">
        <v>1800865.6</v>
      </c>
      <c r="BI73">
        <v>14134494.699999999</v>
      </c>
      <c r="BJ73">
        <v>0</v>
      </c>
      <c r="BK73">
        <v>0</v>
      </c>
      <c r="BL73">
        <v>12259912.9</v>
      </c>
      <c r="BM73">
        <v>13040653.800000001</v>
      </c>
      <c r="BN73">
        <v>14134494.699999999</v>
      </c>
      <c r="BO73">
        <v>26.96</v>
      </c>
      <c r="BP73">
        <v>15.76</v>
      </c>
      <c r="BQ73">
        <v>0</v>
      </c>
      <c r="BR73">
        <v>42.72</v>
      </c>
      <c r="BS73">
        <v>28.71</v>
      </c>
      <c r="BT73">
        <v>17.32</v>
      </c>
      <c r="BU73">
        <v>0</v>
      </c>
      <c r="BV73">
        <v>46.03</v>
      </c>
      <c r="BW73">
        <v>47761344</v>
      </c>
      <c r="BX73">
        <v>14375776</v>
      </c>
      <c r="BY73">
        <v>14114478</v>
      </c>
      <c r="BZ73">
        <v>8864920</v>
      </c>
      <c r="CA73">
        <v>0</v>
      </c>
      <c r="CB73">
        <v>283.3</v>
      </c>
      <c r="CC73">
        <v>7986437</v>
      </c>
      <c r="CD73">
        <v>0</v>
      </c>
      <c r="CE73">
        <v>169187.5</v>
      </c>
      <c r="CF73">
        <v>1368127.4</v>
      </c>
      <c r="CG73">
        <v>0</v>
      </c>
      <c r="CH73">
        <v>409756.6</v>
      </c>
      <c r="CI73">
        <v>0</v>
      </c>
      <c r="CJ73">
        <v>8879453</v>
      </c>
      <c r="CK73">
        <v>0</v>
      </c>
      <c r="CL73">
        <v>0</v>
      </c>
      <c r="CM73">
        <v>4945956.5</v>
      </c>
      <c r="CN73">
        <v>550367</v>
      </c>
      <c r="CO73">
        <v>0</v>
      </c>
      <c r="CP73">
        <v>472378.4</v>
      </c>
      <c r="CQ73">
        <v>0</v>
      </c>
      <c r="CR73">
        <v>445.2</v>
      </c>
      <c r="CS73">
        <v>0</v>
      </c>
      <c r="CT73">
        <v>65.400000000000006</v>
      </c>
      <c r="CU73">
        <v>2062.4</v>
      </c>
      <c r="CV73">
        <v>0</v>
      </c>
      <c r="CW73">
        <v>0</v>
      </c>
      <c r="CX73">
        <v>406.8</v>
      </c>
      <c r="CY73">
        <v>1961.2</v>
      </c>
      <c r="CZ73">
        <v>0</v>
      </c>
      <c r="DA73">
        <v>2240.3000000000002</v>
      </c>
      <c r="DB73">
        <v>0</v>
      </c>
      <c r="DC73">
        <v>247</v>
      </c>
      <c r="DD73">
        <v>1767.1</v>
      </c>
      <c r="DE73">
        <v>96.6</v>
      </c>
      <c r="DF73">
        <v>0</v>
      </c>
      <c r="DG73">
        <v>2458.1999999999998</v>
      </c>
      <c r="DH73">
        <v>0</v>
      </c>
      <c r="DI73">
        <v>2271.9</v>
      </c>
      <c r="DJ73">
        <v>0</v>
      </c>
      <c r="DK73">
        <v>2135.3000000000002</v>
      </c>
      <c r="DL73">
        <v>0</v>
      </c>
      <c r="DM73">
        <v>0</v>
      </c>
      <c r="DN73">
        <v>0</v>
      </c>
      <c r="DO73">
        <v>0.1</v>
      </c>
      <c r="DP73">
        <v>0</v>
      </c>
      <c r="DQ73">
        <v>0</v>
      </c>
      <c r="DR73">
        <v>0</v>
      </c>
    </row>
    <row r="74" spans="1:122" x14ac:dyDescent="0.3">
      <c r="A74" t="s">
        <v>161</v>
      </c>
      <c r="B74">
        <v>2038</v>
      </c>
      <c r="C74">
        <v>35789086.299999997</v>
      </c>
      <c r="D74">
        <v>34781238</v>
      </c>
      <c r="E74">
        <v>33531035</v>
      </c>
      <c r="F74">
        <v>0</v>
      </c>
      <c r="G74">
        <v>663833</v>
      </c>
      <c r="H74">
        <v>17575129.699999999</v>
      </c>
      <c r="I74">
        <v>663833</v>
      </c>
      <c r="J74">
        <v>0</v>
      </c>
      <c r="K74">
        <v>344015.4</v>
      </c>
      <c r="L74">
        <v>3.5900000000000001E-2</v>
      </c>
      <c r="M74">
        <v>5.3999999999999999E-2</v>
      </c>
      <c r="N74">
        <v>0.15</v>
      </c>
      <c r="O74">
        <v>80158.740000000005</v>
      </c>
      <c r="P74">
        <v>8241.7999999999993</v>
      </c>
      <c r="Q74">
        <v>225.2</v>
      </c>
      <c r="R74">
        <v>19.899999999999999</v>
      </c>
      <c r="S74">
        <v>2.84</v>
      </c>
      <c r="T74">
        <v>15.2</v>
      </c>
      <c r="U74">
        <v>688.3</v>
      </c>
      <c r="V74">
        <v>0.17</v>
      </c>
      <c r="W74">
        <v>226.5</v>
      </c>
      <c r="X74">
        <v>34.5</v>
      </c>
      <c r="Y74">
        <v>261</v>
      </c>
      <c r="Z74">
        <v>223.9</v>
      </c>
      <c r="AA74">
        <v>19.399999999999999</v>
      </c>
      <c r="AB74">
        <v>2.76</v>
      </c>
      <c r="AC74">
        <v>15.6</v>
      </c>
      <c r="AD74">
        <v>698.5</v>
      </c>
      <c r="AE74">
        <v>0.17</v>
      </c>
      <c r="AF74">
        <v>225.2</v>
      </c>
      <c r="AG74">
        <v>35.200000000000003</v>
      </c>
      <c r="AH74">
        <v>260.39999999999998</v>
      </c>
      <c r="AI74">
        <v>252.7</v>
      </c>
      <c r="AJ74">
        <v>9</v>
      </c>
      <c r="AK74">
        <v>1.1299999999999999</v>
      </c>
      <c r="AL74">
        <v>26.1</v>
      </c>
      <c r="AM74">
        <v>1186.5</v>
      </c>
      <c r="AN74">
        <v>0.11</v>
      </c>
      <c r="AO74">
        <v>253.3</v>
      </c>
      <c r="AP74">
        <v>59.3</v>
      </c>
      <c r="AQ74">
        <v>312.60000000000002</v>
      </c>
      <c r="AR74">
        <v>702.6</v>
      </c>
      <c r="AS74">
        <v>61.1</v>
      </c>
      <c r="AT74">
        <v>8.73</v>
      </c>
      <c r="AU74">
        <v>39.799999999999997</v>
      </c>
      <c r="AV74">
        <v>2141.6999999999998</v>
      </c>
      <c r="AW74">
        <v>0.35</v>
      </c>
      <c r="AX74">
        <v>706.6</v>
      </c>
      <c r="AY74">
        <v>99.9</v>
      </c>
      <c r="AZ74">
        <v>806.5</v>
      </c>
      <c r="BA74">
        <v>11045160.1</v>
      </c>
      <c r="BB74">
        <v>976.3</v>
      </c>
      <c r="BC74">
        <v>139.4</v>
      </c>
      <c r="BD74">
        <v>744916</v>
      </c>
      <c r="BE74">
        <v>33762.5</v>
      </c>
      <c r="BF74">
        <v>8.1999999999999993</v>
      </c>
      <c r="BG74">
        <v>11109434.199999999</v>
      </c>
      <c r="BH74">
        <v>1692434</v>
      </c>
      <c r="BI74">
        <v>12801868.1</v>
      </c>
      <c r="BJ74">
        <v>0</v>
      </c>
      <c r="BK74">
        <v>0</v>
      </c>
      <c r="BL74">
        <v>11045160.1</v>
      </c>
      <c r="BM74">
        <v>11790076.1</v>
      </c>
      <c r="BN74">
        <v>12801868.1</v>
      </c>
      <c r="BO74">
        <v>25.72</v>
      </c>
      <c r="BP74">
        <v>15.67</v>
      </c>
      <c r="BQ74">
        <v>0</v>
      </c>
      <c r="BR74">
        <v>41.39</v>
      </c>
      <c r="BS74">
        <v>27.43</v>
      </c>
      <c r="BT74">
        <v>17.260000000000002</v>
      </c>
      <c r="BU74">
        <v>0</v>
      </c>
      <c r="BV74">
        <v>44.69</v>
      </c>
      <c r="BW74">
        <v>49543092</v>
      </c>
      <c r="BX74">
        <v>17206108</v>
      </c>
      <c r="BY74">
        <v>14114478</v>
      </c>
      <c r="BZ74">
        <v>7707649</v>
      </c>
      <c r="CA74">
        <v>0</v>
      </c>
      <c r="CB74">
        <v>234.3</v>
      </c>
      <c r="CC74">
        <v>8045719</v>
      </c>
      <c r="CD74">
        <v>0</v>
      </c>
      <c r="CE74">
        <v>141879.79999999999</v>
      </c>
      <c r="CF74">
        <v>1355917.8</v>
      </c>
      <c r="CG74">
        <v>0</v>
      </c>
      <c r="CH74">
        <v>403076.6</v>
      </c>
      <c r="CI74">
        <v>0</v>
      </c>
      <c r="CJ74">
        <v>11463726</v>
      </c>
      <c r="CK74">
        <v>0</v>
      </c>
      <c r="CL74">
        <v>0</v>
      </c>
      <c r="CM74">
        <v>5074477.5</v>
      </c>
      <c r="CN74">
        <v>667904.4</v>
      </c>
      <c r="CO74">
        <v>0</v>
      </c>
      <c r="CP74">
        <v>568028.19999999995</v>
      </c>
      <c r="CQ74">
        <v>0</v>
      </c>
      <c r="CR74">
        <v>514.6</v>
      </c>
      <c r="CS74">
        <v>0</v>
      </c>
      <c r="CT74">
        <v>65.400000000000006</v>
      </c>
      <c r="CU74">
        <v>2062.4</v>
      </c>
      <c r="CV74">
        <v>0</v>
      </c>
      <c r="CW74">
        <v>0</v>
      </c>
      <c r="CX74">
        <v>496.3</v>
      </c>
      <c r="CY74">
        <v>1961.2</v>
      </c>
      <c r="CZ74">
        <v>0</v>
      </c>
      <c r="DA74">
        <v>2240.3000000000002</v>
      </c>
      <c r="DB74">
        <v>0</v>
      </c>
      <c r="DC74">
        <v>247</v>
      </c>
      <c r="DD74">
        <v>1767.1</v>
      </c>
      <c r="DE74">
        <v>96.6</v>
      </c>
      <c r="DF74">
        <v>0</v>
      </c>
      <c r="DG74">
        <v>2584</v>
      </c>
      <c r="DH74">
        <v>0</v>
      </c>
      <c r="DI74">
        <v>2940.9</v>
      </c>
      <c r="DJ74">
        <v>0</v>
      </c>
      <c r="DK74">
        <v>2678.1</v>
      </c>
      <c r="DL74">
        <v>0</v>
      </c>
      <c r="DM74">
        <v>0</v>
      </c>
      <c r="DN74">
        <v>0</v>
      </c>
      <c r="DO74">
        <v>0.1</v>
      </c>
      <c r="DP74">
        <v>0</v>
      </c>
      <c r="DQ74">
        <v>0</v>
      </c>
      <c r="DR74">
        <v>0</v>
      </c>
    </row>
    <row r="75" spans="1:122" x14ac:dyDescent="0.3">
      <c r="A75" t="s">
        <v>161</v>
      </c>
      <c r="B75">
        <v>2040</v>
      </c>
      <c r="C75">
        <v>36295731.299999997</v>
      </c>
      <c r="D75">
        <v>35229517.700000003</v>
      </c>
      <c r="E75">
        <v>33963201.5</v>
      </c>
      <c r="F75">
        <v>0</v>
      </c>
      <c r="G75">
        <v>722208</v>
      </c>
      <c r="H75">
        <v>16822531.100000001</v>
      </c>
      <c r="I75">
        <v>722208</v>
      </c>
      <c r="J75">
        <v>0</v>
      </c>
      <c r="K75">
        <v>344005.5</v>
      </c>
      <c r="L75">
        <v>3.5900000000000001E-2</v>
      </c>
      <c r="M75">
        <v>5.3999999999999999E-2</v>
      </c>
      <c r="N75">
        <v>0.15</v>
      </c>
      <c r="O75">
        <v>80933.14</v>
      </c>
      <c r="P75">
        <v>8348</v>
      </c>
      <c r="Q75">
        <v>212.4</v>
      </c>
      <c r="R75">
        <v>18.600000000000001</v>
      </c>
      <c r="S75">
        <v>2.66</v>
      </c>
      <c r="T75">
        <v>14.6</v>
      </c>
      <c r="U75">
        <v>653.70000000000005</v>
      </c>
      <c r="V75">
        <v>0.16</v>
      </c>
      <c r="W75">
        <v>213.6</v>
      </c>
      <c r="X75">
        <v>32.9</v>
      </c>
      <c r="Y75">
        <v>246.5</v>
      </c>
      <c r="Z75">
        <v>211</v>
      </c>
      <c r="AA75">
        <v>18.100000000000001</v>
      </c>
      <c r="AB75">
        <v>2.58</v>
      </c>
      <c r="AC75">
        <v>14.9</v>
      </c>
      <c r="AD75">
        <v>662.5</v>
      </c>
      <c r="AE75">
        <v>0.16</v>
      </c>
      <c r="AF75">
        <v>212.2</v>
      </c>
      <c r="AG75">
        <v>33.5</v>
      </c>
      <c r="AH75">
        <v>245.7</v>
      </c>
      <c r="AI75">
        <v>231.2</v>
      </c>
      <c r="AJ75">
        <v>8.8000000000000007</v>
      </c>
      <c r="AK75">
        <v>1.1200000000000001</v>
      </c>
      <c r="AL75">
        <v>23.3</v>
      </c>
      <c r="AM75">
        <v>1067</v>
      </c>
      <c r="AN75">
        <v>0.1</v>
      </c>
      <c r="AO75">
        <v>231.8</v>
      </c>
      <c r="AP75">
        <v>53.2</v>
      </c>
      <c r="AQ75">
        <v>285</v>
      </c>
      <c r="AR75">
        <v>685.8</v>
      </c>
      <c r="AS75">
        <v>59.4</v>
      </c>
      <c r="AT75">
        <v>8.5</v>
      </c>
      <c r="AU75">
        <v>39.200000000000003</v>
      </c>
      <c r="AV75">
        <v>2089.8000000000002</v>
      </c>
      <c r="AW75">
        <v>0.35</v>
      </c>
      <c r="AX75">
        <v>689.8</v>
      </c>
      <c r="AY75">
        <v>97.8</v>
      </c>
      <c r="AZ75">
        <v>787.6</v>
      </c>
      <c r="BA75">
        <v>10518479.300000001</v>
      </c>
      <c r="BB75">
        <v>923.5</v>
      </c>
      <c r="BC75">
        <v>131.80000000000001</v>
      </c>
      <c r="BD75">
        <v>720977.9</v>
      </c>
      <c r="BE75">
        <v>32365.9</v>
      </c>
      <c r="BF75">
        <v>7.9</v>
      </c>
      <c r="BG75">
        <v>10579256.699999999</v>
      </c>
      <c r="BH75">
        <v>1629321.7</v>
      </c>
      <c r="BI75">
        <v>12208578.4</v>
      </c>
      <c r="BJ75">
        <v>0</v>
      </c>
      <c r="BK75">
        <v>0</v>
      </c>
      <c r="BL75">
        <v>10518479.300000001</v>
      </c>
      <c r="BM75">
        <v>11239457.199999999</v>
      </c>
      <c r="BN75">
        <v>12208578.4</v>
      </c>
      <c r="BO75">
        <v>25.05</v>
      </c>
      <c r="BP75">
        <v>15.76</v>
      </c>
      <c r="BQ75">
        <v>0</v>
      </c>
      <c r="BR75">
        <v>40.81</v>
      </c>
      <c r="BS75">
        <v>26.73</v>
      </c>
      <c r="BT75">
        <v>17.38</v>
      </c>
      <c r="BU75">
        <v>0</v>
      </c>
      <c r="BV75">
        <v>44.11</v>
      </c>
      <c r="BW75">
        <v>50007944</v>
      </c>
      <c r="BX75">
        <v>18406986</v>
      </c>
      <c r="BY75">
        <v>14114478</v>
      </c>
      <c r="BZ75">
        <v>7274591</v>
      </c>
      <c r="CA75">
        <v>0</v>
      </c>
      <c r="CB75">
        <v>121</v>
      </c>
      <c r="CC75">
        <v>7744070.5</v>
      </c>
      <c r="CD75">
        <v>0</v>
      </c>
      <c r="CE75">
        <v>120806.3</v>
      </c>
      <c r="CF75">
        <v>1337170.6000000001</v>
      </c>
      <c r="CG75">
        <v>0</v>
      </c>
      <c r="CH75">
        <v>391209.8</v>
      </c>
      <c r="CI75">
        <v>0</v>
      </c>
      <c r="CJ75">
        <v>12146835</v>
      </c>
      <c r="CK75">
        <v>0</v>
      </c>
      <c r="CL75">
        <v>0</v>
      </c>
      <c r="CM75">
        <v>5480527</v>
      </c>
      <c r="CN75">
        <v>779624.7</v>
      </c>
      <c r="CO75">
        <v>0</v>
      </c>
      <c r="CP75">
        <v>618511.6</v>
      </c>
      <c r="CQ75">
        <v>0</v>
      </c>
      <c r="CR75">
        <v>564.4</v>
      </c>
      <c r="CS75">
        <v>0</v>
      </c>
      <c r="CT75">
        <v>65.400000000000006</v>
      </c>
      <c r="CU75">
        <v>2062.4</v>
      </c>
      <c r="CV75">
        <v>0</v>
      </c>
      <c r="CW75">
        <v>0</v>
      </c>
      <c r="CX75">
        <v>583.1</v>
      </c>
      <c r="CY75">
        <v>1961.2</v>
      </c>
      <c r="CZ75">
        <v>0</v>
      </c>
      <c r="DA75">
        <v>2240.3000000000002</v>
      </c>
      <c r="DB75">
        <v>0</v>
      </c>
      <c r="DC75">
        <v>247</v>
      </c>
      <c r="DD75">
        <v>1767.1</v>
      </c>
      <c r="DE75">
        <v>96.6</v>
      </c>
      <c r="DF75">
        <v>0</v>
      </c>
      <c r="DG75">
        <v>2773.8</v>
      </c>
      <c r="DH75">
        <v>0</v>
      </c>
      <c r="DI75">
        <v>3066.9</v>
      </c>
      <c r="DJ75">
        <v>0</v>
      </c>
      <c r="DK75">
        <v>2979.3</v>
      </c>
      <c r="DL75">
        <v>0</v>
      </c>
      <c r="DM75">
        <v>0</v>
      </c>
      <c r="DN75">
        <v>0</v>
      </c>
      <c r="DO75">
        <v>0.1</v>
      </c>
      <c r="DP75">
        <v>0</v>
      </c>
      <c r="DQ75">
        <v>0</v>
      </c>
      <c r="DR75">
        <v>0</v>
      </c>
    </row>
    <row r="76" spans="1:122" x14ac:dyDescent="0.3">
      <c r="A76" t="s">
        <v>161</v>
      </c>
      <c r="B76">
        <v>2042</v>
      </c>
      <c r="C76">
        <v>37098623.100000001</v>
      </c>
      <c r="D76">
        <v>35783275.100000001</v>
      </c>
      <c r="E76">
        <v>34497054.200000003</v>
      </c>
      <c r="F76">
        <v>0</v>
      </c>
      <c r="G76">
        <v>943465.8</v>
      </c>
      <c r="H76">
        <v>12646568.5</v>
      </c>
      <c r="I76">
        <v>943465.8</v>
      </c>
      <c r="J76">
        <v>0</v>
      </c>
      <c r="K76">
        <v>371882.3</v>
      </c>
      <c r="L76">
        <v>3.5900000000000001E-2</v>
      </c>
      <c r="M76">
        <v>5.3999999999999999E-2</v>
      </c>
      <c r="N76">
        <v>0.15</v>
      </c>
      <c r="O76">
        <v>80472.649999999994</v>
      </c>
      <c r="P76">
        <v>8478.7000000000007</v>
      </c>
      <c r="Q76">
        <v>186.9</v>
      </c>
      <c r="R76">
        <v>16.399999999999999</v>
      </c>
      <c r="S76">
        <v>2.34</v>
      </c>
      <c r="T76">
        <v>12.9</v>
      </c>
      <c r="U76">
        <v>575</v>
      </c>
      <c r="V76">
        <v>0.14000000000000001</v>
      </c>
      <c r="W76">
        <v>187.9</v>
      </c>
      <c r="X76">
        <v>29</v>
      </c>
      <c r="Y76">
        <v>217</v>
      </c>
      <c r="Z76">
        <v>190.6</v>
      </c>
      <c r="AA76">
        <v>16.2</v>
      </c>
      <c r="AB76">
        <v>2.31</v>
      </c>
      <c r="AC76">
        <v>13.7</v>
      </c>
      <c r="AD76">
        <v>604</v>
      </c>
      <c r="AE76">
        <v>0.15</v>
      </c>
      <c r="AF76">
        <v>191.7</v>
      </c>
      <c r="AG76">
        <v>30.7</v>
      </c>
      <c r="AH76">
        <v>222.4</v>
      </c>
      <c r="AI76">
        <v>234.2</v>
      </c>
      <c r="AJ76">
        <v>10.199999999999999</v>
      </c>
      <c r="AK76">
        <v>1.34</v>
      </c>
      <c r="AL76">
        <v>22.4</v>
      </c>
      <c r="AM76">
        <v>1039.0999999999999</v>
      </c>
      <c r="AN76">
        <v>0.11</v>
      </c>
      <c r="AO76">
        <v>234.8</v>
      </c>
      <c r="AP76">
        <v>51.6</v>
      </c>
      <c r="AQ76">
        <v>286.39999999999998</v>
      </c>
      <c r="AR76">
        <v>680.1</v>
      </c>
      <c r="AS76">
        <v>59.5</v>
      </c>
      <c r="AT76">
        <v>8.5</v>
      </c>
      <c r="AU76">
        <v>38.4</v>
      </c>
      <c r="AV76">
        <v>2062.1999999999998</v>
      </c>
      <c r="AW76">
        <v>0.34</v>
      </c>
      <c r="AX76">
        <v>684.1</v>
      </c>
      <c r="AY76">
        <v>96.2</v>
      </c>
      <c r="AZ76">
        <v>780.3</v>
      </c>
      <c r="BA76">
        <v>10057268.300000001</v>
      </c>
      <c r="BB76">
        <v>883.5</v>
      </c>
      <c r="BC76">
        <v>126.1</v>
      </c>
      <c r="BD76">
        <v>694894.9</v>
      </c>
      <c r="BE76">
        <v>30946.9</v>
      </c>
      <c r="BF76">
        <v>7.7</v>
      </c>
      <c r="BG76">
        <v>10115411.199999999</v>
      </c>
      <c r="BH76">
        <v>1563449.1</v>
      </c>
      <c r="BI76">
        <v>11678860.300000001</v>
      </c>
      <c r="BJ76">
        <v>0</v>
      </c>
      <c r="BK76">
        <v>0</v>
      </c>
      <c r="BL76">
        <v>10057268.300000001</v>
      </c>
      <c r="BM76">
        <v>10752163.300000001</v>
      </c>
      <c r="BN76">
        <v>11678860.300000001</v>
      </c>
      <c r="BO76">
        <v>24.39</v>
      </c>
      <c r="BP76">
        <v>15.61</v>
      </c>
      <c r="BQ76">
        <v>0</v>
      </c>
      <c r="BR76">
        <v>40</v>
      </c>
      <c r="BS76">
        <v>26.09</v>
      </c>
      <c r="BT76">
        <v>17.309999999999999</v>
      </c>
      <c r="BU76">
        <v>0</v>
      </c>
      <c r="BV76">
        <v>43.4</v>
      </c>
      <c r="BW76">
        <v>54378456</v>
      </c>
      <c r="BX76">
        <v>23136706</v>
      </c>
      <c r="BY76">
        <v>14114478</v>
      </c>
      <c r="BZ76">
        <v>6964901.5</v>
      </c>
      <c r="CA76">
        <v>0</v>
      </c>
      <c r="CB76">
        <v>106.1</v>
      </c>
      <c r="CC76">
        <v>7539919</v>
      </c>
      <c r="CD76">
        <v>0</v>
      </c>
      <c r="CE76">
        <v>110123.8</v>
      </c>
      <c r="CF76">
        <v>1324241</v>
      </c>
      <c r="CG76">
        <v>0</v>
      </c>
      <c r="CH76">
        <v>383620.8</v>
      </c>
      <c r="CI76">
        <v>0</v>
      </c>
      <c r="CJ76">
        <v>16451136</v>
      </c>
      <c r="CK76">
        <v>0</v>
      </c>
      <c r="CL76">
        <v>0</v>
      </c>
      <c r="CM76">
        <v>5796779.5</v>
      </c>
      <c r="CN76">
        <v>888791.8</v>
      </c>
      <c r="CO76">
        <v>0</v>
      </c>
      <c r="CP76">
        <v>804358.4</v>
      </c>
      <c r="CQ76">
        <v>0</v>
      </c>
      <c r="CR76">
        <v>791.7</v>
      </c>
      <c r="CS76">
        <v>0</v>
      </c>
      <c r="CT76">
        <v>65.400000000000006</v>
      </c>
      <c r="CU76">
        <v>2062.4</v>
      </c>
      <c r="CV76">
        <v>0</v>
      </c>
      <c r="CW76">
        <v>0</v>
      </c>
      <c r="CX76">
        <v>669.3</v>
      </c>
      <c r="CY76">
        <v>1961.2</v>
      </c>
      <c r="CZ76">
        <v>0</v>
      </c>
      <c r="DA76">
        <v>2240.3000000000002</v>
      </c>
      <c r="DB76">
        <v>0</v>
      </c>
      <c r="DC76">
        <v>247</v>
      </c>
      <c r="DD76">
        <v>1767.1</v>
      </c>
      <c r="DE76">
        <v>96.6</v>
      </c>
      <c r="DF76">
        <v>0</v>
      </c>
      <c r="DG76">
        <v>2928</v>
      </c>
      <c r="DH76">
        <v>0</v>
      </c>
      <c r="DI76">
        <v>4163</v>
      </c>
      <c r="DJ76">
        <v>0</v>
      </c>
      <c r="DK76">
        <v>4339.1000000000004</v>
      </c>
      <c r="DL76">
        <v>0</v>
      </c>
      <c r="DM76">
        <v>0</v>
      </c>
      <c r="DN76">
        <v>0</v>
      </c>
      <c r="DO76">
        <v>0.1</v>
      </c>
      <c r="DP76">
        <v>0</v>
      </c>
      <c r="DQ76">
        <v>0</v>
      </c>
      <c r="DR76">
        <v>0</v>
      </c>
    </row>
    <row r="77" spans="1:122" x14ac:dyDescent="0.3">
      <c r="A77" t="s">
        <v>161</v>
      </c>
      <c r="B77">
        <v>2044</v>
      </c>
      <c r="C77">
        <v>37928195.700000003</v>
      </c>
      <c r="D77">
        <v>36389771.299999997</v>
      </c>
      <c r="E77">
        <v>35081750</v>
      </c>
      <c r="F77">
        <v>0</v>
      </c>
      <c r="G77">
        <v>1161657.6000000001</v>
      </c>
      <c r="H77">
        <v>12347874.1</v>
      </c>
      <c r="I77">
        <v>1161657.6000000001</v>
      </c>
      <c r="J77">
        <v>0</v>
      </c>
      <c r="K77">
        <v>376766.9</v>
      </c>
      <c r="L77">
        <v>3.5900000000000001E-2</v>
      </c>
      <c r="M77">
        <v>5.3999999999999999E-2</v>
      </c>
      <c r="N77">
        <v>0.15</v>
      </c>
      <c r="O77">
        <v>83322.12</v>
      </c>
      <c r="P77">
        <v>8622.6</v>
      </c>
      <c r="Q77">
        <v>180.9</v>
      </c>
      <c r="R77">
        <v>15.8</v>
      </c>
      <c r="S77">
        <v>2.25</v>
      </c>
      <c r="T77">
        <v>12.6</v>
      </c>
      <c r="U77">
        <v>559.6</v>
      </c>
      <c r="V77">
        <v>0.14000000000000001</v>
      </c>
      <c r="W77">
        <v>182</v>
      </c>
      <c r="X77">
        <v>28.3</v>
      </c>
      <c r="Y77">
        <v>210.3</v>
      </c>
      <c r="Z77">
        <v>183.7</v>
      </c>
      <c r="AA77">
        <v>15.5</v>
      </c>
      <c r="AB77">
        <v>2.2000000000000002</v>
      </c>
      <c r="AC77">
        <v>13.4</v>
      </c>
      <c r="AD77">
        <v>586.1</v>
      </c>
      <c r="AE77">
        <v>0.14000000000000001</v>
      </c>
      <c r="AF77">
        <v>184.7</v>
      </c>
      <c r="AG77">
        <v>29.9</v>
      </c>
      <c r="AH77">
        <v>214.5</v>
      </c>
      <c r="AI77">
        <v>238.6</v>
      </c>
      <c r="AJ77">
        <v>12.1</v>
      </c>
      <c r="AK77">
        <v>1.63</v>
      </c>
      <c r="AL77">
        <v>21.3</v>
      </c>
      <c r="AM77">
        <v>1002.8</v>
      </c>
      <c r="AN77">
        <v>0.11</v>
      </c>
      <c r="AO77">
        <v>239.4</v>
      </c>
      <c r="AP77">
        <v>49.4</v>
      </c>
      <c r="AQ77">
        <v>288.8</v>
      </c>
      <c r="AR77">
        <v>650.4</v>
      </c>
      <c r="AS77">
        <v>54.8</v>
      </c>
      <c r="AT77">
        <v>7.82</v>
      </c>
      <c r="AU77">
        <v>38.6</v>
      </c>
      <c r="AV77">
        <v>2034.7</v>
      </c>
      <c r="AW77">
        <v>0.32</v>
      </c>
      <c r="AX77">
        <v>654</v>
      </c>
      <c r="AY77">
        <v>95.7</v>
      </c>
      <c r="AZ77">
        <v>749.6</v>
      </c>
      <c r="BA77">
        <v>9924272.3000000007</v>
      </c>
      <c r="BB77">
        <v>867.1</v>
      </c>
      <c r="BC77">
        <v>123.7</v>
      </c>
      <c r="BD77">
        <v>691598.7</v>
      </c>
      <c r="BE77">
        <v>30689.1</v>
      </c>
      <c r="BF77">
        <v>7.6</v>
      </c>
      <c r="BG77">
        <v>9981326</v>
      </c>
      <c r="BH77">
        <v>1552915.5</v>
      </c>
      <c r="BI77">
        <v>11534241.5</v>
      </c>
      <c r="BJ77">
        <v>0</v>
      </c>
      <c r="BK77">
        <v>0</v>
      </c>
      <c r="BL77">
        <v>9924272.3000000007</v>
      </c>
      <c r="BM77">
        <v>10615871</v>
      </c>
      <c r="BN77">
        <v>11534241.5</v>
      </c>
      <c r="BO77">
        <v>24.16</v>
      </c>
      <c r="BP77">
        <v>15.97</v>
      </c>
      <c r="BQ77">
        <v>0</v>
      </c>
      <c r="BR77">
        <v>40.119999999999997</v>
      </c>
      <c r="BS77">
        <v>25.91</v>
      </c>
      <c r="BT77">
        <v>17.79</v>
      </c>
      <c r="BU77">
        <v>0</v>
      </c>
      <c r="BV77">
        <v>43.7</v>
      </c>
      <c r="BW77">
        <v>55433480</v>
      </c>
      <c r="BX77">
        <v>24041898</v>
      </c>
      <c r="BY77">
        <v>14114478</v>
      </c>
      <c r="BZ77">
        <v>6807869</v>
      </c>
      <c r="CA77">
        <v>0</v>
      </c>
      <c r="CB77">
        <v>51.3</v>
      </c>
      <c r="CC77">
        <v>7676409</v>
      </c>
      <c r="CD77">
        <v>0</v>
      </c>
      <c r="CE77">
        <v>96357.6</v>
      </c>
      <c r="CF77">
        <v>1320012.8</v>
      </c>
      <c r="CG77">
        <v>0</v>
      </c>
      <c r="CH77">
        <v>380452.7</v>
      </c>
      <c r="CI77">
        <v>0</v>
      </c>
      <c r="CJ77">
        <v>17027552</v>
      </c>
      <c r="CK77">
        <v>0</v>
      </c>
      <c r="CL77">
        <v>0</v>
      </c>
      <c r="CM77">
        <v>6078008</v>
      </c>
      <c r="CN77">
        <v>936337.4</v>
      </c>
      <c r="CO77">
        <v>0</v>
      </c>
      <c r="CP77">
        <v>995947.8</v>
      </c>
      <c r="CQ77">
        <v>0</v>
      </c>
      <c r="CR77">
        <v>992.3</v>
      </c>
      <c r="CS77">
        <v>0</v>
      </c>
      <c r="CT77">
        <v>65.400000000000006</v>
      </c>
      <c r="CU77">
        <v>2062.4</v>
      </c>
      <c r="CV77">
        <v>0</v>
      </c>
      <c r="CW77">
        <v>0</v>
      </c>
      <c r="CX77">
        <v>712.1</v>
      </c>
      <c r="CY77">
        <v>2126</v>
      </c>
      <c r="CZ77">
        <v>0</v>
      </c>
      <c r="DA77">
        <v>1650.5</v>
      </c>
      <c r="DB77">
        <v>0</v>
      </c>
      <c r="DC77">
        <v>247</v>
      </c>
      <c r="DD77">
        <v>1767.1</v>
      </c>
      <c r="DE77">
        <v>96.6</v>
      </c>
      <c r="DF77">
        <v>0</v>
      </c>
      <c r="DG77">
        <v>3150</v>
      </c>
      <c r="DH77">
        <v>0</v>
      </c>
      <c r="DI77">
        <v>4325.1000000000004</v>
      </c>
      <c r="DJ77">
        <v>0</v>
      </c>
      <c r="DK77">
        <v>5585.7</v>
      </c>
      <c r="DL77">
        <v>0</v>
      </c>
      <c r="DM77">
        <v>0</v>
      </c>
      <c r="DN77">
        <v>0</v>
      </c>
      <c r="DO77">
        <v>0.1</v>
      </c>
      <c r="DP77">
        <v>0</v>
      </c>
      <c r="DQ77">
        <v>0</v>
      </c>
      <c r="DR77">
        <v>0</v>
      </c>
    </row>
    <row r="78" spans="1:122" x14ac:dyDescent="0.3">
      <c r="A78" t="s">
        <v>161</v>
      </c>
      <c r="B78">
        <v>2046</v>
      </c>
      <c r="C78">
        <v>39732223.200000003</v>
      </c>
      <c r="D78">
        <v>36973194.299999997</v>
      </c>
      <c r="E78">
        <v>35644202</v>
      </c>
      <c r="F78">
        <v>0</v>
      </c>
      <c r="G78">
        <v>2295437.5</v>
      </c>
      <c r="H78">
        <v>7310798.2000000002</v>
      </c>
      <c r="I78">
        <v>2295437.5</v>
      </c>
      <c r="J78">
        <v>0</v>
      </c>
      <c r="K78">
        <v>463591.5</v>
      </c>
      <c r="L78">
        <v>3.5900000000000001E-2</v>
      </c>
      <c r="M78">
        <v>5.3999999999999999E-2</v>
      </c>
      <c r="N78">
        <v>0.15</v>
      </c>
      <c r="O78">
        <v>83622.73</v>
      </c>
      <c r="P78">
        <v>8761.1</v>
      </c>
      <c r="Q78">
        <v>165.1</v>
      </c>
      <c r="R78">
        <v>14.7</v>
      </c>
      <c r="S78">
        <v>2.11</v>
      </c>
      <c r="T78">
        <v>11.2</v>
      </c>
      <c r="U78">
        <v>500.2</v>
      </c>
      <c r="V78">
        <v>0.13</v>
      </c>
      <c r="W78">
        <v>166.1</v>
      </c>
      <c r="X78">
        <v>25.2</v>
      </c>
      <c r="Y78">
        <v>191.3</v>
      </c>
      <c r="Z78">
        <v>171.6</v>
      </c>
      <c r="AA78">
        <v>14.5</v>
      </c>
      <c r="AB78">
        <v>2.06</v>
      </c>
      <c r="AC78">
        <v>12.5</v>
      </c>
      <c r="AD78">
        <v>546.6</v>
      </c>
      <c r="AE78">
        <v>0.13</v>
      </c>
      <c r="AF78">
        <v>172.6</v>
      </c>
      <c r="AG78">
        <v>27.8</v>
      </c>
      <c r="AH78">
        <v>200.4</v>
      </c>
      <c r="AI78">
        <v>256.2</v>
      </c>
      <c r="AJ78">
        <v>14.3</v>
      </c>
      <c r="AK78">
        <v>1.95</v>
      </c>
      <c r="AL78">
        <v>21.7</v>
      </c>
      <c r="AM78">
        <v>1034.8</v>
      </c>
      <c r="AN78">
        <v>0.12</v>
      </c>
      <c r="AO78">
        <v>257.10000000000002</v>
      </c>
      <c r="AP78">
        <v>50.7</v>
      </c>
      <c r="AQ78">
        <v>307.8</v>
      </c>
      <c r="AR78">
        <v>623.79999999999995</v>
      </c>
      <c r="AS78">
        <v>51.5</v>
      </c>
      <c r="AT78">
        <v>7.32</v>
      </c>
      <c r="AU78">
        <v>38.1</v>
      </c>
      <c r="AV78">
        <v>1990.2</v>
      </c>
      <c r="AW78">
        <v>0.31</v>
      </c>
      <c r="AX78">
        <v>627.1</v>
      </c>
      <c r="AY78">
        <v>93.9</v>
      </c>
      <c r="AZ78">
        <v>721.1</v>
      </c>
      <c r="BA78">
        <v>10133168.300000001</v>
      </c>
      <c r="BB78">
        <v>905.5</v>
      </c>
      <c r="BC78">
        <v>129.4</v>
      </c>
      <c r="BD78">
        <v>685311.1</v>
      </c>
      <c r="BE78">
        <v>30692.9</v>
      </c>
      <c r="BF78">
        <v>7.7</v>
      </c>
      <c r="BG78">
        <v>10192806.6</v>
      </c>
      <c r="BH78">
        <v>1546765.7</v>
      </c>
      <c r="BI78">
        <v>11739572.300000001</v>
      </c>
      <c r="BJ78">
        <v>0</v>
      </c>
      <c r="BK78">
        <v>0</v>
      </c>
      <c r="BL78">
        <v>10133168.300000001</v>
      </c>
      <c r="BM78">
        <v>10818479.4</v>
      </c>
      <c r="BN78">
        <v>11739572.300000001</v>
      </c>
      <c r="BO78">
        <v>23.91</v>
      </c>
      <c r="BP78">
        <v>15.47</v>
      </c>
      <c r="BQ78">
        <v>0</v>
      </c>
      <c r="BR78">
        <v>39.39</v>
      </c>
      <c r="BS78">
        <v>25.91</v>
      </c>
      <c r="BT78">
        <v>17.739999999999998</v>
      </c>
      <c r="BU78">
        <v>0</v>
      </c>
      <c r="BV78">
        <v>43.65</v>
      </c>
      <c r="BW78">
        <v>62021470</v>
      </c>
      <c r="BX78">
        <v>29662396</v>
      </c>
      <c r="BY78">
        <v>14114478</v>
      </c>
      <c r="BZ78">
        <v>7159297</v>
      </c>
      <c r="CA78">
        <v>0</v>
      </c>
      <c r="CB78">
        <v>13</v>
      </c>
      <c r="CC78">
        <v>7336969</v>
      </c>
      <c r="CD78">
        <v>0</v>
      </c>
      <c r="CE78">
        <v>71084.100000000006</v>
      </c>
      <c r="CF78">
        <v>1323766.5</v>
      </c>
      <c r="CG78">
        <v>0</v>
      </c>
      <c r="CH78">
        <v>386869.1</v>
      </c>
      <c r="CI78">
        <v>0</v>
      </c>
      <c r="CJ78">
        <v>19795746</v>
      </c>
      <c r="CK78">
        <v>0</v>
      </c>
      <c r="CL78">
        <v>0</v>
      </c>
      <c r="CM78">
        <v>8888698</v>
      </c>
      <c r="CN78">
        <v>977952.3</v>
      </c>
      <c r="CO78">
        <v>0</v>
      </c>
      <c r="CP78">
        <v>1966601.6</v>
      </c>
      <c r="CQ78">
        <v>0</v>
      </c>
      <c r="CR78">
        <v>2085.8000000000002</v>
      </c>
      <c r="CS78">
        <v>0</v>
      </c>
      <c r="CT78">
        <v>65.400000000000006</v>
      </c>
      <c r="CU78">
        <v>2062.4</v>
      </c>
      <c r="CV78">
        <v>0</v>
      </c>
      <c r="CW78">
        <v>0</v>
      </c>
      <c r="CX78">
        <v>751.8</v>
      </c>
      <c r="CY78">
        <v>2126</v>
      </c>
      <c r="CZ78">
        <v>0</v>
      </c>
      <c r="DA78">
        <v>1650.5</v>
      </c>
      <c r="DB78">
        <v>0</v>
      </c>
      <c r="DC78">
        <v>247</v>
      </c>
      <c r="DD78">
        <v>1767.1</v>
      </c>
      <c r="DE78">
        <v>96.6</v>
      </c>
      <c r="DF78">
        <v>0</v>
      </c>
      <c r="DG78">
        <v>4965.3999999999996</v>
      </c>
      <c r="DH78">
        <v>0</v>
      </c>
      <c r="DI78">
        <v>5038.3999999999996</v>
      </c>
      <c r="DJ78">
        <v>0</v>
      </c>
      <c r="DK78">
        <v>14065.4</v>
      </c>
      <c r="DL78">
        <v>0</v>
      </c>
      <c r="DM78">
        <v>0</v>
      </c>
      <c r="DN78">
        <v>0</v>
      </c>
      <c r="DO78">
        <v>0.1</v>
      </c>
      <c r="DP78">
        <v>0</v>
      </c>
      <c r="DQ78">
        <v>0</v>
      </c>
      <c r="DR78">
        <v>0</v>
      </c>
    </row>
    <row r="79" spans="1:122" x14ac:dyDescent="0.3">
      <c r="A79" t="s">
        <v>161</v>
      </c>
      <c r="B79">
        <v>2048</v>
      </c>
      <c r="C79">
        <v>40586891.100000001</v>
      </c>
      <c r="D79">
        <v>37606059.799999997</v>
      </c>
      <c r="E79">
        <v>36254319.399999999</v>
      </c>
      <c r="F79">
        <v>0</v>
      </c>
      <c r="G79">
        <v>2471258</v>
      </c>
      <c r="H79">
        <v>4263440.7</v>
      </c>
      <c r="I79">
        <v>2471258</v>
      </c>
      <c r="J79">
        <v>0</v>
      </c>
      <c r="K79">
        <v>509573.3</v>
      </c>
      <c r="L79">
        <v>3.5900000000000001E-2</v>
      </c>
      <c r="M79">
        <v>5.3999999999999999E-2</v>
      </c>
      <c r="N79">
        <v>0.15</v>
      </c>
      <c r="O79">
        <v>80115.960000000006</v>
      </c>
      <c r="P79">
        <v>8911.1</v>
      </c>
      <c r="Q79">
        <v>153.4</v>
      </c>
      <c r="R79">
        <v>13.6</v>
      </c>
      <c r="S79">
        <v>1.95</v>
      </c>
      <c r="T79">
        <v>10.5</v>
      </c>
      <c r="U79">
        <v>466.8</v>
      </c>
      <c r="V79">
        <v>0.12</v>
      </c>
      <c r="W79">
        <v>154.30000000000001</v>
      </c>
      <c r="X79">
        <v>23.6</v>
      </c>
      <c r="Y79">
        <v>177.9</v>
      </c>
      <c r="Z79">
        <v>165.1</v>
      </c>
      <c r="AA79">
        <v>13.8</v>
      </c>
      <c r="AB79">
        <v>1.96</v>
      </c>
      <c r="AC79">
        <v>12</v>
      </c>
      <c r="AD79">
        <v>530.20000000000005</v>
      </c>
      <c r="AE79">
        <v>0.13</v>
      </c>
      <c r="AF79">
        <v>166.1</v>
      </c>
      <c r="AG79">
        <v>26.9</v>
      </c>
      <c r="AH79">
        <v>192.9</v>
      </c>
      <c r="AI79">
        <v>252.2</v>
      </c>
      <c r="AJ79">
        <v>13.6</v>
      </c>
      <c r="AK79">
        <v>1.85</v>
      </c>
      <c r="AL79">
        <v>21.8</v>
      </c>
      <c r="AM79">
        <v>1033.7</v>
      </c>
      <c r="AN79">
        <v>0.12</v>
      </c>
      <c r="AO79">
        <v>253.1</v>
      </c>
      <c r="AP79">
        <v>50.8</v>
      </c>
      <c r="AQ79">
        <v>303.89999999999998</v>
      </c>
      <c r="AR79">
        <v>600</v>
      </c>
      <c r="AS79">
        <v>47.9</v>
      </c>
      <c r="AT79">
        <v>6.8</v>
      </c>
      <c r="AU79">
        <v>38.1</v>
      </c>
      <c r="AV79">
        <v>1969.3</v>
      </c>
      <c r="AW79">
        <v>0.28999999999999998</v>
      </c>
      <c r="AX79">
        <v>603.20000000000005</v>
      </c>
      <c r="AY79">
        <v>93.3</v>
      </c>
      <c r="AZ79">
        <v>696.5</v>
      </c>
      <c r="BA79">
        <v>9954705.0999999996</v>
      </c>
      <c r="BB79">
        <v>885.6</v>
      </c>
      <c r="BC79">
        <v>126.5</v>
      </c>
      <c r="BD79">
        <v>678573.8</v>
      </c>
      <c r="BE79">
        <v>30281.1</v>
      </c>
      <c r="BF79">
        <v>7.7</v>
      </c>
      <c r="BG79">
        <v>10013023.6</v>
      </c>
      <c r="BH79">
        <v>1528474.7</v>
      </c>
      <c r="BI79">
        <v>11541498.300000001</v>
      </c>
      <c r="BJ79">
        <v>0</v>
      </c>
      <c r="BK79">
        <v>0</v>
      </c>
      <c r="BL79">
        <v>9954705.0999999996</v>
      </c>
      <c r="BM79">
        <v>10633278.9</v>
      </c>
      <c r="BN79">
        <v>11541498.300000001</v>
      </c>
      <c r="BO79">
        <v>23.5</v>
      </c>
      <c r="BP79">
        <v>14.79</v>
      </c>
      <c r="BQ79">
        <v>0</v>
      </c>
      <c r="BR79">
        <v>38.29</v>
      </c>
      <c r="BS79">
        <v>25.53</v>
      </c>
      <c r="BT79">
        <v>17.03</v>
      </c>
      <c r="BU79">
        <v>0</v>
      </c>
      <c r="BV79">
        <v>42.55</v>
      </c>
      <c r="BW79">
        <v>65583864</v>
      </c>
      <c r="BX79">
        <v>33342620</v>
      </c>
      <c r="BY79">
        <v>14114478</v>
      </c>
      <c r="BZ79">
        <v>6966297</v>
      </c>
      <c r="CA79">
        <v>0</v>
      </c>
      <c r="CB79">
        <v>9.3000000000000007</v>
      </c>
      <c r="CC79">
        <v>7270661</v>
      </c>
      <c r="CD79">
        <v>0</v>
      </c>
      <c r="CE79">
        <v>80027.899999999994</v>
      </c>
      <c r="CF79">
        <v>1305133.5</v>
      </c>
      <c r="CG79">
        <v>0</v>
      </c>
      <c r="CH79">
        <v>376293</v>
      </c>
      <c r="CI79">
        <v>0</v>
      </c>
      <c r="CJ79">
        <v>23518938</v>
      </c>
      <c r="CK79">
        <v>0</v>
      </c>
      <c r="CL79">
        <v>0</v>
      </c>
      <c r="CM79">
        <v>8800732</v>
      </c>
      <c r="CN79">
        <v>1022949.9</v>
      </c>
      <c r="CO79">
        <v>0</v>
      </c>
      <c r="CP79">
        <v>2128348.5</v>
      </c>
      <c r="CQ79">
        <v>0</v>
      </c>
      <c r="CR79">
        <v>2292.1</v>
      </c>
      <c r="CS79">
        <v>0</v>
      </c>
      <c r="CT79">
        <v>65.400000000000006</v>
      </c>
      <c r="CU79">
        <v>2062.4</v>
      </c>
      <c r="CV79">
        <v>0</v>
      </c>
      <c r="CW79">
        <v>0</v>
      </c>
      <c r="CX79">
        <v>793.6</v>
      </c>
      <c r="CY79">
        <v>2126</v>
      </c>
      <c r="CZ79">
        <v>0</v>
      </c>
      <c r="DA79">
        <v>1650.5</v>
      </c>
      <c r="DB79">
        <v>0</v>
      </c>
      <c r="DC79">
        <v>247</v>
      </c>
      <c r="DD79">
        <v>1767.1</v>
      </c>
      <c r="DE79">
        <v>96.6</v>
      </c>
      <c r="DF79">
        <v>0</v>
      </c>
      <c r="DG79">
        <v>4955.3</v>
      </c>
      <c r="DH79">
        <v>0</v>
      </c>
      <c r="DI79">
        <v>6003.5</v>
      </c>
      <c r="DJ79">
        <v>0</v>
      </c>
      <c r="DK79">
        <v>15655</v>
      </c>
      <c r="DL79">
        <v>0</v>
      </c>
      <c r="DM79">
        <v>0</v>
      </c>
      <c r="DN79">
        <v>0</v>
      </c>
      <c r="DO79">
        <v>0.1</v>
      </c>
      <c r="DP79">
        <v>0</v>
      </c>
      <c r="DQ79">
        <v>0</v>
      </c>
      <c r="DR79">
        <v>0</v>
      </c>
    </row>
    <row r="80" spans="1:122" x14ac:dyDescent="0.3">
      <c r="A80" t="s">
        <v>161</v>
      </c>
      <c r="B80">
        <v>2050</v>
      </c>
      <c r="C80">
        <v>41490229</v>
      </c>
      <c r="D80">
        <v>38360884</v>
      </c>
      <c r="E80">
        <v>36982011.5</v>
      </c>
      <c r="F80">
        <v>0</v>
      </c>
      <c r="G80">
        <v>2687042.2</v>
      </c>
      <c r="H80">
        <v>2738217.7</v>
      </c>
      <c r="I80">
        <v>2687042.2</v>
      </c>
      <c r="J80">
        <v>0</v>
      </c>
      <c r="K80">
        <v>442302.8</v>
      </c>
      <c r="L80">
        <v>3.5900000000000001E-2</v>
      </c>
      <c r="M80">
        <v>5.3999999999999999E-2</v>
      </c>
      <c r="N80">
        <v>0.15</v>
      </c>
      <c r="O80">
        <v>84804.35</v>
      </c>
      <c r="P80">
        <v>9089.4</v>
      </c>
      <c r="Q80">
        <v>185</v>
      </c>
      <c r="R80">
        <v>15.4</v>
      </c>
      <c r="S80">
        <v>2.19</v>
      </c>
      <c r="T80">
        <v>11.3</v>
      </c>
      <c r="U80">
        <v>589.1</v>
      </c>
      <c r="V80">
        <v>0.09</v>
      </c>
      <c r="W80">
        <v>186</v>
      </c>
      <c r="X80">
        <v>27.8</v>
      </c>
      <c r="Y80">
        <v>213.7</v>
      </c>
      <c r="Z80">
        <v>202.2</v>
      </c>
      <c r="AA80">
        <v>16.399999999999999</v>
      </c>
      <c r="AB80">
        <v>2.3199999999999998</v>
      </c>
      <c r="AC80">
        <v>12.9</v>
      </c>
      <c r="AD80">
        <v>660.4</v>
      </c>
      <c r="AE80">
        <v>0.1</v>
      </c>
      <c r="AF80">
        <v>203.2</v>
      </c>
      <c r="AG80">
        <v>31.4</v>
      </c>
      <c r="AH80">
        <v>234.7</v>
      </c>
      <c r="AI80">
        <v>235.3</v>
      </c>
      <c r="AJ80">
        <v>11.2</v>
      </c>
      <c r="AK80">
        <v>1.5</v>
      </c>
      <c r="AL80">
        <v>21.7</v>
      </c>
      <c r="AM80">
        <v>1010.8</v>
      </c>
      <c r="AN80">
        <v>0.11</v>
      </c>
      <c r="AO80">
        <v>236</v>
      </c>
      <c r="AP80">
        <v>50</v>
      </c>
      <c r="AQ80">
        <v>286</v>
      </c>
      <c r="AR80">
        <v>599.29999999999995</v>
      </c>
      <c r="AS80">
        <v>41.6</v>
      </c>
      <c r="AT80">
        <v>5.83</v>
      </c>
      <c r="AU80">
        <v>44</v>
      </c>
      <c r="AV80">
        <v>2149.8000000000002</v>
      </c>
      <c r="AW80">
        <v>0.3</v>
      </c>
      <c r="AX80">
        <v>602</v>
      </c>
      <c r="AY80">
        <v>104.3</v>
      </c>
      <c r="AZ80">
        <v>706.3</v>
      </c>
      <c r="BA80">
        <v>10083694.300000001</v>
      </c>
      <c r="BB80">
        <v>841.6</v>
      </c>
      <c r="BC80">
        <v>119.6</v>
      </c>
      <c r="BD80">
        <v>614000.4</v>
      </c>
      <c r="BE80">
        <v>32117.7</v>
      </c>
      <c r="BF80">
        <v>4.9000000000000004</v>
      </c>
      <c r="BG80">
        <v>10138948.9</v>
      </c>
      <c r="BH80">
        <v>1514583.6</v>
      </c>
      <c r="BI80">
        <v>11653532.5</v>
      </c>
      <c r="BJ80">
        <v>0</v>
      </c>
      <c r="BK80">
        <v>0</v>
      </c>
      <c r="BL80">
        <v>10083694.300000001</v>
      </c>
      <c r="BM80">
        <v>10697694.699999999</v>
      </c>
      <c r="BN80">
        <v>11653532.5</v>
      </c>
      <c r="BO80">
        <v>26.58</v>
      </c>
      <c r="BP80">
        <v>15.52</v>
      </c>
      <c r="BQ80">
        <v>0</v>
      </c>
      <c r="BR80">
        <v>42.1</v>
      </c>
      <c r="BS80">
        <v>28.7</v>
      </c>
      <c r="BT80">
        <v>17.920000000000002</v>
      </c>
      <c r="BU80">
        <v>0</v>
      </c>
      <c r="BV80">
        <v>46.61</v>
      </c>
      <c r="BW80">
        <v>55066650</v>
      </c>
      <c r="BX80">
        <v>35622668</v>
      </c>
      <c r="BY80">
        <v>0</v>
      </c>
      <c r="BZ80">
        <v>6529871</v>
      </c>
      <c r="CA80">
        <v>0</v>
      </c>
      <c r="CB80">
        <v>22.7</v>
      </c>
      <c r="CC80">
        <v>8648157</v>
      </c>
      <c r="CD80">
        <v>0</v>
      </c>
      <c r="CE80">
        <v>202184.8</v>
      </c>
      <c r="CF80">
        <v>1342521.1</v>
      </c>
      <c r="CG80">
        <v>0</v>
      </c>
      <c r="CH80">
        <v>414207.4</v>
      </c>
      <c r="CI80">
        <v>0</v>
      </c>
      <c r="CJ80">
        <v>25771800</v>
      </c>
      <c r="CK80">
        <v>0</v>
      </c>
      <c r="CL80">
        <v>0</v>
      </c>
      <c r="CM80">
        <v>8790051</v>
      </c>
      <c r="CN80">
        <v>1060816.2</v>
      </c>
      <c r="CO80">
        <v>0</v>
      </c>
      <c r="CP80">
        <v>2307022.7999999998</v>
      </c>
      <c r="CQ80">
        <v>0</v>
      </c>
      <c r="CR80">
        <v>2660.2</v>
      </c>
      <c r="CS80">
        <v>0</v>
      </c>
      <c r="CT80">
        <v>64.5</v>
      </c>
      <c r="CU80">
        <v>1683.3</v>
      </c>
      <c r="CV80">
        <v>0</v>
      </c>
      <c r="CW80">
        <v>0</v>
      </c>
      <c r="CX80">
        <v>829.3</v>
      </c>
      <c r="CY80">
        <v>2126</v>
      </c>
      <c r="CZ80">
        <v>0</v>
      </c>
      <c r="DA80">
        <v>1505.1</v>
      </c>
      <c r="DB80">
        <v>0</v>
      </c>
      <c r="DC80">
        <v>247</v>
      </c>
      <c r="DD80">
        <v>0</v>
      </c>
      <c r="DE80">
        <v>96.6</v>
      </c>
      <c r="DF80">
        <v>0</v>
      </c>
      <c r="DG80">
        <v>4983.3</v>
      </c>
      <c r="DH80">
        <v>0</v>
      </c>
      <c r="DI80">
        <v>6561</v>
      </c>
      <c r="DJ80">
        <v>0</v>
      </c>
      <c r="DK80">
        <v>17816.2</v>
      </c>
      <c r="DL80">
        <v>0</v>
      </c>
      <c r="DM80">
        <v>0</v>
      </c>
      <c r="DN80">
        <v>0</v>
      </c>
      <c r="DO80">
        <v>0.1</v>
      </c>
      <c r="DP80">
        <v>0</v>
      </c>
      <c r="DQ80">
        <v>0</v>
      </c>
      <c r="DR80">
        <v>0</v>
      </c>
    </row>
    <row r="81" spans="1:122" x14ac:dyDescent="0.3">
      <c r="A81" t="s">
        <v>162</v>
      </c>
      <c r="B81">
        <v>2022</v>
      </c>
      <c r="C81">
        <v>192139115.80000001</v>
      </c>
      <c r="D81">
        <v>189370284.09999999</v>
      </c>
      <c r="E81">
        <v>182561018.30000001</v>
      </c>
      <c r="F81">
        <v>0</v>
      </c>
      <c r="G81">
        <v>31341.5</v>
      </c>
      <c r="H81">
        <v>92400879.700000003</v>
      </c>
      <c r="I81">
        <v>31341.5</v>
      </c>
      <c r="J81">
        <v>0</v>
      </c>
      <c r="K81">
        <v>2737490.2</v>
      </c>
      <c r="L81">
        <v>3.5900000000000001E-2</v>
      </c>
      <c r="M81">
        <v>5.3999999999999999E-2</v>
      </c>
      <c r="N81">
        <v>0.14779999999999999</v>
      </c>
      <c r="O81">
        <v>47159.72</v>
      </c>
      <c r="P81">
        <v>41763.599999999999</v>
      </c>
      <c r="Q81">
        <v>336.2</v>
      </c>
      <c r="R81">
        <v>36.700000000000003</v>
      </c>
      <c r="S81">
        <v>5.33</v>
      </c>
      <c r="T81">
        <v>13.4</v>
      </c>
      <c r="U81">
        <v>794.4</v>
      </c>
      <c r="V81">
        <v>0.19</v>
      </c>
      <c r="W81">
        <v>338.6</v>
      </c>
      <c r="X81">
        <v>35.700000000000003</v>
      </c>
      <c r="Y81">
        <v>374.3</v>
      </c>
      <c r="Z81">
        <v>359.9</v>
      </c>
      <c r="AA81">
        <v>39.200000000000003</v>
      </c>
      <c r="AB81">
        <v>5.69</v>
      </c>
      <c r="AC81">
        <v>14.4</v>
      </c>
      <c r="AD81">
        <v>853.5</v>
      </c>
      <c r="AE81">
        <v>0.2</v>
      </c>
      <c r="AF81">
        <v>362.5</v>
      </c>
      <c r="AG81">
        <v>38.4</v>
      </c>
      <c r="AH81">
        <v>400.9</v>
      </c>
      <c r="AI81">
        <v>595.6</v>
      </c>
      <c r="AJ81">
        <v>52.5</v>
      </c>
      <c r="AK81">
        <v>7.54</v>
      </c>
      <c r="AL81">
        <v>33.5</v>
      </c>
      <c r="AM81">
        <v>1764.7</v>
      </c>
      <c r="AN81">
        <v>0.32</v>
      </c>
      <c r="AO81">
        <v>599</v>
      </c>
      <c r="AP81">
        <v>83</v>
      </c>
      <c r="AQ81">
        <v>682</v>
      </c>
      <c r="AR81">
        <v>789.4</v>
      </c>
      <c r="AS81">
        <v>72.7</v>
      </c>
      <c r="AT81">
        <v>10.5</v>
      </c>
      <c r="AU81">
        <v>41.8</v>
      </c>
      <c r="AV81">
        <v>2219.1999999999998</v>
      </c>
      <c r="AW81">
        <v>0.44</v>
      </c>
      <c r="AX81">
        <v>794.2</v>
      </c>
      <c r="AY81">
        <v>104.1</v>
      </c>
      <c r="AZ81">
        <v>898.3</v>
      </c>
      <c r="BA81">
        <v>74367073.700000003</v>
      </c>
      <c r="BB81">
        <v>8123.3</v>
      </c>
      <c r="BC81">
        <v>1178.7</v>
      </c>
      <c r="BD81">
        <v>2963695.4</v>
      </c>
      <c r="BE81">
        <v>175754.5</v>
      </c>
      <c r="BF81">
        <v>42.2</v>
      </c>
      <c r="BG81">
        <v>74906879.400000006</v>
      </c>
      <c r="BH81">
        <v>7896005</v>
      </c>
      <c r="BI81">
        <v>82802884.400000006</v>
      </c>
      <c r="BJ81">
        <v>0</v>
      </c>
      <c r="BK81">
        <v>0</v>
      </c>
      <c r="BL81">
        <v>74367073.700000003</v>
      </c>
      <c r="BM81">
        <v>77330769.099999994</v>
      </c>
      <c r="BN81">
        <v>82802884.400000006</v>
      </c>
      <c r="BO81">
        <v>29.62</v>
      </c>
      <c r="BP81">
        <v>9.59</v>
      </c>
      <c r="BQ81">
        <v>0.01</v>
      </c>
      <c r="BR81">
        <v>39.22</v>
      </c>
      <c r="BS81">
        <v>31.42</v>
      </c>
      <c r="BT81">
        <v>10.38</v>
      </c>
      <c r="BU81">
        <v>0.01</v>
      </c>
      <c r="BV81">
        <v>41.82</v>
      </c>
      <c r="BW81">
        <v>222987400</v>
      </c>
      <c r="BX81">
        <v>96969410</v>
      </c>
      <c r="BY81">
        <v>23241642</v>
      </c>
      <c r="BZ81">
        <v>65942388</v>
      </c>
      <c r="CA81">
        <v>0</v>
      </c>
      <c r="CB81">
        <v>374185.7</v>
      </c>
      <c r="CC81">
        <v>9251273</v>
      </c>
      <c r="CD81">
        <v>0</v>
      </c>
      <c r="CE81">
        <v>1050899.1000000001</v>
      </c>
      <c r="CF81">
        <v>10188605</v>
      </c>
      <c r="CG81">
        <v>0</v>
      </c>
      <c r="CH81">
        <v>1240654.3999999999</v>
      </c>
      <c r="CI81">
        <v>0</v>
      </c>
      <c r="CJ81">
        <v>92371256</v>
      </c>
      <c r="CK81">
        <v>0</v>
      </c>
      <c r="CL81">
        <v>0</v>
      </c>
      <c r="CM81">
        <v>3253328.8</v>
      </c>
      <c r="CN81">
        <v>1344821.8</v>
      </c>
      <c r="CO81">
        <v>0</v>
      </c>
      <c r="CP81">
        <v>26716.6</v>
      </c>
      <c r="CQ81">
        <v>14701626</v>
      </c>
      <c r="CR81">
        <v>35.9</v>
      </c>
      <c r="CS81">
        <v>0</v>
      </c>
      <c r="CT81">
        <v>208</v>
      </c>
      <c r="CU81">
        <v>15307.5</v>
      </c>
      <c r="CV81">
        <v>0</v>
      </c>
      <c r="CW81">
        <v>0</v>
      </c>
      <c r="CX81">
        <v>972.3</v>
      </c>
      <c r="CY81">
        <v>4955.5</v>
      </c>
      <c r="CZ81">
        <v>0</v>
      </c>
      <c r="DA81">
        <v>7216.2</v>
      </c>
      <c r="DB81">
        <v>0</v>
      </c>
      <c r="DC81">
        <v>3075</v>
      </c>
      <c r="DD81">
        <v>2909.8</v>
      </c>
      <c r="DE81">
        <v>3130.1</v>
      </c>
      <c r="DF81">
        <v>0</v>
      </c>
      <c r="DG81">
        <v>1594.2</v>
      </c>
      <c r="DH81">
        <v>0</v>
      </c>
      <c r="DI81">
        <v>26281.3</v>
      </c>
      <c r="DJ81">
        <v>0</v>
      </c>
      <c r="DK81">
        <v>83.7</v>
      </c>
      <c r="DL81">
        <v>0</v>
      </c>
      <c r="DM81">
        <v>0</v>
      </c>
      <c r="DN81">
        <v>0.1</v>
      </c>
      <c r="DO81">
        <v>0.1</v>
      </c>
      <c r="DP81">
        <v>0</v>
      </c>
      <c r="DQ81">
        <v>0</v>
      </c>
      <c r="DR81">
        <v>0</v>
      </c>
    </row>
    <row r="82" spans="1:122" x14ac:dyDescent="0.3">
      <c r="A82" t="s">
        <v>162</v>
      </c>
      <c r="B82">
        <v>2024</v>
      </c>
      <c r="C82">
        <v>195802784.90000001</v>
      </c>
      <c r="D82">
        <v>193045204.80000001</v>
      </c>
      <c r="E82">
        <v>186103797.09999999</v>
      </c>
      <c r="F82">
        <v>0</v>
      </c>
      <c r="G82">
        <v>30553.3</v>
      </c>
      <c r="H82">
        <v>88710168.200000003</v>
      </c>
      <c r="I82">
        <v>30553.3</v>
      </c>
      <c r="J82">
        <v>0</v>
      </c>
      <c r="K82">
        <v>2727026.8</v>
      </c>
      <c r="L82">
        <v>3.5900000000000001E-2</v>
      </c>
      <c r="M82">
        <v>5.3999999999999999E-2</v>
      </c>
      <c r="N82">
        <v>0.14779999999999999</v>
      </c>
      <c r="O82">
        <v>47158.44</v>
      </c>
      <c r="P82">
        <v>42631</v>
      </c>
      <c r="Q82">
        <v>308.2</v>
      </c>
      <c r="R82">
        <v>32.9</v>
      </c>
      <c r="S82">
        <v>4.76</v>
      </c>
      <c r="T82">
        <v>13</v>
      </c>
      <c r="U82">
        <v>754.3</v>
      </c>
      <c r="V82">
        <v>0.17</v>
      </c>
      <c r="W82">
        <v>310.3</v>
      </c>
      <c r="X82">
        <v>34.200000000000003</v>
      </c>
      <c r="Y82">
        <v>344.5</v>
      </c>
      <c r="Z82">
        <v>329.3</v>
      </c>
      <c r="AA82">
        <v>35</v>
      </c>
      <c r="AB82">
        <v>5.07</v>
      </c>
      <c r="AC82">
        <v>14.1</v>
      </c>
      <c r="AD82">
        <v>810.1</v>
      </c>
      <c r="AE82">
        <v>0.19</v>
      </c>
      <c r="AF82">
        <v>331.6</v>
      </c>
      <c r="AG82">
        <v>36.799999999999997</v>
      </c>
      <c r="AH82">
        <v>368.4</v>
      </c>
      <c r="AI82">
        <v>486.8</v>
      </c>
      <c r="AJ82">
        <v>42.3</v>
      </c>
      <c r="AK82">
        <v>6.07</v>
      </c>
      <c r="AL82">
        <v>27.9</v>
      </c>
      <c r="AM82">
        <v>1463.3</v>
      </c>
      <c r="AN82">
        <v>0.26</v>
      </c>
      <c r="AO82">
        <v>489.6</v>
      </c>
      <c r="AP82">
        <v>69</v>
      </c>
      <c r="AQ82">
        <v>558.5</v>
      </c>
      <c r="AR82">
        <v>799.4</v>
      </c>
      <c r="AS82">
        <v>73</v>
      </c>
      <c r="AT82">
        <v>10.52</v>
      </c>
      <c r="AU82">
        <v>42.8</v>
      </c>
      <c r="AV82">
        <v>2281.6</v>
      </c>
      <c r="AW82">
        <v>0.43</v>
      </c>
      <c r="AX82">
        <v>804.3</v>
      </c>
      <c r="AY82">
        <v>106.8</v>
      </c>
      <c r="AZ82">
        <v>911.1</v>
      </c>
      <c r="BA82">
        <v>69909024.799999997</v>
      </c>
      <c r="BB82">
        <v>7458.2</v>
      </c>
      <c r="BC82">
        <v>1080.3</v>
      </c>
      <c r="BD82">
        <v>2955731.6</v>
      </c>
      <c r="BE82">
        <v>171122.8</v>
      </c>
      <c r="BF82">
        <v>39.700000000000003</v>
      </c>
      <c r="BG82">
        <v>70404124.900000006</v>
      </c>
      <c r="BH82">
        <v>7757681.7999999998</v>
      </c>
      <c r="BI82">
        <v>78161806.700000003</v>
      </c>
      <c r="BJ82">
        <v>0</v>
      </c>
      <c r="BK82">
        <v>0</v>
      </c>
      <c r="BL82">
        <v>69909024.799999997</v>
      </c>
      <c r="BM82">
        <v>72864756.5</v>
      </c>
      <c r="BN82">
        <v>78161806.700000003</v>
      </c>
      <c r="BO82">
        <v>27.83</v>
      </c>
      <c r="BP82">
        <v>9.6199999999999992</v>
      </c>
      <c r="BQ82">
        <v>0</v>
      </c>
      <c r="BR82">
        <v>37.44</v>
      </c>
      <c r="BS82">
        <v>29.51</v>
      </c>
      <c r="BT82">
        <v>10.39</v>
      </c>
      <c r="BU82">
        <v>0</v>
      </c>
      <c r="BV82">
        <v>39.909999999999997</v>
      </c>
      <c r="BW82">
        <v>228765520</v>
      </c>
      <c r="BX82">
        <v>104335040</v>
      </c>
      <c r="BY82">
        <v>23241642</v>
      </c>
      <c r="BZ82">
        <v>60430324</v>
      </c>
      <c r="CA82">
        <v>0</v>
      </c>
      <c r="CB82">
        <v>248327.2</v>
      </c>
      <c r="CC82">
        <v>13197319</v>
      </c>
      <c r="CD82">
        <v>0</v>
      </c>
      <c r="CE82">
        <v>1280397.5</v>
      </c>
      <c r="CF82">
        <v>10224528</v>
      </c>
      <c r="CG82">
        <v>0</v>
      </c>
      <c r="CH82">
        <v>1136624.8999999999</v>
      </c>
      <c r="CI82">
        <v>0</v>
      </c>
      <c r="CJ82">
        <v>92224050</v>
      </c>
      <c r="CK82">
        <v>0</v>
      </c>
      <c r="CL82">
        <v>0</v>
      </c>
      <c r="CM82">
        <v>10623665</v>
      </c>
      <c r="CN82">
        <v>1487322</v>
      </c>
      <c r="CO82">
        <v>0</v>
      </c>
      <c r="CP82">
        <v>26104.7</v>
      </c>
      <c r="CQ82">
        <v>14645214</v>
      </c>
      <c r="CR82">
        <v>35.9</v>
      </c>
      <c r="CS82">
        <v>0</v>
      </c>
      <c r="CT82">
        <v>193</v>
      </c>
      <c r="CU82">
        <v>15285.1</v>
      </c>
      <c r="CV82">
        <v>0</v>
      </c>
      <c r="CW82">
        <v>0</v>
      </c>
      <c r="CX82">
        <v>1087.3</v>
      </c>
      <c r="CY82">
        <v>4955.5</v>
      </c>
      <c r="CZ82">
        <v>0</v>
      </c>
      <c r="DA82">
        <v>6962.7</v>
      </c>
      <c r="DB82">
        <v>0</v>
      </c>
      <c r="DC82">
        <v>3075</v>
      </c>
      <c r="DD82">
        <v>2909.8</v>
      </c>
      <c r="DE82">
        <v>2276.4</v>
      </c>
      <c r="DF82">
        <v>0</v>
      </c>
      <c r="DG82">
        <v>4678.5</v>
      </c>
      <c r="DH82">
        <v>0</v>
      </c>
      <c r="DI82">
        <v>26281.3</v>
      </c>
      <c r="DJ82">
        <v>0</v>
      </c>
      <c r="DK82">
        <v>83.7</v>
      </c>
      <c r="DL82">
        <v>0</v>
      </c>
      <c r="DM82">
        <v>0</v>
      </c>
      <c r="DN82">
        <v>0</v>
      </c>
      <c r="DO82">
        <v>0.1</v>
      </c>
      <c r="DP82">
        <v>0</v>
      </c>
      <c r="DQ82">
        <v>0</v>
      </c>
      <c r="DR82">
        <v>0</v>
      </c>
    </row>
    <row r="83" spans="1:122" x14ac:dyDescent="0.3">
      <c r="A83" t="s">
        <v>162</v>
      </c>
      <c r="B83">
        <v>2026</v>
      </c>
      <c r="C83">
        <v>199828378.59999999</v>
      </c>
      <c r="D83">
        <v>196211342.90000001</v>
      </c>
      <c r="E83">
        <v>189156087.59999999</v>
      </c>
      <c r="F83">
        <v>0</v>
      </c>
      <c r="G83">
        <v>218694</v>
      </c>
      <c r="H83">
        <v>65949206.600000001</v>
      </c>
      <c r="I83">
        <v>218694</v>
      </c>
      <c r="J83">
        <v>0</v>
      </c>
      <c r="K83">
        <v>3398341.6</v>
      </c>
      <c r="L83">
        <v>3.5900000000000001E-2</v>
      </c>
      <c r="M83">
        <v>5.3999999999999999E-2</v>
      </c>
      <c r="N83">
        <v>0.14779999999999999</v>
      </c>
      <c r="O83">
        <v>46157.14</v>
      </c>
      <c r="P83">
        <v>43532.800000000003</v>
      </c>
      <c r="Q83">
        <v>247.4</v>
      </c>
      <c r="R83">
        <v>26.6</v>
      </c>
      <c r="S83">
        <v>3.85</v>
      </c>
      <c r="T83">
        <v>10.4</v>
      </c>
      <c r="U83">
        <v>601.70000000000005</v>
      </c>
      <c r="V83">
        <v>0.14000000000000001</v>
      </c>
      <c r="W83">
        <v>249.2</v>
      </c>
      <c r="X83">
        <v>27.3</v>
      </c>
      <c r="Y83">
        <v>276.5</v>
      </c>
      <c r="Z83">
        <v>267.7</v>
      </c>
      <c r="AA83">
        <v>28.7</v>
      </c>
      <c r="AB83">
        <v>4.1500000000000004</v>
      </c>
      <c r="AC83">
        <v>11.4</v>
      </c>
      <c r="AD83">
        <v>653.5</v>
      </c>
      <c r="AE83">
        <v>0.15</v>
      </c>
      <c r="AF83">
        <v>269.60000000000002</v>
      </c>
      <c r="AG83">
        <v>29.7</v>
      </c>
      <c r="AH83">
        <v>299.3</v>
      </c>
      <c r="AI83">
        <v>368.8</v>
      </c>
      <c r="AJ83">
        <v>31.3</v>
      </c>
      <c r="AK83">
        <v>4.4800000000000004</v>
      </c>
      <c r="AL83">
        <v>21.7</v>
      </c>
      <c r="AM83">
        <v>1139.5999999999999</v>
      </c>
      <c r="AN83">
        <v>0.19</v>
      </c>
      <c r="AO83">
        <v>370.9</v>
      </c>
      <c r="AP83">
        <v>53.7</v>
      </c>
      <c r="AQ83">
        <v>424.5</v>
      </c>
      <c r="AR83">
        <v>756.9</v>
      </c>
      <c r="AS83">
        <v>70.099999999999994</v>
      </c>
      <c r="AT83">
        <v>10.08</v>
      </c>
      <c r="AU83">
        <v>39.299999999999997</v>
      </c>
      <c r="AV83">
        <v>2155</v>
      </c>
      <c r="AW83">
        <v>0.39</v>
      </c>
      <c r="AX83">
        <v>761.6</v>
      </c>
      <c r="AY83">
        <v>99.7</v>
      </c>
      <c r="AZ83">
        <v>861.3</v>
      </c>
      <c r="BA83">
        <v>59515903.899999999</v>
      </c>
      <c r="BB83">
        <v>6395.7</v>
      </c>
      <c r="BC83">
        <v>926.4</v>
      </c>
      <c r="BD83">
        <v>2506960.2999999998</v>
      </c>
      <c r="BE83">
        <v>144705.60000000001</v>
      </c>
      <c r="BF83">
        <v>34.299999999999997</v>
      </c>
      <c r="BG83">
        <v>59940469.200000003</v>
      </c>
      <c r="BH83">
        <v>6567792.4000000004</v>
      </c>
      <c r="BI83">
        <v>66508261.600000001</v>
      </c>
      <c r="BJ83">
        <v>0</v>
      </c>
      <c r="BK83">
        <v>0</v>
      </c>
      <c r="BL83">
        <v>59515903.899999999</v>
      </c>
      <c r="BM83">
        <v>62022864.299999997</v>
      </c>
      <c r="BN83">
        <v>66508261.600000001</v>
      </c>
      <c r="BO83">
        <v>25.81</v>
      </c>
      <c r="BP83">
        <v>9.16</v>
      </c>
      <c r="BQ83">
        <v>0</v>
      </c>
      <c r="BR83">
        <v>34.97</v>
      </c>
      <c r="BS83">
        <v>27.38</v>
      </c>
      <c r="BT83">
        <v>9.91</v>
      </c>
      <c r="BU83">
        <v>0</v>
      </c>
      <c r="BV83">
        <v>37.299999999999997</v>
      </c>
      <c r="BW83">
        <v>242911460</v>
      </c>
      <c r="BX83">
        <v>130262130</v>
      </c>
      <c r="BY83">
        <v>23241642</v>
      </c>
      <c r="BZ83">
        <v>52032120</v>
      </c>
      <c r="CA83">
        <v>0</v>
      </c>
      <c r="CB83">
        <v>50810.2</v>
      </c>
      <c r="CC83">
        <v>11188223</v>
      </c>
      <c r="CD83">
        <v>0</v>
      </c>
      <c r="CE83">
        <v>644020.6</v>
      </c>
      <c r="CF83">
        <v>10538400</v>
      </c>
      <c r="CG83">
        <v>0</v>
      </c>
      <c r="CH83">
        <v>1127239.8999999999</v>
      </c>
      <c r="CI83">
        <v>0</v>
      </c>
      <c r="CJ83">
        <v>97243900</v>
      </c>
      <c r="CK83">
        <v>0</v>
      </c>
      <c r="CL83">
        <v>0</v>
      </c>
      <c r="CM83">
        <v>31297476</v>
      </c>
      <c r="CN83">
        <v>1720763</v>
      </c>
      <c r="CO83">
        <v>0</v>
      </c>
      <c r="CP83">
        <v>186485</v>
      </c>
      <c r="CQ83">
        <v>13640387</v>
      </c>
      <c r="CR83">
        <v>165.7</v>
      </c>
      <c r="CS83">
        <v>0</v>
      </c>
      <c r="CT83">
        <v>193</v>
      </c>
      <c r="CU83">
        <v>14634.7</v>
      </c>
      <c r="CV83">
        <v>0</v>
      </c>
      <c r="CW83">
        <v>0</v>
      </c>
      <c r="CX83">
        <v>1283.7</v>
      </c>
      <c r="CY83">
        <v>4955.5</v>
      </c>
      <c r="CZ83">
        <v>0</v>
      </c>
      <c r="DA83">
        <v>6048.9</v>
      </c>
      <c r="DB83">
        <v>0</v>
      </c>
      <c r="DC83">
        <v>3199</v>
      </c>
      <c r="DD83">
        <v>2909.8</v>
      </c>
      <c r="DE83">
        <v>1686.7</v>
      </c>
      <c r="DF83">
        <v>0</v>
      </c>
      <c r="DG83">
        <v>13626.5</v>
      </c>
      <c r="DH83">
        <v>0</v>
      </c>
      <c r="DI83">
        <v>27660.7</v>
      </c>
      <c r="DJ83">
        <v>0</v>
      </c>
      <c r="DK83">
        <v>603</v>
      </c>
      <c r="DL83">
        <v>0</v>
      </c>
      <c r="DM83">
        <v>0</v>
      </c>
      <c r="DN83">
        <v>0</v>
      </c>
      <c r="DO83">
        <v>0.12</v>
      </c>
      <c r="DP83">
        <v>0</v>
      </c>
      <c r="DQ83">
        <v>0</v>
      </c>
      <c r="DR83">
        <v>0</v>
      </c>
    </row>
    <row r="84" spans="1:122" x14ac:dyDescent="0.3">
      <c r="A84" t="s">
        <v>162</v>
      </c>
      <c r="B84">
        <v>2028</v>
      </c>
      <c r="C84">
        <v>203599524</v>
      </c>
      <c r="D84">
        <v>199199759.09999999</v>
      </c>
      <c r="E84">
        <v>192037047.30000001</v>
      </c>
      <c r="F84">
        <v>0</v>
      </c>
      <c r="G84">
        <v>573700</v>
      </c>
      <c r="H84">
        <v>44675025.5</v>
      </c>
      <c r="I84">
        <v>573700</v>
      </c>
      <c r="J84">
        <v>0</v>
      </c>
      <c r="K84">
        <v>3826064.9</v>
      </c>
      <c r="L84">
        <v>3.5900000000000001E-2</v>
      </c>
      <c r="M84">
        <v>5.3999999999999999E-2</v>
      </c>
      <c r="N84">
        <v>0.14779999999999999</v>
      </c>
      <c r="O84">
        <v>44607.71</v>
      </c>
      <c r="P84">
        <v>44144.2</v>
      </c>
      <c r="Q84">
        <v>223</v>
      </c>
      <c r="R84">
        <v>24.6</v>
      </c>
      <c r="S84">
        <v>3.56</v>
      </c>
      <c r="T84">
        <v>8.8000000000000007</v>
      </c>
      <c r="U84">
        <v>523.70000000000005</v>
      </c>
      <c r="V84">
        <v>0.13</v>
      </c>
      <c r="W84">
        <v>224.7</v>
      </c>
      <c r="X84">
        <v>23.5</v>
      </c>
      <c r="Y84">
        <v>248.2</v>
      </c>
      <c r="Z84">
        <v>245.5</v>
      </c>
      <c r="AA84">
        <v>27</v>
      </c>
      <c r="AB84">
        <v>3.92</v>
      </c>
      <c r="AC84">
        <v>9.8000000000000007</v>
      </c>
      <c r="AD84">
        <v>577.29999999999995</v>
      </c>
      <c r="AE84">
        <v>0.14000000000000001</v>
      </c>
      <c r="AF84">
        <v>247.3</v>
      </c>
      <c r="AG84">
        <v>26</v>
      </c>
      <c r="AH84">
        <v>273.3</v>
      </c>
      <c r="AI84">
        <v>312.2</v>
      </c>
      <c r="AJ84">
        <v>27.9</v>
      </c>
      <c r="AK84">
        <v>3.99</v>
      </c>
      <c r="AL84">
        <v>17.100000000000001</v>
      </c>
      <c r="AM84">
        <v>926</v>
      </c>
      <c r="AN84">
        <v>0.16</v>
      </c>
      <c r="AO84">
        <v>314</v>
      </c>
      <c r="AP84">
        <v>43.1</v>
      </c>
      <c r="AQ84">
        <v>357.1</v>
      </c>
      <c r="AR84">
        <v>715.4</v>
      </c>
      <c r="AS84">
        <v>66.7</v>
      </c>
      <c r="AT84">
        <v>9.61</v>
      </c>
      <c r="AU84">
        <v>36.700000000000003</v>
      </c>
      <c r="AV84">
        <v>2022.2</v>
      </c>
      <c r="AW84">
        <v>0.37</v>
      </c>
      <c r="AX84">
        <v>719.8</v>
      </c>
      <c r="AY84">
        <v>93.4</v>
      </c>
      <c r="AZ84">
        <v>813.2</v>
      </c>
      <c r="BA84">
        <v>59159421.200000003</v>
      </c>
      <c r="BB84">
        <v>6516.6</v>
      </c>
      <c r="BC84">
        <v>945.3</v>
      </c>
      <c r="BD84">
        <v>2340166.6</v>
      </c>
      <c r="BE84">
        <v>138859.79999999999</v>
      </c>
      <c r="BF84">
        <v>34.1</v>
      </c>
      <c r="BG84">
        <v>59592391.700000003</v>
      </c>
      <c r="BH84">
        <v>6237274</v>
      </c>
      <c r="BI84">
        <v>65829665.700000003</v>
      </c>
      <c r="BJ84">
        <v>0</v>
      </c>
      <c r="BK84">
        <v>0</v>
      </c>
      <c r="BL84">
        <v>59159421.200000003</v>
      </c>
      <c r="BM84">
        <v>61499587.700000003</v>
      </c>
      <c r="BN84">
        <v>65829665.700000003</v>
      </c>
      <c r="BO84">
        <v>24.83</v>
      </c>
      <c r="BP84">
        <v>8.65</v>
      </c>
      <c r="BQ84">
        <v>0</v>
      </c>
      <c r="BR84">
        <v>33.479999999999997</v>
      </c>
      <c r="BS84">
        <v>26.35</v>
      </c>
      <c r="BT84">
        <v>9.3699999999999992</v>
      </c>
      <c r="BU84">
        <v>0</v>
      </c>
      <c r="BV84">
        <v>35.72</v>
      </c>
      <c r="BW84">
        <v>268011780</v>
      </c>
      <c r="BX84">
        <v>154524740</v>
      </c>
      <c r="BY84">
        <v>23241642</v>
      </c>
      <c r="BZ84">
        <v>53210452</v>
      </c>
      <c r="CA84">
        <v>0</v>
      </c>
      <c r="CB84">
        <v>25638.7</v>
      </c>
      <c r="CC84">
        <v>7626825</v>
      </c>
      <c r="CD84">
        <v>0</v>
      </c>
      <c r="CE84">
        <v>347331.8</v>
      </c>
      <c r="CF84">
        <v>10502357</v>
      </c>
      <c r="CG84">
        <v>0</v>
      </c>
      <c r="CH84">
        <v>968946.2</v>
      </c>
      <c r="CI84">
        <v>0</v>
      </c>
      <c r="CJ84">
        <v>95299260</v>
      </c>
      <c r="CK84">
        <v>0</v>
      </c>
      <c r="CL84">
        <v>0</v>
      </c>
      <c r="CM84">
        <v>57172770</v>
      </c>
      <c r="CN84">
        <v>2052703.6</v>
      </c>
      <c r="CO84">
        <v>0</v>
      </c>
      <c r="CP84">
        <v>490850.6</v>
      </c>
      <c r="CQ84">
        <v>17073000</v>
      </c>
      <c r="CR84">
        <v>464</v>
      </c>
      <c r="CS84">
        <v>0</v>
      </c>
      <c r="CT84">
        <v>157</v>
      </c>
      <c r="CU84">
        <v>14634.7</v>
      </c>
      <c r="CV84">
        <v>0</v>
      </c>
      <c r="CW84">
        <v>0</v>
      </c>
      <c r="CX84">
        <v>1578.7</v>
      </c>
      <c r="CY84">
        <v>4955.5</v>
      </c>
      <c r="CZ84">
        <v>0</v>
      </c>
      <c r="DA84">
        <v>5852.7</v>
      </c>
      <c r="DB84">
        <v>0</v>
      </c>
      <c r="DC84">
        <v>3199</v>
      </c>
      <c r="DD84">
        <v>2909.8</v>
      </c>
      <c r="DE84">
        <v>1256.4000000000001</v>
      </c>
      <c r="DF84">
        <v>0</v>
      </c>
      <c r="DG84">
        <v>25997.3</v>
      </c>
      <c r="DH84">
        <v>0</v>
      </c>
      <c r="DI84">
        <v>27660.7</v>
      </c>
      <c r="DJ84">
        <v>0</v>
      </c>
      <c r="DK84">
        <v>1604.4</v>
      </c>
      <c r="DL84">
        <v>0</v>
      </c>
      <c r="DM84">
        <v>0</v>
      </c>
      <c r="DN84">
        <v>0</v>
      </c>
      <c r="DO84">
        <v>0.12</v>
      </c>
      <c r="DP84">
        <v>0</v>
      </c>
      <c r="DQ84">
        <v>0</v>
      </c>
      <c r="DR84">
        <v>0</v>
      </c>
    </row>
    <row r="85" spans="1:122" x14ac:dyDescent="0.3">
      <c r="A85" t="s">
        <v>162</v>
      </c>
      <c r="B85">
        <v>2030</v>
      </c>
      <c r="C85">
        <v>208398335.69999999</v>
      </c>
      <c r="D85">
        <v>200719647.09999999</v>
      </c>
      <c r="E85">
        <v>193502282.30000001</v>
      </c>
      <c r="F85">
        <v>0</v>
      </c>
      <c r="G85">
        <v>3709419.2</v>
      </c>
      <c r="H85">
        <v>41745561.799999997</v>
      </c>
      <c r="I85">
        <v>3709419.2</v>
      </c>
      <c r="J85">
        <v>0</v>
      </c>
      <c r="K85">
        <v>3969269.5</v>
      </c>
      <c r="L85">
        <v>3.5900000000000001E-2</v>
      </c>
      <c r="M85">
        <v>5.3999999999999999E-2</v>
      </c>
      <c r="N85">
        <v>0.1477</v>
      </c>
      <c r="O85">
        <v>59349.63</v>
      </c>
      <c r="P85">
        <v>44683</v>
      </c>
      <c r="Q85">
        <v>213.8</v>
      </c>
      <c r="R85">
        <v>23.7</v>
      </c>
      <c r="S85">
        <v>3.44</v>
      </c>
      <c r="T85">
        <v>8.1999999999999993</v>
      </c>
      <c r="U85">
        <v>496.1</v>
      </c>
      <c r="V85">
        <v>0.12</v>
      </c>
      <c r="W85">
        <v>215.4</v>
      </c>
      <c r="X85">
        <v>22.2</v>
      </c>
      <c r="Y85">
        <v>237.5</v>
      </c>
      <c r="Z85">
        <v>235</v>
      </c>
      <c r="AA85">
        <v>26.1</v>
      </c>
      <c r="AB85">
        <v>3.78</v>
      </c>
      <c r="AC85">
        <v>9.1</v>
      </c>
      <c r="AD85">
        <v>545.70000000000005</v>
      </c>
      <c r="AE85">
        <v>0.14000000000000001</v>
      </c>
      <c r="AF85">
        <v>236.7</v>
      </c>
      <c r="AG85">
        <v>24.4</v>
      </c>
      <c r="AH85">
        <v>261.2</v>
      </c>
      <c r="AI85">
        <v>332.4</v>
      </c>
      <c r="AJ85">
        <v>26.2</v>
      </c>
      <c r="AK85">
        <v>3.7</v>
      </c>
      <c r="AL85">
        <v>21.4</v>
      </c>
      <c r="AM85">
        <v>1102.2</v>
      </c>
      <c r="AN85">
        <v>0.16</v>
      </c>
      <c r="AO85">
        <v>334.1</v>
      </c>
      <c r="AP85">
        <v>52.3</v>
      </c>
      <c r="AQ85">
        <v>386.4</v>
      </c>
      <c r="AR85">
        <v>741.2</v>
      </c>
      <c r="AS85">
        <v>70.8</v>
      </c>
      <c r="AT85">
        <v>10.220000000000001</v>
      </c>
      <c r="AU85">
        <v>36.6</v>
      </c>
      <c r="AV85">
        <v>2032.2</v>
      </c>
      <c r="AW85">
        <v>0.39</v>
      </c>
      <c r="AX85">
        <v>745.9</v>
      </c>
      <c r="AY85">
        <v>93.6</v>
      </c>
      <c r="AZ85">
        <v>839.5</v>
      </c>
      <c r="BA85">
        <v>58568921.299999997</v>
      </c>
      <c r="BB85">
        <v>6502.1</v>
      </c>
      <c r="BC85">
        <v>943.6</v>
      </c>
      <c r="BD85">
        <v>2256922.5</v>
      </c>
      <c r="BE85">
        <v>135881</v>
      </c>
      <c r="BF85">
        <v>33.700000000000003</v>
      </c>
      <c r="BG85">
        <v>59001047.5</v>
      </c>
      <c r="BH85">
        <v>6070530.9000000004</v>
      </c>
      <c r="BI85">
        <v>65071578.399999999</v>
      </c>
      <c r="BJ85">
        <v>0</v>
      </c>
      <c r="BK85">
        <v>0</v>
      </c>
      <c r="BL85">
        <v>58568921.299999997</v>
      </c>
      <c r="BM85">
        <v>60825843.799999997</v>
      </c>
      <c r="BN85">
        <v>65071578.399999999</v>
      </c>
      <c r="BO85">
        <v>24.51</v>
      </c>
      <c r="BP85">
        <v>11.35</v>
      </c>
      <c r="BQ85">
        <v>0</v>
      </c>
      <c r="BR85">
        <v>35.86</v>
      </c>
      <c r="BS85">
        <v>26.19</v>
      </c>
      <c r="BT85">
        <v>12.45</v>
      </c>
      <c r="BU85">
        <v>0</v>
      </c>
      <c r="BV85">
        <v>38.64</v>
      </c>
      <c r="BW85">
        <v>276823230</v>
      </c>
      <c r="BX85">
        <v>158974080</v>
      </c>
      <c r="BY85">
        <v>23241642</v>
      </c>
      <c r="BZ85">
        <v>53194612</v>
      </c>
      <c r="CA85">
        <v>0</v>
      </c>
      <c r="CB85">
        <v>16530.3</v>
      </c>
      <c r="CC85">
        <v>6256886</v>
      </c>
      <c r="CD85">
        <v>0</v>
      </c>
      <c r="CE85">
        <v>287652</v>
      </c>
      <c r="CF85">
        <v>10686166</v>
      </c>
      <c r="CG85">
        <v>0</v>
      </c>
      <c r="CH85">
        <v>605630</v>
      </c>
      <c r="CI85">
        <v>0</v>
      </c>
      <c r="CJ85">
        <v>96034420</v>
      </c>
      <c r="CK85">
        <v>0</v>
      </c>
      <c r="CL85">
        <v>0</v>
      </c>
      <c r="CM85">
        <v>60257280</v>
      </c>
      <c r="CN85">
        <v>2682387.7999999998</v>
      </c>
      <c r="CO85">
        <v>0</v>
      </c>
      <c r="CP85">
        <v>3168115</v>
      </c>
      <c r="CQ85">
        <v>20391900</v>
      </c>
      <c r="CR85">
        <v>2923</v>
      </c>
      <c r="CS85">
        <v>0</v>
      </c>
      <c r="CT85">
        <v>108</v>
      </c>
      <c r="CU85">
        <v>14634.7</v>
      </c>
      <c r="CV85">
        <v>0</v>
      </c>
      <c r="CW85">
        <v>0</v>
      </c>
      <c r="CX85">
        <v>2043.9</v>
      </c>
      <c r="CY85">
        <v>4955.5</v>
      </c>
      <c r="CZ85">
        <v>0</v>
      </c>
      <c r="DA85">
        <v>5389.2</v>
      </c>
      <c r="DB85">
        <v>0</v>
      </c>
      <c r="DC85">
        <v>3239</v>
      </c>
      <c r="DD85">
        <v>2909.8</v>
      </c>
      <c r="DE85">
        <v>870.9</v>
      </c>
      <c r="DF85">
        <v>0</v>
      </c>
      <c r="DG85">
        <v>27136.2</v>
      </c>
      <c r="DH85">
        <v>0</v>
      </c>
      <c r="DI85">
        <v>27702.3</v>
      </c>
      <c r="DJ85">
        <v>0</v>
      </c>
      <c r="DK85">
        <v>11657.5</v>
      </c>
      <c r="DL85">
        <v>0</v>
      </c>
      <c r="DM85">
        <v>0</v>
      </c>
      <c r="DN85">
        <v>0</v>
      </c>
      <c r="DO85">
        <v>0.12</v>
      </c>
      <c r="DP85">
        <v>0</v>
      </c>
      <c r="DQ85">
        <v>0</v>
      </c>
      <c r="DR85">
        <v>0</v>
      </c>
    </row>
    <row r="86" spans="1:122" x14ac:dyDescent="0.3">
      <c r="A86" t="s">
        <v>162</v>
      </c>
      <c r="B86">
        <v>2032</v>
      </c>
      <c r="C86">
        <v>211674788.30000001</v>
      </c>
      <c r="D86">
        <v>203093979.40000001</v>
      </c>
      <c r="E86">
        <v>195791239.69999999</v>
      </c>
      <c r="F86">
        <v>0</v>
      </c>
      <c r="G86">
        <v>4680804.5</v>
      </c>
      <c r="H86">
        <v>41221952.5</v>
      </c>
      <c r="I86">
        <v>4680804.5</v>
      </c>
      <c r="J86">
        <v>0</v>
      </c>
      <c r="K86">
        <v>3900004.6</v>
      </c>
      <c r="L86">
        <v>3.5900000000000001E-2</v>
      </c>
      <c r="M86">
        <v>5.3999999999999999E-2</v>
      </c>
      <c r="N86">
        <v>0.1477</v>
      </c>
      <c r="O86">
        <v>68197.16</v>
      </c>
      <c r="P86">
        <v>45213.8</v>
      </c>
      <c r="Q86">
        <v>213.6</v>
      </c>
      <c r="R86">
        <v>23.8</v>
      </c>
      <c r="S86">
        <v>3.45</v>
      </c>
      <c r="T86">
        <v>8.1</v>
      </c>
      <c r="U86">
        <v>493.1</v>
      </c>
      <c r="V86">
        <v>0.12</v>
      </c>
      <c r="W86">
        <v>215.2</v>
      </c>
      <c r="X86">
        <v>22</v>
      </c>
      <c r="Y86">
        <v>237.2</v>
      </c>
      <c r="Z86">
        <v>237.3</v>
      </c>
      <c r="AA86">
        <v>26.4</v>
      </c>
      <c r="AB86">
        <v>3.83</v>
      </c>
      <c r="AC86">
        <v>9.1</v>
      </c>
      <c r="AD86">
        <v>548.20000000000005</v>
      </c>
      <c r="AE86">
        <v>0.14000000000000001</v>
      </c>
      <c r="AF86">
        <v>239</v>
      </c>
      <c r="AG86">
        <v>24.5</v>
      </c>
      <c r="AH86">
        <v>263.60000000000002</v>
      </c>
      <c r="AI86">
        <v>231.3</v>
      </c>
      <c r="AJ86">
        <v>14.4</v>
      </c>
      <c r="AK86">
        <v>1.99</v>
      </c>
      <c r="AL86">
        <v>18.3</v>
      </c>
      <c r="AM86">
        <v>888.3</v>
      </c>
      <c r="AN86">
        <v>0.11</v>
      </c>
      <c r="AO86">
        <v>232.2</v>
      </c>
      <c r="AP86">
        <v>43.2</v>
      </c>
      <c r="AQ86">
        <v>275.39999999999998</v>
      </c>
      <c r="AR86">
        <v>749.2</v>
      </c>
      <c r="AS86">
        <v>71.599999999999994</v>
      </c>
      <c r="AT86">
        <v>10.32</v>
      </c>
      <c r="AU86">
        <v>36.799999999999997</v>
      </c>
      <c r="AV86">
        <v>2067.6999999999998</v>
      </c>
      <c r="AW86">
        <v>0.38</v>
      </c>
      <c r="AX86">
        <v>754</v>
      </c>
      <c r="AY86">
        <v>94.8</v>
      </c>
      <c r="AZ86">
        <v>848.8</v>
      </c>
      <c r="BA86">
        <v>59446279.100000001</v>
      </c>
      <c r="BB86">
        <v>6621.7</v>
      </c>
      <c r="BC86">
        <v>961.2</v>
      </c>
      <c r="BD86">
        <v>2267080</v>
      </c>
      <c r="BE86">
        <v>137221.4</v>
      </c>
      <c r="BF86">
        <v>34.200000000000003</v>
      </c>
      <c r="BG86">
        <v>59886399.700000003</v>
      </c>
      <c r="BH86">
        <v>6118338.2000000002</v>
      </c>
      <c r="BI86">
        <v>66004737.899999999</v>
      </c>
      <c r="BJ86">
        <v>0</v>
      </c>
      <c r="BK86">
        <v>0</v>
      </c>
      <c r="BL86">
        <v>59446279.100000001</v>
      </c>
      <c r="BM86">
        <v>61713359.100000001</v>
      </c>
      <c r="BN86">
        <v>66004737.899999999</v>
      </c>
      <c r="BO86">
        <v>24.63</v>
      </c>
      <c r="BP86">
        <v>12.99</v>
      </c>
      <c r="BQ86">
        <v>0</v>
      </c>
      <c r="BR86">
        <v>37.619999999999997</v>
      </c>
      <c r="BS86">
        <v>26.34</v>
      </c>
      <c r="BT86">
        <v>14.3</v>
      </c>
      <c r="BU86">
        <v>0</v>
      </c>
      <c r="BV86">
        <v>40.65</v>
      </c>
      <c r="BW86">
        <v>281126240</v>
      </c>
      <c r="BX86">
        <v>161872030</v>
      </c>
      <c r="BY86">
        <v>23241642</v>
      </c>
      <c r="BZ86">
        <v>54178530</v>
      </c>
      <c r="CA86">
        <v>0</v>
      </c>
      <c r="CB86">
        <v>10971.5</v>
      </c>
      <c r="CC86">
        <v>5821897.5</v>
      </c>
      <c r="CD86">
        <v>0</v>
      </c>
      <c r="CE86">
        <v>215650.4</v>
      </c>
      <c r="CF86">
        <v>10810147</v>
      </c>
      <c r="CG86">
        <v>0</v>
      </c>
      <c r="CH86">
        <v>610647.4</v>
      </c>
      <c r="CI86">
        <v>0</v>
      </c>
      <c r="CJ86">
        <v>98587220</v>
      </c>
      <c r="CK86">
        <v>0</v>
      </c>
      <c r="CL86">
        <v>0</v>
      </c>
      <c r="CM86">
        <v>59905100</v>
      </c>
      <c r="CN86">
        <v>3379709.2</v>
      </c>
      <c r="CO86">
        <v>0</v>
      </c>
      <c r="CP86">
        <v>4012968.8</v>
      </c>
      <c r="CQ86">
        <v>20351758</v>
      </c>
      <c r="CR86">
        <v>3845.8</v>
      </c>
      <c r="CS86">
        <v>0</v>
      </c>
      <c r="CT86">
        <v>108</v>
      </c>
      <c r="CU86">
        <v>14634.7</v>
      </c>
      <c r="CV86">
        <v>0</v>
      </c>
      <c r="CW86">
        <v>0</v>
      </c>
      <c r="CX86">
        <v>2561.5</v>
      </c>
      <c r="CY86">
        <v>4955.5</v>
      </c>
      <c r="CZ86">
        <v>0</v>
      </c>
      <c r="DA86">
        <v>5420.1</v>
      </c>
      <c r="DB86">
        <v>0</v>
      </c>
      <c r="DC86">
        <v>3265</v>
      </c>
      <c r="DD86">
        <v>2909.8</v>
      </c>
      <c r="DE86">
        <v>870.9</v>
      </c>
      <c r="DF86">
        <v>0</v>
      </c>
      <c r="DG86">
        <v>27134.7</v>
      </c>
      <c r="DH86">
        <v>0</v>
      </c>
      <c r="DI86">
        <v>28292.799999999999</v>
      </c>
      <c r="DJ86">
        <v>0</v>
      </c>
      <c r="DK86">
        <v>15345.7</v>
      </c>
      <c r="DL86">
        <v>0</v>
      </c>
      <c r="DM86">
        <v>0</v>
      </c>
      <c r="DN86">
        <v>0</v>
      </c>
      <c r="DO86">
        <v>0.12</v>
      </c>
      <c r="DP86">
        <v>0</v>
      </c>
      <c r="DQ86">
        <v>0</v>
      </c>
      <c r="DR86">
        <v>0</v>
      </c>
    </row>
    <row r="87" spans="1:122" x14ac:dyDescent="0.3">
      <c r="A87" t="s">
        <v>162</v>
      </c>
      <c r="B87">
        <v>2034</v>
      </c>
      <c r="C87">
        <v>214969494.40000001</v>
      </c>
      <c r="D87">
        <v>205868819.59999999</v>
      </c>
      <c r="E87">
        <v>198466303.59999999</v>
      </c>
      <c r="F87">
        <v>0</v>
      </c>
      <c r="G87">
        <v>4950308</v>
      </c>
      <c r="H87">
        <v>36174005.799999997</v>
      </c>
      <c r="I87">
        <v>4950308</v>
      </c>
      <c r="J87">
        <v>0</v>
      </c>
      <c r="K87">
        <v>4150366.9</v>
      </c>
      <c r="L87">
        <v>3.5900000000000001E-2</v>
      </c>
      <c r="M87">
        <v>5.3999999999999999E-2</v>
      </c>
      <c r="N87">
        <v>0.1477</v>
      </c>
      <c r="O87">
        <v>74457.990000000005</v>
      </c>
      <c r="P87">
        <v>45831.8</v>
      </c>
      <c r="Q87">
        <v>174.6</v>
      </c>
      <c r="R87">
        <v>19.3</v>
      </c>
      <c r="S87">
        <v>2.8</v>
      </c>
      <c r="T87">
        <v>7</v>
      </c>
      <c r="U87">
        <v>408.2</v>
      </c>
      <c r="V87">
        <v>0.1</v>
      </c>
      <c r="W87">
        <v>175.9</v>
      </c>
      <c r="X87">
        <v>18.399999999999999</v>
      </c>
      <c r="Y87">
        <v>194.3</v>
      </c>
      <c r="Z87">
        <v>189.7</v>
      </c>
      <c r="AA87">
        <v>20.9</v>
      </c>
      <c r="AB87">
        <v>3.03</v>
      </c>
      <c r="AC87">
        <v>7.7</v>
      </c>
      <c r="AD87">
        <v>446</v>
      </c>
      <c r="AE87">
        <v>0.11</v>
      </c>
      <c r="AF87">
        <v>191.1</v>
      </c>
      <c r="AG87">
        <v>20.2</v>
      </c>
      <c r="AH87">
        <v>211.3</v>
      </c>
      <c r="AI87">
        <v>200.6</v>
      </c>
      <c r="AJ87">
        <v>9</v>
      </c>
      <c r="AK87">
        <v>1.19</v>
      </c>
      <c r="AL87">
        <v>19.100000000000001</v>
      </c>
      <c r="AM87">
        <v>881.8</v>
      </c>
      <c r="AN87">
        <v>0.09</v>
      </c>
      <c r="AO87">
        <v>201.1</v>
      </c>
      <c r="AP87">
        <v>43.8</v>
      </c>
      <c r="AQ87">
        <v>244.9</v>
      </c>
      <c r="AR87">
        <v>716.1</v>
      </c>
      <c r="AS87">
        <v>68.099999999999994</v>
      </c>
      <c r="AT87">
        <v>9.8000000000000007</v>
      </c>
      <c r="AU87">
        <v>35.4</v>
      </c>
      <c r="AV87">
        <v>1993.4</v>
      </c>
      <c r="AW87">
        <v>0.36</v>
      </c>
      <c r="AX87">
        <v>720.6</v>
      </c>
      <c r="AY87">
        <v>91.4</v>
      </c>
      <c r="AZ87">
        <v>812</v>
      </c>
      <c r="BA87">
        <v>48054180.200000003</v>
      </c>
      <c r="BB87">
        <v>5310.9</v>
      </c>
      <c r="BC87">
        <v>770.5</v>
      </c>
      <c r="BD87">
        <v>1914894.4</v>
      </c>
      <c r="BE87">
        <v>112344.5</v>
      </c>
      <c r="BF87">
        <v>28.5</v>
      </c>
      <c r="BG87">
        <v>48407077.700000003</v>
      </c>
      <c r="BH87">
        <v>5068102.4000000004</v>
      </c>
      <c r="BI87">
        <v>53475180.100000001</v>
      </c>
      <c r="BJ87">
        <v>0</v>
      </c>
      <c r="BK87">
        <v>0</v>
      </c>
      <c r="BL87">
        <v>48054180.200000003</v>
      </c>
      <c r="BM87">
        <v>49969074.600000001</v>
      </c>
      <c r="BN87">
        <v>53475180.100000001</v>
      </c>
      <c r="BO87">
        <v>23.96</v>
      </c>
      <c r="BP87">
        <v>13.91</v>
      </c>
      <c r="BQ87">
        <v>0</v>
      </c>
      <c r="BR87">
        <v>37.869999999999997</v>
      </c>
      <c r="BS87">
        <v>25.67</v>
      </c>
      <c r="BT87">
        <v>15.33</v>
      </c>
      <c r="BU87">
        <v>0</v>
      </c>
      <c r="BV87">
        <v>40.99</v>
      </c>
      <c r="BW87">
        <v>278285950</v>
      </c>
      <c r="BX87">
        <v>169694820</v>
      </c>
      <c r="BY87">
        <v>23241642</v>
      </c>
      <c r="BZ87">
        <v>43454144</v>
      </c>
      <c r="CA87">
        <v>0</v>
      </c>
      <c r="CB87">
        <v>12631.4</v>
      </c>
      <c r="CC87">
        <v>5661482</v>
      </c>
      <c r="CD87">
        <v>0</v>
      </c>
      <c r="CE87">
        <v>292851.59999999998</v>
      </c>
      <c r="CF87">
        <v>10712798</v>
      </c>
      <c r="CG87">
        <v>0</v>
      </c>
      <c r="CH87">
        <v>599394.69999999995</v>
      </c>
      <c r="CI87">
        <v>0</v>
      </c>
      <c r="CJ87">
        <v>106700850</v>
      </c>
      <c r="CK87">
        <v>0</v>
      </c>
      <c r="CL87">
        <v>0</v>
      </c>
      <c r="CM87">
        <v>58917684</v>
      </c>
      <c r="CN87">
        <v>4076277.5</v>
      </c>
      <c r="CO87">
        <v>0</v>
      </c>
      <c r="CP87">
        <v>4230148</v>
      </c>
      <c r="CQ87">
        <v>20386052</v>
      </c>
      <c r="CR87">
        <v>4005.9</v>
      </c>
      <c r="CS87">
        <v>0</v>
      </c>
      <c r="CT87">
        <v>108</v>
      </c>
      <c r="CU87">
        <v>13059.9</v>
      </c>
      <c r="CV87">
        <v>0</v>
      </c>
      <c r="CW87">
        <v>0</v>
      </c>
      <c r="CX87">
        <v>3098.9</v>
      </c>
      <c r="CY87">
        <v>4955.5</v>
      </c>
      <c r="CZ87">
        <v>0</v>
      </c>
      <c r="DA87">
        <v>5638.2</v>
      </c>
      <c r="DB87">
        <v>0</v>
      </c>
      <c r="DC87">
        <v>3265</v>
      </c>
      <c r="DD87">
        <v>2909.8</v>
      </c>
      <c r="DE87">
        <v>870.9</v>
      </c>
      <c r="DF87">
        <v>0</v>
      </c>
      <c r="DG87">
        <v>27133.200000000001</v>
      </c>
      <c r="DH87">
        <v>0</v>
      </c>
      <c r="DI87">
        <v>30291.599999999999</v>
      </c>
      <c r="DJ87">
        <v>0</v>
      </c>
      <c r="DK87">
        <v>16267.3</v>
      </c>
      <c r="DL87">
        <v>0</v>
      </c>
      <c r="DM87">
        <v>0</v>
      </c>
      <c r="DN87">
        <v>0</v>
      </c>
      <c r="DO87">
        <v>0.12</v>
      </c>
      <c r="DP87">
        <v>0</v>
      </c>
      <c r="DQ87">
        <v>0</v>
      </c>
      <c r="DR87">
        <v>0</v>
      </c>
    </row>
    <row r="88" spans="1:122" x14ac:dyDescent="0.3">
      <c r="A88" t="s">
        <v>162</v>
      </c>
      <c r="B88">
        <v>2036</v>
      </c>
      <c r="C88">
        <v>219049670.40000001</v>
      </c>
      <c r="D88">
        <v>208647715.90000001</v>
      </c>
      <c r="E88">
        <v>201145278</v>
      </c>
      <c r="F88">
        <v>0</v>
      </c>
      <c r="G88">
        <v>6306760.5</v>
      </c>
      <c r="H88">
        <v>24781398.800000001</v>
      </c>
      <c r="I88">
        <v>6306760.5</v>
      </c>
      <c r="J88">
        <v>0</v>
      </c>
      <c r="K88">
        <v>4095194</v>
      </c>
      <c r="L88">
        <v>3.5900000000000001E-2</v>
      </c>
      <c r="M88">
        <v>5.3999999999999999E-2</v>
      </c>
      <c r="N88">
        <v>0.1477</v>
      </c>
      <c r="O88">
        <v>73328.05</v>
      </c>
      <c r="P88">
        <v>46447.7</v>
      </c>
      <c r="Q88">
        <v>158.4</v>
      </c>
      <c r="R88">
        <v>17.600000000000001</v>
      </c>
      <c r="S88">
        <v>2.5499999999999998</v>
      </c>
      <c r="T88">
        <v>6.3</v>
      </c>
      <c r="U88">
        <v>368.9</v>
      </c>
      <c r="V88">
        <v>0.09</v>
      </c>
      <c r="W88">
        <v>159.6</v>
      </c>
      <c r="X88">
        <v>16.7</v>
      </c>
      <c r="Y88">
        <v>176.3</v>
      </c>
      <c r="Z88">
        <v>176.4</v>
      </c>
      <c r="AA88">
        <v>19.5</v>
      </c>
      <c r="AB88">
        <v>2.82</v>
      </c>
      <c r="AC88">
        <v>7.2</v>
      </c>
      <c r="AD88">
        <v>413.4</v>
      </c>
      <c r="AE88">
        <v>0.11</v>
      </c>
      <c r="AF88">
        <v>177.6</v>
      </c>
      <c r="AG88">
        <v>18.8</v>
      </c>
      <c r="AH88">
        <v>196.4</v>
      </c>
      <c r="AI88">
        <v>135.9</v>
      </c>
      <c r="AJ88">
        <v>5.0999999999999996</v>
      </c>
      <c r="AK88">
        <v>0.65</v>
      </c>
      <c r="AL88">
        <v>13.8</v>
      </c>
      <c r="AM88">
        <v>628.9</v>
      </c>
      <c r="AN88">
        <v>0.06</v>
      </c>
      <c r="AO88">
        <v>136.19999999999999</v>
      </c>
      <c r="AP88">
        <v>31.5</v>
      </c>
      <c r="AQ88">
        <v>167.7</v>
      </c>
      <c r="AR88">
        <v>704</v>
      </c>
      <c r="AS88">
        <v>66.400000000000006</v>
      </c>
      <c r="AT88">
        <v>9.5500000000000007</v>
      </c>
      <c r="AU88">
        <v>35.299999999999997</v>
      </c>
      <c r="AV88">
        <v>1977.3</v>
      </c>
      <c r="AW88">
        <v>0.36</v>
      </c>
      <c r="AX88">
        <v>708.4</v>
      </c>
      <c r="AY88">
        <v>90.7</v>
      </c>
      <c r="AZ88">
        <v>799.1</v>
      </c>
      <c r="BA88">
        <v>45686310.200000003</v>
      </c>
      <c r="BB88">
        <v>5064.6000000000004</v>
      </c>
      <c r="BC88">
        <v>734.9</v>
      </c>
      <c r="BD88">
        <v>1817910.6</v>
      </c>
      <c r="BE88">
        <v>106360.6</v>
      </c>
      <c r="BF88">
        <v>27.4</v>
      </c>
      <c r="BG88">
        <v>46022875.399999999</v>
      </c>
      <c r="BH88">
        <v>4803259</v>
      </c>
      <c r="BI88">
        <v>50826134.399999999</v>
      </c>
      <c r="BJ88">
        <v>0</v>
      </c>
      <c r="BK88">
        <v>0</v>
      </c>
      <c r="BL88">
        <v>45686310.200000003</v>
      </c>
      <c r="BM88">
        <v>47504220.799999997</v>
      </c>
      <c r="BN88">
        <v>50826134.399999999</v>
      </c>
      <c r="BO88">
        <v>23.58</v>
      </c>
      <c r="BP88">
        <v>13.65</v>
      </c>
      <c r="BQ88">
        <v>0</v>
      </c>
      <c r="BR88">
        <v>37.229999999999997</v>
      </c>
      <c r="BS88">
        <v>25.31</v>
      </c>
      <c r="BT88">
        <v>15.11</v>
      </c>
      <c r="BU88">
        <v>0</v>
      </c>
      <c r="BV88">
        <v>40.42</v>
      </c>
      <c r="BW88">
        <v>291553100</v>
      </c>
      <c r="BX88">
        <v>183866320</v>
      </c>
      <c r="BY88">
        <v>23241642</v>
      </c>
      <c r="BZ88">
        <v>41430056</v>
      </c>
      <c r="CA88">
        <v>0</v>
      </c>
      <c r="CB88">
        <v>6712.1</v>
      </c>
      <c r="CC88">
        <v>5078655</v>
      </c>
      <c r="CD88">
        <v>0</v>
      </c>
      <c r="CE88">
        <v>211821</v>
      </c>
      <c r="CF88">
        <v>10714317</v>
      </c>
      <c r="CG88">
        <v>0</v>
      </c>
      <c r="CH88">
        <v>599416</v>
      </c>
      <c r="CI88">
        <v>0</v>
      </c>
      <c r="CJ88">
        <v>119928780</v>
      </c>
      <c r="CK88">
        <v>0</v>
      </c>
      <c r="CL88">
        <v>0</v>
      </c>
      <c r="CM88">
        <v>59583956</v>
      </c>
      <c r="CN88">
        <v>4353583.5</v>
      </c>
      <c r="CO88">
        <v>0</v>
      </c>
      <c r="CP88">
        <v>5409273</v>
      </c>
      <c r="CQ88">
        <v>20994878</v>
      </c>
      <c r="CR88">
        <v>5136.7</v>
      </c>
      <c r="CS88">
        <v>0</v>
      </c>
      <c r="CT88">
        <v>108</v>
      </c>
      <c r="CU88">
        <v>13059.9</v>
      </c>
      <c r="CV88">
        <v>0</v>
      </c>
      <c r="CW88">
        <v>0</v>
      </c>
      <c r="CX88">
        <v>3337.4</v>
      </c>
      <c r="CY88">
        <v>4955.5</v>
      </c>
      <c r="CZ88">
        <v>0</v>
      </c>
      <c r="DA88">
        <v>5649.5</v>
      </c>
      <c r="DB88">
        <v>0</v>
      </c>
      <c r="DC88">
        <v>3265</v>
      </c>
      <c r="DD88">
        <v>2909.8</v>
      </c>
      <c r="DE88">
        <v>870.9</v>
      </c>
      <c r="DF88">
        <v>0</v>
      </c>
      <c r="DG88">
        <v>27782.5</v>
      </c>
      <c r="DH88">
        <v>0</v>
      </c>
      <c r="DI88">
        <v>33324.1</v>
      </c>
      <c r="DJ88">
        <v>0</v>
      </c>
      <c r="DK88">
        <v>22371.1</v>
      </c>
      <c r="DL88">
        <v>0</v>
      </c>
      <c r="DM88">
        <v>0</v>
      </c>
      <c r="DN88">
        <v>0</v>
      </c>
      <c r="DO88">
        <v>0.12</v>
      </c>
      <c r="DP88">
        <v>0</v>
      </c>
      <c r="DQ88">
        <v>0</v>
      </c>
      <c r="DR88">
        <v>0</v>
      </c>
    </row>
    <row r="89" spans="1:122" x14ac:dyDescent="0.3">
      <c r="A89" t="s">
        <v>162</v>
      </c>
      <c r="B89">
        <v>2038</v>
      </c>
      <c r="C89">
        <v>223578588.30000001</v>
      </c>
      <c r="D89">
        <v>211797212.30000001</v>
      </c>
      <c r="E89">
        <v>204181526.59999999</v>
      </c>
      <c r="F89">
        <v>0</v>
      </c>
      <c r="G89">
        <v>7545987</v>
      </c>
      <c r="H89">
        <v>14571001.199999999</v>
      </c>
      <c r="I89">
        <v>7545987</v>
      </c>
      <c r="J89">
        <v>0</v>
      </c>
      <c r="K89">
        <v>4235389.0999999996</v>
      </c>
      <c r="L89">
        <v>3.5900000000000001E-2</v>
      </c>
      <c r="M89">
        <v>5.3999999999999999E-2</v>
      </c>
      <c r="N89">
        <v>0.1477</v>
      </c>
      <c r="O89">
        <v>74531.960000000006</v>
      </c>
      <c r="P89">
        <v>47144.4</v>
      </c>
      <c r="Q89">
        <v>138.80000000000001</v>
      </c>
      <c r="R89">
        <v>15.3</v>
      </c>
      <c r="S89">
        <v>2.2200000000000002</v>
      </c>
      <c r="T89">
        <v>5.7</v>
      </c>
      <c r="U89">
        <v>325.7</v>
      </c>
      <c r="V89">
        <v>0.08</v>
      </c>
      <c r="W89">
        <v>139.9</v>
      </c>
      <c r="X89">
        <v>14.8</v>
      </c>
      <c r="Y89">
        <v>154.69999999999999</v>
      </c>
      <c r="Z89">
        <v>156.19999999999999</v>
      </c>
      <c r="AA89">
        <v>17.100000000000001</v>
      </c>
      <c r="AB89">
        <v>2.48</v>
      </c>
      <c r="AC89">
        <v>6.5</v>
      </c>
      <c r="AD89">
        <v>369.5</v>
      </c>
      <c r="AE89">
        <v>0.1</v>
      </c>
      <c r="AF89">
        <v>157.30000000000001</v>
      </c>
      <c r="AG89">
        <v>16.899999999999999</v>
      </c>
      <c r="AH89">
        <v>174.2</v>
      </c>
      <c r="AI89">
        <v>149.80000000000001</v>
      </c>
      <c r="AJ89">
        <v>6.1</v>
      </c>
      <c r="AK89">
        <v>0.79</v>
      </c>
      <c r="AL89">
        <v>14.8</v>
      </c>
      <c r="AM89">
        <v>678.5</v>
      </c>
      <c r="AN89">
        <v>7.0000000000000007E-2</v>
      </c>
      <c r="AO89">
        <v>150.19999999999999</v>
      </c>
      <c r="AP89">
        <v>33.799999999999997</v>
      </c>
      <c r="AQ89">
        <v>184</v>
      </c>
      <c r="AR89">
        <v>668.6</v>
      </c>
      <c r="AS89">
        <v>62.1</v>
      </c>
      <c r="AT89">
        <v>8.93</v>
      </c>
      <c r="AU89">
        <v>34.299999999999997</v>
      </c>
      <c r="AV89">
        <v>1911.1</v>
      </c>
      <c r="AW89">
        <v>0.33</v>
      </c>
      <c r="AX89">
        <v>672.7</v>
      </c>
      <c r="AY89">
        <v>87.9</v>
      </c>
      <c r="AZ89">
        <v>760.6</v>
      </c>
      <c r="BA89">
        <v>41378221.700000003</v>
      </c>
      <c r="BB89">
        <v>4565.5</v>
      </c>
      <c r="BC89">
        <v>662.3</v>
      </c>
      <c r="BD89">
        <v>1687258.7</v>
      </c>
      <c r="BE89">
        <v>97063.5</v>
      </c>
      <c r="BF89">
        <v>25.2</v>
      </c>
      <c r="BG89">
        <v>41681566.399999999</v>
      </c>
      <c r="BH89">
        <v>4411721.4000000004</v>
      </c>
      <c r="BI89">
        <v>46093287.799999997</v>
      </c>
      <c r="BJ89">
        <v>0</v>
      </c>
      <c r="BK89">
        <v>0</v>
      </c>
      <c r="BL89">
        <v>41378221.700000003</v>
      </c>
      <c r="BM89">
        <v>43065480.399999999</v>
      </c>
      <c r="BN89">
        <v>46093287.799999997</v>
      </c>
      <c r="BO89">
        <v>22.38</v>
      </c>
      <c r="BP89">
        <v>13.8</v>
      </c>
      <c r="BQ89">
        <v>0</v>
      </c>
      <c r="BR89">
        <v>36.18</v>
      </c>
      <c r="BS89">
        <v>24.09</v>
      </c>
      <c r="BT89">
        <v>15.35</v>
      </c>
      <c r="BU89">
        <v>0</v>
      </c>
      <c r="BV89">
        <v>39.44</v>
      </c>
      <c r="BW89">
        <v>301604580</v>
      </c>
      <c r="BX89">
        <v>197226200</v>
      </c>
      <c r="BY89">
        <v>23241642</v>
      </c>
      <c r="BZ89">
        <v>37398800</v>
      </c>
      <c r="CA89">
        <v>0</v>
      </c>
      <c r="CB89">
        <v>5945.7</v>
      </c>
      <c r="CC89">
        <v>5258452.5</v>
      </c>
      <c r="CD89">
        <v>0</v>
      </c>
      <c r="CE89">
        <v>156160.79999999999</v>
      </c>
      <c r="CF89">
        <v>10640220</v>
      </c>
      <c r="CG89">
        <v>0</v>
      </c>
      <c r="CH89">
        <v>589395.4</v>
      </c>
      <c r="CI89">
        <v>0</v>
      </c>
      <c r="CJ89">
        <v>133508240</v>
      </c>
      <c r="CK89">
        <v>0</v>
      </c>
      <c r="CL89">
        <v>0</v>
      </c>
      <c r="CM89">
        <v>59087576</v>
      </c>
      <c r="CN89">
        <v>4630392.5</v>
      </c>
      <c r="CO89">
        <v>0</v>
      </c>
      <c r="CP89">
        <v>6450955</v>
      </c>
      <c r="CQ89">
        <v>20636796</v>
      </c>
      <c r="CR89">
        <v>5988.1</v>
      </c>
      <c r="CS89">
        <v>0</v>
      </c>
      <c r="CT89">
        <v>108</v>
      </c>
      <c r="CU89">
        <v>12727.9</v>
      </c>
      <c r="CV89">
        <v>0</v>
      </c>
      <c r="CW89">
        <v>0</v>
      </c>
      <c r="CX89">
        <v>3570.2</v>
      </c>
      <c r="CY89">
        <v>4955.5</v>
      </c>
      <c r="CZ89">
        <v>0</v>
      </c>
      <c r="DA89">
        <v>5649.5</v>
      </c>
      <c r="DB89">
        <v>0</v>
      </c>
      <c r="DC89">
        <v>3265</v>
      </c>
      <c r="DD89">
        <v>2909.8</v>
      </c>
      <c r="DE89">
        <v>870.9</v>
      </c>
      <c r="DF89">
        <v>0</v>
      </c>
      <c r="DG89">
        <v>27907.8</v>
      </c>
      <c r="DH89">
        <v>0</v>
      </c>
      <c r="DI89">
        <v>36352.6</v>
      </c>
      <c r="DJ89">
        <v>0</v>
      </c>
      <c r="DK89">
        <v>27490.3</v>
      </c>
      <c r="DL89">
        <v>0</v>
      </c>
      <c r="DM89">
        <v>0</v>
      </c>
      <c r="DN89">
        <v>0</v>
      </c>
      <c r="DO89">
        <v>0.12</v>
      </c>
      <c r="DP89">
        <v>0</v>
      </c>
      <c r="DQ89">
        <v>0</v>
      </c>
      <c r="DR89">
        <v>0</v>
      </c>
    </row>
    <row r="90" spans="1:122" x14ac:dyDescent="0.3">
      <c r="A90" t="s">
        <v>162</v>
      </c>
      <c r="B90">
        <v>2040</v>
      </c>
      <c r="C90">
        <v>227094626.69999999</v>
      </c>
      <c r="D90">
        <v>214905551.19999999</v>
      </c>
      <c r="E90">
        <v>207178097.40000001</v>
      </c>
      <c r="F90">
        <v>0</v>
      </c>
      <c r="G90">
        <v>7900787</v>
      </c>
      <c r="H90">
        <v>15629288.699999999</v>
      </c>
      <c r="I90">
        <v>7900787</v>
      </c>
      <c r="J90">
        <v>0</v>
      </c>
      <c r="K90">
        <v>4288287.8</v>
      </c>
      <c r="L90">
        <v>3.5900000000000001E-2</v>
      </c>
      <c r="M90">
        <v>5.3999999999999999E-2</v>
      </c>
      <c r="N90">
        <v>0.1477</v>
      </c>
      <c r="O90">
        <v>75884.820000000007</v>
      </c>
      <c r="P90">
        <v>47847.6</v>
      </c>
      <c r="Q90">
        <v>137.6</v>
      </c>
      <c r="R90">
        <v>15.2</v>
      </c>
      <c r="S90">
        <v>2.2000000000000002</v>
      </c>
      <c r="T90">
        <v>5.6</v>
      </c>
      <c r="U90">
        <v>323.8</v>
      </c>
      <c r="V90">
        <v>0.08</v>
      </c>
      <c r="W90">
        <v>138.69999999999999</v>
      </c>
      <c r="X90">
        <v>14.7</v>
      </c>
      <c r="Y90">
        <v>153.4</v>
      </c>
      <c r="Z90">
        <v>156.69999999999999</v>
      </c>
      <c r="AA90">
        <v>17.2</v>
      </c>
      <c r="AB90">
        <v>2.4900000000000002</v>
      </c>
      <c r="AC90">
        <v>6.6</v>
      </c>
      <c r="AD90">
        <v>371.7</v>
      </c>
      <c r="AE90">
        <v>0.1</v>
      </c>
      <c r="AF90">
        <v>157.9</v>
      </c>
      <c r="AG90">
        <v>17</v>
      </c>
      <c r="AH90">
        <v>174.9</v>
      </c>
      <c r="AI90">
        <v>126</v>
      </c>
      <c r="AJ90">
        <v>5.5</v>
      </c>
      <c r="AK90">
        <v>0.72</v>
      </c>
      <c r="AL90">
        <v>12.1</v>
      </c>
      <c r="AM90">
        <v>559.1</v>
      </c>
      <c r="AN90">
        <v>0.06</v>
      </c>
      <c r="AO90">
        <v>126.3</v>
      </c>
      <c r="AP90">
        <v>27.7</v>
      </c>
      <c r="AQ90">
        <v>154.1</v>
      </c>
      <c r="AR90">
        <v>670</v>
      </c>
      <c r="AS90">
        <v>61</v>
      </c>
      <c r="AT90">
        <v>8.75</v>
      </c>
      <c r="AU90">
        <v>35.5</v>
      </c>
      <c r="AV90">
        <v>1951.7</v>
      </c>
      <c r="AW90">
        <v>0.34</v>
      </c>
      <c r="AX90">
        <v>674</v>
      </c>
      <c r="AY90">
        <v>90.3</v>
      </c>
      <c r="AZ90">
        <v>764.3</v>
      </c>
      <c r="BA90">
        <v>41416950</v>
      </c>
      <c r="BB90">
        <v>4560.3999999999996</v>
      </c>
      <c r="BC90">
        <v>661.5</v>
      </c>
      <c r="BD90">
        <v>1691416.3</v>
      </c>
      <c r="BE90">
        <v>97446.399999999994</v>
      </c>
      <c r="BF90">
        <v>25.2</v>
      </c>
      <c r="BG90">
        <v>41719932.899999999</v>
      </c>
      <c r="BH90">
        <v>4426595.3</v>
      </c>
      <c r="BI90">
        <v>46146528.200000003</v>
      </c>
      <c r="BJ90">
        <v>0</v>
      </c>
      <c r="BK90">
        <v>0</v>
      </c>
      <c r="BL90">
        <v>41416950</v>
      </c>
      <c r="BM90">
        <v>43108366.299999997</v>
      </c>
      <c r="BN90">
        <v>46146528.200000003</v>
      </c>
      <c r="BO90">
        <v>23.01</v>
      </c>
      <c r="BP90">
        <v>14.1</v>
      </c>
      <c r="BQ90">
        <v>0</v>
      </c>
      <c r="BR90">
        <v>37.11</v>
      </c>
      <c r="BS90">
        <v>24.75</v>
      </c>
      <c r="BT90">
        <v>15.71</v>
      </c>
      <c r="BU90">
        <v>0</v>
      </c>
      <c r="BV90">
        <v>40.46</v>
      </c>
      <c r="BW90">
        <v>304490340</v>
      </c>
      <c r="BX90">
        <v>199276260</v>
      </c>
      <c r="BY90">
        <v>23241642</v>
      </c>
      <c r="BZ90">
        <v>37400844</v>
      </c>
      <c r="CA90">
        <v>0</v>
      </c>
      <c r="CB90">
        <v>4732.1000000000004</v>
      </c>
      <c r="CC90">
        <v>5546173.5</v>
      </c>
      <c r="CD90">
        <v>0</v>
      </c>
      <c r="CE90">
        <v>141780.4</v>
      </c>
      <c r="CF90">
        <v>10721144</v>
      </c>
      <c r="CG90">
        <v>0</v>
      </c>
      <c r="CH90">
        <v>463997.7</v>
      </c>
      <c r="CI90">
        <v>0</v>
      </c>
      <c r="CJ90">
        <v>135750420</v>
      </c>
      <c r="CK90">
        <v>0</v>
      </c>
      <c r="CL90">
        <v>0</v>
      </c>
      <c r="CM90">
        <v>58599944</v>
      </c>
      <c r="CN90">
        <v>4925909</v>
      </c>
      <c r="CO90">
        <v>0</v>
      </c>
      <c r="CP90">
        <v>6763038.5</v>
      </c>
      <c r="CQ90">
        <v>20930716</v>
      </c>
      <c r="CR90">
        <v>6463.9</v>
      </c>
      <c r="CS90">
        <v>0</v>
      </c>
      <c r="CT90">
        <v>74.3</v>
      </c>
      <c r="CU90">
        <v>12727.9</v>
      </c>
      <c r="CV90">
        <v>0</v>
      </c>
      <c r="CW90">
        <v>0</v>
      </c>
      <c r="CX90">
        <v>3805.5</v>
      </c>
      <c r="CY90">
        <v>4955.5</v>
      </c>
      <c r="CZ90">
        <v>0</v>
      </c>
      <c r="DA90">
        <v>5687.2</v>
      </c>
      <c r="DB90">
        <v>0</v>
      </c>
      <c r="DC90">
        <v>3265</v>
      </c>
      <c r="DD90">
        <v>2909.8</v>
      </c>
      <c r="DE90">
        <v>865.4</v>
      </c>
      <c r="DF90">
        <v>0</v>
      </c>
      <c r="DG90">
        <v>27902.2</v>
      </c>
      <c r="DH90">
        <v>0</v>
      </c>
      <c r="DI90">
        <v>35180.9</v>
      </c>
      <c r="DJ90">
        <v>0</v>
      </c>
      <c r="DK90">
        <v>29769.8</v>
      </c>
      <c r="DL90">
        <v>0</v>
      </c>
      <c r="DM90">
        <v>0</v>
      </c>
      <c r="DN90">
        <v>0</v>
      </c>
      <c r="DO90">
        <v>0.12</v>
      </c>
      <c r="DP90">
        <v>0</v>
      </c>
      <c r="DQ90">
        <v>0</v>
      </c>
      <c r="DR90">
        <v>0</v>
      </c>
    </row>
    <row r="91" spans="1:122" x14ac:dyDescent="0.3">
      <c r="A91" t="s">
        <v>162</v>
      </c>
      <c r="B91">
        <v>2042</v>
      </c>
      <c r="C91">
        <v>231097426</v>
      </c>
      <c r="D91">
        <v>218573411.30000001</v>
      </c>
      <c r="E91">
        <v>210714070.59999999</v>
      </c>
      <c r="F91">
        <v>0</v>
      </c>
      <c r="G91">
        <v>8245797</v>
      </c>
      <c r="H91">
        <v>17193962.199999999</v>
      </c>
      <c r="I91">
        <v>8245797</v>
      </c>
      <c r="J91">
        <v>0</v>
      </c>
      <c r="K91">
        <v>4278218</v>
      </c>
      <c r="L91">
        <v>3.5900000000000001E-2</v>
      </c>
      <c r="M91">
        <v>5.3999999999999999E-2</v>
      </c>
      <c r="N91">
        <v>0.1477</v>
      </c>
      <c r="O91">
        <v>77121.69</v>
      </c>
      <c r="P91">
        <v>48666.8</v>
      </c>
      <c r="Q91">
        <v>135.19999999999999</v>
      </c>
      <c r="R91">
        <v>14.8</v>
      </c>
      <c r="S91">
        <v>2.15</v>
      </c>
      <c r="T91">
        <v>5.6</v>
      </c>
      <c r="U91">
        <v>319.8</v>
      </c>
      <c r="V91">
        <v>0.08</v>
      </c>
      <c r="W91">
        <v>136.19999999999999</v>
      </c>
      <c r="X91">
        <v>14.5</v>
      </c>
      <c r="Y91">
        <v>150.69999999999999</v>
      </c>
      <c r="Z91">
        <v>153.80000000000001</v>
      </c>
      <c r="AA91">
        <v>16.8</v>
      </c>
      <c r="AB91">
        <v>2.4300000000000002</v>
      </c>
      <c r="AC91">
        <v>6.5</v>
      </c>
      <c r="AD91">
        <v>367.1</v>
      </c>
      <c r="AE91">
        <v>0.1</v>
      </c>
      <c r="AF91">
        <v>154.9</v>
      </c>
      <c r="AG91">
        <v>16.8</v>
      </c>
      <c r="AH91">
        <v>171.7</v>
      </c>
      <c r="AI91">
        <v>132.6</v>
      </c>
      <c r="AJ91">
        <v>6.8</v>
      </c>
      <c r="AK91">
        <v>0.91</v>
      </c>
      <c r="AL91">
        <v>11.8</v>
      </c>
      <c r="AM91">
        <v>557.70000000000005</v>
      </c>
      <c r="AN91">
        <v>0.06</v>
      </c>
      <c r="AO91">
        <v>133</v>
      </c>
      <c r="AP91">
        <v>27.4</v>
      </c>
      <c r="AQ91">
        <v>160.4</v>
      </c>
      <c r="AR91">
        <v>668</v>
      </c>
      <c r="AS91">
        <v>60.8</v>
      </c>
      <c r="AT91">
        <v>8.7200000000000006</v>
      </c>
      <c r="AU91">
        <v>35.4</v>
      </c>
      <c r="AV91">
        <v>1951.1</v>
      </c>
      <c r="AW91">
        <v>0.33</v>
      </c>
      <c r="AX91">
        <v>672</v>
      </c>
      <c r="AY91">
        <v>90.1</v>
      </c>
      <c r="AZ91">
        <v>762.1</v>
      </c>
      <c r="BA91">
        <v>40984913.100000001</v>
      </c>
      <c r="BB91">
        <v>4496.8999999999996</v>
      </c>
      <c r="BC91">
        <v>652.1</v>
      </c>
      <c r="BD91">
        <v>1690560.7</v>
      </c>
      <c r="BE91">
        <v>96940.1</v>
      </c>
      <c r="BF91">
        <v>25</v>
      </c>
      <c r="BG91">
        <v>41283636.899999999</v>
      </c>
      <c r="BH91">
        <v>4411505.0999999996</v>
      </c>
      <c r="BI91">
        <v>45695141.899999999</v>
      </c>
      <c r="BJ91">
        <v>0</v>
      </c>
      <c r="BK91">
        <v>0</v>
      </c>
      <c r="BL91">
        <v>40984913.100000001</v>
      </c>
      <c r="BM91">
        <v>42675473.700000003</v>
      </c>
      <c r="BN91">
        <v>45695141.899999999</v>
      </c>
      <c r="BO91">
        <v>22.87</v>
      </c>
      <c r="BP91">
        <v>14.38</v>
      </c>
      <c r="BQ91">
        <v>0</v>
      </c>
      <c r="BR91">
        <v>37.26</v>
      </c>
      <c r="BS91">
        <v>24.6</v>
      </c>
      <c r="BT91">
        <v>16.059999999999999</v>
      </c>
      <c r="BU91">
        <v>0</v>
      </c>
      <c r="BV91">
        <v>40.65</v>
      </c>
      <c r="BW91">
        <v>306742800</v>
      </c>
      <c r="BX91">
        <v>201379460</v>
      </c>
      <c r="BY91">
        <v>23241642</v>
      </c>
      <c r="BZ91">
        <v>36909156</v>
      </c>
      <c r="CA91">
        <v>0</v>
      </c>
      <c r="CB91">
        <v>4697.1000000000004</v>
      </c>
      <c r="CC91">
        <v>5872876</v>
      </c>
      <c r="CD91">
        <v>0</v>
      </c>
      <c r="CE91">
        <v>146689.60000000001</v>
      </c>
      <c r="CF91">
        <v>10699924</v>
      </c>
      <c r="CG91">
        <v>0</v>
      </c>
      <c r="CH91">
        <v>462685.7</v>
      </c>
      <c r="CI91">
        <v>0</v>
      </c>
      <c r="CJ91">
        <v>137502910</v>
      </c>
      <c r="CK91">
        <v>0</v>
      </c>
      <c r="CL91">
        <v>0</v>
      </c>
      <c r="CM91">
        <v>58649976</v>
      </c>
      <c r="CN91">
        <v>5226550</v>
      </c>
      <c r="CO91">
        <v>0</v>
      </c>
      <c r="CP91">
        <v>7055957</v>
      </c>
      <c r="CQ91">
        <v>20969716</v>
      </c>
      <c r="CR91">
        <v>6810</v>
      </c>
      <c r="CS91">
        <v>0</v>
      </c>
      <c r="CT91">
        <v>74.3</v>
      </c>
      <c r="CU91">
        <v>12421.9</v>
      </c>
      <c r="CV91">
        <v>0</v>
      </c>
      <c r="CW91">
        <v>0</v>
      </c>
      <c r="CX91">
        <v>4053.8</v>
      </c>
      <c r="CY91">
        <v>4960.5</v>
      </c>
      <c r="CZ91">
        <v>0</v>
      </c>
      <c r="DA91">
        <v>5744.9</v>
      </c>
      <c r="DB91">
        <v>0</v>
      </c>
      <c r="DC91">
        <v>3265</v>
      </c>
      <c r="DD91">
        <v>2909.8</v>
      </c>
      <c r="DE91">
        <v>633.9</v>
      </c>
      <c r="DF91">
        <v>0</v>
      </c>
      <c r="DG91">
        <v>28239</v>
      </c>
      <c r="DH91">
        <v>0</v>
      </c>
      <c r="DI91">
        <v>34850.199999999997</v>
      </c>
      <c r="DJ91">
        <v>0</v>
      </c>
      <c r="DK91">
        <v>32088.400000000001</v>
      </c>
      <c r="DL91">
        <v>0</v>
      </c>
      <c r="DM91">
        <v>0</v>
      </c>
      <c r="DN91">
        <v>0</v>
      </c>
      <c r="DO91">
        <v>0.12</v>
      </c>
      <c r="DP91">
        <v>0</v>
      </c>
      <c r="DQ91">
        <v>0</v>
      </c>
      <c r="DR91">
        <v>0</v>
      </c>
    </row>
    <row r="92" spans="1:122" x14ac:dyDescent="0.3">
      <c r="A92" t="s">
        <v>162</v>
      </c>
      <c r="B92">
        <v>2044</v>
      </c>
      <c r="C92">
        <v>235545361.19999999</v>
      </c>
      <c r="D92">
        <v>222572427.90000001</v>
      </c>
      <c r="E92">
        <v>214569292.80000001</v>
      </c>
      <c r="F92">
        <v>0</v>
      </c>
      <c r="G92">
        <v>8343409</v>
      </c>
      <c r="H92">
        <v>4443653.0999999996</v>
      </c>
      <c r="I92">
        <v>8343409</v>
      </c>
      <c r="J92">
        <v>0</v>
      </c>
      <c r="K92">
        <v>4629524.0999999996</v>
      </c>
      <c r="L92">
        <v>3.5900000000000001E-2</v>
      </c>
      <c r="M92">
        <v>5.3999999999999999E-2</v>
      </c>
      <c r="N92">
        <v>0.1477</v>
      </c>
      <c r="O92">
        <v>81250.039999999994</v>
      </c>
      <c r="P92">
        <v>49563.199999999997</v>
      </c>
      <c r="Q92">
        <v>114.8</v>
      </c>
      <c r="R92">
        <v>12.6</v>
      </c>
      <c r="S92">
        <v>1.82</v>
      </c>
      <c r="T92">
        <v>4.8</v>
      </c>
      <c r="U92">
        <v>272.7</v>
      </c>
      <c r="V92">
        <v>7.0000000000000007E-2</v>
      </c>
      <c r="W92">
        <v>115.7</v>
      </c>
      <c r="X92">
        <v>12.5</v>
      </c>
      <c r="Y92">
        <v>128.19999999999999</v>
      </c>
      <c r="Z92">
        <v>131.6</v>
      </c>
      <c r="AA92">
        <v>14.3</v>
      </c>
      <c r="AB92">
        <v>2.0699999999999998</v>
      </c>
      <c r="AC92">
        <v>5.7</v>
      </c>
      <c r="AD92">
        <v>316.2</v>
      </c>
      <c r="AE92">
        <v>0.08</v>
      </c>
      <c r="AF92">
        <v>132.5</v>
      </c>
      <c r="AG92">
        <v>14.6</v>
      </c>
      <c r="AH92">
        <v>147.1</v>
      </c>
      <c r="AI92">
        <v>135.9</v>
      </c>
      <c r="AJ92">
        <v>8.3000000000000007</v>
      </c>
      <c r="AK92">
        <v>1.1399999999999999</v>
      </c>
      <c r="AL92">
        <v>10.9</v>
      </c>
      <c r="AM92">
        <v>528.79999999999995</v>
      </c>
      <c r="AN92">
        <v>0.06</v>
      </c>
      <c r="AO92">
        <v>136.4</v>
      </c>
      <c r="AP92">
        <v>25.7</v>
      </c>
      <c r="AQ92">
        <v>162.1</v>
      </c>
      <c r="AR92">
        <v>633</v>
      </c>
      <c r="AS92">
        <v>56.1</v>
      </c>
      <c r="AT92">
        <v>8.0399999999999991</v>
      </c>
      <c r="AU92">
        <v>34.9</v>
      </c>
      <c r="AV92">
        <v>1894.2</v>
      </c>
      <c r="AW92">
        <v>0.32</v>
      </c>
      <c r="AX92">
        <v>636.70000000000005</v>
      </c>
      <c r="AY92">
        <v>88.1</v>
      </c>
      <c r="AZ92">
        <v>724.7</v>
      </c>
      <c r="BA92">
        <v>36117265.399999999</v>
      </c>
      <c r="BB92">
        <v>3954.1</v>
      </c>
      <c r="BC92">
        <v>573.29999999999995</v>
      </c>
      <c r="BD92">
        <v>1523939</v>
      </c>
      <c r="BE92">
        <v>85765.5</v>
      </c>
      <c r="BF92">
        <v>22.6</v>
      </c>
      <c r="BG92">
        <v>36379913.200000003</v>
      </c>
      <c r="BH92">
        <v>3931357</v>
      </c>
      <c r="BI92">
        <v>40311270.200000003</v>
      </c>
      <c r="BJ92">
        <v>0</v>
      </c>
      <c r="BK92">
        <v>0</v>
      </c>
      <c r="BL92">
        <v>36117265.399999999</v>
      </c>
      <c r="BM92">
        <v>37641204.5</v>
      </c>
      <c r="BN92">
        <v>40311270.200000003</v>
      </c>
      <c r="BO92">
        <v>22.34</v>
      </c>
      <c r="BP92">
        <v>15.33</v>
      </c>
      <c r="BQ92">
        <v>0</v>
      </c>
      <c r="BR92">
        <v>37.68</v>
      </c>
      <c r="BS92">
        <v>24.05</v>
      </c>
      <c r="BT92">
        <v>17.12</v>
      </c>
      <c r="BU92">
        <v>0</v>
      </c>
      <c r="BV92">
        <v>41.17</v>
      </c>
      <c r="BW92">
        <v>318529700</v>
      </c>
      <c r="BX92">
        <v>218128770</v>
      </c>
      <c r="BY92">
        <v>23241642</v>
      </c>
      <c r="BZ92">
        <v>32498342</v>
      </c>
      <c r="CA92">
        <v>0</v>
      </c>
      <c r="CB92">
        <v>3589.9</v>
      </c>
      <c r="CC92">
        <v>5328478.5</v>
      </c>
      <c r="CD92">
        <v>0</v>
      </c>
      <c r="CE92">
        <v>173260.5</v>
      </c>
      <c r="CF92">
        <v>10633014</v>
      </c>
      <c r="CG92">
        <v>0</v>
      </c>
      <c r="CH92">
        <v>447973.4</v>
      </c>
      <c r="CI92">
        <v>0</v>
      </c>
      <c r="CJ92">
        <v>153627310</v>
      </c>
      <c r="CK92">
        <v>0</v>
      </c>
      <c r="CL92">
        <v>0</v>
      </c>
      <c r="CM92">
        <v>59041536</v>
      </c>
      <c r="CN92">
        <v>5459920.5</v>
      </c>
      <c r="CO92">
        <v>0</v>
      </c>
      <c r="CP92">
        <v>7139050.5</v>
      </c>
      <c r="CQ92">
        <v>20935582</v>
      </c>
      <c r="CR92">
        <v>6834.3</v>
      </c>
      <c r="CS92">
        <v>0</v>
      </c>
      <c r="CT92">
        <v>71.3</v>
      </c>
      <c r="CU92">
        <v>11705.3</v>
      </c>
      <c r="CV92">
        <v>0</v>
      </c>
      <c r="CW92">
        <v>0</v>
      </c>
      <c r="CX92">
        <v>4274.2</v>
      </c>
      <c r="CY92">
        <v>4965.5</v>
      </c>
      <c r="CZ92">
        <v>0</v>
      </c>
      <c r="DA92">
        <v>5925.3</v>
      </c>
      <c r="DB92">
        <v>0</v>
      </c>
      <c r="DC92">
        <v>3265</v>
      </c>
      <c r="DD92">
        <v>2909.8</v>
      </c>
      <c r="DE92">
        <v>628.4</v>
      </c>
      <c r="DF92">
        <v>0</v>
      </c>
      <c r="DG92">
        <v>28781</v>
      </c>
      <c r="DH92">
        <v>0</v>
      </c>
      <c r="DI92">
        <v>39060.199999999997</v>
      </c>
      <c r="DJ92">
        <v>0</v>
      </c>
      <c r="DK92">
        <v>32441.7</v>
      </c>
      <c r="DL92">
        <v>0</v>
      </c>
      <c r="DM92">
        <v>0</v>
      </c>
      <c r="DN92">
        <v>0</v>
      </c>
      <c r="DO92">
        <v>0.12</v>
      </c>
      <c r="DP92">
        <v>0</v>
      </c>
      <c r="DQ92">
        <v>0</v>
      </c>
      <c r="DR92">
        <v>0</v>
      </c>
    </row>
    <row r="93" spans="1:122" x14ac:dyDescent="0.3">
      <c r="A93" t="s">
        <v>162</v>
      </c>
      <c r="B93">
        <v>2046</v>
      </c>
      <c r="C93">
        <v>238650999.90000001</v>
      </c>
      <c r="D93">
        <v>226476409.69999999</v>
      </c>
      <c r="E93">
        <v>218332897.19999999</v>
      </c>
      <c r="F93">
        <v>0</v>
      </c>
      <c r="G93">
        <v>7799685</v>
      </c>
      <c r="H93">
        <v>-2566654.1</v>
      </c>
      <c r="I93">
        <v>7799685</v>
      </c>
      <c r="J93">
        <v>0</v>
      </c>
      <c r="K93">
        <v>4374905.3</v>
      </c>
      <c r="L93">
        <v>3.5900000000000001E-2</v>
      </c>
      <c r="M93">
        <v>5.3999999999999999E-2</v>
      </c>
      <c r="N93">
        <v>0.14779999999999999</v>
      </c>
      <c r="O93">
        <v>83389.259999999995</v>
      </c>
      <c r="P93">
        <v>50432.6</v>
      </c>
      <c r="Q93">
        <v>107.8</v>
      </c>
      <c r="R93">
        <v>11.8</v>
      </c>
      <c r="S93">
        <v>1.71</v>
      </c>
      <c r="T93">
        <v>4.5999999999999996</v>
      </c>
      <c r="U93">
        <v>256.8</v>
      </c>
      <c r="V93">
        <v>7.0000000000000007E-2</v>
      </c>
      <c r="W93">
        <v>108.6</v>
      </c>
      <c r="X93">
        <v>11.8</v>
      </c>
      <c r="Y93">
        <v>120.4</v>
      </c>
      <c r="Z93">
        <v>125.1</v>
      </c>
      <c r="AA93">
        <v>13.6</v>
      </c>
      <c r="AB93">
        <v>1.97</v>
      </c>
      <c r="AC93">
        <v>5.5</v>
      </c>
      <c r="AD93">
        <v>301.10000000000002</v>
      </c>
      <c r="AE93">
        <v>0.08</v>
      </c>
      <c r="AF93">
        <v>126</v>
      </c>
      <c r="AG93">
        <v>14</v>
      </c>
      <c r="AH93">
        <v>139.9</v>
      </c>
      <c r="AI93">
        <v>147.80000000000001</v>
      </c>
      <c r="AJ93">
        <v>9.8000000000000007</v>
      </c>
      <c r="AK93">
        <v>1.37</v>
      </c>
      <c r="AL93">
        <v>11.1</v>
      </c>
      <c r="AM93">
        <v>549.20000000000005</v>
      </c>
      <c r="AN93">
        <v>7.0000000000000007E-2</v>
      </c>
      <c r="AO93">
        <v>148.5</v>
      </c>
      <c r="AP93">
        <v>26.5</v>
      </c>
      <c r="AQ93">
        <v>174.9</v>
      </c>
      <c r="AR93">
        <v>593.29999999999995</v>
      </c>
      <c r="AS93">
        <v>51.7</v>
      </c>
      <c r="AT93">
        <v>7.39</v>
      </c>
      <c r="AU93">
        <v>33.6</v>
      </c>
      <c r="AV93">
        <v>1807.1</v>
      </c>
      <c r="AW93">
        <v>0.28999999999999998</v>
      </c>
      <c r="AX93">
        <v>596.70000000000005</v>
      </c>
      <c r="AY93">
        <v>84.2</v>
      </c>
      <c r="AZ93">
        <v>680.9</v>
      </c>
      <c r="BA93">
        <v>34900182.5</v>
      </c>
      <c r="BB93">
        <v>3813.5</v>
      </c>
      <c r="BC93">
        <v>552.9</v>
      </c>
      <c r="BD93">
        <v>1486663</v>
      </c>
      <c r="BE93">
        <v>83128</v>
      </c>
      <c r="BF93">
        <v>22</v>
      </c>
      <c r="BG93">
        <v>35153471.799999997</v>
      </c>
      <c r="BH93">
        <v>3820070.1</v>
      </c>
      <c r="BI93">
        <v>38973541.899999999</v>
      </c>
      <c r="BJ93">
        <v>0</v>
      </c>
      <c r="BK93">
        <v>0</v>
      </c>
      <c r="BL93">
        <v>34900182.5</v>
      </c>
      <c r="BM93">
        <v>36386845.5</v>
      </c>
      <c r="BN93">
        <v>38973541.899999999</v>
      </c>
      <c r="BO93">
        <v>21.62</v>
      </c>
      <c r="BP93">
        <v>15.64</v>
      </c>
      <c r="BQ93">
        <v>0</v>
      </c>
      <c r="BR93">
        <v>37.26</v>
      </c>
      <c r="BS93">
        <v>23.26</v>
      </c>
      <c r="BT93">
        <v>17.39</v>
      </c>
      <c r="BU93">
        <v>0</v>
      </c>
      <c r="BV93">
        <v>40.65</v>
      </c>
      <c r="BW93">
        <v>327849470</v>
      </c>
      <c r="BX93">
        <v>229043040</v>
      </c>
      <c r="BY93">
        <v>23241642</v>
      </c>
      <c r="BZ93">
        <v>31319828</v>
      </c>
      <c r="CA93">
        <v>0</v>
      </c>
      <c r="CB93">
        <v>2764.7</v>
      </c>
      <c r="CC93">
        <v>5437213.5</v>
      </c>
      <c r="CD93">
        <v>0</v>
      </c>
      <c r="CE93">
        <v>161439.79999999999</v>
      </c>
      <c r="CF93">
        <v>10550773</v>
      </c>
      <c r="CG93">
        <v>0</v>
      </c>
      <c r="CH93">
        <v>444001.1</v>
      </c>
      <c r="CI93">
        <v>0</v>
      </c>
      <c r="CJ93">
        <v>165195600</v>
      </c>
      <c r="CK93">
        <v>0</v>
      </c>
      <c r="CL93">
        <v>0</v>
      </c>
      <c r="CM93">
        <v>58200616</v>
      </c>
      <c r="CN93">
        <v>5646845.5</v>
      </c>
      <c r="CO93">
        <v>0</v>
      </c>
      <c r="CP93">
        <v>6679287</v>
      </c>
      <c r="CQ93">
        <v>20969476</v>
      </c>
      <c r="CR93">
        <v>5838.9</v>
      </c>
      <c r="CS93">
        <v>0</v>
      </c>
      <c r="CT93">
        <v>71.3</v>
      </c>
      <c r="CU93">
        <v>11399.3</v>
      </c>
      <c r="CV93">
        <v>0</v>
      </c>
      <c r="CW93">
        <v>0</v>
      </c>
      <c r="CX93">
        <v>4482.2</v>
      </c>
      <c r="CY93">
        <v>4991.3999999999996</v>
      </c>
      <c r="CZ93">
        <v>0</v>
      </c>
      <c r="DA93">
        <v>5450.5</v>
      </c>
      <c r="DB93">
        <v>0</v>
      </c>
      <c r="DC93">
        <v>3265</v>
      </c>
      <c r="DD93">
        <v>2909.8</v>
      </c>
      <c r="DE93">
        <v>628.4</v>
      </c>
      <c r="DF93">
        <v>0</v>
      </c>
      <c r="DG93">
        <v>28887</v>
      </c>
      <c r="DH93">
        <v>0</v>
      </c>
      <c r="DI93">
        <v>41521.300000000003</v>
      </c>
      <c r="DJ93">
        <v>0</v>
      </c>
      <c r="DK93">
        <v>31360.1</v>
      </c>
      <c r="DL93">
        <v>0</v>
      </c>
      <c r="DM93">
        <v>0</v>
      </c>
      <c r="DN93">
        <v>0</v>
      </c>
      <c r="DO93">
        <v>0.12</v>
      </c>
      <c r="DP93">
        <v>0</v>
      </c>
      <c r="DQ93">
        <v>0</v>
      </c>
      <c r="DR93">
        <v>0</v>
      </c>
    </row>
    <row r="94" spans="1:122" x14ac:dyDescent="0.3">
      <c r="A94" t="s">
        <v>162</v>
      </c>
      <c r="B94">
        <v>2048</v>
      </c>
      <c r="C94">
        <v>245978110.59999999</v>
      </c>
      <c r="D94">
        <v>230606328.90000001</v>
      </c>
      <c r="E94">
        <v>222314315.19999999</v>
      </c>
      <c r="F94">
        <v>0</v>
      </c>
      <c r="G94">
        <v>10204625</v>
      </c>
      <c r="H94">
        <v>-16158507.1</v>
      </c>
      <c r="I94">
        <v>10204625</v>
      </c>
      <c r="J94">
        <v>0</v>
      </c>
      <c r="K94">
        <v>5167157</v>
      </c>
      <c r="L94">
        <v>3.5900000000000001E-2</v>
      </c>
      <c r="M94">
        <v>5.3999999999999999E-2</v>
      </c>
      <c r="N94">
        <v>0.14779999999999999</v>
      </c>
      <c r="O94">
        <v>83089.94</v>
      </c>
      <c r="P94">
        <v>51356.800000000003</v>
      </c>
      <c r="Q94">
        <v>97.5</v>
      </c>
      <c r="R94">
        <v>10.6</v>
      </c>
      <c r="S94">
        <v>1.54</v>
      </c>
      <c r="T94">
        <v>4.2</v>
      </c>
      <c r="U94">
        <v>232.7</v>
      </c>
      <c r="V94">
        <v>0.06</v>
      </c>
      <c r="W94">
        <v>98.2</v>
      </c>
      <c r="X94">
        <v>10.7</v>
      </c>
      <c r="Y94">
        <v>108.9</v>
      </c>
      <c r="Z94">
        <v>110.8</v>
      </c>
      <c r="AA94">
        <v>12</v>
      </c>
      <c r="AB94">
        <v>1.74</v>
      </c>
      <c r="AC94">
        <v>5</v>
      </c>
      <c r="AD94">
        <v>268.10000000000002</v>
      </c>
      <c r="AE94">
        <v>7.0000000000000007E-2</v>
      </c>
      <c r="AF94">
        <v>111.6</v>
      </c>
      <c r="AG94">
        <v>12.5</v>
      </c>
      <c r="AH94">
        <v>124</v>
      </c>
      <c r="AI94">
        <v>140.5</v>
      </c>
      <c r="AJ94">
        <v>9.6999999999999993</v>
      </c>
      <c r="AK94">
        <v>1.35</v>
      </c>
      <c r="AL94">
        <v>10.199999999999999</v>
      </c>
      <c r="AM94">
        <v>511.4</v>
      </c>
      <c r="AN94">
        <v>7.0000000000000007E-2</v>
      </c>
      <c r="AO94">
        <v>141.1</v>
      </c>
      <c r="AP94">
        <v>24.6</v>
      </c>
      <c r="AQ94">
        <v>165.7</v>
      </c>
      <c r="AR94">
        <v>563.5</v>
      </c>
      <c r="AS94">
        <v>47.5</v>
      </c>
      <c r="AT94">
        <v>6.76</v>
      </c>
      <c r="AU94">
        <v>33.299999999999997</v>
      </c>
      <c r="AV94">
        <v>1774.1</v>
      </c>
      <c r="AW94">
        <v>0.27</v>
      </c>
      <c r="AX94">
        <v>566.6</v>
      </c>
      <c r="AY94">
        <v>83.1</v>
      </c>
      <c r="AZ94">
        <v>649.70000000000005</v>
      </c>
      <c r="BA94">
        <v>33247049.100000001</v>
      </c>
      <c r="BB94">
        <v>3628.7</v>
      </c>
      <c r="BC94">
        <v>526</v>
      </c>
      <c r="BD94">
        <v>1429790.2</v>
      </c>
      <c r="BE94">
        <v>79348.399999999994</v>
      </c>
      <c r="BF94">
        <v>21.1</v>
      </c>
      <c r="BG94">
        <v>33488055.100000001</v>
      </c>
      <c r="BH94">
        <v>3657149.6</v>
      </c>
      <c r="BI94">
        <v>37145204.700000003</v>
      </c>
      <c r="BJ94">
        <v>0</v>
      </c>
      <c r="BK94">
        <v>0</v>
      </c>
      <c r="BL94">
        <v>33247049.100000001</v>
      </c>
      <c r="BM94">
        <v>34676839.200000003</v>
      </c>
      <c r="BN94">
        <v>37145204.700000003</v>
      </c>
      <c r="BO94">
        <v>21.39</v>
      </c>
      <c r="BP94">
        <v>15.56</v>
      </c>
      <c r="BQ94">
        <v>0</v>
      </c>
      <c r="BR94">
        <v>36.950000000000003</v>
      </c>
      <c r="BS94">
        <v>23.11</v>
      </c>
      <c r="BT94">
        <v>17.46</v>
      </c>
      <c r="BU94">
        <v>0</v>
      </c>
      <c r="BV94">
        <v>40.57</v>
      </c>
      <c r="BW94">
        <v>345844350</v>
      </c>
      <c r="BX94">
        <v>246764830</v>
      </c>
      <c r="BY94">
        <v>23241642</v>
      </c>
      <c r="BZ94">
        <v>29794778</v>
      </c>
      <c r="CA94">
        <v>0</v>
      </c>
      <c r="CB94">
        <v>1485.2</v>
      </c>
      <c r="CC94">
        <v>5375179.5</v>
      </c>
      <c r="CD94">
        <v>0</v>
      </c>
      <c r="CE94">
        <v>118126.9</v>
      </c>
      <c r="CF94">
        <v>10467105</v>
      </c>
      <c r="CG94">
        <v>0</v>
      </c>
      <c r="CH94">
        <v>418820</v>
      </c>
      <c r="CI94">
        <v>0</v>
      </c>
      <c r="CJ94">
        <v>179282750</v>
      </c>
      <c r="CK94">
        <v>0</v>
      </c>
      <c r="CL94">
        <v>0</v>
      </c>
      <c r="CM94">
        <v>61602310</v>
      </c>
      <c r="CN94">
        <v>5879775.5</v>
      </c>
      <c r="CO94">
        <v>0</v>
      </c>
      <c r="CP94">
        <v>8730765</v>
      </c>
      <c r="CQ94">
        <v>20931626</v>
      </c>
      <c r="CR94">
        <v>7993.7</v>
      </c>
      <c r="CS94">
        <v>0</v>
      </c>
      <c r="CT94">
        <v>64.900000000000006</v>
      </c>
      <c r="CU94">
        <v>11074.1</v>
      </c>
      <c r="CV94">
        <v>0</v>
      </c>
      <c r="CW94">
        <v>0</v>
      </c>
      <c r="CX94">
        <v>4677.6000000000004</v>
      </c>
      <c r="CY94">
        <v>4609.7</v>
      </c>
      <c r="CZ94">
        <v>0</v>
      </c>
      <c r="DA94">
        <v>5450.5</v>
      </c>
      <c r="DB94">
        <v>0</v>
      </c>
      <c r="DC94">
        <v>3265</v>
      </c>
      <c r="DD94">
        <v>2909.8</v>
      </c>
      <c r="DE94">
        <v>628.4</v>
      </c>
      <c r="DF94">
        <v>0</v>
      </c>
      <c r="DG94">
        <v>31275.7</v>
      </c>
      <c r="DH94">
        <v>0</v>
      </c>
      <c r="DI94">
        <v>44877.1</v>
      </c>
      <c r="DJ94">
        <v>0</v>
      </c>
      <c r="DK94">
        <v>44758.8</v>
      </c>
      <c r="DL94">
        <v>0</v>
      </c>
      <c r="DM94">
        <v>0</v>
      </c>
      <c r="DN94">
        <v>0</v>
      </c>
      <c r="DO94">
        <v>0.12</v>
      </c>
      <c r="DP94">
        <v>0</v>
      </c>
      <c r="DQ94">
        <v>0</v>
      </c>
      <c r="DR94">
        <v>0</v>
      </c>
    </row>
    <row r="95" spans="1:122" x14ac:dyDescent="0.3">
      <c r="A95" t="s">
        <v>162</v>
      </c>
      <c r="B95">
        <v>2050</v>
      </c>
      <c r="C95">
        <v>253919905.30000001</v>
      </c>
      <c r="D95">
        <v>235421860.69999999</v>
      </c>
      <c r="E95">
        <v>226956692.69999999</v>
      </c>
      <c r="F95">
        <v>0</v>
      </c>
      <c r="G95">
        <v>12678066</v>
      </c>
      <c r="H95">
        <v>-23554978.899999999</v>
      </c>
      <c r="I95">
        <v>12678066</v>
      </c>
      <c r="J95">
        <v>0</v>
      </c>
      <c r="K95">
        <v>5819979</v>
      </c>
      <c r="L95">
        <v>3.5900000000000001E-2</v>
      </c>
      <c r="M95">
        <v>5.3999999999999999E-2</v>
      </c>
      <c r="N95">
        <v>0.14779999999999999</v>
      </c>
      <c r="O95">
        <v>83580.44</v>
      </c>
      <c r="P95">
        <v>52429.9</v>
      </c>
      <c r="Q95">
        <v>79.099999999999994</v>
      </c>
      <c r="R95">
        <v>8.5</v>
      </c>
      <c r="S95">
        <v>1.24</v>
      </c>
      <c r="T95">
        <v>3.6</v>
      </c>
      <c r="U95">
        <v>192.3</v>
      </c>
      <c r="V95">
        <v>0.05</v>
      </c>
      <c r="W95">
        <v>79.7</v>
      </c>
      <c r="X95">
        <v>9</v>
      </c>
      <c r="Y95">
        <v>88.7</v>
      </c>
      <c r="Z95">
        <v>89.3</v>
      </c>
      <c r="AA95">
        <v>9.5</v>
      </c>
      <c r="AB95">
        <v>1.38</v>
      </c>
      <c r="AC95">
        <v>4.2</v>
      </c>
      <c r="AD95">
        <v>220.2</v>
      </c>
      <c r="AE95">
        <v>0.06</v>
      </c>
      <c r="AF95">
        <v>90</v>
      </c>
      <c r="AG95">
        <v>10.4</v>
      </c>
      <c r="AH95">
        <v>100.4</v>
      </c>
      <c r="AI95">
        <v>126.8</v>
      </c>
      <c r="AJ95">
        <v>8.5</v>
      </c>
      <c r="AK95">
        <v>1.18</v>
      </c>
      <c r="AL95">
        <v>9.5</v>
      </c>
      <c r="AM95">
        <v>470</v>
      </c>
      <c r="AN95">
        <v>0.06</v>
      </c>
      <c r="AO95">
        <v>127.3</v>
      </c>
      <c r="AP95">
        <v>22.6</v>
      </c>
      <c r="AQ95">
        <v>150</v>
      </c>
      <c r="AR95">
        <v>512.29999999999995</v>
      </c>
      <c r="AS95">
        <v>41.7</v>
      </c>
      <c r="AT95">
        <v>5.93</v>
      </c>
      <c r="AU95">
        <v>31.7</v>
      </c>
      <c r="AV95">
        <v>1655.2</v>
      </c>
      <c r="AW95">
        <v>0.25</v>
      </c>
      <c r="AX95">
        <v>515</v>
      </c>
      <c r="AY95">
        <v>78.099999999999994</v>
      </c>
      <c r="AZ95">
        <v>593.1</v>
      </c>
      <c r="BA95">
        <v>27649618.399999999</v>
      </c>
      <c r="BB95">
        <v>2982.6</v>
      </c>
      <c r="BC95">
        <v>432</v>
      </c>
      <c r="BD95">
        <v>1258583.1000000001</v>
      </c>
      <c r="BE95">
        <v>67196.3</v>
      </c>
      <c r="BF95">
        <v>18.399999999999999</v>
      </c>
      <c r="BG95">
        <v>27847619.5</v>
      </c>
      <c r="BH95">
        <v>3144947.3</v>
      </c>
      <c r="BI95">
        <v>30992566.699999999</v>
      </c>
      <c r="BJ95">
        <v>0</v>
      </c>
      <c r="BK95">
        <v>0</v>
      </c>
      <c r="BL95">
        <v>27649618.399999999</v>
      </c>
      <c r="BM95">
        <v>28908201.5</v>
      </c>
      <c r="BN95">
        <v>30992566.699999999</v>
      </c>
      <c r="BO95">
        <v>20.14</v>
      </c>
      <c r="BP95">
        <v>15.8</v>
      </c>
      <c r="BQ95">
        <v>0</v>
      </c>
      <c r="BR95">
        <v>35.950000000000003</v>
      </c>
      <c r="BS95">
        <v>21.92</v>
      </c>
      <c r="BT95">
        <v>17.93</v>
      </c>
      <c r="BU95">
        <v>0</v>
      </c>
      <c r="BV95">
        <v>39.85</v>
      </c>
      <c r="BW95">
        <v>354844960</v>
      </c>
      <c r="BX95">
        <v>258976820</v>
      </c>
      <c r="BY95">
        <v>23241642</v>
      </c>
      <c r="BZ95">
        <v>24527374</v>
      </c>
      <c r="CA95">
        <v>0</v>
      </c>
      <c r="CB95">
        <v>781.4</v>
      </c>
      <c r="CC95">
        <v>5447350</v>
      </c>
      <c r="CD95">
        <v>0</v>
      </c>
      <c r="CE95">
        <v>80872.399999999994</v>
      </c>
      <c r="CF95">
        <v>10322786</v>
      </c>
      <c r="CG95">
        <v>0</v>
      </c>
      <c r="CH95">
        <v>412973.8</v>
      </c>
      <c r="CI95">
        <v>0</v>
      </c>
      <c r="CJ95">
        <v>190667410</v>
      </c>
      <c r="CK95">
        <v>0</v>
      </c>
      <c r="CL95">
        <v>0</v>
      </c>
      <c r="CM95">
        <v>62208564</v>
      </c>
      <c r="CN95">
        <v>6100868</v>
      </c>
      <c r="CO95">
        <v>0</v>
      </c>
      <c r="CP95">
        <v>10862919</v>
      </c>
      <c r="CQ95">
        <v>20971414</v>
      </c>
      <c r="CR95">
        <v>10226.9</v>
      </c>
      <c r="CS95">
        <v>0</v>
      </c>
      <c r="CT95">
        <v>64.900000000000006</v>
      </c>
      <c r="CU95">
        <v>9882.6</v>
      </c>
      <c r="CV95">
        <v>0</v>
      </c>
      <c r="CW95">
        <v>0</v>
      </c>
      <c r="CX95">
        <v>4848.8999999999996</v>
      </c>
      <c r="CY95">
        <v>4627.8</v>
      </c>
      <c r="CZ95">
        <v>0</v>
      </c>
      <c r="DA95">
        <v>5627.8</v>
      </c>
      <c r="DB95">
        <v>0</v>
      </c>
      <c r="DC95">
        <v>3265</v>
      </c>
      <c r="DD95">
        <v>2909.8</v>
      </c>
      <c r="DE95">
        <v>531.6</v>
      </c>
      <c r="DF95">
        <v>0</v>
      </c>
      <c r="DG95">
        <v>31812.7</v>
      </c>
      <c r="DH95">
        <v>0</v>
      </c>
      <c r="DI95">
        <v>47969.9</v>
      </c>
      <c r="DJ95">
        <v>0</v>
      </c>
      <c r="DK95">
        <v>57560.6</v>
      </c>
      <c r="DL95">
        <v>0</v>
      </c>
      <c r="DM95">
        <v>0</v>
      </c>
      <c r="DN95">
        <v>0</v>
      </c>
      <c r="DO95">
        <v>0.12</v>
      </c>
      <c r="DP95">
        <v>0</v>
      </c>
      <c r="DQ95">
        <v>0</v>
      </c>
      <c r="DR95">
        <v>0</v>
      </c>
    </row>
    <row r="96" spans="1:122" x14ac:dyDescent="0.3">
      <c r="A96" t="s">
        <v>163</v>
      </c>
      <c r="B96">
        <v>2022</v>
      </c>
      <c r="C96">
        <v>131465509.5</v>
      </c>
      <c r="D96">
        <v>126860812.3</v>
      </c>
      <c r="E96">
        <v>122299790</v>
      </c>
      <c r="F96">
        <v>0</v>
      </c>
      <c r="G96">
        <v>1891047</v>
      </c>
      <c r="H96">
        <v>102488227.2</v>
      </c>
      <c r="I96">
        <v>340416.9</v>
      </c>
      <c r="J96">
        <v>1550630.1</v>
      </c>
      <c r="K96">
        <v>2713650.1</v>
      </c>
      <c r="L96">
        <v>3.5900000000000001E-2</v>
      </c>
      <c r="M96">
        <v>5.3999999999999999E-2</v>
      </c>
      <c r="N96">
        <v>0.15</v>
      </c>
      <c r="O96">
        <v>20965.22</v>
      </c>
      <c r="P96">
        <v>29609.1</v>
      </c>
      <c r="Q96">
        <v>130.9</v>
      </c>
      <c r="R96">
        <v>3.4</v>
      </c>
      <c r="S96">
        <v>0.39</v>
      </c>
      <c r="T96">
        <v>18.399999999999999</v>
      </c>
      <c r="U96">
        <v>661.2</v>
      </c>
      <c r="V96">
        <v>0.11</v>
      </c>
      <c r="W96">
        <v>131.1</v>
      </c>
      <c r="X96">
        <v>37</v>
      </c>
      <c r="Y96">
        <v>168</v>
      </c>
      <c r="Z96">
        <v>137</v>
      </c>
      <c r="AA96">
        <v>3.6</v>
      </c>
      <c r="AB96">
        <v>0.41</v>
      </c>
      <c r="AC96">
        <v>19.3</v>
      </c>
      <c r="AD96">
        <v>691</v>
      </c>
      <c r="AE96">
        <v>0.11</v>
      </c>
      <c r="AF96">
        <v>137.19999999999999</v>
      </c>
      <c r="AG96">
        <v>38.700000000000003</v>
      </c>
      <c r="AH96">
        <v>175.9</v>
      </c>
      <c r="AI96">
        <v>325.8</v>
      </c>
      <c r="AJ96">
        <v>9.6</v>
      </c>
      <c r="AK96">
        <v>1.2</v>
      </c>
      <c r="AL96">
        <v>35.9</v>
      </c>
      <c r="AM96">
        <v>1551.4</v>
      </c>
      <c r="AN96">
        <v>0.17</v>
      </c>
      <c r="AO96">
        <v>326.39999999999998</v>
      </c>
      <c r="AP96">
        <v>79.3</v>
      </c>
      <c r="AQ96">
        <v>405.7</v>
      </c>
      <c r="AR96">
        <v>553.9</v>
      </c>
      <c r="AS96">
        <v>24.1</v>
      </c>
      <c r="AT96">
        <v>3.28</v>
      </c>
      <c r="AU96">
        <v>54.4</v>
      </c>
      <c r="AV96">
        <v>2358.5</v>
      </c>
      <c r="AW96">
        <v>0.32</v>
      </c>
      <c r="AX96">
        <v>555.5</v>
      </c>
      <c r="AY96">
        <v>120.5</v>
      </c>
      <c r="AZ96">
        <v>676</v>
      </c>
      <c r="BA96">
        <v>17635725.399999999</v>
      </c>
      <c r="BB96">
        <v>455.7</v>
      </c>
      <c r="BC96">
        <v>52.4</v>
      </c>
      <c r="BD96">
        <v>2484061.2999999998</v>
      </c>
      <c r="BE96">
        <v>89083.8</v>
      </c>
      <c r="BF96">
        <v>14.5</v>
      </c>
      <c r="BG96">
        <v>17662383.600000001</v>
      </c>
      <c r="BH96">
        <v>4982241.0999999996</v>
      </c>
      <c r="BI96">
        <v>22644624.699999999</v>
      </c>
      <c r="BJ96">
        <v>0</v>
      </c>
      <c r="BK96">
        <v>0</v>
      </c>
      <c r="BL96">
        <v>17635725.399999999</v>
      </c>
      <c r="BM96">
        <v>20119786.699999999</v>
      </c>
      <c r="BN96">
        <v>22644624.699999999</v>
      </c>
      <c r="BO96">
        <v>43.12</v>
      </c>
      <c r="BP96">
        <v>4.3</v>
      </c>
      <c r="BQ96">
        <v>1.36</v>
      </c>
      <c r="BR96">
        <v>48.78</v>
      </c>
      <c r="BS96">
        <v>45.79</v>
      </c>
      <c r="BT96">
        <v>4.76</v>
      </c>
      <c r="BU96">
        <v>1.47</v>
      </c>
      <c r="BV96">
        <v>52.03</v>
      </c>
      <c r="BW96">
        <v>135388460</v>
      </c>
      <c r="BX96">
        <v>24372586</v>
      </c>
      <c r="BY96">
        <v>26546016</v>
      </c>
      <c r="BZ96">
        <v>1097604.8</v>
      </c>
      <c r="CA96">
        <v>0</v>
      </c>
      <c r="CB96">
        <v>58944.2</v>
      </c>
      <c r="CC96">
        <v>41368950</v>
      </c>
      <c r="CD96">
        <v>0</v>
      </c>
      <c r="CE96">
        <v>214274.4</v>
      </c>
      <c r="CF96">
        <v>8215710.5</v>
      </c>
      <c r="CG96">
        <v>0</v>
      </c>
      <c r="CH96">
        <v>6712933</v>
      </c>
      <c r="CI96">
        <v>0</v>
      </c>
      <c r="CJ96">
        <v>16041413</v>
      </c>
      <c r="CK96">
        <v>108524.1</v>
      </c>
      <c r="CL96">
        <v>0</v>
      </c>
      <c r="CM96">
        <v>3414140</v>
      </c>
      <c r="CN96">
        <v>4808508</v>
      </c>
      <c r="CO96">
        <v>1248743.8999999999</v>
      </c>
      <c r="CP96">
        <v>289516</v>
      </c>
      <c r="CQ96">
        <v>25263180</v>
      </c>
      <c r="CR96">
        <v>381.7</v>
      </c>
      <c r="CS96">
        <v>0</v>
      </c>
      <c r="CT96">
        <v>1097</v>
      </c>
      <c r="CU96">
        <v>438.5</v>
      </c>
      <c r="CV96">
        <v>0</v>
      </c>
      <c r="CW96">
        <v>0</v>
      </c>
      <c r="CX96">
        <v>3614.7</v>
      </c>
      <c r="CY96">
        <v>14604.6</v>
      </c>
      <c r="CZ96">
        <v>0</v>
      </c>
      <c r="DA96">
        <v>2269.1</v>
      </c>
      <c r="DB96">
        <v>0</v>
      </c>
      <c r="DC96">
        <v>1759</v>
      </c>
      <c r="DD96">
        <v>3323.5</v>
      </c>
      <c r="DE96">
        <v>5980.8</v>
      </c>
      <c r="DF96">
        <v>1797.4</v>
      </c>
      <c r="DG96">
        <v>1789.1</v>
      </c>
      <c r="DH96">
        <v>30</v>
      </c>
      <c r="DI96">
        <v>4222.5</v>
      </c>
      <c r="DJ96">
        <v>0</v>
      </c>
      <c r="DK96">
        <v>865.9</v>
      </c>
      <c r="DL96">
        <v>17974</v>
      </c>
      <c r="DM96">
        <v>0</v>
      </c>
      <c r="DN96">
        <v>5.3</v>
      </c>
      <c r="DO96">
        <v>0.26</v>
      </c>
      <c r="DP96">
        <v>0</v>
      </c>
      <c r="DQ96">
        <v>0.1</v>
      </c>
      <c r="DR96">
        <v>0</v>
      </c>
    </row>
    <row r="97" spans="1:122" x14ac:dyDescent="0.3">
      <c r="A97" t="s">
        <v>163</v>
      </c>
      <c r="B97">
        <v>2024</v>
      </c>
      <c r="C97">
        <v>133973604.5</v>
      </c>
      <c r="D97">
        <v>129559530.09999999</v>
      </c>
      <c r="E97">
        <v>124901480.3</v>
      </c>
      <c r="F97">
        <v>0</v>
      </c>
      <c r="G97">
        <v>1917911.4</v>
      </c>
      <c r="H97">
        <v>99071374.200000003</v>
      </c>
      <c r="I97">
        <v>363148.4</v>
      </c>
      <c r="J97">
        <v>1554763</v>
      </c>
      <c r="K97">
        <v>2496163</v>
      </c>
      <c r="L97">
        <v>3.5900000000000001E-2</v>
      </c>
      <c r="M97">
        <v>5.3999999999999999E-2</v>
      </c>
      <c r="N97">
        <v>0.15</v>
      </c>
      <c r="O97">
        <v>20965.22</v>
      </c>
      <c r="P97">
        <v>30320.400000000001</v>
      </c>
      <c r="Q97">
        <v>123.9</v>
      </c>
      <c r="R97">
        <v>2.2999999999999998</v>
      </c>
      <c r="S97">
        <v>0.23</v>
      </c>
      <c r="T97">
        <v>18.2</v>
      </c>
      <c r="U97">
        <v>653.70000000000005</v>
      </c>
      <c r="V97">
        <v>0.1</v>
      </c>
      <c r="W97">
        <v>124</v>
      </c>
      <c r="X97">
        <v>36.5</v>
      </c>
      <c r="Y97">
        <v>160.6</v>
      </c>
      <c r="Z97">
        <v>128.80000000000001</v>
      </c>
      <c r="AA97">
        <v>2.4</v>
      </c>
      <c r="AB97">
        <v>0.24</v>
      </c>
      <c r="AC97">
        <v>19</v>
      </c>
      <c r="AD97">
        <v>679.4</v>
      </c>
      <c r="AE97">
        <v>0.1</v>
      </c>
      <c r="AF97">
        <v>128.9</v>
      </c>
      <c r="AG97">
        <v>38</v>
      </c>
      <c r="AH97">
        <v>166.9</v>
      </c>
      <c r="AI97">
        <v>318.7</v>
      </c>
      <c r="AJ97">
        <v>8.5</v>
      </c>
      <c r="AK97">
        <v>1.03</v>
      </c>
      <c r="AL97">
        <v>35.9</v>
      </c>
      <c r="AM97">
        <v>1549.6</v>
      </c>
      <c r="AN97">
        <v>0.17</v>
      </c>
      <c r="AO97">
        <v>319.2</v>
      </c>
      <c r="AP97">
        <v>79.3</v>
      </c>
      <c r="AQ97">
        <v>398.5</v>
      </c>
      <c r="AR97">
        <v>537.79999999999995</v>
      </c>
      <c r="AS97">
        <v>22.5</v>
      </c>
      <c r="AT97">
        <v>3.04</v>
      </c>
      <c r="AU97">
        <v>53.6</v>
      </c>
      <c r="AV97">
        <v>2320.1999999999998</v>
      </c>
      <c r="AW97">
        <v>0.31</v>
      </c>
      <c r="AX97">
        <v>539.20000000000005</v>
      </c>
      <c r="AY97">
        <v>118.6</v>
      </c>
      <c r="AZ97">
        <v>657.9</v>
      </c>
      <c r="BA97">
        <v>17722006.600000001</v>
      </c>
      <c r="BB97">
        <v>334.5</v>
      </c>
      <c r="BC97">
        <v>33.6</v>
      </c>
      <c r="BD97">
        <v>2605594.7000000002</v>
      </c>
      <c r="BE97">
        <v>93504</v>
      </c>
      <c r="BF97">
        <v>14.4</v>
      </c>
      <c r="BG97">
        <v>17740266.699999999</v>
      </c>
      <c r="BH97">
        <v>5227515.0999999996</v>
      </c>
      <c r="BI97">
        <v>22967781.800000001</v>
      </c>
      <c r="BJ97">
        <v>0</v>
      </c>
      <c r="BK97">
        <v>0</v>
      </c>
      <c r="BL97">
        <v>17722006.600000001</v>
      </c>
      <c r="BM97">
        <v>20327601.399999999</v>
      </c>
      <c r="BN97">
        <v>22967781.800000001</v>
      </c>
      <c r="BO97">
        <v>33.08</v>
      </c>
      <c r="BP97">
        <v>4.3</v>
      </c>
      <c r="BQ97">
        <v>1.56</v>
      </c>
      <c r="BR97">
        <v>38.94</v>
      </c>
      <c r="BS97">
        <v>35.14</v>
      </c>
      <c r="BT97">
        <v>4.75</v>
      </c>
      <c r="BU97">
        <v>1.68</v>
      </c>
      <c r="BV97">
        <v>41.57</v>
      </c>
      <c r="BW97">
        <v>143837390</v>
      </c>
      <c r="BX97">
        <v>30488156</v>
      </c>
      <c r="BY97">
        <v>26546016</v>
      </c>
      <c r="BZ97">
        <v>0</v>
      </c>
      <c r="CA97">
        <v>0</v>
      </c>
      <c r="CB97">
        <v>24779.5</v>
      </c>
      <c r="CC97">
        <v>44736850</v>
      </c>
      <c r="CD97">
        <v>0</v>
      </c>
      <c r="CE97">
        <v>261800.3</v>
      </c>
      <c r="CF97">
        <v>8213504</v>
      </c>
      <c r="CG97">
        <v>0</v>
      </c>
      <c r="CH97">
        <v>6713737.5</v>
      </c>
      <c r="CI97">
        <v>0</v>
      </c>
      <c r="CJ97">
        <v>15954744</v>
      </c>
      <c r="CK97">
        <v>6058381</v>
      </c>
      <c r="CL97">
        <v>0</v>
      </c>
      <c r="CM97">
        <v>3559122.8</v>
      </c>
      <c r="CN97">
        <v>4915908</v>
      </c>
      <c r="CO97">
        <v>1257688.8999999999</v>
      </c>
      <c r="CP97">
        <v>309424.5</v>
      </c>
      <c r="CQ97">
        <v>25285438</v>
      </c>
      <c r="CR97">
        <v>394.1</v>
      </c>
      <c r="CS97">
        <v>0</v>
      </c>
      <c r="CT97">
        <v>1097</v>
      </c>
      <c r="CU97">
        <v>0</v>
      </c>
      <c r="CV97">
        <v>0</v>
      </c>
      <c r="CW97">
        <v>0</v>
      </c>
      <c r="CX97">
        <v>3741.2</v>
      </c>
      <c r="CY97">
        <v>13156.2</v>
      </c>
      <c r="CZ97">
        <v>0</v>
      </c>
      <c r="DA97">
        <v>2091.1</v>
      </c>
      <c r="DB97">
        <v>0</v>
      </c>
      <c r="DC97">
        <v>1759</v>
      </c>
      <c r="DD97">
        <v>3323.5</v>
      </c>
      <c r="DE97">
        <v>1386.6</v>
      </c>
      <c r="DF97">
        <v>1797.4</v>
      </c>
      <c r="DG97">
        <v>1883.1</v>
      </c>
      <c r="DH97">
        <v>1546</v>
      </c>
      <c r="DI97">
        <v>4222.5</v>
      </c>
      <c r="DJ97">
        <v>0</v>
      </c>
      <c r="DK97">
        <v>915.4</v>
      </c>
      <c r="DL97">
        <v>17974</v>
      </c>
      <c r="DM97">
        <v>0</v>
      </c>
      <c r="DN97">
        <v>5.3</v>
      </c>
      <c r="DO97">
        <v>0.3</v>
      </c>
      <c r="DP97">
        <v>0</v>
      </c>
      <c r="DQ97">
        <v>0.12</v>
      </c>
      <c r="DR97">
        <v>0</v>
      </c>
    </row>
    <row r="98" spans="1:122" x14ac:dyDescent="0.3">
      <c r="A98" t="s">
        <v>163</v>
      </c>
      <c r="B98">
        <v>2026</v>
      </c>
      <c r="C98">
        <v>135804873.30000001</v>
      </c>
      <c r="D98">
        <v>131346820.2</v>
      </c>
      <c r="E98">
        <v>126624511.8</v>
      </c>
      <c r="F98">
        <v>0</v>
      </c>
      <c r="G98">
        <v>2052145.2</v>
      </c>
      <c r="H98">
        <v>93803832.799999997</v>
      </c>
      <c r="I98">
        <v>445361.4</v>
      </c>
      <c r="J98">
        <v>1606783.6</v>
      </c>
      <c r="K98">
        <v>2405908</v>
      </c>
      <c r="L98">
        <v>3.5900000000000001E-2</v>
      </c>
      <c r="M98">
        <v>5.3999999999999999E-2</v>
      </c>
      <c r="N98">
        <v>0.15</v>
      </c>
      <c r="O98">
        <v>40139.72</v>
      </c>
      <c r="P98">
        <v>30756</v>
      </c>
      <c r="Q98">
        <v>112.3</v>
      </c>
      <c r="R98">
        <v>2.1</v>
      </c>
      <c r="S98">
        <v>0.21</v>
      </c>
      <c r="T98">
        <v>16.8</v>
      </c>
      <c r="U98">
        <v>592.79999999999995</v>
      </c>
      <c r="V98">
        <v>0.09</v>
      </c>
      <c r="W98">
        <v>112.4</v>
      </c>
      <c r="X98">
        <v>33.4</v>
      </c>
      <c r="Y98">
        <v>145.80000000000001</v>
      </c>
      <c r="Z98">
        <v>116</v>
      </c>
      <c r="AA98">
        <v>2.2000000000000002</v>
      </c>
      <c r="AB98">
        <v>0.22</v>
      </c>
      <c r="AC98">
        <v>17.399999999999999</v>
      </c>
      <c r="AD98">
        <v>612.4</v>
      </c>
      <c r="AE98">
        <v>0.1</v>
      </c>
      <c r="AF98">
        <v>116.1</v>
      </c>
      <c r="AG98">
        <v>34.6</v>
      </c>
      <c r="AH98">
        <v>150.69999999999999</v>
      </c>
      <c r="AI98">
        <v>305.5</v>
      </c>
      <c r="AJ98">
        <v>6.3</v>
      </c>
      <c r="AK98">
        <v>0.71</v>
      </c>
      <c r="AL98">
        <v>36</v>
      </c>
      <c r="AM98">
        <v>1541.1</v>
      </c>
      <c r="AN98">
        <v>0.16</v>
      </c>
      <c r="AO98">
        <v>305.8</v>
      </c>
      <c r="AP98">
        <v>79.2</v>
      </c>
      <c r="AQ98">
        <v>385.1</v>
      </c>
      <c r="AR98">
        <v>525.70000000000005</v>
      </c>
      <c r="AS98">
        <v>22.3</v>
      </c>
      <c r="AT98">
        <v>3</v>
      </c>
      <c r="AU98">
        <v>52</v>
      </c>
      <c r="AV98">
        <v>2274.6999999999998</v>
      </c>
      <c r="AW98">
        <v>0.3</v>
      </c>
      <c r="AX98">
        <v>527.1</v>
      </c>
      <c r="AY98">
        <v>115.8</v>
      </c>
      <c r="AZ98">
        <v>642.9</v>
      </c>
      <c r="BA98">
        <v>16452365.199999999</v>
      </c>
      <c r="BB98">
        <v>310.8</v>
      </c>
      <c r="BC98">
        <v>31.2</v>
      </c>
      <c r="BD98">
        <v>2454661.5</v>
      </c>
      <c r="BE98">
        <v>86838.9</v>
      </c>
      <c r="BF98">
        <v>13.8</v>
      </c>
      <c r="BG98">
        <v>16469338.300000001</v>
      </c>
      <c r="BH98">
        <v>4889816</v>
      </c>
      <c r="BI98">
        <v>21359154.300000001</v>
      </c>
      <c r="BJ98">
        <v>0</v>
      </c>
      <c r="BK98">
        <v>0</v>
      </c>
      <c r="BL98">
        <v>16452365.199999999</v>
      </c>
      <c r="BM98">
        <v>18907026.600000001</v>
      </c>
      <c r="BN98">
        <v>21359154.300000001</v>
      </c>
      <c r="BO98">
        <v>31.78</v>
      </c>
      <c r="BP98">
        <v>8.23</v>
      </c>
      <c r="BQ98">
        <v>1.97</v>
      </c>
      <c r="BR98">
        <v>41.99</v>
      </c>
      <c r="BS98">
        <v>33.770000000000003</v>
      </c>
      <c r="BT98">
        <v>9.09</v>
      </c>
      <c r="BU98">
        <v>2.13</v>
      </c>
      <c r="BV98">
        <v>44.99</v>
      </c>
      <c r="BW98">
        <v>147314050</v>
      </c>
      <c r="BX98">
        <v>37542988</v>
      </c>
      <c r="BY98">
        <v>26546016</v>
      </c>
      <c r="BZ98">
        <v>0</v>
      </c>
      <c r="CA98">
        <v>0</v>
      </c>
      <c r="CB98">
        <v>32347.200000000001</v>
      </c>
      <c r="CC98">
        <v>41576750</v>
      </c>
      <c r="CD98">
        <v>0</v>
      </c>
      <c r="CE98">
        <v>255940.2</v>
      </c>
      <c r="CF98">
        <v>8403854</v>
      </c>
      <c r="CG98">
        <v>0</v>
      </c>
      <c r="CH98">
        <v>6713245.5</v>
      </c>
      <c r="CI98">
        <v>0</v>
      </c>
      <c r="CJ98">
        <v>15867293</v>
      </c>
      <c r="CK98">
        <v>12544623</v>
      </c>
      <c r="CL98">
        <v>0</v>
      </c>
      <c r="CM98">
        <v>4072618.5</v>
      </c>
      <c r="CN98">
        <v>5058454</v>
      </c>
      <c r="CO98">
        <v>1279597.3999999999</v>
      </c>
      <c r="CP98">
        <v>377830</v>
      </c>
      <c r="CQ98">
        <v>24585482</v>
      </c>
      <c r="CR98">
        <v>448.1</v>
      </c>
      <c r="CS98">
        <v>0</v>
      </c>
      <c r="CT98">
        <v>1097</v>
      </c>
      <c r="CU98">
        <v>0</v>
      </c>
      <c r="CV98">
        <v>0</v>
      </c>
      <c r="CW98">
        <v>0</v>
      </c>
      <c r="CX98">
        <v>3894.5</v>
      </c>
      <c r="CY98">
        <v>13156.2</v>
      </c>
      <c r="CZ98">
        <v>0</v>
      </c>
      <c r="DA98">
        <v>2091.1</v>
      </c>
      <c r="DB98">
        <v>0</v>
      </c>
      <c r="DC98">
        <v>1789.9</v>
      </c>
      <c r="DD98">
        <v>3323.5</v>
      </c>
      <c r="DE98">
        <v>1386.6</v>
      </c>
      <c r="DF98">
        <v>1797.4</v>
      </c>
      <c r="DG98">
        <v>2156.1999999999998</v>
      </c>
      <c r="DH98">
        <v>3150</v>
      </c>
      <c r="DI98">
        <v>4222.5</v>
      </c>
      <c r="DJ98">
        <v>0</v>
      </c>
      <c r="DK98">
        <v>1159.5999999999999</v>
      </c>
      <c r="DL98">
        <v>17974</v>
      </c>
      <c r="DM98">
        <v>0</v>
      </c>
      <c r="DN98">
        <v>6</v>
      </c>
      <c r="DO98">
        <v>0.33</v>
      </c>
      <c r="DP98">
        <v>0</v>
      </c>
      <c r="DQ98">
        <v>0.14000000000000001</v>
      </c>
      <c r="DR98">
        <v>0</v>
      </c>
    </row>
    <row r="99" spans="1:122" x14ac:dyDescent="0.3">
      <c r="A99" t="s">
        <v>163</v>
      </c>
      <c r="B99">
        <v>2028</v>
      </c>
      <c r="C99">
        <v>137494553.90000001</v>
      </c>
      <c r="D99">
        <v>133025495.40000001</v>
      </c>
      <c r="E99">
        <v>128242834.2</v>
      </c>
      <c r="F99">
        <v>0</v>
      </c>
      <c r="G99">
        <v>2134668.2000000002</v>
      </c>
      <c r="H99">
        <v>95049830.400000006</v>
      </c>
      <c r="I99">
        <v>502785.6</v>
      </c>
      <c r="J99">
        <v>1631882.5</v>
      </c>
      <c r="K99">
        <v>2334390.2999999998</v>
      </c>
      <c r="L99">
        <v>3.5900000000000001E-2</v>
      </c>
      <c r="M99">
        <v>5.3999999999999999E-2</v>
      </c>
      <c r="N99">
        <v>0.15</v>
      </c>
      <c r="O99">
        <v>23335.84</v>
      </c>
      <c r="P99">
        <v>31084.2</v>
      </c>
      <c r="Q99">
        <v>111</v>
      </c>
      <c r="R99">
        <v>2.1</v>
      </c>
      <c r="S99">
        <v>0.21</v>
      </c>
      <c r="T99">
        <v>16.600000000000001</v>
      </c>
      <c r="U99">
        <v>585.70000000000005</v>
      </c>
      <c r="V99">
        <v>0.09</v>
      </c>
      <c r="W99">
        <v>111.1</v>
      </c>
      <c r="X99">
        <v>33</v>
      </c>
      <c r="Y99">
        <v>144.1</v>
      </c>
      <c r="Z99">
        <v>113.4</v>
      </c>
      <c r="AA99">
        <v>2.1</v>
      </c>
      <c r="AB99">
        <v>0.22</v>
      </c>
      <c r="AC99">
        <v>17.100000000000001</v>
      </c>
      <c r="AD99">
        <v>598.70000000000005</v>
      </c>
      <c r="AE99">
        <v>0.1</v>
      </c>
      <c r="AF99">
        <v>113.6</v>
      </c>
      <c r="AG99">
        <v>33.9</v>
      </c>
      <c r="AH99">
        <v>147.4</v>
      </c>
      <c r="AI99">
        <v>282.2</v>
      </c>
      <c r="AJ99">
        <v>5.7</v>
      </c>
      <c r="AK99">
        <v>0.61</v>
      </c>
      <c r="AL99">
        <v>33.299999999999997</v>
      </c>
      <c r="AM99">
        <v>1442.9</v>
      </c>
      <c r="AN99">
        <v>0.14000000000000001</v>
      </c>
      <c r="AO99">
        <v>282.5</v>
      </c>
      <c r="AP99">
        <v>73.7</v>
      </c>
      <c r="AQ99">
        <v>356.2</v>
      </c>
      <c r="AR99">
        <v>539.29999999999995</v>
      </c>
      <c r="AS99">
        <v>24.2</v>
      </c>
      <c r="AT99">
        <v>3.27</v>
      </c>
      <c r="AU99">
        <v>52.1</v>
      </c>
      <c r="AV99">
        <v>2292.4</v>
      </c>
      <c r="AW99">
        <v>0.3</v>
      </c>
      <c r="AX99">
        <v>540.79999999999995</v>
      </c>
      <c r="AY99">
        <v>116.4</v>
      </c>
      <c r="AZ99">
        <v>657.2</v>
      </c>
      <c r="BA99">
        <v>16223855.4</v>
      </c>
      <c r="BB99">
        <v>306.7</v>
      </c>
      <c r="BC99">
        <v>30.8</v>
      </c>
      <c r="BD99">
        <v>2428138</v>
      </c>
      <c r="BE99">
        <v>85611.1</v>
      </c>
      <c r="BF99">
        <v>13.8</v>
      </c>
      <c r="BG99">
        <v>16240616.800000001</v>
      </c>
      <c r="BH99">
        <v>4828894.2</v>
      </c>
      <c r="BI99">
        <v>21069511</v>
      </c>
      <c r="BJ99">
        <v>0</v>
      </c>
      <c r="BK99">
        <v>0</v>
      </c>
      <c r="BL99">
        <v>16223855.4</v>
      </c>
      <c r="BM99">
        <v>18651993.399999999</v>
      </c>
      <c r="BN99">
        <v>21069511</v>
      </c>
      <c r="BO99">
        <v>32.35</v>
      </c>
      <c r="BP99">
        <v>4.7699999999999996</v>
      </c>
      <c r="BQ99">
        <v>1.91</v>
      </c>
      <c r="BR99">
        <v>39.03</v>
      </c>
      <c r="BS99">
        <v>34.380000000000003</v>
      </c>
      <c r="BT99">
        <v>5.26</v>
      </c>
      <c r="BU99">
        <v>2.06</v>
      </c>
      <c r="BV99">
        <v>41.7</v>
      </c>
      <c r="BW99">
        <v>146868900</v>
      </c>
      <c r="BX99">
        <v>37975664</v>
      </c>
      <c r="BY99">
        <v>26546016</v>
      </c>
      <c r="BZ99">
        <v>0</v>
      </c>
      <c r="CA99">
        <v>0</v>
      </c>
      <c r="CB99">
        <v>42500.7</v>
      </c>
      <c r="CC99">
        <v>40795100</v>
      </c>
      <c r="CD99">
        <v>0</v>
      </c>
      <c r="CE99">
        <v>357220.6</v>
      </c>
      <c r="CF99">
        <v>8397430</v>
      </c>
      <c r="CG99">
        <v>0</v>
      </c>
      <c r="CH99">
        <v>6710778</v>
      </c>
      <c r="CI99">
        <v>0</v>
      </c>
      <c r="CJ99">
        <v>15767021</v>
      </c>
      <c r="CK99">
        <v>12476971</v>
      </c>
      <c r="CL99">
        <v>0</v>
      </c>
      <c r="CM99">
        <v>4459530</v>
      </c>
      <c r="CN99">
        <v>5272143.5</v>
      </c>
      <c r="CO99">
        <v>1310036.8</v>
      </c>
      <c r="CP99">
        <v>429176.8</v>
      </c>
      <c r="CQ99">
        <v>24304976</v>
      </c>
      <c r="CR99">
        <v>486.5</v>
      </c>
      <c r="CS99">
        <v>0</v>
      </c>
      <c r="CT99">
        <v>1097</v>
      </c>
      <c r="CU99">
        <v>0</v>
      </c>
      <c r="CV99">
        <v>0</v>
      </c>
      <c r="CW99">
        <v>0</v>
      </c>
      <c r="CX99">
        <v>4100.7</v>
      </c>
      <c r="CY99">
        <v>13156.2</v>
      </c>
      <c r="CZ99">
        <v>0</v>
      </c>
      <c r="DA99">
        <v>2091.1</v>
      </c>
      <c r="DB99">
        <v>0</v>
      </c>
      <c r="DC99">
        <v>1789.9</v>
      </c>
      <c r="DD99">
        <v>3323.5</v>
      </c>
      <c r="DE99">
        <v>1333.3</v>
      </c>
      <c r="DF99">
        <v>1768</v>
      </c>
      <c r="DG99">
        <v>2363.9</v>
      </c>
      <c r="DH99">
        <v>3150</v>
      </c>
      <c r="DI99">
        <v>4217.3</v>
      </c>
      <c r="DJ99">
        <v>0</v>
      </c>
      <c r="DK99">
        <v>1336.8</v>
      </c>
      <c r="DL99">
        <v>17680</v>
      </c>
      <c r="DM99">
        <v>0</v>
      </c>
      <c r="DN99">
        <v>5.2</v>
      </c>
      <c r="DO99">
        <v>0.37</v>
      </c>
      <c r="DP99">
        <v>0</v>
      </c>
      <c r="DQ99">
        <v>0.15</v>
      </c>
      <c r="DR99">
        <v>0</v>
      </c>
    </row>
    <row r="100" spans="1:122" x14ac:dyDescent="0.3">
      <c r="A100" t="s">
        <v>163</v>
      </c>
      <c r="B100">
        <v>2030</v>
      </c>
      <c r="C100">
        <v>139850037.59999999</v>
      </c>
      <c r="D100">
        <v>134525808.30000001</v>
      </c>
      <c r="E100">
        <v>129689206</v>
      </c>
      <c r="F100">
        <v>0</v>
      </c>
      <c r="G100">
        <v>3050949.2</v>
      </c>
      <c r="H100">
        <v>86100575.599999994</v>
      </c>
      <c r="I100">
        <v>1374827.9</v>
      </c>
      <c r="J100">
        <v>1676121.4</v>
      </c>
      <c r="K100">
        <v>2273280</v>
      </c>
      <c r="L100">
        <v>3.5900000000000001E-2</v>
      </c>
      <c r="M100">
        <v>5.3999999999999999E-2</v>
      </c>
      <c r="N100">
        <v>0.15</v>
      </c>
      <c r="O100">
        <v>58407.99</v>
      </c>
      <c r="P100">
        <v>31493</v>
      </c>
      <c r="Q100">
        <v>78.5</v>
      </c>
      <c r="R100">
        <v>1.5</v>
      </c>
      <c r="S100">
        <v>0.15</v>
      </c>
      <c r="T100">
        <v>12.8</v>
      </c>
      <c r="U100">
        <v>416.2</v>
      </c>
      <c r="V100">
        <v>0.08</v>
      </c>
      <c r="W100">
        <v>78.5</v>
      </c>
      <c r="X100">
        <v>24.5</v>
      </c>
      <c r="Y100">
        <v>103</v>
      </c>
      <c r="Z100">
        <v>80.5</v>
      </c>
      <c r="AA100">
        <v>1.5</v>
      </c>
      <c r="AB100">
        <v>0.15</v>
      </c>
      <c r="AC100">
        <v>13.2</v>
      </c>
      <c r="AD100">
        <v>426.9</v>
      </c>
      <c r="AE100">
        <v>0.08</v>
      </c>
      <c r="AF100">
        <v>80.599999999999994</v>
      </c>
      <c r="AG100">
        <v>25.2</v>
      </c>
      <c r="AH100">
        <v>105.7</v>
      </c>
      <c r="AI100">
        <v>264.8</v>
      </c>
      <c r="AJ100">
        <v>5.2</v>
      </c>
      <c r="AK100">
        <v>0.55000000000000004</v>
      </c>
      <c r="AL100">
        <v>31.3</v>
      </c>
      <c r="AM100">
        <v>1366.2</v>
      </c>
      <c r="AN100">
        <v>0.12</v>
      </c>
      <c r="AO100">
        <v>265.10000000000002</v>
      </c>
      <c r="AP100">
        <v>69.599999999999994</v>
      </c>
      <c r="AQ100">
        <v>334.7</v>
      </c>
      <c r="AR100">
        <v>494.1</v>
      </c>
      <c r="AS100">
        <v>21.4</v>
      </c>
      <c r="AT100">
        <v>2.88</v>
      </c>
      <c r="AU100">
        <v>48.4</v>
      </c>
      <c r="AV100">
        <v>2134.6</v>
      </c>
      <c r="AW100">
        <v>0.27</v>
      </c>
      <c r="AX100">
        <v>495.5</v>
      </c>
      <c r="AY100">
        <v>108.3</v>
      </c>
      <c r="AZ100">
        <v>603.70000000000005</v>
      </c>
      <c r="BA100">
        <v>11373901.699999999</v>
      </c>
      <c r="BB100">
        <v>214.7</v>
      </c>
      <c r="BC100">
        <v>21.5</v>
      </c>
      <c r="BD100">
        <v>1851672.4</v>
      </c>
      <c r="BE100">
        <v>60334</v>
      </c>
      <c r="BF100">
        <v>11.6</v>
      </c>
      <c r="BG100">
        <v>11385620.800000001</v>
      </c>
      <c r="BH100">
        <v>3544092.6</v>
      </c>
      <c r="BI100">
        <v>14929713.4</v>
      </c>
      <c r="BJ100">
        <v>0</v>
      </c>
      <c r="BK100">
        <v>0</v>
      </c>
      <c r="BL100">
        <v>11373901.699999999</v>
      </c>
      <c r="BM100">
        <v>13225574.1</v>
      </c>
      <c r="BN100">
        <v>14929713.4</v>
      </c>
      <c r="BO100">
        <v>29.2</v>
      </c>
      <c r="BP100">
        <v>11.59</v>
      </c>
      <c r="BQ100">
        <v>1.22</v>
      </c>
      <c r="BR100">
        <v>42</v>
      </c>
      <c r="BS100">
        <v>31.12</v>
      </c>
      <c r="BT100">
        <v>12.85</v>
      </c>
      <c r="BU100">
        <v>1.32</v>
      </c>
      <c r="BV100">
        <v>45.28</v>
      </c>
      <c r="BW100">
        <v>145383940</v>
      </c>
      <c r="BX100">
        <v>48425230</v>
      </c>
      <c r="BY100">
        <v>26546016</v>
      </c>
      <c r="BZ100">
        <v>0</v>
      </c>
      <c r="CA100">
        <v>0</v>
      </c>
      <c r="CB100">
        <v>15761.1</v>
      </c>
      <c r="CC100">
        <v>28973178</v>
      </c>
      <c r="CD100">
        <v>0</v>
      </c>
      <c r="CE100">
        <v>244172</v>
      </c>
      <c r="CF100">
        <v>8218012</v>
      </c>
      <c r="CG100">
        <v>0</v>
      </c>
      <c r="CH100">
        <v>6612023</v>
      </c>
      <c r="CI100">
        <v>0</v>
      </c>
      <c r="CJ100">
        <v>15654205</v>
      </c>
      <c r="CK100">
        <v>22273298</v>
      </c>
      <c r="CL100">
        <v>0</v>
      </c>
      <c r="CM100">
        <v>4842466</v>
      </c>
      <c r="CN100">
        <v>5655264.5</v>
      </c>
      <c r="CO100">
        <v>1322592.2</v>
      </c>
      <c r="CP100">
        <v>1166011.2</v>
      </c>
      <c r="CQ100">
        <v>23860932</v>
      </c>
      <c r="CR100">
        <v>1113.7</v>
      </c>
      <c r="CS100">
        <v>0</v>
      </c>
      <c r="CT100">
        <v>1097</v>
      </c>
      <c r="CU100">
        <v>0</v>
      </c>
      <c r="CV100">
        <v>0</v>
      </c>
      <c r="CW100">
        <v>0</v>
      </c>
      <c r="CX100">
        <v>4433.5</v>
      </c>
      <c r="CY100">
        <v>13156.2</v>
      </c>
      <c r="CZ100">
        <v>0</v>
      </c>
      <c r="DA100">
        <v>2091.1</v>
      </c>
      <c r="DB100">
        <v>0</v>
      </c>
      <c r="DC100">
        <v>1789.9</v>
      </c>
      <c r="DD100">
        <v>3323.5</v>
      </c>
      <c r="DE100">
        <v>682.3</v>
      </c>
      <c r="DF100">
        <v>1768</v>
      </c>
      <c r="DG100">
        <v>2569</v>
      </c>
      <c r="DH100">
        <v>5642</v>
      </c>
      <c r="DI100">
        <v>4217.3</v>
      </c>
      <c r="DJ100">
        <v>0</v>
      </c>
      <c r="DK100">
        <v>3859.7</v>
      </c>
      <c r="DL100">
        <v>17680</v>
      </c>
      <c r="DM100">
        <v>0</v>
      </c>
      <c r="DN100">
        <v>3</v>
      </c>
      <c r="DO100">
        <v>0.4</v>
      </c>
      <c r="DP100">
        <v>0</v>
      </c>
      <c r="DQ100">
        <v>0.17</v>
      </c>
      <c r="DR100">
        <v>0</v>
      </c>
    </row>
    <row r="101" spans="1:122" x14ac:dyDescent="0.3">
      <c r="A101" t="s">
        <v>163</v>
      </c>
      <c r="B101">
        <v>2032</v>
      </c>
      <c r="C101">
        <v>142247376.5</v>
      </c>
      <c r="D101">
        <v>136359414.90000001</v>
      </c>
      <c r="E101">
        <v>131456888.8</v>
      </c>
      <c r="F101">
        <v>0</v>
      </c>
      <c r="G101">
        <v>3654240.5</v>
      </c>
      <c r="H101">
        <v>84796734.099999994</v>
      </c>
      <c r="I101">
        <v>1872788.4</v>
      </c>
      <c r="J101">
        <v>1781451.6</v>
      </c>
      <c r="K101">
        <v>2233721.5</v>
      </c>
      <c r="L101">
        <v>3.5900000000000001E-2</v>
      </c>
      <c r="M101">
        <v>5.3999999999999999E-2</v>
      </c>
      <c r="N101">
        <v>0.15</v>
      </c>
      <c r="O101">
        <v>69808.62</v>
      </c>
      <c r="P101">
        <v>31934.400000000001</v>
      </c>
      <c r="Q101">
        <v>69.7</v>
      </c>
      <c r="R101">
        <v>1.3</v>
      </c>
      <c r="S101">
        <v>0.13</v>
      </c>
      <c r="T101">
        <v>11.7</v>
      </c>
      <c r="U101">
        <v>370.4</v>
      </c>
      <c r="V101">
        <v>0.08</v>
      </c>
      <c r="W101">
        <v>69.8</v>
      </c>
      <c r="X101">
        <v>22.1</v>
      </c>
      <c r="Y101">
        <v>91.9</v>
      </c>
      <c r="Z101">
        <v>71.900000000000006</v>
      </c>
      <c r="AA101">
        <v>1.4</v>
      </c>
      <c r="AB101">
        <v>0.14000000000000001</v>
      </c>
      <c r="AC101">
        <v>12.2</v>
      </c>
      <c r="AD101">
        <v>382</v>
      </c>
      <c r="AE101">
        <v>0.08</v>
      </c>
      <c r="AF101">
        <v>71.900000000000006</v>
      </c>
      <c r="AG101">
        <v>22.9</v>
      </c>
      <c r="AH101">
        <v>94.8</v>
      </c>
      <c r="AI101">
        <v>251.3</v>
      </c>
      <c r="AJ101">
        <v>4.8</v>
      </c>
      <c r="AK101">
        <v>0.49</v>
      </c>
      <c r="AL101">
        <v>30</v>
      </c>
      <c r="AM101">
        <v>1308.8</v>
      </c>
      <c r="AN101">
        <v>0.11</v>
      </c>
      <c r="AO101">
        <v>251.6</v>
      </c>
      <c r="AP101">
        <v>66.7</v>
      </c>
      <c r="AQ101">
        <v>318.2</v>
      </c>
      <c r="AR101">
        <v>456</v>
      </c>
      <c r="AS101">
        <v>18.3</v>
      </c>
      <c r="AT101">
        <v>2.42</v>
      </c>
      <c r="AU101">
        <v>46.4</v>
      </c>
      <c r="AV101">
        <v>2030.5</v>
      </c>
      <c r="AW101">
        <v>0.24</v>
      </c>
      <c r="AX101">
        <v>457.1</v>
      </c>
      <c r="AY101">
        <v>103.3</v>
      </c>
      <c r="AZ101">
        <v>560.4</v>
      </c>
      <c r="BA101">
        <v>10074061.1</v>
      </c>
      <c r="BB101">
        <v>190.1</v>
      </c>
      <c r="BC101">
        <v>19.100000000000001</v>
      </c>
      <c r="BD101">
        <v>1695211.5</v>
      </c>
      <c r="BE101">
        <v>53543.7</v>
      </c>
      <c r="BF101">
        <v>11</v>
      </c>
      <c r="BG101">
        <v>10084438.1</v>
      </c>
      <c r="BH101">
        <v>3197349.3</v>
      </c>
      <c r="BI101">
        <v>13281787.4</v>
      </c>
      <c r="BJ101">
        <v>0</v>
      </c>
      <c r="BK101">
        <v>0</v>
      </c>
      <c r="BL101">
        <v>10074061.1</v>
      </c>
      <c r="BM101">
        <v>11769272.6</v>
      </c>
      <c r="BN101">
        <v>13281787.4</v>
      </c>
      <c r="BO101">
        <v>27.18</v>
      </c>
      <c r="BP101">
        <v>13.74</v>
      </c>
      <c r="BQ101">
        <v>0.63</v>
      </c>
      <c r="BR101">
        <v>41.54</v>
      </c>
      <c r="BS101">
        <v>29.06</v>
      </c>
      <c r="BT101">
        <v>15.29</v>
      </c>
      <c r="BU101">
        <v>0.68</v>
      </c>
      <c r="BV101">
        <v>45.04</v>
      </c>
      <c r="BW101">
        <v>144977280</v>
      </c>
      <c r="BX101">
        <v>51562680</v>
      </c>
      <c r="BY101">
        <v>26546016</v>
      </c>
      <c r="BZ101">
        <v>0</v>
      </c>
      <c r="CA101">
        <v>0</v>
      </c>
      <c r="CB101">
        <v>12712.9</v>
      </c>
      <c r="CC101">
        <v>25511978</v>
      </c>
      <c r="CD101">
        <v>0</v>
      </c>
      <c r="CE101">
        <v>245188.7</v>
      </c>
      <c r="CF101">
        <v>8072131</v>
      </c>
      <c r="CG101">
        <v>0</v>
      </c>
      <c r="CH101">
        <v>6514207.5</v>
      </c>
      <c r="CI101">
        <v>0</v>
      </c>
      <c r="CJ101">
        <v>15485776</v>
      </c>
      <c r="CK101">
        <v>25342660</v>
      </c>
      <c r="CL101">
        <v>0</v>
      </c>
      <c r="CM101">
        <v>4766918.5</v>
      </c>
      <c r="CN101">
        <v>5967325</v>
      </c>
      <c r="CO101">
        <v>1422789.8</v>
      </c>
      <c r="CP101">
        <v>1590589.9</v>
      </c>
      <c r="CQ101">
        <v>23498976</v>
      </c>
      <c r="CR101">
        <v>1372.3</v>
      </c>
      <c r="CS101">
        <v>0</v>
      </c>
      <c r="CT101">
        <v>1097</v>
      </c>
      <c r="CU101">
        <v>0</v>
      </c>
      <c r="CV101">
        <v>0</v>
      </c>
      <c r="CW101">
        <v>0</v>
      </c>
      <c r="CX101">
        <v>4723.3999999999996</v>
      </c>
      <c r="CY101">
        <v>13156.2</v>
      </c>
      <c r="CZ101">
        <v>0</v>
      </c>
      <c r="DA101">
        <v>2091.1</v>
      </c>
      <c r="DB101">
        <v>0</v>
      </c>
      <c r="DC101">
        <v>1789.9</v>
      </c>
      <c r="DD101">
        <v>3323.5</v>
      </c>
      <c r="DE101">
        <v>682.3</v>
      </c>
      <c r="DF101">
        <v>1768</v>
      </c>
      <c r="DG101">
        <v>2568.8000000000002</v>
      </c>
      <c r="DH101">
        <v>6442</v>
      </c>
      <c r="DI101">
        <v>4217.3</v>
      </c>
      <c r="DJ101">
        <v>0</v>
      </c>
      <c r="DK101">
        <v>5401.4</v>
      </c>
      <c r="DL101">
        <v>17680</v>
      </c>
      <c r="DM101">
        <v>0</v>
      </c>
      <c r="DN101">
        <v>1.6</v>
      </c>
      <c r="DO101">
        <v>0.41</v>
      </c>
      <c r="DP101">
        <v>0</v>
      </c>
      <c r="DQ101">
        <v>0.18</v>
      </c>
      <c r="DR101">
        <v>0</v>
      </c>
    </row>
    <row r="102" spans="1:122" x14ac:dyDescent="0.3">
      <c r="A102" t="s">
        <v>163</v>
      </c>
      <c r="B102">
        <v>2034</v>
      </c>
      <c r="C102">
        <v>144399261.40000001</v>
      </c>
      <c r="D102">
        <v>138103023.69999999</v>
      </c>
      <c r="E102">
        <v>133137809.5</v>
      </c>
      <c r="F102">
        <v>0</v>
      </c>
      <c r="G102">
        <v>4199074.5</v>
      </c>
      <c r="H102">
        <v>83242191.5</v>
      </c>
      <c r="I102">
        <v>2475254.7999999998</v>
      </c>
      <c r="J102">
        <v>1723819.6</v>
      </c>
      <c r="K102">
        <v>2097163.2999999998</v>
      </c>
      <c r="L102">
        <v>3.5900000000000001E-2</v>
      </c>
      <c r="M102">
        <v>5.3999999999999999E-2</v>
      </c>
      <c r="N102">
        <v>0.15</v>
      </c>
      <c r="O102">
        <v>75167.360000000001</v>
      </c>
      <c r="P102">
        <v>32361.3</v>
      </c>
      <c r="Q102">
        <v>64</v>
      </c>
      <c r="R102">
        <v>1.2</v>
      </c>
      <c r="S102">
        <v>0.12</v>
      </c>
      <c r="T102">
        <v>10.9</v>
      </c>
      <c r="U102">
        <v>340.7</v>
      </c>
      <c r="V102">
        <v>7.0000000000000007E-2</v>
      </c>
      <c r="W102">
        <v>64.099999999999994</v>
      </c>
      <c r="X102">
        <v>20.5</v>
      </c>
      <c r="Y102">
        <v>84.6</v>
      </c>
      <c r="Z102">
        <v>66.5</v>
      </c>
      <c r="AA102">
        <v>1.3</v>
      </c>
      <c r="AB102">
        <v>0.13</v>
      </c>
      <c r="AC102">
        <v>11.4</v>
      </c>
      <c r="AD102">
        <v>353.6</v>
      </c>
      <c r="AE102">
        <v>0.08</v>
      </c>
      <c r="AF102">
        <v>66.5</v>
      </c>
      <c r="AG102">
        <v>21.3</v>
      </c>
      <c r="AH102">
        <v>87.9</v>
      </c>
      <c r="AI102">
        <v>246.8</v>
      </c>
      <c r="AJ102">
        <v>4.7</v>
      </c>
      <c r="AK102">
        <v>0.47</v>
      </c>
      <c r="AL102">
        <v>29.7</v>
      </c>
      <c r="AM102">
        <v>1289.3</v>
      </c>
      <c r="AN102">
        <v>0.11</v>
      </c>
      <c r="AO102">
        <v>247.1</v>
      </c>
      <c r="AP102">
        <v>65.8</v>
      </c>
      <c r="AQ102">
        <v>312.89999999999998</v>
      </c>
      <c r="AR102">
        <v>445.1</v>
      </c>
      <c r="AS102">
        <v>18.2</v>
      </c>
      <c r="AT102">
        <v>2.39</v>
      </c>
      <c r="AU102">
        <v>44.7</v>
      </c>
      <c r="AV102">
        <v>1980</v>
      </c>
      <c r="AW102">
        <v>0.23</v>
      </c>
      <c r="AX102">
        <v>446.2</v>
      </c>
      <c r="AY102">
        <v>100.2</v>
      </c>
      <c r="AZ102">
        <v>546.4</v>
      </c>
      <c r="BA102">
        <v>9240921.0999999996</v>
      </c>
      <c r="BB102">
        <v>174.4</v>
      </c>
      <c r="BC102">
        <v>17.5</v>
      </c>
      <c r="BD102">
        <v>1577410.1</v>
      </c>
      <c r="BE102">
        <v>49169.1</v>
      </c>
      <c r="BF102">
        <v>10.5</v>
      </c>
      <c r="BG102">
        <v>9250438.6999999993</v>
      </c>
      <c r="BH102">
        <v>2956938.7</v>
      </c>
      <c r="BI102">
        <v>12207377.4</v>
      </c>
      <c r="BJ102">
        <v>0</v>
      </c>
      <c r="BK102">
        <v>0</v>
      </c>
      <c r="BL102">
        <v>9240921.0999999996</v>
      </c>
      <c r="BM102">
        <v>10818331.199999999</v>
      </c>
      <c r="BN102">
        <v>12207377.4</v>
      </c>
      <c r="BO102">
        <v>26.31</v>
      </c>
      <c r="BP102">
        <v>14.7</v>
      </c>
      <c r="BQ102">
        <v>0.38</v>
      </c>
      <c r="BR102">
        <v>41.39</v>
      </c>
      <c r="BS102">
        <v>28.16</v>
      </c>
      <c r="BT102">
        <v>16.420000000000002</v>
      </c>
      <c r="BU102">
        <v>0.42</v>
      </c>
      <c r="BV102">
        <v>44.99</v>
      </c>
      <c r="BW102">
        <v>144775980</v>
      </c>
      <c r="BX102">
        <v>54860830</v>
      </c>
      <c r="BY102">
        <v>26546016</v>
      </c>
      <c r="BZ102">
        <v>0</v>
      </c>
      <c r="CA102">
        <v>0</v>
      </c>
      <c r="CB102">
        <v>11138.3</v>
      </c>
      <c r="CC102">
        <v>23560066</v>
      </c>
      <c r="CD102">
        <v>0</v>
      </c>
      <c r="CE102">
        <v>222339.4</v>
      </c>
      <c r="CF102">
        <v>7925676</v>
      </c>
      <c r="CG102">
        <v>0</v>
      </c>
      <c r="CH102">
        <v>6014188</v>
      </c>
      <c r="CI102">
        <v>0</v>
      </c>
      <c r="CJ102">
        <v>15335930</v>
      </c>
      <c r="CK102">
        <v>28470436</v>
      </c>
      <c r="CL102">
        <v>0</v>
      </c>
      <c r="CM102">
        <v>4819338.5</v>
      </c>
      <c r="CN102">
        <v>6235130.5</v>
      </c>
      <c r="CO102">
        <v>1358953.8</v>
      </c>
      <c r="CP102">
        <v>2093277.2</v>
      </c>
      <c r="CQ102">
        <v>22183488</v>
      </c>
      <c r="CR102">
        <v>1731.3</v>
      </c>
      <c r="CS102">
        <v>0</v>
      </c>
      <c r="CT102">
        <v>1045</v>
      </c>
      <c r="CU102">
        <v>0</v>
      </c>
      <c r="CV102">
        <v>0</v>
      </c>
      <c r="CW102">
        <v>0</v>
      </c>
      <c r="CX102">
        <v>4985</v>
      </c>
      <c r="CY102">
        <v>13156.2</v>
      </c>
      <c r="CZ102">
        <v>0</v>
      </c>
      <c r="DA102">
        <v>2091.1</v>
      </c>
      <c r="DB102">
        <v>0</v>
      </c>
      <c r="DC102">
        <v>1789.9</v>
      </c>
      <c r="DD102">
        <v>3323.5</v>
      </c>
      <c r="DE102">
        <v>682.3</v>
      </c>
      <c r="DF102">
        <v>1768</v>
      </c>
      <c r="DG102">
        <v>2624.7</v>
      </c>
      <c r="DH102">
        <v>7242</v>
      </c>
      <c r="DI102">
        <v>4217.3</v>
      </c>
      <c r="DJ102">
        <v>0</v>
      </c>
      <c r="DK102">
        <v>7622.5</v>
      </c>
      <c r="DL102">
        <v>17680</v>
      </c>
      <c r="DM102">
        <v>0</v>
      </c>
      <c r="DN102">
        <v>1</v>
      </c>
      <c r="DO102">
        <v>0.42</v>
      </c>
      <c r="DP102">
        <v>0</v>
      </c>
      <c r="DQ102">
        <v>0.2</v>
      </c>
      <c r="DR102">
        <v>0</v>
      </c>
    </row>
    <row r="103" spans="1:122" x14ac:dyDescent="0.3">
      <c r="A103" t="s">
        <v>163</v>
      </c>
      <c r="B103">
        <v>2036</v>
      </c>
      <c r="C103">
        <v>146937222.40000001</v>
      </c>
      <c r="D103">
        <v>140324537.69999999</v>
      </c>
      <c r="E103">
        <v>135279453.30000001</v>
      </c>
      <c r="F103">
        <v>0</v>
      </c>
      <c r="G103">
        <v>4619891</v>
      </c>
      <c r="H103">
        <v>81982904.400000006</v>
      </c>
      <c r="I103">
        <v>2923519.2</v>
      </c>
      <c r="J103">
        <v>1696372</v>
      </c>
      <c r="K103">
        <v>1992793.5</v>
      </c>
      <c r="L103">
        <v>3.5900000000000001E-2</v>
      </c>
      <c r="M103">
        <v>5.3999999999999999E-2</v>
      </c>
      <c r="N103">
        <v>0.15</v>
      </c>
      <c r="O103">
        <v>85844.01</v>
      </c>
      <c r="P103">
        <v>32900.300000000003</v>
      </c>
      <c r="Q103">
        <v>62.2</v>
      </c>
      <c r="R103">
        <v>1.2</v>
      </c>
      <c r="S103">
        <v>0.12</v>
      </c>
      <c r="T103">
        <v>10.6</v>
      </c>
      <c r="U103">
        <v>331</v>
      </c>
      <c r="V103">
        <v>7.0000000000000007E-2</v>
      </c>
      <c r="W103">
        <v>62.3</v>
      </c>
      <c r="X103">
        <v>19.899999999999999</v>
      </c>
      <c r="Y103">
        <v>82.2</v>
      </c>
      <c r="Z103">
        <v>65</v>
      </c>
      <c r="AA103">
        <v>1.2</v>
      </c>
      <c r="AB103">
        <v>0.12</v>
      </c>
      <c r="AC103">
        <v>11.1</v>
      </c>
      <c r="AD103">
        <v>345.8</v>
      </c>
      <c r="AE103">
        <v>7.0000000000000007E-2</v>
      </c>
      <c r="AF103">
        <v>65.099999999999994</v>
      </c>
      <c r="AG103">
        <v>20.8</v>
      </c>
      <c r="AH103">
        <v>85.9</v>
      </c>
      <c r="AI103">
        <v>240.6</v>
      </c>
      <c r="AJ103">
        <v>4.5999999999999996</v>
      </c>
      <c r="AK103">
        <v>0.46</v>
      </c>
      <c r="AL103">
        <v>28.9</v>
      </c>
      <c r="AM103">
        <v>1257.2</v>
      </c>
      <c r="AN103">
        <v>0.11</v>
      </c>
      <c r="AO103">
        <v>240.8</v>
      </c>
      <c r="AP103">
        <v>64.2</v>
      </c>
      <c r="AQ103">
        <v>305</v>
      </c>
      <c r="AR103">
        <v>448.9</v>
      </c>
      <c r="AS103">
        <v>19.2</v>
      </c>
      <c r="AT103">
        <v>2.56</v>
      </c>
      <c r="AU103">
        <v>44.3</v>
      </c>
      <c r="AV103">
        <v>1957.7</v>
      </c>
      <c r="AW103">
        <v>0.24</v>
      </c>
      <c r="AX103">
        <v>450.1</v>
      </c>
      <c r="AY103">
        <v>99.2</v>
      </c>
      <c r="AZ103">
        <v>549.29999999999995</v>
      </c>
      <c r="BA103">
        <v>9111930.4000000004</v>
      </c>
      <c r="BB103">
        <v>172</v>
      </c>
      <c r="BC103">
        <v>17.3</v>
      </c>
      <c r="BD103">
        <v>1547434.9</v>
      </c>
      <c r="BE103">
        <v>48473.2</v>
      </c>
      <c r="BF103">
        <v>10.4</v>
      </c>
      <c r="BG103">
        <v>9121318.1999999993</v>
      </c>
      <c r="BH103">
        <v>2907445.2</v>
      </c>
      <c r="BI103">
        <v>12028763.4</v>
      </c>
      <c r="BJ103">
        <v>0</v>
      </c>
      <c r="BK103">
        <v>0</v>
      </c>
      <c r="BL103">
        <v>9111930.4000000004</v>
      </c>
      <c r="BM103">
        <v>10659365.300000001</v>
      </c>
      <c r="BN103">
        <v>12028763.4</v>
      </c>
      <c r="BO103">
        <v>26.43</v>
      </c>
      <c r="BP103">
        <v>16.75</v>
      </c>
      <c r="BQ103">
        <v>0.37</v>
      </c>
      <c r="BR103">
        <v>43.55</v>
      </c>
      <c r="BS103">
        <v>28.31</v>
      </c>
      <c r="BT103">
        <v>18.739999999999998</v>
      </c>
      <c r="BU103">
        <v>0.4</v>
      </c>
      <c r="BV103">
        <v>47.45</v>
      </c>
      <c r="BW103">
        <v>146890620</v>
      </c>
      <c r="BX103">
        <v>58341630</v>
      </c>
      <c r="BY103">
        <v>26546016</v>
      </c>
      <c r="BZ103">
        <v>0</v>
      </c>
      <c r="CA103">
        <v>0</v>
      </c>
      <c r="CB103">
        <v>12335.9</v>
      </c>
      <c r="CC103">
        <v>23254994</v>
      </c>
      <c r="CD103">
        <v>0</v>
      </c>
      <c r="CE103">
        <v>244711.9</v>
      </c>
      <c r="CF103">
        <v>7866123</v>
      </c>
      <c r="CG103">
        <v>0</v>
      </c>
      <c r="CH103">
        <v>5719338.5</v>
      </c>
      <c r="CI103">
        <v>0</v>
      </c>
      <c r="CJ103">
        <v>15227222</v>
      </c>
      <c r="CK103">
        <v>31766780</v>
      </c>
      <c r="CL103">
        <v>0</v>
      </c>
      <c r="CM103">
        <v>4812558.5</v>
      </c>
      <c r="CN103">
        <v>6535072.5</v>
      </c>
      <c r="CO103">
        <v>1352013.9</v>
      </c>
      <c r="CP103">
        <v>2482379</v>
      </c>
      <c r="CQ103">
        <v>21071080</v>
      </c>
      <c r="CR103">
        <v>1901</v>
      </c>
      <c r="CS103">
        <v>0</v>
      </c>
      <c r="CT103">
        <v>983</v>
      </c>
      <c r="CU103">
        <v>0</v>
      </c>
      <c r="CV103">
        <v>0</v>
      </c>
      <c r="CW103">
        <v>0</v>
      </c>
      <c r="CX103">
        <v>5266.7</v>
      </c>
      <c r="CY103">
        <v>13156.2</v>
      </c>
      <c r="CZ103">
        <v>0</v>
      </c>
      <c r="DA103">
        <v>2091.1</v>
      </c>
      <c r="DB103">
        <v>0</v>
      </c>
      <c r="DC103">
        <v>1789.9</v>
      </c>
      <c r="DD103">
        <v>3323.5</v>
      </c>
      <c r="DE103">
        <v>682.3</v>
      </c>
      <c r="DF103">
        <v>1768</v>
      </c>
      <c r="DG103">
        <v>2654.1</v>
      </c>
      <c r="DH103">
        <v>8042</v>
      </c>
      <c r="DI103">
        <v>4217.3</v>
      </c>
      <c r="DJ103">
        <v>0</v>
      </c>
      <c r="DK103">
        <v>9129</v>
      </c>
      <c r="DL103">
        <v>17680</v>
      </c>
      <c r="DM103">
        <v>0</v>
      </c>
      <c r="DN103">
        <v>0.9</v>
      </c>
      <c r="DO103">
        <v>0.43</v>
      </c>
      <c r="DP103">
        <v>0</v>
      </c>
      <c r="DQ103">
        <v>0.21</v>
      </c>
      <c r="DR103">
        <v>0</v>
      </c>
    </row>
    <row r="104" spans="1:122" x14ac:dyDescent="0.3">
      <c r="A104" t="s">
        <v>163</v>
      </c>
      <c r="B104">
        <v>2038</v>
      </c>
      <c r="C104">
        <v>149495827</v>
      </c>
      <c r="D104">
        <v>142844069.69999999</v>
      </c>
      <c r="E104">
        <v>137708400.40000001</v>
      </c>
      <c r="F104">
        <v>0</v>
      </c>
      <c r="G104">
        <v>4751722</v>
      </c>
      <c r="H104">
        <v>84263855.900000006</v>
      </c>
      <c r="I104">
        <v>3109155</v>
      </c>
      <c r="J104">
        <v>1642567.2</v>
      </c>
      <c r="K104">
        <v>1900035.1</v>
      </c>
      <c r="L104">
        <v>3.5900000000000001E-2</v>
      </c>
      <c r="M104">
        <v>5.3999999999999999E-2</v>
      </c>
      <c r="N104">
        <v>0.15</v>
      </c>
      <c r="O104">
        <v>90561.8</v>
      </c>
      <c r="P104">
        <v>33511.199999999997</v>
      </c>
      <c r="Q104">
        <v>72.7</v>
      </c>
      <c r="R104">
        <v>1.4</v>
      </c>
      <c r="S104">
        <v>0.14000000000000001</v>
      </c>
      <c r="T104">
        <v>11.2</v>
      </c>
      <c r="U104">
        <v>384.9</v>
      </c>
      <c r="V104">
        <v>7.0000000000000007E-2</v>
      </c>
      <c r="W104">
        <v>72.8</v>
      </c>
      <c r="X104">
        <v>22</v>
      </c>
      <c r="Y104">
        <v>94.7</v>
      </c>
      <c r="Z104">
        <v>76</v>
      </c>
      <c r="AA104">
        <v>1.4</v>
      </c>
      <c r="AB104">
        <v>0.14000000000000001</v>
      </c>
      <c r="AC104">
        <v>11.7</v>
      </c>
      <c r="AD104">
        <v>402.4</v>
      </c>
      <c r="AE104">
        <v>0.08</v>
      </c>
      <c r="AF104">
        <v>76.099999999999994</v>
      </c>
      <c r="AG104">
        <v>23</v>
      </c>
      <c r="AH104">
        <v>99.1</v>
      </c>
      <c r="AI104">
        <v>235.7</v>
      </c>
      <c r="AJ104">
        <v>4.5</v>
      </c>
      <c r="AK104">
        <v>0.45</v>
      </c>
      <c r="AL104">
        <v>28.1</v>
      </c>
      <c r="AM104">
        <v>1231.4000000000001</v>
      </c>
      <c r="AN104">
        <v>0.1</v>
      </c>
      <c r="AO104">
        <v>235.9</v>
      </c>
      <c r="AP104">
        <v>62.6</v>
      </c>
      <c r="AQ104">
        <v>298.60000000000002</v>
      </c>
      <c r="AR104">
        <v>463.8</v>
      </c>
      <c r="AS104">
        <v>19.2</v>
      </c>
      <c r="AT104">
        <v>2.56</v>
      </c>
      <c r="AU104">
        <v>46.5</v>
      </c>
      <c r="AV104">
        <v>2036.2</v>
      </c>
      <c r="AW104">
        <v>0.25</v>
      </c>
      <c r="AX104">
        <v>465</v>
      </c>
      <c r="AY104">
        <v>103.5</v>
      </c>
      <c r="AZ104">
        <v>568.6</v>
      </c>
      <c r="BA104">
        <v>10839432.9</v>
      </c>
      <c r="BB104">
        <v>204.6</v>
      </c>
      <c r="BC104">
        <v>20.5</v>
      </c>
      <c r="BD104">
        <v>1669248.7</v>
      </c>
      <c r="BE104">
        <v>57405.7</v>
      </c>
      <c r="BF104">
        <v>10.8</v>
      </c>
      <c r="BG104">
        <v>10850596.6</v>
      </c>
      <c r="BH104">
        <v>3279467.9</v>
      </c>
      <c r="BI104">
        <v>14130064.5</v>
      </c>
      <c r="BJ104">
        <v>0</v>
      </c>
      <c r="BK104">
        <v>0</v>
      </c>
      <c r="BL104">
        <v>10839432.9</v>
      </c>
      <c r="BM104">
        <v>12508681.5</v>
      </c>
      <c r="BN104">
        <v>14130064.5</v>
      </c>
      <c r="BO104">
        <v>26.6</v>
      </c>
      <c r="BP104">
        <v>17.690000000000001</v>
      </c>
      <c r="BQ104">
        <v>0.37</v>
      </c>
      <c r="BR104">
        <v>44.66</v>
      </c>
      <c r="BS104">
        <v>28.46</v>
      </c>
      <c r="BT104">
        <v>19.77</v>
      </c>
      <c r="BU104">
        <v>0.4</v>
      </c>
      <c r="BV104">
        <v>48.63</v>
      </c>
      <c r="BW104">
        <v>149598400</v>
      </c>
      <c r="BX104">
        <v>58580212</v>
      </c>
      <c r="BY104">
        <v>26546016</v>
      </c>
      <c r="BZ104">
        <v>0</v>
      </c>
      <c r="CA104">
        <v>0</v>
      </c>
      <c r="CB104">
        <v>13024.7</v>
      </c>
      <c r="CC104">
        <v>27614428</v>
      </c>
      <c r="CD104">
        <v>0</v>
      </c>
      <c r="CE104">
        <v>300362.59999999998</v>
      </c>
      <c r="CF104">
        <v>8056021.5</v>
      </c>
      <c r="CG104">
        <v>0</v>
      </c>
      <c r="CH104">
        <v>3760186.8</v>
      </c>
      <c r="CI104">
        <v>0</v>
      </c>
      <c r="CJ104">
        <v>15125858</v>
      </c>
      <c r="CK104">
        <v>31610730</v>
      </c>
      <c r="CL104">
        <v>0</v>
      </c>
      <c r="CM104">
        <v>5132033.5</v>
      </c>
      <c r="CN104">
        <v>6711592</v>
      </c>
      <c r="CO104">
        <v>1292421.3999999999</v>
      </c>
      <c r="CP104">
        <v>2630598.5</v>
      </c>
      <c r="CQ104">
        <v>20805132</v>
      </c>
      <c r="CR104">
        <v>1953.7</v>
      </c>
      <c r="CS104">
        <v>0</v>
      </c>
      <c r="CT104">
        <v>598.6</v>
      </c>
      <c r="CU104">
        <v>0</v>
      </c>
      <c r="CV104">
        <v>0</v>
      </c>
      <c r="CW104">
        <v>0</v>
      </c>
      <c r="CX104">
        <v>5454.9</v>
      </c>
      <c r="CY104">
        <v>13275.3</v>
      </c>
      <c r="CZ104">
        <v>0</v>
      </c>
      <c r="DA104">
        <v>2415.1</v>
      </c>
      <c r="DB104">
        <v>0</v>
      </c>
      <c r="DC104">
        <v>1789.9</v>
      </c>
      <c r="DD104">
        <v>3323.5</v>
      </c>
      <c r="DE104">
        <v>682.3</v>
      </c>
      <c r="DF104">
        <v>1768</v>
      </c>
      <c r="DG104">
        <v>2856.5</v>
      </c>
      <c r="DH104">
        <v>8042</v>
      </c>
      <c r="DI104">
        <v>4175.3</v>
      </c>
      <c r="DJ104">
        <v>0</v>
      </c>
      <c r="DK104">
        <v>10179.799999999999</v>
      </c>
      <c r="DL104">
        <v>17680</v>
      </c>
      <c r="DM104">
        <v>0</v>
      </c>
      <c r="DN104">
        <v>0.9</v>
      </c>
      <c r="DO104">
        <v>0.44</v>
      </c>
      <c r="DP104">
        <v>0</v>
      </c>
      <c r="DQ104">
        <v>0.23</v>
      </c>
      <c r="DR104">
        <v>0</v>
      </c>
    </row>
    <row r="105" spans="1:122" x14ac:dyDescent="0.3">
      <c r="A105" t="s">
        <v>163</v>
      </c>
      <c r="B105">
        <v>2040</v>
      </c>
      <c r="C105">
        <v>152020644.5</v>
      </c>
      <c r="D105">
        <v>145351688.19999999</v>
      </c>
      <c r="E105">
        <v>140125862.69999999</v>
      </c>
      <c r="F105">
        <v>0</v>
      </c>
      <c r="G105">
        <v>4725136</v>
      </c>
      <c r="H105">
        <v>87337750.700000003</v>
      </c>
      <c r="I105">
        <v>3150847.5</v>
      </c>
      <c r="J105">
        <v>1574288.2</v>
      </c>
      <c r="K105">
        <v>1943820.5</v>
      </c>
      <c r="L105">
        <v>3.5900000000000001E-2</v>
      </c>
      <c r="M105">
        <v>5.3999999999999999E-2</v>
      </c>
      <c r="N105">
        <v>0.15</v>
      </c>
      <c r="O105">
        <v>94224.14</v>
      </c>
      <c r="P105">
        <v>34092</v>
      </c>
      <c r="Q105">
        <v>79.5</v>
      </c>
      <c r="R105">
        <v>1.5</v>
      </c>
      <c r="S105">
        <v>0.15</v>
      </c>
      <c r="T105">
        <v>11.4</v>
      </c>
      <c r="U105">
        <v>419.9</v>
      </c>
      <c r="V105">
        <v>7.0000000000000007E-2</v>
      </c>
      <c r="W105">
        <v>79.599999999999994</v>
      </c>
      <c r="X105">
        <v>23.2</v>
      </c>
      <c r="Y105">
        <v>102.8</v>
      </c>
      <c r="Z105">
        <v>83.7</v>
      </c>
      <c r="AA105">
        <v>1.6</v>
      </c>
      <c r="AB105">
        <v>0.16</v>
      </c>
      <c r="AC105">
        <v>12</v>
      </c>
      <c r="AD105">
        <v>442</v>
      </c>
      <c r="AE105">
        <v>0.08</v>
      </c>
      <c r="AF105">
        <v>83.8</v>
      </c>
      <c r="AG105">
        <v>24.4</v>
      </c>
      <c r="AH105">
        <v>108.2</v>
      </c>
      <c r="AI105">
        <v>225.5</v>
      </c>
      <c r="AJ105">
        <v>4.3</v>
      </c>
      <c r="AK105">
        <v>0.43</v>
      </c>
      <c r="AL105">
        <v>26.7</v>
      </c>
      <c r="AM105">
        <v>1178</v>
      </c>
      <c r="AN105">
        <v>0.1</v>
      </c>
      <c r="AO105">
        <v>225.7</v>
      </c>
      <c r="AP105">
        <v>59.7</v>
      </c>
      <c r="AQ105">
        <v>285.5</v>
      </c>
      <c r="AR105">
        <v>468.1</v>
      </c>
      <c r="AS105">
        <v>18.399999999999999</v>
      </c>
      <c r="AT105">
        <v>2.4</v>
      </c>
      <c r="AU105">
        <v>47.1</v>
      </c>
      <c r="AV105">
        <v>2112.8000000000002</v>
      </c>
      <c r="AW105">
        <v>0.23</v>
      </c>
      <c r="AX105">
        <v>469.2</v>
      </c>
      <c r="AY105">
        <v>106.3</v>
      </c>
      <c r="AZ105">
        <v>575.6</v>
      </c>
      <c r="BA105">
        <v>11875852.9</v>
      </c>
      <c r="BB105">
        <v>224</v>
      </c>
      <c r="BC105">
        <v>22.4</v>
      </c>
      <c r="BD105">
        <v>1709406</v>
      </c>
      <c r="BE105">
        <v>62738.5</v>
      </c>
      <c r="BF105">
        <v>10.9</v>
      </c>
      <c r="BG105">
        <v>11888073</v>
      </c>
      <c r="BH105">
        <v>3468962.7</v>
      </c>
      <c r="BI105">
        <v>15357035.699999999</v>
      </c>
      <c r="BJ105">
        <v>0</v>
      </c>
      <c r="BK105">
        <v>0</v>
      </c>
      <c r="BL105">
        <v>11875852.9</v>
      </c>
      <c r="BM105">
        <v>13585258.800000001</v>
      </c>
      <c r="BN105">
        <v>15357035.699999999</v>
      </c>
      <c r="BO105">
        <v>27.58</v>
      </c>
      <c r="BP105">
        <v>18.43</v>
      </c>
      <c r="BQ105">
        <v>0.48</v>
      </c>
      <c r="BR105">
        <v>46.49</v>
      </c>
      <c r="BS105">
        <v>29.47</v>
      </c>
      <c r="BT105">
        <v>20.6</v>
      </c>
      <c r="BU105">
        <v>0.52</v>
      </c>
      <c r="BV105">
        <v>50.6</v>
      </c>
      <c r="BW105">
        <v>149893860</v>
      </c>
      <c r="BX105">
        <v>58013940</v>
      </c>
      <c r="BY105">
        <v>26546016</v>
      </c>
      <c r="BZ105">
        <v>0</v>
      </c>
      <c r="CA105">
        <v>0</v>
      </c>
      <c r="CB105">
        <v>9402.9</v>
      </c>
      <c r="CC105">
        <v>30285028</v>
      </c>
      <c r="CD105">
        <v>0</v>
      </c>
      <c r="CE105">
        <v>418294.6</v>
      </c>
      <c r="CF105">
        <v>8161030.5</v>
      </c>
      <c r="CG105">
        <v>0</v>
      </c>
      <c r="CH105">
        <v>2060465.4</v>
      </c>
      <c r="CI105">
        <v>0</v>
      </c>
      <c r="CJ105">
        <v>14521165</v>
      </c>
      <c r="CK105">
        <v>31447354</v>
      </c>
      <c r="CL105">
        <v>0</v>
      </c>
      <c r="CM105">
        <v>5194118.5</v>
      </c>
      <c r="CN105">
        <v>6851302.5</v>
      </c>
      <c r="CO105">
        <v>1261340.3999999999</v>
      </c>
      <c r="CP105">
        <v>2677678</v>
      </c>
      <c r="CQ105">
        <v>20460656</v>
      </c>
      <c r="CR105">
        <v>2019.7</v>
      </c>
      <c r="CS105">
        <v>0</v>
      </c>
      <c r="CT105">
        <v>336.9</v>
      </c>
      <c r="CU105">
        <v>0</v>
      </c>
      <c r="CV105">
        <v>0</v>
      </c>
      <c r="CW105">
        <v>0</v>
      </c>
      <c r="CX105">
        <v>5616.7</v>
      </c>
      <c r="CY105">
        <v>13448.8</v>
      </c>
      <c r="CZ105">
        <v>0</v>
      </c>
      <c r="DA105">
        <v>3718.3</v>
      </c>
      <c r="DB105">
        <v>0</v>
      </c>
      <c r="DC105">
        <v>1789.9</v>
      </c>
      <c r="DD105">
        <v>3323.5</v>
      </c>
      <c r="DE105">
        <v>682.3</v>
      </c>
      <c r="DF105">
        <v>1768</v>
      </c>
      <c r="DG105">
        <v>2913.7</v>
      </c>
      <c r="DH105">
        <v>8042</v>
      </c>
      <c r="DI105">
        <v>3949</v>
      </c>
      <c r="DJ105">
        <v>0</v>
      </c>
      <c r="DK105">
        <v>10537.1</v>
      </c>
      <c r="DL105">
        <v>17680</v>
      </c>
      <c r="DM105">
        <v>0</v>
      </c>
      <c r="DN105">
        <v>1.2</v>
      </c>
      <c r="DO105">
        <v>0.45</v>
      </c>
      <c r="DP105">
        <v>0</v>
      </c>
      <c r="DQ105">
        <v>0.25</v>
      </c>
      <c r="DR105">
        <v>0</v>
      </c>
    </row>
    <row r="106" spans="1:122" x14ac:dyDescent="0.3">
      <c r="A106" t="s">
        <v>163</v>
      </c>
      <c r="B106">
        <v>2042</v>
      </c>
      <c r="C106">
        <v>154738865.69999999</v>
      </c>
      <c r="D106">
        <v>147987614.5</v>
      </c>
      <c r="E106">
        <v>142667019.5</v>
      </c>
      <c r="F106">
        <v>0</v>
      </c>
      <c r="G106">
        <v>4837844.5</v>
      </c>
      <c r="H106">
        <v>90749733.599999994</v>
      </c>
      <c r="I106">
        <v>3340355.5</v>
      </c>
      <c r="J106">
        <v>1497488.9</v>
      </c>
      <c r="K106">
        <v>1913406.8</v>
      </c>
      <c r="L106">
        <v>3.5900000000000001E-2</v>
      </c>
      <c r="M106">
        <v>5.3999999999999999E-2</v>
      </c>
      <c r="N106">
        <v>0.15</v>
      </c>
      <c r="O106">
        <v>94561.23</v>
      </c>
      <c r="P106">
        <v>34724.300000000003</v>
      </c>
      <c r="Q106">
        <v>85.1</v>
      </c>
      <c r="R106">
        <v>1.6</v>
      </c>
      <c r="S106">
        <v>0.16</v>
      </c>
      <c r="T106">
        <v>12</v>
      </c>
      <c r="U106">
        <v>449.3</v>
      </c>
      <c r="V106">
        <v>7.0000000000000007E-2</v>
      </c>
      <c r="W106">
        <v>85.2</v>
      </c>
      <c r="X106">
        <v>24.6</v>
      </c>
      <c r="Y106">
        <v>109.8</v>
      </c>
      <c r="Z106">
        <v>89.8</v>
      </c>
      <c r="AA106">
        <v>1.7</v>
      </c>
      <c r="AB106">
        <v>0.17</v>
      </c>
      <c r="AC106">
        <v>12.6</v>
      </c>
      <c r="AD106">
        <v>473.7</v>
      </c>
      <c r="AE106">
        <v>0.08</v>
      </c>
      <c r="AF106">
        <v>89.9</v>
      </c>
      <c r="AG106">
        <v>25.9</v>
      </c>
      <c r="AH106">
        <v>115.7</v>
      </c>
      <c r="AI106">
        <v>212.5</v>
      </c>
      <c r="AJ106">
        <v>4.0999999999999996</v>
      </c>
      <c r="AK106">
        <v>0.41</v>
      </c>
      <c r="AL106">
        <v>25.1</v>
      </c>
      <c r="AM106">
        <v>1108.5</v>
      </c>
      <c r="AN106">
        <v>0.09</v>
      </c>
      <c r="AO106">
        <v>212.7</v>
      </c>
      <c r="AP106">
        <v>56.1</v>
      </c>
      <c r="AQ106">
        <v>268.89999999999998</v>
      </c>
      <c r="AR106">
        <v>470.2</v>
      </c>
      <c r="AS106">
        <v>17.399999999999999</v>
      </c>
      <c r="AT106">
        <v>2.23</v>
      </c>
      <c r="AU106">
        <v>48.2</v>
      </c>
      <c r="AV106">
        <v>2163.5</v>
      </c>
      <c r="AW106">
        <v>0.23</v>
      </c>
      <c r="AX106">
        <v>471.3</v>
      </c>
      <c r="AY106">
        <v>108.9</v>
      </c>
      <c r="AZ106">
        <v>580.20000000000005</v>
      </c>
      <c r="BA106">
        <v>12846129.9</v>
      </c>
      <c r="BB106">
        <v>242.2</v>
      </c>
      <c r="BC106">
        <v>24.2</v>
      </c>
      <c r="BD106">
        <v>1803861</v>
      </c>
      <c r="BE106">
        <v>67801.3</v>
      </c>
      <c r="BF106">
        <v>11.2</v>
      </c>
      <c r="BG106">
        <v>12859337.5</v>
      </c>
      <c r="BH106">
        <v>3705263.3</v>
      </c>
      <c r="BI106">
        <v>16564600.800000001</v>
      </c>
      <c r="BJ106">
        <v>0</v>
      </c>
      <c r="BK106">
        <v>0</v>
      </c>
      <c r="BL106">
        <v>12846129.9</v>
      </c>
      <c r="BM106">
        <v>14649990.9</v>
      </c>
      <c r="BN106">
        <v>16564600.800000001</v>
      </c>
      <c r="BO106">
        <v>28.18</v>
      </c>
      <c r="BP106">
        <v>18.54</v>
      </c>
      <c r="BQ106">
        <v>0.34</v>
      </c>
      <c r="BR106">
        <v>47.06</v>
      </c>
      <c r="BS106">
        <v>30.06</v>
      </c>
      <c r="BT106">
        <v>20.72</v>
      </c>
      <c r="BU106">
        <v>0.37</v>
      </c>
      <c r="BV106">
        <v>51.14</v>
      </c>
      <c r="BW106">
        <v>151389500</v>
      </c>
      <c r="BX106">
        <v>57237880</v>
      </c>
      <c r="BY106">
        <v>26546016</v>
      </c>
      <c r="BZ106">
        <v>0</v>
      </c>
      <c r="CA106">
        <v>0</v>
      </c>
      <c r="CB106">
        <v>5020.5</v>
      </c>
      <c r="CC106">
        <v>32803220</v>
      </c>
      <c r="CD106">
        <v>0</v>
      </c>
      <c r="CE106">
        <v>467667.4</v>
      </c>
      <c r="CF106">
        <v>8220566.5</v>
      </c>
      <c r="CG106">
        <v>0</v>
      </c>
      <c r="CH106">
        <v>1596421.2</v>
      </c>
      <c r="CI106">
        <v>0</v>
      </c>
      <c r="CJ106">
        <v>13542810</v>
      </c>
      <c r="CK106">
        <v>31279376</v>
      </c>
      <c r="CL106">
        <v>0</v>
      </c>
      <c r="CM106">
        <v>5457822.5</v>
      </c>
      <c r="CN106">
        <v>6957873.5</v>
      </c>
      <c r="CO106">
        <v>1186491.8999999999</v>
      </c>
      <c r="CP106">
        <v>2827547.5</v>
      </c>
      <c r="CQ106">
        <v>20498674</v>
      </c>
      <c r="CR106">
        <v>2181.3000000000002</v>
      </c>
      <c r="CS106">
        <v>0</v>
      </c>
      <c r="CT106">
        <v>265.89999999999998</v>
      </c>
      <c r="CU106">
        <v>0</v>
      </c>
      <c r="CV106">
        <v>0</v>
      </c>
      <c r="CW106">
        <v>0</v>
      </c>
      <c r="CX106">
        <v>5761.3</v>
      </c>
      <c r="CY106">
        <v>13244.3</v>
      </c>
      <c r="CZ106">
        <v>0</v>
      </c>
      <c r="DA106">
        <v>4351.1000000000004</v>
      </c>
      <c r="DB106">
        <v>0</v>
      </c>
      <c r="DC106">
        <v>1789.9</v>
      </c>
      <c r="DD106">
        <v>3323.5</v>
      </c>
      <c r="DE106">
        <v>669.3</v>
      </c>
      <c r="DF106">
        <v>1768</v>
      </c>
      <c r="DG106">
        <v>3104.6</v>
      </c>
      <c r="DH106">
        <v>8042</v>
      </c>
      <c r="DI106">
        <v>3621.3</v>
      </c>
      <c r="DJ106">
        <v>0</v>
      </c>
      <c r="DK106">
        <v>11813</v>
      </c>
      <c r="DL106">
        <v>17680</v>
      </c>
      <c r="DM106">
        <v>0</v>
      </c>
      <c r="DN106">
        <v>0.8</v>
      </c>
      <c r="DO106">
        <v>0.45</v>
      </c>
      <c r="DP106">
        <v>0</v>
      </c>
      <c r="DQ106">
        <v>0.26</v>
      </c>
      <c r="DR106">
        <v>0</v>
      </c>
    </row>
    <row r="107" spans="1:122" x14ac:dyDescent="0.3">
      <c r="A107" t="s">
        <v>163</v>
      </c>
      <c r="B107">
        <v>2044</v>
      </c>
      <c r="C107">
        <v>158052308.19999999</v>
      </c>
      <c r="D107">
        <v>150961147</v>
      </c>
      <c r="E107">
        <v>145533644.59999999</v>
      </c>
      <c r="F107">
        <v>0</v>
      </c>
      <c r="G107">
        <v>5145963</v>
      </c>
      <c r="H107">
        <v>92704667.799999997</v>
      </c>
      <c r="I107">
        <v>3670064.8</v>
      </c>
      <c r="J107">
        <v>1475898.5</v>
      </c>
      <c r="K107">
        <v>1945198.1</v>
      </c>
      <c r="L107">
        <v>3.5900000000000001E-2</v>
      </c>
      <c r="M107">
        <v>5.3999999999999999E-2</v>
      </c>
      <c r="N107">
        <v>0.15</v>
      </c>
      <c r="O107">
        <v>94126.31</v>
      </c>
      <c r="P107">
        <v>35436.699999999997</v>
      </c>
      <c r="Q107">
        <v>86.2</v>
      </c>
      <c r="R107">
        <v>1.6</v>
      </c>
      <c r="S107">
        <v>0.16</v>
      </c>
      <c r="T107">
        <v>12</v>
      </c>
      <c r="U107">
        <v>454.9</v>
      </c>
      <c r="V107">
        <v>7.0000000000000007E-2</v>
      </c>
      <c r="W107">
        <v>86.3</v>
      </c>
      <c r="X107">
        <v>24.8</v>
      </c>
      <c r="Y107">
        <v>111.1</v>
      </c>
      <c r="Z107">
        <v>91.2</v>
      </c>
      <c r="AA107">
        <v>1.7</v>
      </c>
      <c r="AB107">
        <v>0.17</v>
      </c>
      <c r="AC107">
        <v>12.7</v>
      </c>
      <c r="AD107">
        <v>481.2</v>
      </c>
      <c r="AE107">
        <v>0.08</v>
      </c>
      <c r="AF107">
        <v>91.3</v>
      </c>
      <c r="AG107">
        <v>26.2</v>
      </c>
      <c r="AH107">
        <v>117.5</v>
      </c>
      <c r="AI107">
        <v>182.7</v>
      </c>
      <c r="AJ107">
        <v>3.8</v>
      </c>
      <c r="AK107">
        <v>0.4</v>
      </c>
      <c r="AL107">
        <v>21.3</v>
      </c>
      <c r="AM107">
        <v>943.2</v>
      </c>
      <c r="AN107">
        <v>0.08</v>
      </c>
      <c r="AO107">
        <v>183</v>
      </c>
      <c r="AP107">
        <v>47.7</v>
      </c>
      <c r="AQ107">
        <v>230.6</v>
      </c>
      <c r="AR107">
        <v>467.3</v>
      </c>
      <c r="AS107">
        <v>16.399999999999999</v>
      </c>
      <c r="AT107">
        <v>2.08</v>
      </c>
      <c r="AU107">
        <v>48.6</v>
      </c>
      <c r="AV107">
        <v>2180.5</v>
      </c>
      <c r="AW107">
        <v>0.22</v>
      </c>
      <c r="AX107">
        <v>468.3</v>
      </c>
      <c r="AY107">
        <v>109.7</v>
      </c>
      <c r="AZ107">
        <v>578</v>
      </c>
      <c r="BA107">
        <v>13188705.1</v>
      </c>
      <c r="BB107">
        <v>248.7</v>
      </c>
      <c r="BC107">
        <v>24.9</v>
      </c>
      <c r="BD107">
        <v>1837630.2</v>
      </c>
      <c r="BE107">
        <v>69586.100000000006</v>
      </c>
      <c r="BF107">
        <v>11.3</v>
      </c>
      <c r="BG107">
        <v>13202263.5</v>
      </c>
      <c r="BH107">
        <v>3789036.9</v>
      </c>
      <c r="BI107">
        <v>16991300.399999999</v>
      </c>
      <c r="BJ107">
        <v>0</v>
      </c>
      <c r="BK107">
        <v>0</v>
      </c>
      <c r="BL107">
        <v>13188705.1</v>
      </c>
      <c r="BM107">
        <v>15026335.199999999</v>
      </c>
      <c r="BN107">
        <v>16991300.399999999</v>
      </c>
      <c r="BO107">
        <v>29.2</v>
      </c>
      <c r="BP107">
        <v>18.43</v>
      </c>
      <c r="BQ107">
        <v>0.3</v>
      </c>
      <c r="BR107">
        <v>47.92</v>
      </c>
      <c r="BS107">
        <v>31.16</v>
      </c>
      <c r="BT107">
        <v>20.62</v>
      </c>
      <c r="BU107">
        <v>0.33</v>
      </c>
      <c r="BV107">
        <v>52.1</v>
      </c>
      <c r="BW107">
        <v>153444510</v>
      </c>
      <c r="BX107">
        <v>58256480</v>
      </c>
      <c r="BY107">
        <v>26546016</v>
      </c>
      <c r="BZ107">
        <v>0</v>
      </c>
      <c r="CA107">
        <v>0</v>
      </c>
      <c r="CB107">
        <v>4576.8999999999996</v>
      </c>
      <c r="CC107">
        <v>33666580</v>
      </c>
      <c r="CD107">
        <v>0</v>
      </c>
      <c r="CE107">
        <v>509365.6</v>
      </c>
      <c r="CF107">
        <v>8244257.5</v>
      </c>
      <c r="CG107">
        <v>0</v>
      </c>
      <c r="CH107">
        <v>1463721</v>
      </c>
      <c r="CI107">
        <v>0</v>
      </c>
      <c r="CJ107">
        <v>14364614</v>
      </c>
      <c r="CK107">
        <v>31110614</v>
      </c>
      <c r="CL107">
        <v>0</v>
      </c>
      <c r="CM107">
        <v>5730084</v>
      </c>
      <c r="CN107">
        <v>7051166.5</v>
      </c>
      <c r="CO107">
        <v>1179516.8</v>
      </c>
      <c r="CP107">
        <v>3114642.2</v>
      </c>
      <c r="CQ107">
        <v>20459354</v>
      </c>
      <c r="CR107">
        <v>2424.1</v>
      </c>
      <c r="CS107">
        <v>0</v>
      </c>
      <c r="CT107">
        <v>234.8</v>
      </c>
      <c r="CU107">
        <v>0</v>
      </c>
      <c r="CV107">
        <v>0</v>
      </c>
      <c r="CW107">
        <v>0</v>
      </c>
      <c r="CX107">
        <v>5898.8</v>
      </c>
      <c r="CY107">
        <v>13244.3</v>
      </c>
      <c r="CZ107">
        <v>0</v>
      </c>
      <c r="DA107">
        <v>4584.2</v>
      </c>
      <c r="DB107">
        <v>0</v>
      </c>
      <c r="DC107">
        <v>1789.9</v>
      </c>
      <c r="DD107">
        <v>3323.5</v>
      </c>
      <c r="DE107">
        <v>669.3</v>
      </c>
      <c r="DF107">
        <v>1768</v>
      </c>
      <c r="DG107">
        <v>3284.8</v>
      </c>
      <c r="DH107">
        <v>8042</v>
      </c>
      <c r="DI107">
        <v>3826.5</v>
      </c>
      <c r="DJ107">
        <v>0</v>
      </c>
      <c r="DK107">
        <v>13575.6</v>
      </c>
      <c r="DL107">
        <v>17680</v>
      </c>
      <c r="DM107">
        <v>0</v>
      </c>
      <c r="DN107">
        <v>0.7</v>
      </c>
      <c r="DO107">
        <v>0.46</v>
      </c>
      <c r="DP107">
        <v>0</v>
      </c>
      <c r="DQ107">
        <v>0.28000000000000003</v>
      </c>
      <c r="DR107">
        <v>0</v>
      </c>
    </row>
    <row r="108" spans="1:122" x14ac:dyDescent="0.3">
      <c r="A108" t="s">
        <v>163</v>
      </c>
      <c r="B108">
        <v>2046</v>
      </c>
      <c r="C108">
        <v>161919654.5</v>
      </c>
      <c r="D108">
        <v>154116467.59999999</v>
      </c>
      <c r="E108">
        <v>148575521.90000001</v>
      </c>
      <c r="F108">
        <v>0</v>
      </c>
      <c r="G108">
        <v>5814068</v>
      </c>
      <c r="H108">
        <v>93014713.400000006</v>
      </c>
      <c r="I108">
        <v>4407489</v>
      </c>
      <c r="J108">
        <v>1406578.9</v>
      </c>
      <c r="K108">
        <v>1989119</v>
      </c>
      <c r="L108">
        <v>3.5900000000000001E-2</v>
      </c>
      <c r="M108">
        <v>5.3999999999999999E-2</v>
      </c>
      <c r="N108">
        <v>0.15</v>
      </c>
      <c r="O108">
        <v>93516.17</v>
      </c>
      <c r="P108">
        <v>36194.300000000003</v>
      </c>
      <c r="Q108">
        <v>83</v>
      </c>
      <c r="R108">
        <v>1.6</v>
      </c>
      <c r="S108">
        <v>0.16</v>
      </c>
      <c r="T108">
        <v>11.6</v>
      </c>
      <c r="U108">
        <v>438.1</v>
      </c>
      <c r="V108">
        <v>7.0000000000000007E-2</v>
      </c>
      <c r="W108">
        <v>83.1</v>
      </c>
      <c r="X108">
        <v>23.9</v>
      </c>
      <c r="Y108">
        <v>107</v>
      </c>
      <c r="Z108">
        <v>88.3</v>
      </c>
      <c r="AA108">
        <v>1.7</v>
      </c>
      <c r="AB108">
        <v>0.17</v>
      </c>
      <c r="AC108">
        <v>12.3</v>
      </c>
      <c r="AD108">
        <v>465.7</v>
      </c>
      <c r="AE108">
        <v>0.08</v>
      </c>
      <c r="AF108">
        <v>88.4</v>
      </c>
      <c r="AG108">
        <v>25.3</v>
      </c>
      <c r="AH108">
        <v>113.7</v>
      </c>
      <c r="AI108">
        <v>141.19999999999999</v>
      </c>
      <c r="AJ108">
        <v>3.2</v>
      </c>
      <c r="AK108">
        <v>0.35</v>
      </c>
      <c r="AL108">
        <v>16.2</v>
      </c>
      <c r="AM108">
        <v>720.3</v>
      </c>
      <c r="AN108">
        <v>0.06</v>
      </c>
      <c r="AO108">
        <v>141.4</v>
      </c>
      <c r="AP108">
        <v>36.4</v>
      </c>
      <c r="AQ108">
        <v>177.8</v>
      </c>
      <c r="AR108">
        <v>464.2</v>
      </c>
      <c r="AS108">
        <v>16.2</v>
      </c>
      <c r="AT108">
        <v>2.0299999999999998</v>
      </c>
      <c r="AU108">
        <v>48.3</v>
      </c>
      <c r="AV108">
        <v>2183</v>
      </c>
      <c r="AW108">
        <v>0.21</v>
      </c>
      <c r="AX108">
        <v>465.2</v>
      </c>
      <c r="AY108">
        <v>109.5</v>
      </c>
      <c r="AZ108">
        <v>574.70000000000005</v>
      </c>
      <c r="BA108">
        <v>12917576.9</v>
      </c>
      <c r="BB108">
        <v>243.5</v>
      </c>
      <c r="BC108">
        <v>24.4</v>
      </c>
      <c r="BD108">
        <v>1802720.1</v>
      </c>
      <c r="BE108">
        <v>68177.399999999994</v>
      </c>
      <c r="BF108">
        <v>11.2</v>
      </c>
      <c r="BG108">
        <v>12930848.300000001</v>
      </c>
      <c r="BH108">
        <v>3714648.5</v>
      </c>
      <c r="BI108">
        <v>16645496.699999999</v>
      </c>
      <c r="BJ108">
        <v>0</v>
      </c>
      <c r="BK108">
        <v>0</v>
      </c>
      <c r="BL108">
        <v>12917576.9</v>
      </c>
      <c r="BM108">
        <v>14720297</v>
      </c>
      <c r="BN108">
        <v>16645496.699999999</v>
      </c>
      <c r="BO108">
        <v>29.23</v>
      </c>
      <c r="BP108">
        <v>18.100000000000001</v>
      </c>
      <c r="BQ108">
        <v>0.61</v>
      </c>
      <c r="BR108">
        <v>47.94</v>
      </c>
      <c r="BS108">
        <v>31.2</v>
      </c>
      <c r="BT108">
        <v>20.32</v>
      </c>
      <c r="BU108">
        <v>0.67</v>
      </c>
      <c r="BV108">
        <v>52.18</v>
      </c>
      <c r="BW108">
        <v>156156320</v>
      </c>
      <c r="BX108">
        <v>61101750</v>
      </c>
      <c r="BY108">
        <v>26546016</v>
      </c>
      <c r="BZ108">
        <v>0</v>
      </c>
      <c r="CA108">
        <v>0</v>
      </c>
      <c r="CB108">
        <v>768.7</v>
      </c>
      <c r="CC108">
        <v>32957754</v>
      </c>
      <c r="CD108">
        <v>0</v>
      </c>
      <c r="CE108">
        <v>565575.6</v>
      </c>
      <c r="CF108">
        <v>8236561.5</v>
      </c>
      <c r="CG108">
        <v>0</v>
      </c>
      <c r="CH108">
        <v>1402246.2</v>
      </c>
      <c r="CI108">
        <v>0</v>
      </c>
      <c r="CJ108">
        <v>15014994</v>
      </c>
      <c r="CK108">
        <v>30962330</v>
      </c>
      <c r="CL108">
        <v>0</v>
      </c>
      <c r="CM108">
        <v>7960785.5</v>
      </c>
      <c r="CN108">
        <v>7163646.5</v>
      </c>
      <c r="CO108">
        <v>1110025.3999999999</v>
      </c>
      <c r="CP108">
        <v>3728160.5</v>
      </c>
      <c r="CQ108">
        <v>20507462</v>
      </c>
      <c r="CR108">
        <v>2785.9</v>
      </c>
      <c r="CS108">
        <v>0</v>
      </c>
      <c r="CT108">
        <v>220.8</v>
      </c>
      <c r="CU108">
        <v>0</v>
      </c>
      <c r="CV108">
        <v>0</v>
      </c>
      <c r="CW108">
        <v>0</v>
      </c>
      <c r="CX108">
        <v>6054.1</v>
      </c>
      <c r="CY108">
        <v>13244.3</v>
      </c>
      <c r="CZ108">
        <v>0</v>
      </c>
      <c r="DA108">
        <v>4758.1000000000004</v>
      </c>
      <c r="DB108">
        <v>0</v>
      </c>
      <c r="DC108">
        <v>1789.9</v>
      </c>
      <c r="DD108">
        <v>3323.5</v>
      </c>
      <c r="DE108">
        <v>296.10000000000002</v>
      </c>
      <c r="DF108">
        <v>1768</v>
      </c>
      <c r="DG108">
        <v>4677.6000000000004</v>
      </c>
      <c r="DH108">
        <v>8042</v>
      </c>
      <c r="DI108">
        <v>3943.1</v>
      </c>
      <c r="DJ108">
        <v>0</v>
      </c>
      <c r="DK108">
        <v>17923.099999999999</v>
      </c>
      <c r="DL108">
        <v>17680</v>
      </c>
      <c r="DM108">
        <v>0</v>
      </c>
      <c r="DN108">
        <v>1.1000000000000001</v>
      </c>
      <c r="DO108">
        <v>0.47</v>
      </c>
      <c r="DP108">
        <v>0</v>
      </c>
      <c r="DQ108">
        <v>0.28999999999999998</v>
      </c>
      <c r="DR108">
        <v>0</v>
      </c>
    </row>
    <row r="109" spans="1:122" x14ac:dyDescent="0.3">
      <c r="A109" t="s">
        <v>163</v>
      </c>
      <c r="B109">
        <v>2048</v>
      </c>
      <c r="C109">
        <v>165860817.59999999</v>
      </c>
      <c r="D109">
        <v>157466561</v>
      </c>
      <c r="E109">
        <v>151805169.5</v>
      </c>
      <c r="F109">
        <v>0</v>
      </c>
      <c r="G109">
        <v>6403876</v>
      </c>
      <c r="H109">
        <v>92839914.700000003</v>
      </c>
      <c r="I109">
        <v>5078787</v>
      </c>
      <c r="J109">
        <v>1325089.2</v>
      </c>
      <c r="K109">
        <v>1990380.5</v>
      </c>
      <c r="L109">
        <v>3.5900000000000001E-2</v>
      </c>
      <c r="M109">
        <v>5.3999999999999999E-2</v>
      </c>
      <c r="N109">
        <v>0.15</v>
      </c>
      <c r="O109">
        <v>91295.93</v>
      </c>
      <c r="P109">
        <v>36994.9</v>
      </c>
      <c r="Q109">
        <v>81.8</v>
      </c>
      <c r="R109">
        <v>1.5</v>
      </c>
      <c r="S109">
        <v>0.15</v>
      </c>
      <c r="T109">
        <v>11.4</v>
      </c>
      <c r="U109">
        <v>431.5</v>
      </c>
      <c r="V109">
        <v>7.0000000000000007E-2</v>
      </c>
      <c r="W109">
        <v>81.8</v>
      </c>
      <c r="X109">
        <v>23.5</v>
      </c>
      <c r="Y109">
        <v>105.3</v>
      </c>
      <c r="Z109">
        <v>87.2</v>
      </c>
      <c r="AA109">
        <v>1.6</v>
      </c>
      <c r="AB109">
        <v>0.16</v>
      </c>
      <c r="AC109">
        <v>12.1</v>
      </c>
      <c r="AD109">
        <v>459.9</v>
      </c>
      <c r="AE109">
        <v>7.0000000000000007E-2</v>
      </c>
      <c r="AF109">
        <v>87.3</v>
      </c>
      <c r="AG109">
        <v>25</v>
      </c>
      <c r="AH109">
        <v>112.3</v>
      </c>
      <c r="AI109">
        <v>116.4</v>
      </c>
      <c r="AJ109">
        <v>2.9</v>
      </c>
      <c r="AK109">
        <v>0.32</v>
      </c>
      <c r="AL109">
        <v>13.2</v>
      </c>
      <c r="AM109">
        <v>587.70000000000005</v>
      </c>
      <c r="AN109">
        <v>0.05</v>
      </c>
      <c r="AO109">
        <v>116.6</v>
      </c>
      <c r="AP109">
        <v>29.6</v>
      </c>
      <c r="AQ109">
        <v>146.19999999999999</v>
      </c>
      <c r="AR109">
        <v>460.2</v>
      </c>
      <c r="AS109">
        <v>14.8</v>
      </c>
      <c r="AT109">
        <v>1.82</v>
      </c>
      <c r="AU109">
        <v>49</v>
      </c>
      <c r="AV109">
        <v>2205.9</v>
      </c>
      <c r="AW109">
        <v>0.21</v>
      </c>
      <c r="AX109">
        <v>461.1</v>
      </c>
      <c r="AY109">
        <v>110.8</v>
      </c>
      <c r="AZ109">
        <v>571.79999999999995</v>
      </c>
      <c r="BA109">
        <v>13075060.4</v>
      </c>
      <c r="BB109">
        <v>246.4</v>
      </c>
      <c r="BC109">
        <v>24.6</v>
      </c>
      <c r="BD109">
        <v>1820521.6</v>
      </c>
      <c r="BE109">
        <v>69001.399999999994</v>
      </c>
      <c r="BF109">
        <v>11.2</v>
      </c>
      <c r="BG109">
        <v>13088492.5</v>
      </c>
      <c r="BH109">
        <v>3755537.6</v>
      </c>
      <c r="BI109">
        <v>16844030.100000001</v>
      </c>
      <c r="BJ109">
        <v>0</v>
      </c>
      <c r="BK109">
        <v>0</v>
      </c>
      <c r="BL109">
        <v>13075060.4</v>
      </c>
      <c r="BM109">
        <v>14895582</v>
      </c>
      <c r="BN109">
        <v>16844030.100000001</v>
      </c>
      <c r="BO109">
        <v>29.7</v>
      </c>
      <c r="BP109">
        <v>17.57</v>
      </c>
      <c r="BQ109">
        <v>0.17</v>
      </c>
      <c r="BR109">
        <v>47.43</v>
      </c>
      <c r="BS109">
        <v>31.71</v>
      </c>
      <c r="BT109">
        <v>19.77</v>
      </c>
      <c r="BU109">
        <v>0.18</v>
      </c>
      <c r="BV109">
        <v>51.67</v>
      </c>
      <c r="BW109">
        <v>160460580</v>
      </c>
      <c r="BX109">
        <v>64626650</v>
      </c>
      <c r="BY109">
        <v>26546016</v>
      </c>
      <c r="BZ109">
        <v>0</v>
      </c>
      <c r="CA109">
        <v>0</v>
      </c>
      <c r="CB109">
        <v>380.3</v>
      </c>
      <c r="CC109">
        <v>33182060</v>
      </c>
      <c r="CD109">
        <v>0</v>
      </c>
      <c r="CE109">
        <v>667231.6</v>
      </c>
      <c r="CF109">
        <v>8215217</v>
      </c>
      <c r="CG109">
        <v>0</v>
      </c>
      <c r="CH109">
        <v>1388663.2</v>
      </c>
      <c r="CI109">
        <v>0</v>
      </c>
      <c r="CJ109">
        <v>17832082</v>
      </c>
      <c r="CK109">
        <v>30795348</v>
      </c>
      <c r="CL109">
        <v>0</v>
      </c>
      <c r="CM109">
        <v>8764650</v>
      </c>
      <c r="CN109">
        <v>7234569</v>
      </c>
      <c r="CO109">
        <v>1058618.3999999999</v>
      </c>
      <c r="CP109">
        <v>4316783</v>
      </c>
      <c r="CQ109">
        <v>20458950</v>
      </c>
      <c r="CR109">
        <v>3382.8</v>
      </c>
      <c r="CS109">
        <v>0</v>
      </c>
      <c r="CT109">
        <v>219</v>
      </c>
      <c r="CU109">
        <v>0</v>
      </c>
      <c r="CV109">
        <v>0</v>
      </c>
      <c r="CW109">
        <v>0</v>
      </c>
      <c r="CX109">
        <v>6177.3</v>
      </c>
      <c r="CY109">
        <v>13244.3</v>
      </c>
      <c r="CZ109">
        <v>0</v>
      </c>
      <c r="DA109">
        <v>5532.7</v>
      </c>
      <c r="DB109">
        <v>0</v>
      </c>
      <c r="DC109">
        <v>1789.9</v>
      </c>
      <c r="DD109">
        <v>3323.5</v>
      </c>
      <c r="DE109">
        <v>296.10000000000002</v>
      </c>
      <c r="DF109">
        <v>1768</v>
      </c>
      <c r="DG109">
        <v>5245.7</v>
      </c>
      <c r="DH109">
        <v>8042</v>
      </c>
      <c r="DI109">
        <v>4670.7</v>
      </c>
      <c r="DJ109">
        <v>0</v>
      </c>
      <c r="DK109">
        <v>22408.799999999999</v>
      </c>
      <c r="DL109">
        <v>17680</v>
      </c>
      <c r="DM109">
        <v>0</v>
      </c>
      <c r="DN109">
        <v>0.4</v>
      </c>
      <c r="DO109">
        <v>0.48</v>
      </c>
      <c r="DP109">
        <v>0</v>
      </c>
      <c r="DQ109">
        <v>0.31</v>
      </c>
      <c r="DR109">
        <v>0</v>
      </c>
    </row>
    <row r="110" spans="1:122" x14ac:dyDescent="0.3">
      <c r="A110" t="s">
        <v>163</v>
      </c>
      <c r="B110">
        <v>2050</v>
      </c>
      <c r="C110">
        <v>171998696.30000001</v>
      </c>
      <c r="D110">
        <v>161271124.59999999</v>
      </c>
      <c r="E110">
        <v>155472947.59999999</v>
      </c>
      <c r="F110">
        <v>0</v>
      </c>
      <c r="G110">
        <v>8647240</v>
      </c>
      <c r="H110">
        <v>87067209.200000003</v>
      </c>
      <c r="I110">
        <v>7363088</v>
      </c>
      <c r="J110">
        <v>1284151.8999999999</v>
      </c>
      <c r="K110">
        <v>2080331.7</v>
      </c>
      <c r="L110">
        <v>3.5900000000000001E-2</v>
      </c>
      <c r="M110">
        <v>5.3999999999999999E-2</v>
      </c>
      <c r="N110">
        <v>0.15</v>
      </c>
      <c r="O110">
        <v>91492.84</v>
      </c>
      <c r="P110">
        <v>37907.9</v>
      </c>
      <c r="Q110">
        <v>63.2</v>
      </c>
      <c r="R110">
        <v>1.2</v>
      </c>
      <c r="S110">
        <v>0.12</v>
      </c>
      <c r="T110">
        <v>9.1</v>
      </c>
      <c r="U110">
        <v>334.4</v>
      </c>
      <c r="V110">
        <v>0.06</v>
      </c>
      <c r="W110">
        <v>63.3</v>
      </c>
      <c r="X110">
        <v>18.5</v>
      </c>
      <c r="Y110">
        <v>81.8</v>
      </c>
      <c r="Z110">
        <v>68.599999999999994</v>
      </c>
      <c r="AA110">
        <v>1.3</v>
      </c>
      <c r="AB110">
        <v>0.13</v>
      </c>
      <c r="AC110">
        <v>9.9</v>
      </c>
      <c r="AD110">
        <v>362.7</v>
      </c>
      <c r="AE110">
        <v>7.0000000000000007E-2</v>
      </c>
      <c r="AF110">
        <v>68.7</v>
      </c>
      <c r="AG110">
        <v>20.100000000000001</v>
      </c>
      <c r="AH110">
        <v>88.7</v>
      </c>
      <c r="AI110">
        <v>103</v>
      </c>
      <c r="AJ110">
        <v>2.5</v>
      </c>
      <c r="AK110">
        <v>0.27</v>
      </c>
      <c r="AL110">
        <v>11.7</v>
      </c>
      <c r="AM110">
        <v>522.29999999999995</v>
      </c>
      <c r="AN110">
        <v>0.05</v>
      </c>
      <c r="AO110">
        <v>103.2</v>
      </c>
      <c r="AP110">
        <v>26.3</v>
      </c>
      <c r="AQ110">
        <v>129.5</v>
      </c>
      <c r="AR110">
        <v>418.5</v>
      </c>
      <c r="AS110">
        <v>12.3</v>
      </c>
      <c r="AT110">
        <v>1.47</v>
      </c>
      <c r="AU110">
        <v>46.4</v>
      </c>
      <c r="AV110">
        <v>2044.7</v>
      </c>
      <c r="AW110">
        <v>0.19</v>
      </c>
      <c r="AX110">
        <v>419.3</v>
      </c>
      <c r="AY110">
        <v>103.7</v>
      </c>
      <c r="AZ110">
        <v>523</v>
      </c>
      <c r="BA110">
        <v>10386501.800000001</v>
      </c>
      <c r="BB110">
        <v>195.8</v>
      </c>
      <c r="BC110">
        <v>19.600000000000001</v>
      </c>
      <c r="BD110">
        <v>1502209.5</v>
      </c>
      <c r="BE110">
        <v>54943.4</v>
      </c>
      <c r="BF110">
        <v>10.1</v>
      </c>
      <c r="BG110">
        <v>10397171.199999999</v>
      </c>
      <c r="BH110">
        <v>3043291.1</v>
      </c>
      <c r="BI110">
        <v>13440462.300000001</v>
      </c>
      <c r="BJ110">
        <v>0</v>
      </c>
      <c r="BK110">
        <v>0</v>
      </c>
      <c r="BL110">
        <v>10386501.800000001</v>
      </c>
      <c r="BM110">
        <v>11888711.199999999</v>
      </c>
      <c r="BN110">
        <v>13440462.300000001</v>
      </c>
      <c r="BO110">
        <v>27.6</v>
      </c>
      <c r="BP110">
        <v>17.059999999999999</v>
      </c>
      <c r="BQ110">
        <v>0.25</v>
      </c>
      <c r="BR110">
        <v>44.9</v>
      </c>
      <c r="BS110">
        <v>29.59</v>
      </c>
      <c r="BT110">
        <v>19.420000000000002</v>
      </c>
      <c r="BU110">
        <v>0.27</v>
      </c>
      <c r="BV110">
        <v>49.28</v>
      </c>
      <c r="BW110">
        <v>164992560</v>
      </c>
      <c r="BX110">
        <v>74203910</v>
      </c>
      <c r="BY110">
        <v>26546016</v>
      </c>
      <c r="BZ110">
        <v>0</v>
      </c>
      <c r="CA110">
        <v>0</v>
      </c>
      <c r="CB110">
        <v>7.4</v>
      </c>
      <c r="CC110">
        <v>26683558</v>
      </c>
      <c r="CD110">
        <v>0</v>
      </c>
      <c r="CE110">
        <v>443490</v>
      </c>
      <c r="CF110">
        <v>8068590.5</v>
      </c>
      <c r="CG110">
        <v>0</v>
      </c>
      <c r="CH110">
        <v>1340078.5</v>
      </c>
      <c r="CI110">
        <v>0</v>
      </c>
      <c r="CJ110">
        <v>21597836</v>
      </c>
      <c r="CK110">
        <v>30629380</v>
      </c>
      <c r="CL110">
        <v>0</v>
      </c>
      <c r="CM110">
        <v>14674098</v>
      </c>
      <c r="CN110">
        <v>7302605</v>
      </c>
      <c r="CO110">
        <v>1005116.9</v>
      </c>
      <c r="CP110">
        <v>6219583.5</v>
      </c>
      <c r="CQ110">
        <v>20482196</v>
      </c>
      <c r="CR110">
        <v>5292.2</v>
      </c>
      <c r="CS110">
        <v>0</v>
      </c>
      <c r="CT110">
        <v>219</v>
      </c>
      <c r="CU110">
        <v>0</v>
      </c>
      <c r="CV110">
        <v>0</v>
      </c>
      <c r="CW110">
        <v>0</v>
      </c>
      <c r="CX110">
        <v>6308.3</v>
      </c>
      <c r="CY110">
        <v>12690.3</v>
      </c>
      <c r="CZ110">
        <v>0</v>
      </c>
      <c r="DA110">
        <v>5545.8</v>
      </c>
      <c r="DB110">
        <v>0</v>
      </c>
      <c r="DC110">
        <v>1789.9</v>
      </c>
      <c r="DD110">
        <v>3323.5</v>
      </c>
      <c r="DE110">
        <v>296.10000000000002</v>
      </c>
      <c r="DF110">
        <v>1768</v>
      </c>
      <c r="DG110">
        <v>8783.9</v>
      </c>
      <c r="DH110">
        <v>8042</v>
      </c>
      <c r="DI110">
        <v>5651.4</v>
      </c>
      <c r="DJ110">
        <v>0</v>
      </c>
      <c r="DK110">
        <v>36985.9</v>
      </c>
      <c r="DL110">
        <v>17680</v>
      </c>
      <c r="DM110">
        <v>0</v>
      </c>
      <c r="DN110">
        <v>0.5</v>
      </c>
      <c r="DO110">
        <v>0.49</v>
      </c>
      <c r="DP110">
        <v>0</v>
      </c>
      <c r="DQ110">
        <v>0.32</v>
      </c>
      <c r="DR110">
        <v>0</v>
      </c>
    </row>
    <row r="111" spans="1:122" x14ac:dyDescent="0.3">
      <c r="A111" t="s">
        <v>164</v>
      </c>
      <c r="B111">
        <v>2022</v>
      </c>
      <c r="C111">
        <v>257155601.90000001</v>
      </c>
      <c r="D111">
        <v>252433049.19999999</v>
      </c>
      <c r="E111">
        <v>243355220.80000001</v>
      </c>
      <c r="F111">
        <v>0</v>
      </c>
      <c r="G111">
        <v>46939.7</v>
      </c>
      <c r="H111">
        <v>211805405.80000001</v>
      </c>
      <c r="I111">
        <v>31036.9</v>
      </c>
      <c r="J111">
        <v>15902.8</v>
      </c>
      <c r="K111">
        <v>4675613</v>
      </c>
      <c r="L111">
        <v>3.5999999999999997E-2</v>
      </c>
      <c r="M111">
        <v>5.3999999999999999E-2</v>
      </c>
      <c r="N111">
        <v>0.15770000000000001</v>
      </c>
      <c r="O111">
        <v>41484.67</v>
      </c>
      <c r="P111">
        <v>48431.4</v>
      </c>
      <c r="Q111">
        <v>250.1</v>
      </c>
      <c r="R111">
        <v>25.1</v>
      </c>
      <c r="S111">
        <v>3.62</v>
      </c>
      <c r="T111">
        <v>11.6</v>
      </c>
      <c r="U111">
        <v>663.1</v>
      </c>
      <c r="V111">
        <v>0.13</v>
      </c>
      <c r="W111">
        <v>251.8</v>
      </c>
      <c r="X111">
        <v>30.2</v>
      </c>
      <c r="Y111">
        <v>282</v>
      </c>
      <c r="Z111">
        <v>243.8</v>
      </c>
      <c r="AA111">
        <v>24.5</v>
      </c>
      <c r="AB111">
        <v>3.54</v>
      </c>
      <c r="AC111">
        <v>11.3</v>
      </c>
      <c r="AD111">
        <v>644.70000000000005</v>
      </c>
      <c r="AE111">
        <v>0.13</v>
      </c>
      <c r="AF111">
        <v>245.4</v>
      </c>
      <c r="AG111">
        <v>29.4</v>
      </c>
      <c r="AH111">
        <v>274.8</v>
      </c>
      <c r="AI111">
        <v>410.8</v>
      </c>
      <c r="AJ111">
        <v>26.9</v>
      </c>
      <c r="AK111">
        <v>3.75</v>
      </c>
      <c r="AL111">
        <v>31.2</v>
      </c>
      <c r="AM111">
        <v>1533</v>
      </c>
      <c r="AN111">
        <v>0.2</v>
      </c>
      <c r="AO111">
        <v>412.6</v>
      </c>
      <c r="AP111">
        <v>74.2</v>
      </c>
      <c r="AQ111">
        <v>486.8</v>
      </c>
      <c r="AR111">
        <v>670.8</v>
      </c>
      <c r="AS111">
        <v>49</v>
      </c>
      <c r="AT111">
        <v>6.88</v>
      </c>
      <c r="AU111">
        <v>46.4</v>
      </c>
      <c r="AV111">
        <v>2350.6999999999998</v>
      </c>
      <c r="AW111">
        <v>0.32</v>
      </c>
      <c r="AX111">
        <v>674</v>
      </c>
      <c r="AY111">
        <v>112.3</v>
      </c>
      <c r="AZ111">
        <v>786.3</v>
      </c>
      <c r="BA111">
        <v>70977657.099999994</v>
      </c>
      <c r="BB111">
        <v>7133.8</v>
      </c>
      <c r="BC111">
        <v>1028.4000000000001</v>
      </c>
      <c r="BD111">
        <v>3279403.6</v>
      </c>
      <c r="BE111">
        <v>187954.7</v>
      </c>
      <c r="BF111">
        <v>36.700000000000003</v>
      </c>
      <c r="BG111">
        <v>71449926.599999994</v>
      </c>
      <c r="BH111">
        <v>8551869.1999999993</v>
      </c>
      <c r="BI111">
        <v>80001795.900000006</v>
      </c>
      <c r="BJ111">
        <v>0</v>
      </c>
      <c r="BK111">
        <v>0</v>
      </c>
      <c r="BL111">
        <v>70977657.099999994</v>
      </c>
      <c r="BM111">
        <v>74257060.700000003</v>
      </c>
      <c r="BN111">
        <v>80001795.900000006</v>
      </c>
      <c r="BO111">
        <v>33.86</v>
      </c>
      <c r="BP111">
        <v>7.44</v>
      </c>
      <c r="BQ111">
        <v>0</v>
      </c>
      <c r="BR111">
        <v>41.3</v>
      </c>
      <c r="BS111">
        <v>35.799999999999997</v>
      </c>
      <c r="BT111">
        <v>7.95</v>
      </c>
      <c r="BU111">
        <v>0</v>
      </c>
      <c r="BV111">
        <v>43.74</v>
      </c>
      <c r="BW111">
        <v>286019400</v>
      </c>
      <c r="BX111">
        <v>40627644</v>
      </c>
      <c r="BY111">
        <v>9289308</v>
      </c>
      <c r="BZ111">
        <v>57196344</v>
      </c>
      <c r="CA111">
        <v>0</v>
      </c>
      <c r="CB111">
        <v>148.9</v>
      </c>
      <c r="CC111">
        <v>27316890</v>
      </c>
      <c r="CD111">
        <v>0</v>
      </c>
      <c r="CE111">
        <v>122641.1</v>
      </c>
      <c r="CF111">
        <v>134609700</v>
      </c>
      <c r="CG111">
        <v>5691623.5</v>
      </c>
      <c r="CH111">
        <v>1745745</v>
      </c>
      <c r="CI111">
        <v>0</v>
      </c>
      <c r="CJ111">
        <v>29273316</v>
      </c>
      <c r="CK111">
        <v>0</v>
      </c>
      <c r="CL111">
        <v>2945.7</v>
      </c>
      <c r="CM111">
        <v>9689420</v>
      </c>
      <c r="CN111">
        <v>1661961.9</v>
      </c>
      <c r="CO111">
        <v>13549.1</v>
      </c>
      <c r="CP111">
        <v>26433.5</v>
      </c>
      <c r="CQ111">
        <v>9379359</v>
      </c>
      <c r="CR111">
        <v>482.4</v>
      </c>
      <c r="CS111">
        <v>0</v>
      </c>
      <c r="CT111">
        <v>279.3</v>
      </c>
      <c r="CU111">
        <v>10046.4</v>
      </c>
      <c r="CV111">
        <v>0</v>
      </c>
      <c r="CW111">
        <v>1.5</v>
      </c>
      <c r="CX111">
        <v>1140.7</v>
      </c>
      <c r="CY111">
        <v>8964.4</v>
      </c>
      <c r="CZ111">
        <v>0</v>
      </c>
      <c r="DA111">
        <v>2909.9</v>
      </c>
      <c r="DB111">
        <v>764.3</v>
      </c>
      <c r="DC111">
        <v>33993.800000000003</v>
      </c>
      <c r="DD111">
        <v>1163</v>
      </c>
      <c r="DE111">
        <v>341.8</v>
      </c>
      <c r="DF111">
        <v>314</v>
      </c>
      <c r="DG111">
        <v>4020.1</v>
      </c>
      <c r="DH111">
        <v>0</v>
      </c>
      <c r="DI111">
        <v>10697.4</v>
      </c>
      <c r="DJ111">
        <v>0</v>
      </c>
      <c r="DK111">
        <v>964.8</v>
      </c>
      <c r="DL111">
        <v>3140</v>
      </c>
      <c r="DM111">
        <v>0</v>
      </c>
      <c r="DN111">
        <v>0</v>
      </c>
      <c r="DO111">
        <v>0.1</v>
      </c>
      <c r="DP111">
        <v>0</v>
      </c>
      <c r="DQ111">
        <v>0</v>
      </c>
      <c r="DR111">
        <v>0</v>
      </c>
    </row>
    <row r="112" spans="1:122" x14ac:dyDescent="0.3">
      <c r="A112" t="s">
        <v>164</v>
      </c>
      <c r="B112">
        <v>2024</v>
      </c>
      <c r="C112">
        <v>266262002.80000001</v>
      </c>
      <c r="D112">
        <v>260298540.40000001</v>
      </c>
      <c r="E112">
        <v>250937858</v>
      </c>
      <c r="F112">
        <v>0</v>
      </c>
      <c r="G112">
        <v>79794.2</v>
      </c>
      <c r="H112">
        <v>183362303.40000001</v>
      </c>
      <c r="I112">
        <v>49399.5</v>
      </c>
      <c r="J112">
        <v>30394.7</v>
      </c>
      <c r="K112">
        <v>5883668.2000000002</v>
      </c>
      <c r="L112">
        <v>3.5999999999999997E-2</v>
      </c>
      <c r="M112">
        <v>5.3999999999999999E-2</v>
      </c>
      <c r="N112">
        <v>0.1575</v>
      </c>
      <c r="O112">
        <v>41488.92</v>
      </c>
      <c r="P112">
        <v>50005.4</v>
      </c>
      <c r="Q112">
        <v>137.6</v>
      </c>
      <c r="R112">
        <v>11.5</v>
      </c>
      <c r="S112">
        <v>1.64</v>
      </c>
      <c r="T112">
        <v>8.6999999999999993</v>
      </c>
      <c r="U112">
        <v>437.5</v>
      </c>
      <c r="V112">
        <v>7.0000000000000007E-2</v>
      </c>
      <c r="W112">
        <v>138.30000000000001</v>
      </c>
      <c r="X112">
        <v>20.9</v>
      </c>
      <c r="Y112">
        <v>159.30000000000001</v>
      </c>
      <c r="Z112">
        <v>137.6</v>
      </c>
      <c r="AA112">
        <v>11.6</v>
      </c>
      <c r="AB112">
        <v>1.65</v>
      </c>
      <c r="AC112">
        <v>8.6</v>
      </c>
      <c r="AD112">
        <v>436.2</v>
      </c>
      <c r="AE112">
        <v>7.0000000000000007E-2</v>
      </c>
      <c r="AF112">
        <v>138.30000000000001</v>
      </c>
      <c r="AG112">
        <v>20.9</v>
      </c>
      <c r="AH112">
        <v>159.19999999999999</v>
      </c>
      <c r="AI112">
        <v>353.4</v>
      </c>
      <c r="AJ112">
        <v>20.2</v>
      </c>
      <c r="AK112">
        <v>2.76</v>
      </c>
      <c r="AL112">
        <v>29.6</v>
      </c>
      <c r="AM112">
        <v>1414.1</v>
      </c>
      <c r="AN112">
        <v>0.17</v>
      </c>
      <c r="AO112">
        <v>354.7</v>
      </c>
      <c r="AP112">
        <v>69.2</v>
      </c>
      <c r="AQ112">
        <v>423.9</v>
      </c>
      <c r="AR112">
        <v>716</v>
      </c>
      <c r="AS112">
        <v>55</v>
      </c>
      <c r="AT112">
        <v>7.77</v>
      </c>
      <c r="AU112">
        <v>47.1</v>
      </c>
      <c r="AV112">
        <v>2416.5</v>
      </c>
      <c r="AW112">
        <v>0.35</v>
      </c>
      <c r="AX112">
        <v>719.6</v>
      </c>
      <c r="AY112">
        <v>114.9</v>
      </c>
      <c r="AZ112">
        <v>834.5</v>
      </c>
      <c r="BA112">
        <v>40366282.399999999</v>
      </c>
      <c r="BB112">
        <v>3385.4</v>
      </c>
      <c r="BC112">
        <v>481.2</v>
      </c>
      <c r="BD112">
        <v>2538499.6</v>
      </c>
      <c r="BE112">
        <v>128278.6</v>
      </c>
      <c r="BF112">
        <v>21.4</v>
      </c>
      <c r="BG112">
        <v>40588587.5</v>
      </c>
      <c r="BH112">
        <v>6135974.5</v>
      </c>
      <c r="BI112">
        <v>46724561.899999999</v>
      </c>
      <c r="BJ112">
        <v>0</v>
      </c>
      <c r="BK112">
        <v>0</v>
      </c>
      <c r="BL112">
        <v>40366282.399999999</v>
      </c>
      <c r="BM112">
        <v>42904782</v>
      </c>
      <c r="BN112">
        <v>46724561.899999999</v>
      </c>
      <c r="BO112">
        <v>30.8</v>
      </c>
      <c r="BP112">
        <v>7.38</v>
      </c>
      <c r="BQ112">
        <v>0</v>
      </c>
      <c r="BR112">
        <v>38.17</v>
      </c>
      <c r="BS112">
        <v>32.57</v>
      </c>
      <c r="BT112">
        <v>7.92</v>
      </c>
      <c r="BU112">
        <v>0</v>
      </c>
      <c r="BV112">
        <v>40.49</v>
      </c>
      <c r="BW112">
        <v>296246200</v>
      </c>
      <c r="BX112">
        <v>76936240</v>
      </c>
      <c r="BY112">
        <v>9289308</v>
      </c>
      <c r="BZ112">
        <v>26043730</v>
      </c>
      <c r="CA112">
        <v>0</v>
      </c>
      <c r="CB112">
        <v>396</v>
      </c>
      <c r="CC112">
        <v>33012460</v>
      </c>
      <c r="CD112">
        <v>0</v>
      </c>
      <c r="CE112">
        <v>92268.2</v>
      </c>
      <c r="CF112">
        <v>134592690</v>
      </c>
      <c r="CG112">
        <v>5691623.5</v>
      </c>
      <c r="CH112">
        <v>1744960.6</v>
      </c>
      <c r="CI112">
        <v>0</v>
      </c>
      <c r="CJ112">
        <v>64616810</v>
      </c>
      <c r="CK112">
        <v>0</v>
      </c>
      <c r="CL112">
        <v>2942.7</v>
      </c>
      <c r="CM112">
        <v>10449183</v>
      </c>
      <c r="CN112">
        <v>1867305.6</v>
      </c>
      <c r="CO112">
        <v>27361.599999999999</v>
      </c>
      <c r="CP112">
        <v>41720.9</v>
      </c>
      <c r="CQ112">
        <v>8773456</v>
      </c>
      <c r="CR112">
        <v>502.3</v>
      </c>
      <c r="CS112">
        <v>0</v>
      </c>
      <c r="CT112">
        <v>279.3</v>
      </c>
      <c r="CU112">
        <v>5925.5</v>
      </c>
      <c r="CV112">
        <v>0</v>
      </c>
      <c r="CW112">
        <v>1.5</v>
      </c>
      <c r="CX112">
        <v>1299.9000000000001</v>
      </c>
      <c r="CY112">
        <v>8964.4</v>
      </c>
      <c r="CZ112">
        <v>0</v>
      </c>
      <c r="DA112">
        <v>2909.9</v>
      </c>
      <c r="DB112">
        <v>764.3</v>
      </c>
      <c r="DC112">
        <v>33993.800000000003</v>
      </c>
      <c r="DD112">
        <v>1163</v>
      </c>
      <c r="DE112">
        <v>104.3</v>
      </c>
      <c r="DF112">
        <v>314</v>
      </c>
      <c r="DG112">
        <v>4420.1000000000004</v>
      </c>
      <c r="DH112">
        <v>0</v>
      </c>
      <c r="DI112">
        <v>19147.099999999999</v>
      </c>
      <c r="DJ112">
        <v>0</v>
      </c>
      <c r="DK112">
        <v>1044.3</v>
      </c>
      <c r="DL112">
        <v>3140</v>
      </c>
      <c r="DM112">
        <v>0</v>
      </c>
      <c r="DN112">
        <v>0</v>
      </c>
      <c r="DO112">
        <v>0.1</v>
      </c>
      <c r="DP112">
        <v>0</v>
      </c>
      <c r="DQ112">
        <v>0</v>
      </c>
      <c r="DR112">
        <v>0</v>
      </c>
    </row>
    <row r="113" spans="1:122" x14ac:dyDescent="0.3">
      <c r="A113" t="s">
        <v>164</v>
      </c>
      <c r="B113">
        <v>2026</v>
      </c>
      <c r="C113">
        <v>273242990.69999999</v>
      </c>
      <c r="D113">
        <v>266508694.19999999</v>
      </c>
      <c r="E113">
        <v>256924694.19999999</v>
      </c>
      <c r="F113">
        <v>0</v>
      </c>
      <c r="G113">
        <v>96926.9</v>
      </c>
      <c r="H113">
        <v>188986869.59999999</v>
      </c>
      <c r="I113">
        <v>59466.2</v>
      </c>
      <c r="J113">
        <v>37460.699999999997</v>
      </c>
      <c r="K113">
        <v>6637369.7000000002</v>
      </c>
      <c r="L113">
        <v>3.5999999999999997E-2</v>
      </c>
      <c r="M113">
        <v>5.3999999999999999E-2</v>
      </c>
      <c r="N113">
        <v>0.15740000000000001</v>
      </c>
      <c r="O113">
        <v>48714.7</v>
      </c>
      <c r="P113">
        <v>51139.4</v>
      </c>
      <c r="Q113">
        <v>137.19999999999999</v>
      </c>
      <c r="R113">
        <v>12.4</v>
      </c>
      <c r="S113">
        <v>1.78</v>
      </c>
      <c r="T113">
        <v>7.8</v>
      </c>
      <c r="U113">
        <v>406.6</v>
      </c>
      <c r="V113">
        <v>7.0000000000000007E-2</v>
      </c>
      <c r="W113">
        <v>138</v>
      </c>
      <c r="X113">
        <v>19.2</v>
      </c>
      <c r="Y113">
        <v>157.19999999999999</v>
      </c>
      <c r="Z113">
        <v>138.30000000000001</v>
      </c>
      <c r="AA113">
        <v>12.6</v>
      </c>
      <c r="AB113">
        <v>1.8</v>
      </c>
      <c r="AC113">
        <v>7.8</v>
      </c>
      <c r="AD113">
        <v>407.6</v>
      </c>
      <c r="AE113">
        <v>7.0000000000000007E-2</v>
      </c>
      <c r="AF113">
        <v>139.1</v>
      </c>
      <c r="AG113">
        <v>19.2</v>
      </c>
      <c r="AH113">
        <v>158.4</v>
      </c>
      <c r="AI113">
        <v>273</v>
      </c>
      <c r="AJ113">
        <v>13.2</v>
      </c>
      <c r="AK113">
        <v>1.76</v>
      </c>
      <c r="AL113">
        <v>25</v>
      </c>
      <c r="AM113">
        <v>1167</v>
      </c>
      <c r="AN113">
        <v>0.13</v>
      </c>
      <c r="AO113">
        <v>273.8</v>
      </c>
      <c r="AP113">
        <v>57.7</v>
      </c>
      <c r="AQ113">
        <v>331.6</v>
      </c>
      <c r="AR113">
        <v>727.7</v>
      </c>
      <c r="AS113">
        <v>57.6</v>
      </c>
      <c r="AT113">
        <v>8.17</v>
      </c>
      <c r="AU113">
        <v>46.3</v>
      </c>
      <c r="AV113">
        <v>2401.5</v>
      </c>
      <c r="AW113">
        <v>0.35</v>
      </c>
      <c r="AX113">
        <v>731.4</v>
      </c>
      <c r="AY113">
        <v>113.7</v>
      </c>
      <c r="AZ113">
        <v>845.1</v>
      </c>
      <c r="BA113">
        <v>40971937.200000003</v>
      </c>
      <c r="BB113">
        <v>3718</v>
      </c>
      <c r="BC113">
        <v>531.9</v>
      </c>
      <c r="BD113">
        <v>2318827.2000000002</v>
      </c>
      <c r="BE113">
        <v>121277.1</v>
      </c>
      <c r="BF113">
        <v>21.9</v>
      </c>
      <c r="BG113">
        <v>41216998.100000001</v>
      </c>
      <c r="BH113">
        <v>5720383.0999999996</v>
      </c>
      <c r="BI113">
        <v>46937381.200000003</v>
      </c>
      <c r="BJ113">
        <v>0</v>
      </c>
      <c r="BK113">
        <v>0</v>
      </c>
      <c r="BL113">
        <v>40971937.200000003</v>
      </c>
      <c r="BM113">
        <v>43290764.399999999</v>
      </c>
      <c r="BN113">
        <v>46937381.200000003</v>
      </c>
      <c r="BO113">
        <v>29.72</v>
      </c>
      <c r="BP113">
        <v>8.64</v>
      </c>
      <c r="BQ113">
        <v>0</v>
      </c>
      <c r="BR113">
        <v>38.35</v>
      </c>
      <c r="BS113">
        <v>31.43</v>
      </c>
      <c r="BT113">
        <v>9.2899999999999991</v>
      </c>
      <c r="BU113">
        <v>0</v>
      </c>
      <c r="BV113">
        <v>40.729999999999997</v>
      </c>
      <c r="BW113">
        <v>301227700</v>
      </c>
      <c r="BX113">
        <v>77521820</v>
      </c>
      <c r="BY113">
        <v>9289308</v>
      </c>
      <c r="BZ113">
        <v>29388076</v>
      </c>
      <c r="CA113">
        <v>0</v>
      </c>
      <c r="CB113">
        <v>396.6</v>
      </c>
      <c r="CC113">
        <v>26390436</v>
      </c>
      <c r="CD113">
        <v>0</v>
      </c>
      <c r="CE113">
        <v>76076.399999999994</v>
      </c>
      <c r="CF113">
        <v>140282880</v>
      </c>
      <c r="CG113">
        <v>5784138.5</v>
      </c>
      <c r="CH113">
        <v>1740107.2</v>
      </c>
      <c r="CI113">
        <v>0</v>
      </c>
      <c r="CJ113">
        <v>65087770</v>
      </c>
      <c r="CK113">
        <v>0</v>
      </c>
      <c r="CL113">
        <v>2943.3</v>
      </c>
      <c r="CM113">
        <v>10306517</v>
      </c>
      <c r="CN113">
        <v>2124595</v>
      </c>
      <c r="CO113">
        <v>31835.599999999999</v>
      </c>
      <c r="CP113">
        <v>49931.5</v>
      </c>
      <c r="CQ113">
        <v>10672692</v>
      </c>
      <c r="CR113">
        <v>502.3</v>
      </c>
      <c r="CS113">
        <v>0</v>
      </c>
      <c r="CT113">
        <v>279.3</v>
      </c>
      <c r="CU113">
        <v>5255.5</v>
      </c>
      <c r="CV113">
        <v>0</v>
      </c>
      <c r="CW113">
        <v>1.5</v>
      </c>
      <c r="CX113">
        <v>1504.7</v>
      </c>
      <c r="CY113">
        <v>8964.4</v>
      </c>
      <c r="CZ113">
        <v>0</v>
      </c>
      <c r="DA113">
        <v>2909.9</v>
      </c>
      <c r="DB113">
        <v>776.7</v>
      </c>
      <c r="DC113">
        <v>35347.1</v>
      </c>
      <c r="DD113">
        <v>1163</v>
      </c>
      <c r="DE113">
        <v>104.3</v>
      </c>
      <c r="DF113">
        <v>314</v>
      </c>
      <c r="DG113">
        <v>4421.2</v>
      </c>
      <c r="DH113">
        <v>0</v>
      </c>
      <c r="DI113">
        <v>19338.2</v>
      </c>
      <c r="DJ113">
        <v>0</v>
      </c>
      <c r="DK113">
        <v>1044.3</v>
      </c>
      <c r="DL113">
        <v>3140</v>
      </c>
      <c r="DM113">
        <v>0</v>
      </c>
      <c r="DN113">
        <v>0</v>
      </c>
      <c r="DO113">
        <v>0.11</v>
      </c>
      <c r="DP113">
        <v>0</v>
      </c>
      <c r="DQ113">
        <v>0</v>
      </c>
      <c r="DR113">
        <v>0</v>
      </c>
    </row>
    <row r="114" spans="1:122" x14ac:dyDescent="0.3">
      <c r="A114" t="s">
        <v>164</v>
      </c>
      <c r="B114">
        <v>2028</v>
      </c>
      <c r="C114">
        <v>278170524.60000002</v>
      </c>
      <c r="D114">
        <v>270845253.80000001</v>
      </c>
      <c r="E114">
        <v>261105309</v>
      </c>
      <c r="F114">
        <v>0</v>
      </c>
      <c r="G114">
        <v>196592.4</v>
      </c>
      <c r="H114">
        <v>193395532.59999999</v>
      </c>
      <c r="I114">
        <v>135778.70000000001</v>
      </c>
      <c r="J114">
        <v>60813.7</v>
      </c>
      <c r="K114">
        <v>7128678.5</v>
      </c>
      <c r="L114">
        <v>3.5999999999999997E-2</v>
      </c>
      <c r="M114">
        <v>5.3999999999999999E-2</v>
      </c>
      <c r="N114">
        <v>0.1573</v>
      </c>
      <c r="O114">
        <v>58893.65</v>
      </c>
      <c r="P114">
        <v>51996.3</v>
      </c>
      <c r="Q114">
        <v>134.6</v>
      </c>
      <c r="R114">
        <v>12.5</v>
      </c>
      <c r="S114">
        <v>1.79</v>
      </c>
      <c r="T114">
        <v>7.5</v>
      </c>
      <c r="U114">
        <v>390.1</v>
      </c>
      <c r="V114">
        <v>0.08</v>
      </c>
      <c r="W114">
        <v>135.4</v>
      </c>
      <c r="X114">
        <v>18.5</v>
      </c>
      <c r="Y114">
        <v>153.80000000000001</v>
      </c>
      <c r="Z114">
        <v>135</v>
      </c>
      <c r="AA114">
        <v>12.6</v>
      </c>
      <c r="AB114">
        <v>1.81</v>
      </c>
      <c r="AC114">
        <v>7.5</v>
      </c>
      <c r="AD114">
        <v>389</v>
      </c>
      <c r="AE114">
        <v>0.08</v>
      </c>
      <c r="AF114">
        <v>135.9</v>
      </c>
      <c r="AG114">
        <v>18.399999999999999</v>
      </c>
      <c r="AH114">
        <v>154.30000000000001</v>
      </c>
      <c r="AI114">
        <v>248.2</v>
      </c>
      <c r="AJ114">
        <v>7.7</v>
      </c>
      <c r="AK114">
        <v>0.94</v>
      </c>
      <c r="AL114">
        <v>26.6</v>
      </c>
      <c r="AM114">
        <v>1199.3</v>
      </c>
      <c r="AN114">
        <v>0.11</v>
      </c>
      <c r="AO114">
        <v>248.7</v>
      </c>
      <c r="AP114">
        <v>60.2</v>
      </c>
      <c r="AQ114">
        <v>308.89999999999998</v>
      </c>
      <c r="AR114">
        <v>707.4</v>
      </c>
      <c r="AS114">
        <v>54.1</v>
      </c>
      <c r="AT114">
        <v>7.65</v>
      </c>
      <c r="AU114">
        <v>46.8</v>
      </c>
      <c r="AV114">
        <v>2393.6999999999998</v>
      </c>
      <c r="AW114">
        <v>0.34</v>
      </c>
      <c r="AX114">
        <v>710.9</v>
      </c>
      <c r="AY114">
        <v>113.9</v>
      </c>
      <c r="AZ114">
        <v>824.9</v>
      </c>
      <c r="BA114">
        <v>40580869.600000001</v>
      </c>
      <c r="BB114">
        <v>3771.1</v>
      </c>
      <c r="BC114">
        <v>540.5</v>
      </c>
      <c r="BD114">
        <v>2262676.1</v>
      </c>
      <c r="BE114">
        <v>117431</v>
      </c>
      <c r="BF114">
        <v>22.8</v>
      </c>
      <c r="BG114">
        <v>40829694.200000003</v>
      </c>
      <c r="BH114">
        <v>5556780.2999999998</v>
      </c>
      <c r="BI114">
        <v>46386474.5</v>
      </c>
      <c r="BJ114">
        <v>0</v>
      </c>
      <c r="BK114">
        <v>0</v>
      </c>
      <c r="BL114">
        <v>40580869.600000001</v>
      </c>
      <c r="BM114">
        <v>42843545.799999997</v>
      </c>
      <c r="BN114">
        <v>46386474.5</v>
      </c>
      <c r="BO114">
        <v>31.08</v>
      </c>
      <c r="BP114">
        <v>10.43</v>
      </c>
      <c r="BQ114">
        <v>0</v>
      </c>
      <c r="BR114">
        <v>41.51</v>
      </c>
      <c r="BS114">
        <v>32.89</v>
      </c>
      <c r="BT114">
        <v>11.24</v>
      </c>
      <c r="BU114">
        <v>0</v>
      </c>
      <c r="BV114">
        <v>44.13</v>
      </c>
      <c r="BW114">
        <v>304135550</v>
      </c>
      <c r="BX114">
        <v>77449720</v>
      </c>
      <c r="BY114">
        <v>14524595</v>
      </c>
      <c r="BZ114">
        <v>29972484</v>
      </c>
      <c r="CA114">
        <v>0</v>
      </c>
      <c r="CB114">
        <v>484.3</v>
      </c>
      <c r="CC114">
        <v>23736790</v>
      </c>
      <c r="CD114">
        <v>0</v>
      </c>
      <c r="CE114">
        <v>104122.2</v>
      </c>
      <c r="CF114">
        <v>140148910</v>
      </c>
      <c r="CG114">
        <v>5821144.5</v>
      </c>
      <c r="CH114">
        <v>1736646</v>
      </c>
      <c r="CI114">
        <v>0</v>
      </c>
      <c r="CJ114">
        <v>64736776</v>
      </c>
      <c r="CK114">
        <v>0</v>
      </c>
      <c r="CL114">
        <v>2947.4</v>
      </c>
      <c r="CM114">
        <v>10162731</v>
      </c>
      <c r="CN114">
        <v>2547267.5</v>
      </c>
      <c r="CO114">
        <v>51585.5</v>
      </c>
      <c r="CP114">
        <v>115995.4</v>
      </c>
      <c r="CQ114">
        <v>10473067</v>
      </c>
      <c r="CR114">
        <v>556.5</v>
      </c>
      <c r="CS114">
        <v>0</v>
      </c>
      <c r="CT114">
        <v>279.3</v>
      </c>
      <c r="CU114">
        <v>4836.2</v>
      </c>
      <c r="CV114">
        <v>0</v>
      </c>
      <c r="CW114">
        <v>1.5</v>
      </c>
      <c r="CX114">
        <v>1833.7</v>
      </c>
      <c r="CY114">
        <v>8964.4</v>
      </c>
      <c r="CZ114">
        <v>0</v>
      </c>
      <c r="DA114">
        <v>2864.9</v>
      </c>
      <c r="DB114">
        <v>781.7</v>
      </c>
      <c r="DC114">
        <v>35347.1</v>
      </c>
      <c r="DD114">
        <v>1828</v>
      </c>
      <c r="DE114">
        <v>104.3</v>
      </c>
      <c r="DF114">
        <v>314</v>
      </c>
      <c r="DG114">
        <v>4421.2</v>
      </c>
      <c r="DH114">
        <v>0</v>
      </c>
      <c r="DI114">
        <v>19338.2</v>
      </c>
      <c r="DJ114">
        <v>0</v>
      </c>
      <c r="DK114">
        <v>1261.4000000000001</v>
      </c>
      <c r="DL114">
        <v>3140</v>
      </c>
      <c r="DM114">
        <v>0</v>
      </c>
      <c r="DN114">
        <v>0</v>
      </c>
      <c r="DO114">
        <v>0.11</v>
      </c>
      <c r="DP114">
        <v>0</v>
      </c>
      <c r="DQ114">
        <v>0</v>
      </c>
      <c r="DR114">
        <v>0</v>
      </c>
    </row>
    <row r="115" spans="1:122" x14ac:dyDescent="0.3">
      <c r="A115" t="s">
        <v>164</v>
      </c>
      <c r="B115">
        <v>2030</v>
      </c>
      <c r="C115">
        <v>283985567.69999999</v>
      </c>
      <c r="D115">
        <v>275251640.60000002</v>
      </c>
      <c r="E115">
        <v>265353239.90000001</v>
      </c>
      <c r="F115">
        <v>0</v>
      </c>
      <c r="G115">
        <v>1311862.6000000001</v>
      </c>
      <c r="H115">
        <v>197272302.09999999</v>
      </c>
      <c r="I115">
        <v>1214702</v>
      </c>
      <c r="J115">
        <v>97160.7</v>
      </c>
      <c r="K115">
        <v>7422064.4000000004</v>
      </c>
      <c r="L115">
        <v>3.5999999999999997E-2</v>
      </c>
      <c r="M115">
        <v>5.3999999999999999E-2</v>
      </c>
      <c r="N115">
        <v>0.15709999999999999</v>
      </c>
      <c r="O115">
        <v>63586.15</v>
      </c>
      <c r="P115">
        <v>52867.1</v>
      </c>
      <c r="Q115">
        <v>119.4</v>
      </c>
      <c r="R115">
        <v>10.9</v>
      </c>
      <c r="S115">
        <v>1.56</v>
      </c>
      <c r="T115">
        <v>7.1</v>
      </c>
      <c r="U115">
        <v>353</v>
      </c>
      <c r="V115">
        <v>7.0000000000000007E-2</v>
      </c>
      <c r="W115">
        <v>120.1</v>
      </c>
      <c r="X115">
        <v>17</v>
      </c>
      <c r="Y115">
        <v>137.1</v>
      </c>
      <c r="Z115">
        <v>120.5</v>
      </c>
      <c r="AA115">
        <v>11</v>
      </c>
      <c r="AB115">
        <v>1.57</v>
      </c>
      <c r="AC115">
        <v>7.1</v>
      </c>
      <c r="AD115">
        <v>356.3</v>
      </c>
      <c r="AE115">
        <v>7.0000000000000007E-2</v>
      </c>
      <c r="AF115">
        <v>121.3</v>
      </c>
      <c r="AG115">
        <v>17.100000000000001</v>
      </c>
      <c r="AH115">
        <v>138.4</v>
      </c>
      <c r="AI115">
        <v>255.6</v>
      </c>
      <c r="AJ115">
        <v>7.8</v>
      </c>
      <c r="AK115">
        <v>0.94</v>
      </c>
      <c r="AL115">
        <v>27.5</v>
      </c>
      <c r="AM115">
        <v>1241.8</v>
      </c>
      <c r="AN115">
        <v>0.11</v>
      </c>
      <c r="AO115">
        <v>256.10000000000002</v>
      </c>
      <c r="AP115">
        <v>62.3</v>
      </c>
      <c r="AQ115">
        <v>318.39999999999998</v>
      </c>
      <c r="AR115">
        <v>669.6</v>
      </c>
      <c r="AS115">
        <v>50.5</v>
      </c>
      <c r="AT115">
        <v>7.13</v>
      </c>
      <c r="AU115">
        <v>45.2</v>
      </c>
      <c r="AV115">
        <v>2280.9</v>
      </c>
      <c r="AW115">
        <v>0.33</v>
      </c>
      <c r="AX115">
        <v>672.9</v>
      </c>
      <c r="AY115">
        <v>109.1</v>
      </c>
      <c r="AZ115">
        <v>782</v>
      </c>
      <c r="BA115">
        <v>36179316.100000001</v>
      </c>
      <c r="BB115">
        <v>3302.9</v>
      </c>
      <c r="BC115">
        <v>472.7</v>
      </c>
      <c r="BD115">
        <v>2141237</v>
      </c>
      <c r="BE115">
        <v>106732.6</v>
      </c>
      <c r="BF115">
        <v>21.8</v>
      </c>
      <c r="BG115">
        <v>36397075.899999999</v>
      </c>
      <c r="BH115">
        <v>5135514.8</v>
      </c>
      <c r="BI115">
        <v>41532590.799999997</v>
      </c>
      <c r="BJ115">
        <v>0</v>
      </c>
      <c r="BK115">
        <v>0</v>
      </c>
      <c r="BL115">
        <v>36179316.100000001</v>
      </c>
      <c r="BM115">
        <v>38320553.100000001</v>
      </c>
      <c r="BN115">
        <v>41532590.799999997</v>
      </c>
      <c r="BO115">
        <v>30.1</v>
      </c>
      <c r="BP115">
        <v>11.2</v>
      </c>
      <c r="BQ115">
        <v>0</v>
      </c>
      <c r="BR115">
        <v>41.3</v>
      </c>
      <c r="BS115">
        <v>31.89</v>
      </c>
      <c r="BT115">
        <v>12.13</v>
      </c>
      <c r="BU115">
        <v>0</v>
      </c>
      <c r="BV115">
        <v>44.02</v>
      </c>
      <c r="BW115">
        <v>305647360</v>
      </c>
      <c r="BX115">
        <v>77979336</v>
      </c>
      <c r="BY115">
        <v>19992586</v>
      </c>
      <c r="BZ115">
        <v>26015602</v>
      </c>
      <c r="CA115">
        <v>0</v>
      </c>
      <c r="CB115">
        <v>766.2</v>
      </c>
      <c r="CC115">
        <v>22735234</v>
      </c>
      <c r="CD115">
        <v>0</v>
      </c>
      <c r="CE115">
        <v>86748.5</v>
      </c>
      <c r="CF115">
        <v>139881100</v>
      </c>
      <c r="CG115">
        <v>5821144.5</v>
      </c>
      <c r="CH115">
        <v>1724919.2</v>
      </c>
      <c r="CI115">
        <v>0</v>
      </c>
      <c r="CJ115">
        <v>64369664</v>
      </c>
      <c r="CK115">
        <v>0</v>
      </c>
      <c r="CL115">
        <v>2951.4</v>
      </c>
      <c r="CM115">
        <v>10356404</v>
      </c>
      <c r="CN115">
        <v>3250319.5</v>
      </c>
      <c r="CO115">
        <v>77743.199999999997</v>
      </c>
      <c r="CP115">
        <v>1030429.6</v>
      </c>
      <c r="CQ115">
        <v>10301733</v>
      </c>
      <c r="CR115">
        <v>1396.7</v>
      </c>
      <c r="CS115">
        <v>0</v>
      </c>
      <c r="CT115">
        <v>279.3</v>
      </c>
      <c r="CU115">
        <v>4378.2</v>
      </c>
      <c r="CV115">
        <v>0</v>
      </c>
      <c r="CW115">
        <v>1.5</v>
      </c>
      <c r="CX115">
        <v>2369.6999999999998</v>
      </c>
      <c r="CY115">
        <v>8964.4</v>
      </c>
      <c r="CZ115">
        <v>0</v>
      </c>
      <c r="DA115">
        <v>2864.9</v>
      </c>
      <c r="DB115">
        <v>781.7</v>
      </c>
      <c r="DC115">
        <v>35347.1</v>
      </c>
      <c r="DD115">
        <v>2548</v>
      </c>
      <c r="DE115">
        <v>98.9</v>
      </c>
      <c r="DF115">
        <v>314</v>
      </c>
      <c r="DG115">
        <v>4581.8999999999996</v>
      </c>
      <c r="DH115">
        <v>0</v>
      </c>
      <c r="DI115">
        <v>19313.2</v>
      </c>
      <c r="DJ115">
        <v>0</v>
      </c>
      <c r="DK115">
        <v>4963.6000000000004</v>
      </c>
      <c r="DL115">
        <v>3140</v>
      </c>
      <c r="DM115">
        <v>0</v>
      </c>
      <c r="DN115">
        <v>0</v>
      </c>
      <c r="DO115">
        <v>0.13</v>
      </c>
      <c r="DP115">
        <v>0</v>
      </c>
      <c r="DQ115">
        <v>0.32</v>
      </c>
      <c r="DR115">
        <v>0</v>
      </c>
    </row>
    <row r="116" spans="1:122" x14ac:dyDescent="0.3">
      <c r="A116" t="s">
        <v>164</v>
      </c>
      <c r="B116">
        <v>2032</v>
      </c>
      <c r="C116">
        <v>289094453.60000002</v>
      </c>
      <c r="D116">
        <v>279983707.39999998</v>
      </c>
      <c r="E116">
        <v>269915138.60000002</v>
      </c>
      <c r="F116">
        <v>0</v>
      </c>
      <c r="G116">
        <v>1776130.2</v>
      </c>
      <c r="H116">
        <v>202412568.30000001</v>
      </c>
      <c r="I116">
        <v>1682526.8</v>
      </c>
      <c r="J116">
        <v>93603.4</v>
      </c>
      <c r="K116">
        <v>7334615.9000000004</v>
      </c>
      <c r="L116">
        <v>3.5999999999999997E-2</v>
      </c>
      <c r="M116">
        <v>5.3999999999999999E-2</v>
      </c>
      <c r="N116">
        <v>0.157</v>
      </c>
      <c r="O116">
        <v>68472</v>
      </c>
      <c r="P116">
        <v>53802.6</v>
      </c>
      <c r="Q116">
        <v>126.8</v>
      </c>
      <c r="R116">
        <v>11.3</v>
      </c>
      <c r="S116">
        <v>1.62</v>
      </c>
      <c r="T116">
        <v>7.6</v>
      </c>
      <c r="U116">
        <v>381.2</v>
      </c>
      <c r="V116">
        <v>7.0000000000000007E-2</v>
      </c>
      <c r="W116">
        <v>127.5</v>
      </c>
      <c r="X116">
        <v>18.3</v>
      </c>
      <c r="Y116">
        <v>145.9</v>
      </c>
      <c r="Z116">
        <v>125.9</v>
      </c>
      <c r="AA116">
        <v>11.2</v>
      </c>
      <c r="AB116">
        <v>1.6</v>
      </c>
      <c r="AC116">
        <v>7.6</v>
      </c>
      <c r="AD116">
        <v>380.4</v>
      </c>
      <c r="AE116">
        <v>7.0000000000000007E-2</v>
      </c>
      <c r="AF116">
        <v>126.6</v>
      </c>
      <c r="AG116">
        <v>18.3</v>
      </c>
      <c r="AH116">
        <v>144.9</v>
      </c>
      <c r="AI116">
        <v>231.1</v>
      </c>
      <c r="AJ116">
        <v>6.6</v>
      </c>
      <c r="AK116">
        <v>0.78</v>
      </c>
      <c r="AL116">
        <v>25.3</v>
      </c>
      <c r="AM116">
        <v>1137.0999999999999</v>
      </c>
      <c r="AN116">
        <v>0.1</v>
      </c>
      <c r="AO116">
        <v>231.5</v>
      </c>
      <c r="AP116">
        <v>57.2</v>
      </c>
      <c r="AQ116">
        <v>288.7</v>
      </c>
      <c r="AR116">
        <v>649.5</v>
      </c>
      <c r="AS116">
        <v>46.8</v>
      </c>
      <c r="AT116">
        <v>6.58</v>
      </c>
      <c r="AU116">
        <v>45.7</v>
      </c>
      <c r="AV116">
        <v>2286.1</v>
      </c>
      <c r="AW116">
        <v>0.32</v>
      </c>
      <c r="AX116">
        <v>652.6</v>
      </c>
      <c r="AY116">
        <v>109.8</v>
      </c>
      <c r="AZ116">
        <v>762.4</v>
      </c>
      <c r="BA116">
        <v>39028314.600000001</v>
      </c>
      <c r="BB116">
        <v>3497.7</v>
      </c>
      <c r="BC116">
        <v>499.9</v>
      </c>
      <c r="BD116">
        <v>2347655</v>
      </c>
      <c r="BE116">
        <v>117163.1</v>
      </c>
      <c r="BF116">
        <v>23.1</v>
      </c>
      <c r="BG116">
        <v>39258719.299999997</v>
      </c>
      <c r="BH116">
        <v>5634336.5</v>
      </c>
      <c r="BI116">
        <v>44893055.799999997</v>
      </c>
      <c r="BJ116">
        <v>0</v>
      </c>
      <c r="BK116">
        <v>0</v>
      </c>
      <c r="BL116">
        <v>39028314.600000001</v>
      </c>
      <c r="BM116">
        <v>41375969.5</v>
      </c>
      <c r="BN116">
        <v>44893055.799999997</v>
      </c>
      <c r="BO116">
        <v>30.09</v>
      </c>
      <c r="BP116">
        <v>12.04</v>
      </c>
      <c r="BQ116">
        <v>0</v>
      </c>
      <c r="BR116">
        <v>42.12</v>
      </c>
      <c r="BS116">
        <v>31.89</v>
      </c>
      <c r="BT116">
        <v>13.06</v>
      </c>
      <c r="BU116">
        <v>0</v>
      </c>
      <c r="BV116">
        <v>44.95</v>
      </c>
      <c r="BW116">
        <v>310549020</v>
      </c>
      <c r="BX116">
        <v>77571140</v>
      </c>
      <c r="BY116">
        <v>20008618</v>
      </c>
      <c r="BZ116">
        <v>27383156</v>
      </c>
      <c r="CA116">
        <v>0</v>
      </c>
      <c r="CB116">
        <v>511.1</v>
      </c>
      <c r="CC116">
        <v>26426332</v>
      </c>
      <c r="CD116">
        <v>0</v>
      </c>
      <c r="CE116">
        <v>127943.7</v>
      </c>
      <c r="CF116">
        <v>139855280</v>
      </c>
      <c r="CG116">
        <v>5895156.5</v>
      </c>
      <c r="CH116">
        <v>1684214.6</v>
      </c>
      <c r="CI116">
        <v>0</v>
      </c>
      <c r="CJ116">
        <v>63490484</v>
      </c>
      <c r="CK116">
        <v>0</v>
      </c>
      <c r="CL116">
        <v>2961.2</v>
      </c>
      <c r="CM116">
        <v>10211906</v>
      </c>
      <c r="CN116">
        <v>3865790</v>
      </c>
      <c r="CO116">
        <v>77242.3</v>
      </c>
      <c r="CP116">
        <v>1428457</v>
      </c>
      <c r="CQ116">
        <v>10090975</v>
      </c>
      <c r="CR116">
        <v>1935.5</v>
      </c>
      <c r="CS116">
        <v>0</v>
      </c>
      <c r="CT116">
        <v>273.5</v>
      </c>
      <c r="CU116">
        <v>4378.2</v>
      </c>
      <c r="CV116">
        <v>0</v>
      </c>
      <c r="CW116">
        <v>1.5</v>
      </c>
      <c r="CX116">
        <v>2856.2</v>
      </c>
      <c r="CY116">
        <v>9408.1</v>
      </c>
      <c r="CZ116">
        <v>0</v>
      </c>
      <c r="DA116">
        <v>2584.9</v>
      </c>
      <c r="DB116">
        <v>791.6</v>
      </c>
      <c r="DC116">
        <v>35347.1</v>
      </c>
      <c r="DD116">
        <v>2548</v>
      </c>
      <c r="DE116">
        <v>98.9</v>
      </c>
      <c r="DF116">
        <v>314</v>
      </c>
      <c r="DG116">
        <v>4579.7</v>
      </c>
      <c r="DH116">
        <v>0</v>
      </c>
      <c r="DI116">
        <v>18988.900000000001</v>
      </c>
      <c r="DJ116">
        <v>0</v>
      </c>
      <c r="DK116">
        <v>7138.9</v>
      </c>
      <c r="DL116">
        <v>3140</v>
      </c>
      <c r="DM116">
        <v>0</v>
      </c>
      <c r="DN116">
        <v>0</v>
      </c>
      <c r="DO116">
        <v>0.13</v>
      </c>
      <c r="DP116">
        <v>0</v>
      </c>
      <c r="DQ116">
        <v>0.33</v>
      </c>
      <c r="DR116">
        <v>0</v>
      </c>
    </row>
    <row r="117" spans="1:122" x14ac:dyDescent="0.3">
      <c r="A117" t="s">
        <v>164</v>
      </c>
      <c r="B117">
        <v>2034</v>
      </c>
      <c r="C117">
        <v>295348135.39999998</v>
      </c>
      <c r="D117">
        <v>285881473.89999998</v>
      </c>
      <c r="E117">
        <v>275600814.80000001</v>
      </c>
      <c r="F117">
        <v>0</v>
      </c>
      <c r="G117">
        <v>1916168.6</v>
      </c>
      <c r="H117">
        <v>208482288</v>
      </c>
      <c r="I117">
        <v>1813195.6</v>
      </c>
      <c r="J117">
        <v>102972.9</v>
      </c>
      <c r="K117">
        <v>7550492.9000000004</v>
      </c>
      <c r="L117">
        <v>3.5999999999999997E-2</v>
      </c>
      <c r="M117">
        <v>5.3999999999999999E-2</v>
      </c>
      <c r="N117">
        <v>0.15690000000000001</v>
      </c>
      <c r="O117">
        <v>69566.67</v>
      </c>
      <c r="P117">
        <v>54968</v>
      </c>
      <c r="Q117">
        <v>129.30000000000001</v>
      </c>
      <c r="R117">
        <v>11.5</v>
      </c>
      <c r="S117">
        <v>1.65</v>
      </c>
      <c r="T117">
        <v>7.8</v>
      </c>
      <c r="U117">
        <v>389.8</v>
      </c>
      <c r="V117">
        <v>0.08</v>
      </c>
      <c r="W117">
        <v>130.1</v>
      </c>
      <c r="X117">
        <v>18.7</v>
      </c>
      <c r="Y117">
        <v>148.80000000000001</v>
      </c>
      <c r="Z117">
        <v>128.9</v>
      </c>
      <c r="AA117">
        <v>11.5</v>
      </c>
      <c r="AB117">
        <v>1.64</v>
      </c>
      <c r="AC117">
        <v>7.7</v>
      </c>
      <c r="AD117">
        <v>389.6</v>
      </c>
      <c r="AE117">
        <v>0.08</v>
      </c>
      <c r="AF117">
        <v>129.69999999999999</v>
      </c>
      <c r="AG117">
        <v>18.7</v>
      </c>
      <c r="AH117">
        <v>148.4</v>
      </c>
      <c r="AI117">
        <v>228.2</v>
      </c>
      <c r="AJ117">
        <v>5.9</v>
      </c>
      <c r="AK117">
        <v>0.68</v>
      </c>
      <c r="AL117">
        <v>25.6</v>
      </c>
      <c r="AM117">
        <v>1142.5</v>
      </c>
      <c r="AN117">
        <v>0.1</v>
      </c>
      <c r="AO117">
        <v>228.6</v>
      </c>
      <c r="AP117">
        <v>57.6</v>
      </c>
      <c r="AQ117">
        <v>286.2</v>
      </c>
      <c r="AR117">
        <v>671.2</v>
      </c>
      <c r="AS117">
        <v>51.1</v>
      </c>
      <c r="AT117">
        <v>7.2</v>
      </c>
      <c r="AU117">
        <v>44.7</v>
      </c>
      <c r="AV117">
        <v>2286.8000000000002</v>
      </c>
      <c r="AW117">
        <v>0.32</v>
      </c>
      <c r="AX117">
        <v>674.6</v>
      </c>
      <c r="AY117">
        <v>108.8</v>
      </c>
      <c r="AZ117">
        <v>783.4</v>
      </c>
      <c r="BA117">
        <v>39901629.299999997</v>
      </c>
      <c r="BB117">
        <v>3565.5</v>
      </c>
      <c r="BC117">
        <v>509.5</v>
      </c>
      <c r="BD117">
        <v>2386046.6</v>
      </c>
      <c r="BE117">
        <v>120078</v>
      </c>
      <c r="BF117">
        <v>23.4</v>
      </c>
      <c r="BG117">
        <v>40136473.299999997</v>
      </c>
      <c r="BH117">
        <v>5754421.2000000002</v>
      </c>
      <c r="BI117">
        <v>45890894.5</v>
      </c>
      <c r="BJ117">
        <v>0</v>
      </c>
      <c r="BK117">
        <v>0</v>
      </c>
      <c r="BL117">
        <v>39901629.299999997</v>
      </c>
      <c r="BM117">
        <v>42287675.899999999</v>
      </c>
      <c r="BN117">
        <v>45890894.5</v>
      </c>
      <c r="BO117">
        <v>30.01</v>
      </c>
      <c r="BP117">
        <v>12.19</v>
      </c>
      <c r="BQ117">
        <v>0</v>
      </c>
      <c r="BR117">
        <v>42.2</v>
      </c>
      <c r="BS117">
        <v>31.82</v>
      </c>
      <c r="BT117">
        <v>13.25</v>
      </c>
      <c r="BU117">
        <v>0</v>
      </c>
      <c r="BV117">
        <v>45.07</v>
      </c>
      <c r="BW117">
        <v>311193470</v>
      </c>
      <c r="BX117">
        <v>77399180</v>
      </c>
      <c r="BY117">
        <v>19975166</v>
      </c>
      <c r="BZ117">
        <v>27880572</v>
      </c>
      <c r="CA117">
        <v>0</v>
      </c>
      <c r="CB117">
        <v>472.5</v>
      </c>
      <c r="CC117">
        <v>27166470</v>
      </c>
      <c r="CD117">
        <v>0</v>
      </c>
      <c r="CE117">
        <v>128321.60000000001</v>
      </c>
      <c r="CF117">
        <v>139881920</v>
      </c>
      <c r="CG117">
        <v>5932162.5</v>
      </c>
      <c r="CH117">
        <v>1267838.6000000001</v>
      </c>
      <c r="CI117">
        <v>0</v>
      </c>
      <c r="CJ117">
        <v>62484290</v>
      </c>
      <c r="CK117">
        <v>0</v>
      </c>
      <c r="CL117">
        <v>2953.8</v>
      </c>
      <c r="CM117">
        <v>10646253</v>
      </c>
      <c r="CN117">
        <v>4265689</v>
      </c>
      <c r="CO117">
        <v>81850.3</v>
      </c>
      <c r="CP117">
        <v>1536439.6</v>
      </c>
      <c r="CQ117">
        <v>9943069</v>
      </c>
      <c r="CR117">
        <v>1940.3</v>
      </c>
      <c r="CS117">
        <v>0</v>
      </c>
      <c r="CT117">
        <v>217.7</v>
      </c>
      <c r="CU117">
        <v>4378.2</v>
      </c>
      <c r="CV117">
        <v>0</v>
      </c>
      <c r="CW117">
        <v>1.5</v>
      </c>
      <c r="CX117">
        <v>3183.1</v>
      </c>
      <c r="CY117">
        <v>9513.1</v>
      </c>
      <c r="CZ117">
        <v>0</v>
      </c>
      <c r="DA117">
        <v>2383.9</v>
      </c>
      <c r="DB117">
        <v>796.6</v>
      </c>
      <c r="DC117">
        <v>35358.300000000003</v>
      </c>
      <c r="DD117">
        <v>2548</v>
      </c>
      <c r="DE117">
        <v>98.9</v>
      </c>
      <c r="DF117">
        <v>314</v>
      </c>
      <c r="DG117">
        <v>4771</v>
      </c>
      <c r="DH117">
        <v>0</v>
      </c>
      <c r="DI117">
        <v>18659.5</v>
      </c>
      <c r="DJ117">
        <v>0</v>
      </c>
      <c r="DK117">
        <v>7164.2</v>
      </c>
      <c r="DL117">
        <v>3140</v>
      </c>
      <c r="DM117">
        <v>0</v>
      </c>
      <c r="DN117">
        <v>0</v>
      </c>
      <c r="DO117">
        <v>0.13</v>
      </c>
      <c r="DP117">
        <v>0</v>
      </c>
      <c r="DQ117">
        <v>0.34</v>
      </c>
      <c r="DR117">
        <v>0</v>
      </c>
    </row>
    <row r="118" spans="1:122" x14ac:dyDescent="0.3">
      <c r="A118" t="s">
        <v>164</v>
      </c>
      <c r="B118">
        <v>2036</v>
      </c>
      <c r="C118">
        <v>302167022.60000002</v>
      </c>
      <c r="D118">
        <v>292494160.30000001</v>
      </c>
      <c r="E118">
        <v>281975699.5</v>
      </c>
      <c r="F118">
        <v>0</v>
      </c>
      <c r="G118">
        <v>2099176.5</v>
      </c>
      <c r="H118">
        <v>214174462.30000001</v>
      </c>
      <c r="I118">
        <v>2001329.2</v>
      </c>
      <c r="J118">
        <v>97847.5</v>
      </c>
      <c r="K118">
        <v>7573685.7000000002</v>
      </c>
      <c r="L118">
        <v>3.5999999999999997E-2</v>
      </c>
      <c r="M118">
        <v>5.3999999999999999E-2</v>
      </c>
      <c r="N118">
        <v>0.15679999999999999</v>
      </c>
      <c r="O118">
        <v>69846.5</v>
      </c>
      <c r="P118">
        <v>56283.3</v>
      </c>
      <c r="Q118">
        <v>130.5</v>
      </c>
      <c r="R118">
        <v>11.5</v>
      </c>
      <c r="S118">
        <v>1.64</v>
      </c>
      <c r="T118">
        <v>7.9</v>
      </c>
      <c r="U118">
        <v>398.7</v>
      </c>
      <c r="V118">
        <v>0.08</v>
      </c>
      <c r="W118">
        <v>131.19999999999999</v>
      </c>
      <c r="X118">
        <v>19.100000000000001</v>
      </c>
      <c r="Y118">
        <v>150.30000000000001</v>
      </c>
      <c r="Z118">
        <v>130.19999999999999</v>
      </c>
      <c r="AA118">
        <v>11.4</v>
      </c>
      <c r="AB118">
        <v>1.63</v>
      </c>
      <c r="AC118">
        <v>7.9</v>
      </c>
      <c r="AD118">
        <v>398.4</v>
      </c>
      <c r="AE118">
        <v>0.08</v>
      </c>
      <c r="AF118">
        <v>130.9</v>
      </c>
      <c r="AG118">
        <v>19.100000000000001</v>
      </c>
      <c r="AH118">
        <v>150</v>
      </c>
      <c r="AI118">
        <v>186.8</v>
      </c>
      <c r="AJ118">
        <v>4.5</v>
      </c>
      <c r="AK118">
        <v>0.51</v>
      </c>
      <c r="AL118">
        <v>21.2</v>
      </c>
      <c r="AM118">
        <v>944</v>
      </c>
      <c r="AN118">
        <v>0.08</v>
      </c>
      <c r="AO118">
        <v>187.1</v>
      </c>
      <c r="AP118">
        <v>47.6</v>
      </c>
      <c r="AQ118">
        <v>234.7</v>
      </c>
      <c r="AR118">
        <v>625.79999999999995</v>
      </c>
      <c r="AS118">
        <v>43.9</v>
      </c>
      <c r="AT118">
        <v>6.14</v>
      </c>
      <c r="AU118">
        <v>45.1</v>
      </c>
      <c r="AV118">
        <v>2246.9</v>
      </c>
      <c r="AW118">
        <v>0.3</v>
      </c>
      <c r="AX118">
        <v>628.70000000000005</v>
      </c>
      <c r="AY118">
        <v>108.1</v>
      </c>
      <c r="AZ118">
        <v>736.7</v>
      </c>
      <c r="BA118">
        <v>40608674.799999997</v>
      </c>
      <c r="BB118">
        <v>3575.3</v>
      </c>
      <c r="BC118">
        <v>510.3</v>
      </c>
      <c r="BD118">
        <v>2460936.6</v>
      </c>
      <c r="BE118">
        <v>123877.3</v>
      </c>
      <c r="BF118">
        <v>23.7</v>
      </c>
      <c r="BG118">
        <v>40843999.5</v>
      </c>
      <c r="BH118">
        <v>5935772.5</v>
      </c>
      <c r="BI118">
        <v>46779772</v>
      </c>
      <c r="BJ118">
        <v>0</v>
      </c>
      <c r="BK118">
        <v>0</v>
      </c>
      <c r="BL118">
        <v>40608674.799999997</v>
      </c>
      <c r="BM118">
        <v>43069611.399999999</v>
      </c>
      <c r="BN118">
        <v>46779772</v>
      </c>
      <c r="BO118">
        <v>30.75</v>
      </c>
      <c r="BP118">
        <v>12.22</v>
      </c>
      <c r="BQ118">
        <v>0</v>
      </c>
      <c r="BR118">
        <v>42.97</v>
      </c>
      <c r="BS118">
        <v>32.61</v>
      </c>
      <c r="BT118">
        <v>13.29</v>
      </c>
      <c r="BU118">
        <v>0</v>
      </c>
      <c r="BV118">
        <v>45.9</v>
      </c>
      <c r="BW118">
        <v>313922880</v>
      </c>
      <c r="BX118">
        <v>78319700</v>
      </c>
      <c r="BY118">
        <v>20015424</v>
      </c>
      <c r="BZ118">
        <v>27847700</v>
      </c>
      <c r="CA118">
        <v>0</v>
      </c>
      <c r="CB118">
        <v>407.4</v>
      </c>
      <c r="CC118">
        <v>29160780</v>
      </c>
      <c r="CD118">
        <v>0</v>
      </c>
      <c r="CE118">
        <v>169017</v>
      </c>
      <c r="CF118">
        <v>139857250</v>
      </c>
      <c r="CG118">
        <v>5969168</v>
      </c>
      <c r="CH118">
        <v>959743.7</v>
      </c>
      <c r="CI118">
        <v>0</v>
      </c>
      <c r="CJ118">
        <v>63184104</v>
      </c>
      <c r="CK118">
        <v>0</v>
      </c>
      <c r="CL118">
        <v>2949.1</v>
      </c>
      <c r="CM118">
        <v>10500816</v>
      </c>
      <c r="CN118">
        <v>4631831.5</v>
      </c>
      <c r="CO118">
        <v>82257.899999999994</v>
      </c>
      <c r="CP118">
        <v>1697785</v>
      </c>
      <c r="CQ118">
        <v>9843657</v>
      </c>
      <c r="CR118">
        <v>2064</v>
      </c>
      <c r="CS118">
        <v>0</v>
      </c>
      <c r="CT118">
        <v>170.7</v>
      </c>
      <c r="CU118">
        <v>4378.2</v>
      </c>
      <c r="CV118">
        <v>0</v>
      </c>
      <c r="CW118">
        <v>1.5</v>
      </c>
      <c r="CX118">
        <v>3484.2</v>
      </c>
      <c r="CY118">
        <v>9848.4</v>
      </c>
      <c r="CZ118">
        <v>0</v>
      </c>
      <c r="DA118">
        <v>2383.9</v>
      </c>
      <c r="DB118">
        <v>801.6</v>
      </c>
      <c r="DC118">
        <v>35365.300000000003</v>
      </c>
      <c r="DD118">
        <v>2548</v>
      </c>
      <c r="DE118">
        <v>98.9</v>
      </c>
      <c r="DF118">
        <v>314</v>
      </c>
      <c r="DG118">
        <v>4769.8999999999996</v>
      </c>
      <c r="DH118">
        <v>0</v>
      </c>
      <c r="DI118">
        <v>18805.8</v>
      </c>
      <c r="DJ118">
        <v>0</v>
      </c>
      <c r="DK118">
        <v>7842.4</v>
      </c>
      <c r="DL118">
        <v>3140</v>
      </c>
      <c r="DM118">
        <v>0</v>
      </c>
      <c r="DN118">
        <v>0</v>
      </c>
      <c r="DO118">
        <v>0.14000000000000001</v>
      </c>
      <c r="DP118">
        <v>0</v>
      </c>
      <c r="DQ118">
        <v>0.35</v>
      </c>
      <c r="DR118">
        <v>0</v>
      </c>
    </row>
    <row r="119" spans="1:122" x14ac:dyDescent="0.3">
      <c r="A119" t="s">
        <v>164</v>
      </c>
      <c r="B119">
        <v>2038</v>
      </c>
      <c r="C119">
        <v>309242465.5</v>
      </c>
      <c r="D119">
        <v>299607840.30000001</v>
      </c>
      <c r="E119">
        <v>288833560.80000001</v>
      </c>
      <c r="F119">
        <v>0</v>
      </c>
      <c r="G119">
        <v>2374046.2000000002</v>
      </c>
      <c r="H119">
        <v>220898850.30000001</v>
      </c>
      <c r="I119">
        <v>2286285.7999999998</v>
      </c>
      <c r="J119">
        <v>87760.4</v>
      </c>
      <c r="K119">
        <v>7260579</v>
      </c>
      <c r="L119">
        <v>3.5999999999999997E-2</v>
      </c>
      <c r="M119">
        <v>5.3999999999999999E-2</v>
      </c>
      <c r="N119">
        <v>0.15679999999999999</v>
      </c>
      <c r="O119">
        <v>69315.22</v>
      </c>
      <c r="P119">
        <v>57703.9</v>
      </c>
      <c r="Q119">
        <v>111.4</v>
      </c>
      <c r="R119">
        <v>8.5</v>
      </c>
      <c r="S119">
        <v>1.2</v>
      </c>
      <c r="T119">
        <v>8</v>
      </c>
      <c r="U119">
        <v>381.1</v>
      </c>
      <c r="V119">
        <v>7.0000000000000007E-2</v>
      </c>
      <c r="W119">
        <v>112</v>
      </c>
      <c r="X119">
        <v>18.7</v>
      </c>
      <c r="Y119">
        <v>130.69999999999999</v>
      </c>
      <c r="Z119">
        <v>115.7</v>
      </c>
      <c r="AA119">
        <v>9</v>
      </c>
      <c r="AB119">
        <v>1.27</v>
      </c>
      <c r="AC119">
        <v>8.1</v>
      </c>
      <c r="AD119">
        <v>389.7</v>
      </c>
      <c r="AE119">
        <v>7.0000000000000007E-2</v>
      </c>
      <c r="AF119">
        <v>116.3</v>
      </c>
      <c r="AG119">
        <v>19</v>
      </c>
      <c r="AH119">
        <v>135.30000000000001</v>
      </c>
      <c r="AI119">
        <v>193.6</v>
      </c>
      <c r="AJ119">
        <v>4.5999999999999996</v>
      </c>
      <c r="AK119">
        <v>0.51</v>
      </c>
      <c r="AL119">
        <v>22</v>
      </c>
      <c r="AM119">
        <v>982.2</v>
      </c>
      <c r="AN119">
        <v>0.09</v>
      </c>
      <c r="AO119">
        <v>193.9</v>
      </c>
      <c r="AP119">
        <v>49.6</v>
      </c>
      <c r="AQ119">
        <v>243.4</v>
      </c>
      <c r="AR119">
        <v>617.20000000000005</v>
      </c>
      <c r="AS119">
        <v>41.7</v>
      </c>
      <c r="AT119">
        <v>5.82</v>
      </c>
      <c r="AU119">
        <v>46</v>
      </c>
      <c r="AV119">
        <v>2261.4</v>
      </c>
      <c r="AW119">
        <v>0.3</v>
      </c>
      <c r="AX119">
        <v>620</v>
      </c>
      <c r="AY119">
        <v>109.4</v>
      </c>
      <c r="AZ119">
        <v>729.4</v>
      </c>
      <c r="BA119">
        <v>34644130.799999997</v>
      </c>
      <c r="BB119">
        <v>2652.7</v>
      </c>
      <c r="BC119">
        <v>374</v>
      </c>
      <c r="BD119">
        <v>2490065.2000000002</v>
      </c>
      <c r="BE119">
        <v>118332</v>
      </c>
      <c r="BF119">
        <v>20.5</v>
      </c>
      <c r="BG119">
        <v>34817508.200000003</v>
      </c>
      <c r="BH119">
        <v>5808804.5999999996</v>
      </c>
      <c r="BI119">
        <v>40626312.799999997</v>
      </c>
      <c r="BJ119">
        <v>0</v>
      </c>
      <c r="BK119">
        <v>0</v>
      </c>
      <c r="BL119">
        <v>34644130.799999997</v>
      </c>
      <c r="BM119">
        <v>37134196</v>
      </c>
      <c r="BN119">
        <v>40626312.799999997</v>
      </c>
      <c r="BO119">
        <v>30.64</v>
      </c>
      <c r="BP119">
        <v>12.08</v>
      </c>
      <c r="BQ119">
        <v>0</v>
      </c>
      <c r="BR119">
        <v>42.72</v>
      </c>
      <c r="BS119">
        <v>32.5</v>
      </c>
      <c r="BT119">
        <v>13.15</v>
      </c>
      <c r="BU119">
        <v>0</v>
      </c>
      <c r="BV119">
        <v>45.65</v>
      </c>
      <c r="BW119">
        <v>313797470</v>
      </c>
      <c r="BX119">
        <v>78708990</v>
      </c>
      <c r="BY119">
        <v>20051786</v>
      </c>
      <c r="BZ119">
        <v>19950870</v>
      </c>
      <c r="CA119">
        <v>0</v>
      </c>
      <c r="CB119">
        <v>143.30000000000001</v>
      </c>
      <c r="CC119">
        <v>35990130</v>
      </c>
      <c r="CD119">
        <v>0</v>
      </c>
      <c r="CE119">
        <v>239111.4</v>
      </c>
      <c r="CF119">
        <v>139952670</v>
      </c>
      <c r="CG119">
        <v>6006174</v>
      </c>
      <c r="CH119">
        <v>963384.1</v>
      </c>
      <c r="CI119">
        <v>0</v>
      </c>
      <c r="CJ119">
        <v>61641420</v>
      </c>
      <c r="CK119">
        <v>0</v>
      </c>
      <c r="CL119">
        <v>2952.1</v>
      </c>
      <c r="CM119">
        <v>12153718</v>
      </c>
      <c r="CN119">
        <v>4910899</v>
      </c>
      <c r="CO119">
        <v>71315.399999999994</v>
      </c>
      <c r="CP119">
        <v>1939673.6</v>
      </c>
      <c r="CQ119">
        <v>9923236</v>
      </c>
      <c r="CR119">
        <v>2094.6</v>
      </c>
      <c r="CS119">
        <v>0</v>
      </c>
      <c r="CT119">
        <v>170.7</v>
      </c>
      <c r="CU119">
        <v>3129.3</v>
      </c>
      <c r="CV119">
        <v>0</v>
      </c>
      <c r="CW119">
        <v>1.5</v>
      </c>
      <c r="CX119">
        <v>3728.7</v>
      </c>
      <c r="CY119">
        <v>10651.3</v>
      </c>
      <c r="CZ119">
        <v>0</v>
      </c>
      <c r="DA119">
        <v>2383.9</v>
      </c>
      <c r="DB119">
        <v>806.5</v>
      </c>
      <c r="DC119">
        <v>35365.300000000003</v>
      </c>
      <c r="DD119">
        <v>2548</v>
      </c>
      <c r="DE119">
        <v>75.8</v>
      </c>
      <c r="DF119">
        <v>314</v>
      </c>
      <c r="DG119">
        <v>5601.6</v>
      </c>
      <c r="DH119">
        <v>0</v>
      </c>
      <c r="DI119">
        <v>17891.099999999999</v>
      </c>
      <c r="DJ119">
        <v>0</v>
      </c>
      <c r="DK119">
        <v>10207.4</v>
      </c>
      <c r="DL119">
        <v>3140</v>
      </c>
      <c r="DM119">
        <v>0</v>
      </c>
      <c r="DN119">
        <v>0</v>
      </c>
      <c r="DO119">
        <v>0.14000000000000001</v>
      </c>
      <c r="DP119">
        <v>0</v>
      </c>
      <c r="DQ119">
        <v>0.36</v>
      </c>
      <c r="DR119">
        <v>0</v>
      </c>
    </row>
    <row r="120" spans="1:122" x14ac:dyDescent="0.3">
      <c r="A120" t="s">
        <v>164</v>
      </c>
      <c r="B120">
        <v>2040</v>
      </c>
      <c r="C120">
        <v>317473268.89999998</v>
      </c>
      <c r="D120">
        <v>307232849.80000001</v>
      </c>
      <c r="E120">
        <v>296184363.39999998</v>
      </c>
      <c r="F120">
        <v>0</v>
      </c>
      <c r="G120">
        <v>2990280.8</v>
      </c>
      <c r="H120">
        <v>231459801.09999999</v>
      </c>
      <c r="I120">
        <v>2922362.8</v>
      </c>
      <c r="J120">
        <v>67918.100000000006</v>
      </c>
      <c r="K120">
        <v>7250138.4000000004</v>
      </c>
      <c r="L120">
        <v>3.5999999999999997E-2</v>
      </c>
      <c r="M120">
        <v>5.3999999999999999E-2</v>
      </c>
      <c r="N120">
        <v>0.15670000000000001</v>
      </c>
      <c r="O120">
        <v>69952.66</v>
      </c>
      <c r="P120">
        <v>59224.2</v>
      </c>
      <c r="Q120">
        <v>113.8</v>
      </c>
      <c r="R120">
        <v>8.3000000000000007</v>
      </c>
      <c r="S120">
        <v>1.17</v>
      </c>
      <c r="T120">
        <v>8.5</v>
      </c>
      <c r="U120">
        <v>401.6</v>
      </c>
      <c r="V120">
        <v>7.0000000000000007E-2</v>
      </c>
      <c r="W120">
        <v>114.4</v>
      </c>
      <c r="X120">
        <v>19.8</v>
      </c>
      <c r="Y120">
        <v>134.1</v>
      </c>
      <c r="Z120">
        <v>116.7</v>
      </c>
      <c r="AA120">
        <v>8.6999999999999993</v>
      </c>
      <c r="AB120">
        <v>1.23</v>
      </c>
      <c r="AC120">
        <v>8.5</v>
      </c>
      <c r="AD120">
        <v>405</v>
      </c>
      <c r="AE120">
        <v>7.0000000000000007E-2</v>
      </c>
      <c r="AF120">
        <v>117.3</v>
      </c>
      <c r="AG120">
        <v>19.8</v>
      </c>
      <c r="AH120">
        <v>137.1</v>
      </c>
      <c r="AI120">
        <v>148.19999999999999</v>
      </c>
      <c r="AJ120">
        <v>3.1</v>
      </c>
      <c r="AK120">
        <v>0.33</v>
      </c>
      <c r="AL120">
        <v>17.2</v>
      </c>
      <c r="AM120">
        <v>764.6</v>
      </c>
      <c r="AN120">
        <v>7.0000000000000007E-2</v>
      </c>
      <c r="AO120">
        <v>148.4</v>
      </c>
      <c r="AP120">
        <v>38.700000000000003</v>
      </c>
      <c r="AQ120">
        <v>187.1</v>
      </c>
      <c r="AR120">
        <v>608.20000000000005</v>
      </c>
      <c r="AS120">
        <v>39.200000000000003</v>
      </c>
      <c r="AT120">
        <v>5.44</v>
      </c>
      <c r="AU120">
        <v>47.2</v>
      </c>
      <c r="AV120">
        <v>2287.6999999999998</v>
      </c>
      <c r="AW120">
        <v>0.3</v>
      </c>
      <c r="AX120">
        <v>610.70000000000005</v>
      </c>
      <c r="AY120">
        <v>111.3</v>
      </c>
      <c r="AZ120">
        <v>722.1</v>
      </c>
      <c r="BA120">
        <v>35559159.600000001</v>
      </c>
      <c r="BB120">
        <v>2600.5</v>
      </c>
      <c r="BC120">
        <v>365</v>
      </c>
      <c r="BD120">
        <v>2653103.6</v>
      </c>
      <c r="BE120">
        <v>125307.6</v>
      </c>
      <c r="BF120">
        <v>20.9</v>
      </c>
      <c r="BG120">
        <v>35728687.5</v>
      </c>
      <c r="BH120">
        <v>6167245.2000000002</v>
      </c>
      <c r="BI120">
        <v>41895932.600000001</v>
      </c>
      <c r="BJ120">
        <v>0</v>
      </c>
      <c r="BK120">
        <v>0</v>
      </c>
      <c r="BL120">
        <v>35559159.600000001</v>
      </c>
      <c r="BM120">
        <v>38212263.200000003</v>
      </c>
      <c r="BN120">
        <v>41895932.600000001</v>
      </c>
      <c r="BO120">
        <v>30.71</v>
      </c>
      <c r="BP120">
        <v>12.15</v>
      </c>
      <c r="BQ120">
        <v>0</v>
      </c>
      <c r="BR120">
        <v>42.85</v>
      </c>
      <c r="BS120">
        <v>32.58</v>
      </c>
      <c r="BT120">
        <v>13.25</v>
      </c>
      <c r="BU120">
        <v>0</v>
      </c>
      <c r="BV120">
        <v>45.83</v>
      </c>
      <c r="BW120">
        <v>315254240</v>
      </c>
      <c r="BX120">
        <v>75773050</v>
      </c>
      <c r="BY120">
        <v>20098248</v>
      </c>
      <c r="BZ120">
        <v>19262998</v>
      </c>
      <c r="CA120">
        <v>0</v>
      </c>
      <c r="CB120">
        <v>114.6</v>
      </c>
      <c r="CC120">
        <v>40662130</v>
      </c>
      <c r="CD120">
        <v>0</v>
      </c>
      <c r="CE120">
        <v>217652.7</v>
      </c>
      <c r="CF120">
        <v>140037470</v>
      </c>
      <c r="CG120">
        <v>5927010.5</v>
      </c>
      <c r="CH120">
        <v>742858.7</v>
      </c>
      <c r="CI120">
        <v>0</v>
      </c>
      <c r="CJ120">
        <v>56946010</v>
      </c>
      <c r="CK120">
        <v>0</v>
      </c>
      <c r="CL120">
        <v>2940.6</v>
      </c>
      <c r="CM120">
        <v>13587893</v>
      </c>
      <c r="CN120">
        <v>5236207</v>
      </c>
      <c r="CO120">
        <v>59481.2</v>
      </c>
      <c r="CP120">
        <v>2481879</v>
      </c>
      <c r="CQ120">
        <v>9991351</v>
      </c>
      <c r="CR120">
        <v>2509.6999999999998</v>
      </c>
      <c r="CS120">
        <v>0</v>
      </c>
      <c r="CT120">
        <v>140.69999999999999</v>
      </c>
      <c r="CU120">
        <v>3129.3</v>
      </c>
      <c r="CV120">
        <v>0</v>
      </c>
      <c r="CW120">
        <v>1.5</v>
      </c>
      <c r="CX120">
        <v>4004.6</v>
      </c>
      <c r="CY120">
        <v>11399.8</v>
      </c>
      <c r="CZ120">
        <v>0</v>
      </c>
      <c r="DA120">
        <v>2383.9</v>
      </c>
      <c r="DB120">
        <v>795.9</v>
      </c>
      <c r="DC120">
        <v>35365.300000000003</v>
      </c>
      <c r="DD120">
        <v>2548</v>
      </c>
      <c r="DE120">
        <v>75.8</v>
      </c>
      <c r="DF120">
        <v>314</v>
      </c>
      <c r="DG120">
        <v>6120.8</v>
      </c>
      <c r="DH120">
        <v>0</v>
      </c>
      <c r="DI120">
        <v>15455.5</v>
      </c>
      <c r="DJ120">
        <v>0</v>
      </c>
      <c r="DK120">
        <v>12710.6</v>
      </c>
      <c r="DL120">
        <v>3140</v>
      </c>
      <c r="DM120">
        <v>0</v>
      </c>
      <c r="DN120">
        <v>0</v>
      </c>
      <c r="DO120">
        <v>0.15</v>
      </c>
      <c r="DP120">
        <v>0</v>
      </c>
      <c r="DQ120">
        <v>0.37</v>
      </c>
      <c r="DR120">
        <v>0</v>
      </c>
    </row>
    <row r="121" spans="1:122" x14ac:dyDescent="0.3">
      <c r="A121" t="s">
        <v>164</v>
      </c>
      <c r="B121">
        <v>2042</v>
      </c>
      <c r="C121">
        <v>326350050.89999998</v>
      </c>
      <c r="D121">
        <v>315798148</v>
      </c>
      <c r="E121">
        <v>304441641.60000002</v>
      </c>
      <c r="F121">
        <v>0</v>
      </c>
      <c r="G121">
        <v>3351863.5</v>
      </c>
      <c r="H121">
        <v>242559479.69999999</v>
      </c>
      <c r="I121">
        <v>3118160.8</v>
      </c>
      <c r="J121">
        <v>233702.6</v>
      </c>
      <c r="K121">
        <v>7200039.5999999996</v>
      </c>
      <c r="L121">
        <v>3.5999999999999997E-2</v>
      </c>
      <c r="M121">
        <v>5.3999999999999999E-2</v>
      </c>
      <c r="N121">
        <v>0.15659999999999999</v>
      </c>
      <c r="O121">
        <v>68282.11</v>
      </c>
      <c r="P121">
        <v>60908.1</v>
      </c>
      <c r="Q121">
        <v>118.1</v>
      </c>
      <c r="R121">
        <v>8.4</v>
      </c>
      <c r="S121">
        <v>1.17</v>
      </c>
      <c r="T121">
        <v>9</v>
      </c>
      <c r="U121">
        <v>424.5</v>
      </c>
      <c r="V121">
        <v>7.0000000000000007E-2</v>
      </c>
      <c r="W121">
        <v>118.6</v>
      </c>
      <c r="X121">
        <v>20.9</v>
      </c>
      <c r="Y121">
        <v>139.5</v>
      </c>
      <c r="Z121">
        <v>119.8</v>
      </c>
      <c r="AA121">
        <v>8.6999999999999993</v>
      </c>
      <c r="AB121">
        <v>1.22</v>
      </c>
      <c r="AC121">
        <v>8.9</v>
      </c>
      <c r="AD121">
        <v>424.2</v>
      </c>
      <c r="AE121">
        <v>7.0000000000000007E-2</v>
      </c>
      <c r="AF121">
        <v>120.4</v>
      </c>
      <c r="AG121">
        <v>20.8</v>
      </c>
      <c r="AH121">
        <v>141.19999999999999</v>
      </c>
      <c r="AI121">
        <v>157.1</v>
      </c>
      <c r="AJ121">
        <v>3.4</v>
      </c>
      <c r="AK121">
        <v>0.36</v>
      </c>
      <c r="AL121">
        <v>18.2</v>
      </c>
      <c r="AM121">
        <v>807.4</v>
      </c>
      <c r="AN121">
        <v>7.0000000000000007E-2</v>
      </c>
      <c r="AO121">
        <v>157.30000000000001</v>
      </c>
      <c r="AP121">
        <v>40.799999999999997</v>
      </c>
      <c r="AQ121">
        <v>198.1</v>
      </c>
      <c r="AR121">
        <v>619.79999999999995</v>
      </c>
      <c r="AS121">
        <v>40.5</v>
      </c>
      <c r="AT121">
        <v>5.64</v>
      </c>
      <c r="AU121">
        <v>47.5</v>
      </c>
      <c r="AV121">
        <v>2314.5</v>
      </c>
      <c r="AW121">
        <v>0.3</v>
      </c>
      <c r="AX121">
        <v>622.4</v>
      </c>
      <c r="AY121">
        <v>112.4</v>
      </c>
      <c r="AZ121">
        <v>734.8</v>
      </c>
      <c r="BA121">
        <v>37074549.700000003</v>
      </c>
      <c r="BB121">
        <v>2632.4</v>
      </c>
      <c r="BC121">
        <v>368.3</v>
      </c>
      <c r="BD121">
        <v>2824497.1</v>
      </c>
      <c r="BE121">
        <v>133118.9</v>
      </c>
      <c r="BF121">
        <v>21.5</v>
      </c>
      <c r="BG121">
        <v>37245870.100000001</v>
      </c>
      <c r="BH121">
        <v>6557529.7999999998</v>
      </c>
      <c r="BI121">
        <v>43803399.899999999</v>
      </c>
      <c r="BJ121">
        <v>0</v>
      </c>
      <c r="BK121">
        <v>0</v>
      </c>
      <c r="BL121">
        <v>37074549.700000003</v>
      </c>
      <c r="BM121">
        <v>39899046.799999997</v>
      </c>
      <c r="BN121">
        <v>43803399.899999999</v>
      </c>
      <c r="BO121">
        <v>31.08</v>
      </c>
      <c r="BP121">
        <v>11.85</v>
      </c>
      <c r="BQ121">
        <v>0</v>
      </c>
      <c r="BR121">
        <v>42.93</v>
      </c>
      <c r="BS121">
        <v>32.979999999999997</v>
      </c>
      <c r="BT121">
        <v>12.95</v>
      </c>
      <c r="BU121">
        <v>0</v>
      </c>
      <c r="BV121">
        <v>45.93</v>
      </c>
      <c r="BW121">
        <v>316798000</v>
      </c>
      <c r="BX121">
        <v>73238670</v>
      </c>
      <c r="BY121">
        <v>20135282</v>
      </c>
      <c r="BZ121">
        <v>19291984</v>
      </c>
      <c r="CA121">
        <v>0</v>
      </c>
      <c r="CB121">
        <v>76.5</v>
      </c>
      <c r="CC121">
        <v>44941136</v>
      </c>
      <c r="CD121">
        <v>0</v>
      </c>
      <c r="CE121">
        <v>206683.6</v>
      </c>
      <c r="CF121">
        <v>140189200</v>
      </c>
      <c r="CG121">
        <v>5316877.5</v>
      </c>
      <c r="CH121">
        <v>642332.80000000005</v>
      </c>
      <c r="CI121">
        <v>0</v>
      </c>
      <c r="CJ121">
        <v>53859156</v>
      </c>
      <c r="CK121">
        <v>0</v>
      </c>
      <c r="CL121">
        <v>2965.1</v>
      </c>
      <c r="CM121">
        <v>13856830</v>
      </c>
      <c r="CN121">
        <v>5519715.5</v>
      </c>
      <c r="CO121">
        <v>187601.2</v>
      </c>
      <c r="CP121">
        <v>2642774</v>
      </c>
      <c r="CQ121">
        <v>10005403</v>
      </c>
      <c r="CR121">
        <v>2882.5</v>
      </c>
      <c r="CS121">
        <v>0</v>
      </c>
      <c r="CT121">
        <v>118</v>
      </c>
      <c r="CU121">
        <v>3129.3</v>
      </c>
      <c r="CV121">
        <v>0</v>
      </c>
      <c r="CW121">
        <v>1.5</v>
      </c>
      <c r="CX121">
        <v>4255.6000000000004</v>
      </c>
      <c r="CY121">
        <v>11992.8</v>
      </c>
      <c r="CZ121">
        <v>0</v>
      </c>
      <c r="DA121">
        <v>2383.9</v>
      </c>
      <c r="DB121">
        <v>714</v>
      </c>
      <c r="DC121">
        <v>35365.300000000003</v>
      </c>
      <c r="DD121">
        <v>2548</v>
      </c>
      <c r="DE121">
        <v>75.8</v>
      </c>
      <c r="DF121">
        <v>684.6</v>
      </c>
      <c r="DG121">
        <v>6284.6</v>
      </c>
      <c r="DH121">
        <v>0</v>
      </c>
      <c r="DI121">
        <v>14039.9</v>
      </c>
      <c r="DJ121">
        <v>0</v>
      </c>
      <c r="DK121">
        <v>14585.1</v>
      </c>
      <c r="DL121">
        <v>6846.4</v>
      </c>
      <c r="DM121">
        <v>0</v>
      </c>
      <c r="DN121">
        <v>0</v>
      </c>
      <c r="DO121">
        <v>0.15</v>
      </c>
      <c r="DP121">
        <v>0</v>
      </c>
      <c r="DQ121">
        <v>0.38</v>
      </c>
      <c r="DR121">
        <v>0</v>
      </c>
    </row>
    <row r="122" spans="1:122" x14ac:dyDescent="0.3">
      <c r="A122" t="s">
        <v>164</v>
      </c>
      <c r="B122">
        <v>2044</v>
      </c>
      <c r="C122">
        <v>336741764.89999998</v>
      </c>
      <c r="D122">
        <v>325024236.39999998</v>
      </c>
      <c r="E122">
        <v>313335947.60000002</v>
      </c>
      <c r="F122">
        <v>0</v>
      </c>
      <c r="G122">
        <v>4552429.5</v>
      </c>
      <c r="H122">
        <v>242613817.80000001</v>
      </c>
      <c r="I122">
        <v>4212427</v>
      </c>
      <c r="J122">
        <v>340002.8</v>
      </c>
      <c r="K122">
        <v>7165098.9000000004</v>
      </c>
      <c r="L122">
        <v>3.5999999999999997E-2</v>
      </c>
      <c r="M122">
        <v>5.3999999999999999E-2</v>
      </c>
      <c r="N122">
        <v>0.1565</v>
      </c>
      <c r="O122">
        <v>73156.42</v>
      </c>
      <c r="P122">
        <v>62725.8</v>
      </c>
      <c r="Q122">
        <v>111.6</v>
      </c>
      <c r="R122">
        <v>7.4</v>
      </c>
      <c r="S122">
        <v>1.03</v>
      </c>
      <c r="T122">
        <v>9</v>
      </c>
      <c r="U122">
        <v>417</v>
      </c>
      <c r="V122">
        <v>0.06</v>
      </c>
      <c r="W122">
        <v>112.1</v>
      </c>
      <c r="X122">
        <v>20.7</v>
      </c>
      <c r="Y122">
        <v>132.80000000000001</v>
      </c>
      <c r="Z122">
        <v>114.2</v>
      </c>
      <c r="AA122">
        <v>7.9</v>
      </c>
      <c r="AB122">
        <v>1.1000000000000001</v>
      </c>
      <c r="AC122">
        <v>8.9</v>
      </c>
      <c r="AD122">
        <v>417.5</v>
      </c>
      <c r="AE122">
        <v>7.0000000000000007E-2</v>
      </c>
      <c r="AF122">
        <v>114.7</v>
      </c>
      <c r="AG122">
        <v>20.6</v>
      </c>
      <c r="AH122">
        <v>135.30000000000001</v>
      </c>
      <c r="AI122">
        <v>153.4</v>
      </c>
      <c r="AJ122">
        <v>3.3</v>
      </c>
      <c r="AK122">
        <v>0.36</v>
      </c>
      <c r="AL122">
        <v>17.7</v>
      </c>
      <c r="AM122">
        <v>787.8</v>
      </c>
      <c r="AN122">
        <v>7.0000000000000007E-2</v>
      </c>
      <c r="AO122">
        <v>153.6</v>
      </c>
      <c r="AP122">
        <v>39.799999999999997</v>
      </c>
      <c r="AQ122">
        <v>193.4</v>
      </c>
      <c r="AR122">
        <v>587</v>
      </c>
      <c r="AS122">
        <v>36.799999999999997</v>
      </c>
      <c r="AT122">
        <v>5.09</v>
      </c>
      <c r="AU122">
        <v>46.5</v>
      </c>
      <c r="AV122">
        <v>2248</v>
      </c>
      <c r="AW122">
        <v>0.28000000000000003</v>
      </c>
      <c r="AX122">
        <v>589.4</v>
      </c>
      <c r="AY122">
        <v>109.5</v>
      </c>
      <c r="AZ122">
        <v>698.9</v>
      </c>
      <c r="BA122">
        <v>36370606.5</v>
      </c>
      <c r="BB122">
        <v>2421.1999999999998</v>
      </c>
      <c r="BC122">
        <v>336.5</v>
      </c>
      <c r="BD122">
        <v>2919994.2</v>
      </c>
      <c r="BE122">
        <v>135702.6</v>
      </c>
      <c r="BF122">
        <v>21.1</v>
      </c>
      <c r="BG122">
        <v>36527563.899999999</v>
      </c>
      <c r="BH122">
        <v>6725249.9000000004</v>
      </c>
      <c r="BI122">
        <v>43252813.899999999</v>
      </c>
      <c r="BJ122">
        <v>0</v>
      </c>
      <c r="BK122">
        <v>0</v>
      </c>
      <c r="BL122">
        <v>36370606.5</v>
      </c>
      <c r="BM122">
        <v>39290600.700000003</v>
      </c>
      <c r="BN122">
        <v>43252813.899999999</v>
      </c>
      <c r="BO122">
        <v>30.96</v>
      </c>
      <c r="BP122">
        <v>12.66</v>
      </c>
      <c r="BQ122">
        <v>0</v>
      </c>
      <c r="BR122">
        <v>43.62</v>
      </c>
      <c r="BS122">
        <v>32.869999999999997</v>
      </c>
      <c r="BT122">
        <v>13.86</v>
      </c>
      <c r="BU122">
        <v>0</v>
      </c>
      <c r="BV122">
        <v>46.73</v>
      </c>
      <c r="BW122">
        <v>328825800</v>
      </c>
      <c r="BX122">
        <v>82410420</v>
      </c>
      <c r="BY122">
        <v>20083742</v>
      </c>
      <c r="BZ122">
        <v>17384876</v>
      </c>
      <c r="CA122">
        <v>0</v>
      </c>
      <c r="CB122">
        <v>44.5</v>
      </c>
      <c r="CC122">
        <v>49453190</v>
      </c>
      <c r="CD122">
        <v>0</v>
      </c>
      <c r="CE122">
        <v>107670.3</v>
      </c>
      <c r="CF122">
        <v>140155260</v>
      </c>
      <c r="CG122">
        <v>4729844</v>
      </c>
      <c r="CH122">
        <v>639422.6</v>
      </c>
      <c r="CI122">
        <v>0</v>
      </c>
      <c r="CJ122">
        <v>59395610</v>
      </c>
      <c r="CK122">
        <v>0</v>
      </c>
      <c r="CL122">
        <v>0</v>
      </c>
      <c r="CM122">
        <v>17244268</v>
      </c>
      <c r="CN122">
        <v>5770539.5</v>
      </c>
      <c r="CO122">
        <v>284681.8</v>
      </c>
      <c r="CP122">
        <v>3585598.8</v>
      </c>
      <c r="CQ122">
        <v>9991055</v>
      </c>
      <c r="CR122">
        <v>3816.8</v>
      </c>
      <c r="CS122">
        <v>0</v>
      </c>
      <c r="CT122">
        <v>118</v>
      </c>
      <c r="CU122">
        <v>2817.1</v>
      </c>
      <c r="CV122">
        <v>0</v>
      </c>
      <c r="CW122">
        <v>0</v>
      </c>
      <c r="CX122">
        <v>4485.1000000000004</v>
      </c>
      <c r="CY122">
        <v>13830.3</v>
      </c>
      <c r="CZ122">
        <v>0</v>
      </c>
      <c r="DA122">
        <v>2089.3000000000002</v>
      </c>
      <c r="DB122">
        <v>635.1</v>
      </c>
      <c r="DC122">
        <v>35373.4</v>
      </c>
      <c r="DD122">
        <v>2548</v>
      </c>
      <c r="DE122">
        <v>75.8</v>
      </c>
      <c r="DF122">
        <v>1251.2</v>
      </c>
      <c r="DG122">
        <v>7513.1</v>
      </c>
      <c r="DH122">
        <v>0</v>
      </c>
      <c r="DI122">
        <v>15459.2</v>
      </c>
      <c r="DJ122">
        <v>0</v>
      </c>
      <c r="DK122">
        <v>20202.3</v>
      </c>
      <c r="DL122">
        <v>12511.6</v>
      </c>
      <c r="DM122">
        <v>0</v>
      </c>
      <c r="DN122">
        <v>0</v>
      </c>
      <c r="DO122">
        <v>0.15</v>
      </c>
      <c r="DP122">
        <v>0</v>
      </c>
      <c r="DQ122">
        <v>0.39</v>
      </c>
      <c r="DR122">
        <v>0</v>
      </c>
    </row>
    <row r="123" spans="1:122" x14ac:dyDescent="0.3">
      <c r="A123" t="s">
        <v>164</v>
      </c>
      <c r="B123">
        <v>2046</v>
      </c>
      <c r="C123">
        <v>346366958.60000002</v>
      </c>
      <c r="D123">
        <v>334659753.80000001</v>
      </c>
      <c r="E123">
        <v>322624958.10000002</v>
      </c>
      <c r="F123">
        <v>0</v>
      </c>
      <c r="G123">
        <v>4765245</v>
      </c>
      <c r="H123">
        <v>245244737.59999999</v>
      </c>
      <c r="I123">
        <v>4023270.5</v>
      </c>
      <c r="J123">
        <v>741974.5</v>
      </c>
      <c r="K123">
        <v>6941959.9000000004</v>
      </c>
      <c r="L123">
        <v>3.5999999999999997E-2</v>
      </c>
      <c r="M123">
        <v>5.3999999999999999E-2</v>
      </c>
      <c r="N123">
        <v>0.1565</v>
      </c>
      <c r="O123">
        <v>76615.820000000007</v>
      </c>
      <c r="P123">
        <v>64621.5</v>
      </c>
      <c r="Q123">
        <v>107.5</v>
      </c>
      <c r="R123">
        <v>6.6</v>
      </c>
      <c r="S123">
        <v>0.91</v>
      </c>
      <c r="T123">
        <v>9.1</v>
      </c>
      <c r="U123">
        <v>417.9</v>
      </c>
      <c r="V123">
        <v>0.06</v>
      </c>
      <c r="W123">
        <v>108</v>
      </c>
      <c r="X123">
        <v>20.8</v>
      </c>
      <c r="Y123">
        <v>128.80000000000001</v>
      </c>
      <c r="Z123">
        <v>109.1</v>
      </c>
      <c r="AA123">
        <v>7</v>
      </c>
      <c r="AB123">
        <v>0.96</v>
      </c>
      <c r="AC123">
        <v>9</v>
      </c>
      <c r="AD123">
        <v>416.1</v>
      </c>
      <c r="AE123">
        <v>0.06</v>
      </c>
      <c r="AF123">
        <v>109.5</v>
      </c>
      <c r="AG123">
        <v>20.7</v>
      </c>
      <c r="AH123">
        <v>130.19999999999999</v>
      </c>
      <c r="AI123">
        <v>164.1</v>
      </c>
      <c r="AJ123">
        <v>3.7</v>
      </c>
      <c r="AK123">
        <v>0.4</v>
      </c>
      <c r="AL123">
        <v>18.899999999999999</v>
      </c>
      <c r="AM123">
        <v>839.2</v>
      </c>
      <c r="AN123">
        <v>7.0000000000000007E-2</v>
      </c>
      <c r="AO123">
        <v>164.3</v>
      </c>
      <c r="AP123">
        <v>42.4</v>
      </c>
      <c r="AQ123">
        <v>206.7</v>
      </c>
      <c r="AR123">
        <v>552</v>
      </c>
      <c r="AS123">
        <v>31.9</v>
      </c>
      <c r="AT123">
        <v>4.3600000000000003</v>
      </c>
      <c r="AU123">
        <v>46.3</v>
      </c>
      <c r="AV123">
        <v>2201.4</v>
      </c>
      <c r="AW123">
        <v>0.26</v>
      </c>
      <c r="AX123">
        <v>554</v>
      </c>
      <c r="AY123">
        <v>108</v>
      </c>
      <c r="AZ123">
        <v>662</v>
      </c>
      <c r="BA123">
        <v>36103298.700000003</v>
      </c>
      <c r="BB123">
        <v>2231</v>
      </c>
      <c r="BC123">
        <v>307.39999999999998</v>
      </c>
      <c r="BD123">
        <v>3054564</v>
      </c>
      <c r="BE123">
        <v>140163.1</v>
      </c>
      <c r="BF123">
        <v>20.8</v>
      </c>
      <c r="BG123">
        <v>36247221.700000003</v>
      </c>
      <c r="BH123">
        <v>6984645.2000000002</v>
      </c>
      <c r="BI123">
        <v>43231866.899999999</v>
      </c>
      <c r="BJ123">
        <v>0</v>
      </c>
      <c r="BK123">
        <v>0</v>
      </c>
      <c r="BL123">
        <v>36103298.700000003</v>
      </c>
      <c r="BM123">
        <v>39157862.799999997</v>
      </c>
      <c r="BN123">
        <v>43231866.899999999</v>
      </c>
      <c r="BO123">
        <v>31.16</v>
      </c>
      <c r="BP123">
        <v>13.3</v>
      </c>
      <c r="BQ123">
        <v>0</v>
      </c>
      <c r="BR123">
        <v>44.47</v>
      </c>
      <c r="BS123">
        <v>33.090000000000003</v>
      </c>
      <c r="BT123">
        <v>14.54</v>
      </c>
      <c r="BU123">
        <v>0</v>
      </c>
      <c r="BV123">
        <v>47.63</v>
      </c>
      <c r="BW123">
        <v>338854200</v>
      </c>
      <c r="BX123">
        <v>89415016</v>
      </c>
      <c r="BY123">
        <v>19994086</v>
      </c>
      <c r="BZ123">
        <v>15607125</v>
      </c>
      <c r="CA123">
        <v>0</v>
      </c>
      <c r="CB123">
        <v>44.5</v>
      </c>
      <c r="CC123">
        <v>54596904</v>
      </c>
      <c r="CD123">
        <v>0</v>
      </c>
      <c r="CE123">
        <v>38970.699999999997</v>
      </c>
      <c r="CF123">
        <v>140151470</v>
      </c>
      <c r="CG123">
        <v>4407912</v>
      </c>
      <c r="CH123">
        <v>625825.6</v>
      </c>
      <c r="CI123">
        <v>0</v>
      </c>
      <c r="CJ123">
        <v>62734540</v>
      </c>
      <c r="CK123">
        <v>0</v>
      </c>
      <c r="CL123">
        <v>0</v>
      </c>
      <c r="CM123">
        <v>20853524</v>
      </c>
      <c r="CN123">
        <v>5826948</v>
      </c>
      <c r="CO123">
        <v>597230</v>
      </c>
      <c r="CP123">
        <v>3412840.5</v>
      </c>
      <c r="CQ123">
        <v>10006795</v>
      </c>
      <c r="CR123">
        <v>3599.8</v>
      </c>
      <c r="CS123">
        <v>0</v>
      </c>
      <c r="CT123">
        <v>115.6</v>
      </c>
      <c r="CU123">
        <v>2504.9</v>
      </c>
      <c r="CV123">
        <v>0</v>
      </c>
      <c r="CW123">
        <v>0</v>
      </c>
      <c r="CX123">
        <v>4582.3</v>
      </c>
      <c r="CY123">
        <v>15319.6</v>
      </c>
      <c r="CZ123">
        <v>0</v>
      </c>
      <c r="DA123">
        <v>2128.1</v>
      </c>
      <c r="DB123">
        <v>591.9</v>
      </c>
      <c r="DC123">
        <v>35379.300000000003</v>
      </c>
      <c r="DD123">
        <v>2548</v>
      </c>
      <c r="DE123">
        <v>23.8</v>
      </c>
      <c r="DF123">
        <v>2639.9</v>
      </c>
      <c r="DG123">
        <v>8725.1</v>
      </c>
      <c r="DH123">
        <v>0</v>
      </c>
      <c r="DI123">
        <v>16363.2</v>
      </c>
      <c r="DJ123">
        <v>0</v>
      </c>
      <c r="DK123">
        <v>21126.9</v>
      </c>
      <c r="DL123">
        <v>26399.4</v>
      </c>
      <c r="DM123">
        <v>0</v>
      </c>
      <c r="DN123">
        <v>0</v>
      </c>
      <c r="DO123">
        <v>0.15</v>
      </c>
      <c r="DP123">
        <v>0</v>
      </c>
      <c r="DQ123">
        <v>0.4</v>
      </c>
      <c r="DR123">
        <v>0</v>
      </c>
    </row>
    <row r="124" spans="1:122" x14ac:dyDescent="0.3">
      <c r="A124" t="s">
        <v>164</v>
      </c>
      <c r="B124">
        <v>2048</v>
      </c>
      <c r="C124">
        <v>357721090.30000001</v>
      </c>
      <c r="D124">
        <v>345036161.39999998</v>
      </c>
      <c r="E124">
        <v>332628214.60000002</v>
      </c>
      <c r="F124">
        <v>0</v>
      </c>
      <c r="G124">
        <v>5475796.5</v>
      </c>
      <c r="H124">
        <v>247771904.5</v>
      </c>
      <c r="I124">
        <v>4376364</v>
      </c>
      <c r="J124">
        <v>1099432.6000000001</v>
      </c>
      <c r="K124">
        <v>7209132.2999999998</v>
      </c>
      <c r="L124">
        <v>3.5999999999999997E-2</v>
      </c>
      <c r="M124">
        <v>5.3999999999999999E-2</v>
      </c>
      <c r="N124">
        <v>0.1565</v>
      </c>
      <c r="O124">
        <v>78448.36</v>
      </c>
      <c r="P124">
        <v>66665.100000000006</v>
      </c>
      <c r="Q124">
        <v>108.9</v>
      </c>
      <c r="R124">
        <v>6.5</v>
      </c>
      <c r="S124">
        <v>0.89</v>
      </c>
      <c r="T124">
        <v>9.4</v>
      </c>
      <c r="U124">
        <v>430.6</v>
      </c>
      <c r="V124">
        <v>0.06</v>
      </c>
      <c r="W124">
        <v>109.3</v>
      </c>
      <c r="X124">
        <v>21.5</v>
      </c>
      <c r="Y124">
        <v>130.80000000000001</v>
      </c>
      <c r="Z124">
        <v>108.7</v>
      </c>
      <c r="AA124">
        <v>6.7</v>
      </c>
      <c r="AB124">
        <v>0.92</v>
      </c>
      <c r="AC124">
        <v>9.1999999999999993</v>
      </c>
      <c r="AD124">
        <v>423.1</v>
      </c>
      <c r="AE124">
        <v>0.06</v>
      </c>
      <c r="AF124">
        <v>109.2</v>
      </c>
      <c r="AG124">
        <v>21</v>
      </c>
      <c r="AH124">
        <v>130.19999999999999</v>
      </c>
      <c r="AI124">
        <v>160.9</v>
      </c>
      <c r="AJ124">
        <v>3.8</v>
      </c>
      <c r="AK124">
        <v>0.42</v>
      </c>
      <c r="AL124">
        <v>18.3</v>
      </c>
      <c r="AM124">
        <v>817.7</v>
      </c>
      <c r="AN124">
        <v>7.0000000000000007E-2</v>
      </c>
      <c r="AO124">
        <v>161.1</v>
      </c>
      <c r="AP124">
        <v>41.3</v>
      </c>
      <c r="AQ124">
        <v>202.4</v>
      </c>
      <c r="AR124">
        <v>540</v>
      </c>
      <c r="AS124">
        <v>30.7</v>
      </c>
      <c r="AT124">
        <v>4.1900000000000004</v>
      </c>
      <c r="AU124">
        <v>46.1</v>
      </c>
      <c r="AV124">
        <v>2172.6999999999998</v>
      </c>
      <c r="AW124">
        <v>0.26</v>
      </c>
      <c r="AX124">
        <v>542</v>
      </c>
      <c r="AY124">
        <v>107</v>
      </c>
      <c r="AZ124">
        <v>648.9</v>
      </c>
      <c r="BA124">
        <v>38017555.700000003</v>
      </c>
      <c r="BB124">
        <v>2267.6</v>
      </c>
      <c r="BC124">
        <v>311.10000000000002</v>
      </c>
      <c r="BD124">
        <v>3278960.7</v>
      </c>
      <c r="BE124">
        <v>150151.4</v>
      </c>
      <c r="BF124">
        <v>21.6</v>
      </c>
      <c r="BG124">
        <v>38163484.799999997</v>
      </c>
      <c r="BH124">
        <v>7488926.9000000004</v>
      </c>
      <c r="BI124">
        <v>45652411.600000001</v>
      </c>
      <c r="BJ124">
        <v>0</v>
      </c>
      <c r="BK124">
        <v>0</v>
      </c>
      <c r="BL124">
        <v>38017555.700000003</v>
      </c>
      <c r="BM124">
        <v>41296516.399999999</v>
      </c>
      <c r="BN124">
        <v>45652411.600000001</v>
      </c>
      <c r="BO124">
        <v>31.38</v>
      </c>
      <c r="BP124">
        <v>13.63</v>
      </c>
      <c r="BQ124">
        <v>0</v>
      </c>
      <c r="BR124">
        <v>45.01</v>
      </c>
      <c r="BS124">
        <v>33.35</v>
      </c>
      <c r="BT124">
        <v>14.92</v>
      </c>
      <c r="BU124">
        <v>0</v>
      </c>
      <c r="BV124">
        <v>48.26</v>
      </c>
      <c r="BW124">
        <v>352273180</v>
      </c>
      <c r="BX124">
        <v>97264260</v>
      </c>
      <c r="BY124">
        <v>19865010</v>
      </c>
      <c r="BZ124">
        <v>15612162</v>
      </c>
      <c r="CA124">
        <v>0</v>
      </c>
      <c r="CB124">
        <v>44.5</v>
      </c>
      <c r="CC124">
        <v>60110104</v>
      </c>
      <c r="CD124">
        <v>0</v>
      </c>
      <c r="CE124">
        <v>36325.1</v>
      </c>
      <c r="CF124">
        <v>139984850</v>
      </c>
      <c r="CG124">
        <v>4141086.8</v>
      </c>
      <c r="CH124">
        <v>623936.30000000005</v>
      </c>
      <c r="CI124">
        <v>0</v>
      </c>
      <c r="CJ124">
        <v>68806310</v>
      </c>
      <c r="CK124">
        <v>0</v>
      </c>
      <c r="CL124">
        <v>0</v>
      </c>
      <c r="CM124">
        <v>22315700</v>
      </c>
      <c r="CN124">
        <v>6142245</v>
      </c>
      <c r="CO124">
        <v>922943.2</v>
      </c>
      <c r="CP124">
        <v>3724236.7999999998</v>
      </c>
      <c r="CQ124">
        <v>9988237</v>
      </c>
      <c r="CR124">
        <v>3559.5</v>
      </c>
      <c r="CS124">
        <v>0</v>
      </c>
      <c r="CT124">
        <v>115.6</v>
      </c>
      <c r="CU124">
        <v>2504.9</v>
      </c>
      <c r="CV124">
        <v>0</v>
      </c>
      <c r="CW124">
        <v>0</v>
      </c>
      <c r="CX124">
        <v>4858.1000000000004</v>
      </c>
      <c r="CY124">
        <v>16791.5</v>
      </c>
      <c r="CZ124">
        <v>0</v>
      </c>
      <c r="DA124">
        <v>2169.3000000000002</v>
      </c>
      <c r="DB124">
        <v>556.1</v>
      </c>
      <c r="DC124">
        <v>35379.300000000003</v>
      </c>
      <c r="DD124">
        <v>2548</v>
      </c>
      <c r="DE124">
        <v>23.8</v>
      </c>
      <c r="DF124">
        <v>3561.9</v>
      </c>
      <c r="DG124">
        <v>9226.1</v>
      </c>
      <c r="DH124">
        <v>0</v>
      </c>
      <c r="DI124">
        <v>18027.099999999999</v>
      </c>
      <c r="DJ124">
        <v>0</v>
      </c>
      <c r="DK124">
        <v>21541.599999999999</v>
      </c>
      <c r="DL124">
        <v>35619.199999999997</v>
      </c>
      <c r="DM124">
        <v>0</v>
      </c>
      <c r="DN124">
        <v>0</v>
      </c>
      <c r="DO124">
        <v>0.15</v>
      </c>
      <c r="DP124">
        <v>0</v>
      </c>
      <c r="DQ124">
        <v>0.4</v>
      </c>
      <c r="DR124">
        <v>0</v>
      </c>
    </row>
    <row r="125" spans="1:122" x14ac:dyDescent="0.3">
      <c r="A125" t="s">
        <v>164</v>
      </c>
      <c r="B125">
        <v>2050</v>
      </c>
      <c r="C125">
        <v>369005959.19999999</v>
      </c>
      <c r="D125">
        <v>356252855.30000001</v>
      </c>
      <c r="E125">
        <v>343441538.80000001</v>
      </c>
      <c r="F125">
        <v>0</v>
      </c>
      <c r="G125">
        <v>5548978</v>
      </c>
      <c r="H125">
        <v>244575222.09999999</v>
      </c>
      <c r="I125">
        <v>4057841.5</v>
      </c>
      <c r="J125">
        <v>1491136.1</v>
      </c>
      <c r="K125">
        <v>7204126.0999999996</v>
      </c>
      <c r="L125">
        <v>3.5999999999999997E-2</v>
      </c>
      <c r="M125">
        <v>5.3999999999999999E-2</v>
      </c>
      <c r="N125">
        <v>0.15659999999999999</v>
      </c>
      <c r="O125">
        <v>81114.37</v>
      </c>
      <c r="P125">
        <v>68874.3</v>
      </c>
      <c r="Q125">
        <v>99.4</v>
      </c>
      <c r="R125">
        <v>5.3</v>
      </c>
      <c r="S125">
        <v>0.72</v>
      </c>
      <c r="T125">
        <v>9.1</v>
      </c>
      <c r="U125">
        <v>411.4</v>
      </c>
      <c r="V125">
        <v>0.06</v>
      </c>
      <c r="W125">
        <v>99.7</v>
      </c>
      <c r="X125">
        <v>20.7</v>
      </c>
      <c r="Y125">
        <v>120.4</v>
      </c>
      <c r="Z125">
        <v>100.1</v>
      </c>
      <c r="AA125">
        <v>5.8</v>
      </c>
      <c r="AB125">
        <v>0.79</v>
      </c>
      <c r="AC125">
        <v>8.8000000000000007</v>
      </c>
      <c r="AD125">
        <v>401.8</v>
      </c>
      <c r="AE125">
        <v>0.06</v>
      </c>
      <c r="AF125">
        <v>100.5</v>
      </c>
      <c r="AG125">
        <v>20.100000000000001</v>
      </c>
      <c r="AH125">
        <v>120.6</v>
      </c>
      <c r="AI125">
        <v>145.30000000000001</v>
      </c>
      <c r="AJ125">
        <v>3.5</v>
      </c>
      <c r="AK125">
        <v>0.39</v>
      </c>
      <c r="AL125">
        <v>16.5</v>
      </c>
      <c r="AM125">
        <v>735.2</v>
      </c>
      <c r="AN125">
        <v>0.06</v>
      </c>
      <c r="AO125">
        <v>145.5</v>
      </c>
      <c r="AP125">
        <v>37.1</v>
      </c>
      <c r="AQ125">
        <v>182.5</v>
      </c>
      <c r="AR125">
        <v>523.20000000000005</v>
      </c>
      <c r="AS125">
        <v>29.6</v>
      </c>
      <c r="AT125">
        <v>4.04</v>
      </c>
      <c r="AU125">
        <v>45</v>
      </c>
      <c r="AV125">
        <v>2109.6</v>
      </c>
      <c r="AW125">
        <v>0.25</v>
      </c>
      <c r="AX125">
        <v>525.1</v>
      </c>
      <c r="AY125">
        <v>104.2</v>
      </c>
      <c r="AZ125">
        <v>629.29999999999995</v>
      </c>
      <c r="BA125">
        <v>36077552.100000001</v>
      </c>
      <c r="BB125">
        <v>1938.8</v>
      </c>
      <c r="BC125">
        <v>262.3</v>
      </c>
      <c r="BD125">
        <v>3312799.4</v>
      </c>
      <c r="BE125">
        <v>149256</v>
      </c>
      <c r="BF125">
        <v>20.6</v>
      </c>
      <c r="BG125">
        <v>36201350.799999997</v>
      </c>
      <c r="BH125">
        <v>7497418.5</v>
      </c>
      <c r="BI125">
        <v>43698769.299999997</v>
      </c>
      <c r="BJ125">
        <v>0</v>
      </c>
      <c r="BK125">
        <v>0</v>
      </c>
      <c r="BL125">
        <v>36077552.100000001</v>
      </c>
      <c r="BM125">
        <v>39390351.5</v>
      </c>
      <c r="BN125">
        <v>43698769.299999997</v>
      </c>
      <c r="BO125">
        <v>31.3</v>
      </c>
      <c r="BP125">
        <v>14.13</v>
      </c>
      <c r="BQ125">
        <v>0</v>
      </c>
      <c r="BR125">
        <v>45.44</v>
      </c>
      <c r="BS125">
        <v>33.270000000000003</v>
      </c>
      <c r="BT125">
        <v>15.45</v>
      </c>
      <c r="BU125">
        <v>0</v>
      </c>
      <c r="BV125">
        <v>48.72</v>
      </c>
      <c r="BW125">
        <v>366667400</v>
      </c>
      <c r="BX125">
        <v>111677630</v>
      </c>
      <c r="BY125">
        <v>19783666</v>
      </c>
      <c r="BZ125">
        <v>12706690</v>
      </c>
      <c r="CA125">
        <v>0</v>
      </c>
      <c r="CB125">
        <v>21.9</v>
      </c>
      <c r="CC125">
        <v>63487220</v>
      </c>
      <c r="CD125">
        <v>0</v>
      </c>
      <c r="CE125">
        <v>36715.4</v>
      </c>
      <c r="CF125">
        <v>139717040</v>
      </c>
      <c r="CG125">
        <v>4029156</v>
      </c>
      <c r="CH125">
        <v>572737.19999999995</v>
      </c>
      <c r="CI125">
        <v>0</v>
      </c>
      <c r="CJ125">
        <v>79377920</v>
      </c>
      <c r="CK125">
        <v>0</v>
      </c>
      <c r="CL125">
        <v>0</v>
      </c>
      <c r="CM125">
        <v>25826682</v>
      </c>
      <c r="CN125">
        <v>6473033</v>
      </c>
      <c r="CO125">
        <v>1205833.3999999999</v>
      </c>
      <c r="CP125">
        <v>3444223.5</v>
      </c>
      <c r="CQ125">
        <v>10006461</v>
      </c>
      <c r="CR125">
        <v>3939.4</v>
      </c>
      <c r="CS125">
        <v>0</v>
      </c>
      <c r="CT125">
        <v>105.1</v>
      </c>
      <c r="CU125">
        <v>2054.9</v>
      </c>
      <c r="CV125">
        <v>0</v>
      </c>
      <c r="CW125">
        <v>0</v>
      </c>
      <c r="CX125">
        <v>5147.3</v>
      </c>
      <c r="CY125">
        <v>17939.099999999999</v>
      </c>
      <c r="CZ125">
        <v>0</v>
      </c>
      <c r="DA125">
        <v>2522.1999999999998</v>
      </c>
      <c r="DB125">
        <v>541.1</v>
      </c>
      <c r="DC125">
        <v>35388.300000000003</v>
      </c>
      <c r="DD125">
        <v>2548</v>
      </c>
      <c r="DE125">
        <v>9.8000000000000007</v>
      </c>
      <c r="DF125">
        <v>4812.7</v>
      </c>
      <c r="DG125">
        <v>10254.700000000001</v>
      </c>
      <c r="DH125">
        <v>0</v>
      </c>
      <c r="DI125">
        <v>20872.099999999999</v>
      </c>
      <c r="DJ125">
        <v>0</v>
      </c>
      <c r="DK125">
        <v>23428.2</v>
      </c>
      <c r="DL125">
        <v>48127.3</v>
      </c>
      <c r="DM125">
        <v>0</v>
      </c>
      <c r="DN125">
        <v>0</v>
      </c>
      <c r="DO125">
        <v>0.15</v>
      </c>
      <c r="DP125">
        <v>0</v>
      </c>
      <c r="DQ125">
        <v>0.4</v>
      </c>
      <c r="DR125">
        <v>0</v>
      </c>
    </row>
    <row r="126" spans="1:122" x14ac:dyDescent="0.3">
      <c r="A126" t="s">
        <v>165</v>
      </c>
      <c r="B126">
        <v>2022</v>
      </c>
      <c r="C126">
        <v>150327627</v>
      </c>
      <c r="D126">
        <v>147789954.19999999</v>
      </c>
      <c r="E126">
        <v>142476928.59999999</v>
      </c>
      <c r="F126">
        <v>0</v>
      </c>
      <c r="G126">
        <v>2012054.2</v>
      </c>
      <c r="H126">
        <v>120428473.2</v>
      </c>
      <c r="I126">
        <v>853041.9</v>
      </c>
      <c r="J126">
        <v>1159012.2</v>
      </c>
      <c r="K126">
        <v>525618.69999999995</v>
      </c>
      <c r="L126">
        <v>3.5900000000000001E-2</v>
      </c>
      <c r="M126">
        <v>5.3999999999999999E-2</v>
      </c>
      <c r="N126">
        <v>0.155</v>
      </c>
      <c r="O126">
        <v>21244.880000000001</v>
      </c>
      <c r="P126">
        <v>34330.6</v>
      </c>
      <c r="Q126">
        <v>132.30000000000001</v>
      </c>
      <c r="R126">
        <v>3.4</v>
      </c>
      <c r="S126">
        <v>0.4</v>
      </c>
      <c r="T126">
        <v>16.8</v>
      </c>
      <c r="U126">
        <v>658.4</v>
      </c>
      <c r="V126">
        <v>0.1</v>
      </c>
      <c r="W126">
        <v>132.5</v>
      </c>
      <c r="X126">
        <v>35.299999999999997</v>
      </c>
      <c r="Y126">
        <v>167.8</v>
      </c>
      <c r="Z126">
        <v>152.30000000000001</v>
      </c>
      <c r="AA126">
        <v>4.5999999999999996</v>
      </c>
      <c r="AB126">
        <v>0.56000000000000005</v>
      </c>
      <c r="AC126">
        <v>18.8</v>
      </c>
      <c r="AD126">
        <v>739.1</v>
      </c>
      <c r="AE126">
        <v>0.11</v>
      </c>
      <c r="AF126">
        <v>152.6</v>
      </c>
      <c r="AG126">
        <v>39.5</v>
      </c>
      <c r="AH126">
        <v>192.1</v>
      </c>
      <c r="AI126">
        <v>325.3</v>
      </c>
      <c r="AJ126">
        <v>13.2</v>
      </c>
      <c r="AK126">
        <v>1.86</v>
      </c>
      <c r="AL126">
        <v>33.799999999999997</v>
      </c>
      <c r="AM126">
        <v>1339.5</v>
      </c>
      <c r="AN126">
        <v>0.24</v>
      </c>
      <c r="AO126">
        <v>326.10000000000002</v>
      </c>
      <c r="AP126">
        <v>71.400000000000006</v>
      </c>
      <c r="AQ126">
        <v>397.5</v>
      </c>
      <c r="AR126">
        <v>593.29999999999995</v>
      </c>
      <c r="AS126">
        <v>30.1</v>
      </c>
      <c r="AT126">
        <v>4.1900000000000004</v>
      </c>
      <c r="AU126">
        <v>54.6</v>
      </c>
      <c r="AV126">
        <v>2372.8000000000002</v>
      </c>
      <c r="AW126">
        <v>0.36</v>
      </c>
      <c r="AX126">
        <v>595.20000000000005</v>
      </c>
      <c r="AY126">
        <v>121.2</v>
      </c>
      <c r="AZ126">
        <v>716.4</v>
      </c>
      <c r="BA126">
        <v>17633352.5</v>
      </c>
      <c r="BB126">
        <v>453.8</v>
      </c>
      <c r="BC126">
        <v>53.3</v>
      </c>
      <c r="BD126">
        <v>2239822.5</v>
      </c>
      <c r="BE126">
        <v>87714.1</v>
      </c>
      <c r="BF126">
        <v>13.2</v>
      </c>
      <c r="BG126">
        <v>17660192.699999999</v>
      </c>
      <c r="BH126">
        <v>4699304.2</v>
      </c>
      <c r="BI126">
        <v>22359497</v>
      </c>
      <c r="BJ126">
        <v>0</v>
      </c>
      <c r="BK126">
        <v>0</v>
      </c>
      <c r="BL126">
        <v>17633352.5</v>
      </c>
      <c r="BM126">
        <v>19873175</v>
      </c>
      <c r="BN126">
        <v>22359497</v>
      </c>
      <c r="BO126">
        <v>43.65</v>
      </c>
      <c r="BP126">
        <v>4.43</v>
      </c>
      <c r="BQ126">
        <v>0</v>
      </c>
      <c r="BR126">
        <v>48.08</v>
      </c>
      <c r="BS126">
        <v>46.33</v>
      </c>
      <c r="BT126">
        <v>4.8499999999999996</v>
      </c>
      <c r="BU126">
        <v>0</v>
      </c>
      <c r="BV126">
        <v>51.18</v>
      </c>
      <c r="BW126">
        <v>134191976</v>
      </c>
      <c r="BX126">
        <v>27361478</v>
      </c>
      <c r="BY126">
        <v>21551116</v>
      </c>
      <c r="BZ126">
        <v>973114.4</v>
      </c>
      <c r="CA126">
        <v>0</v>
      </c>
      <c r="CB126">
        <v>486618.6</v>
      </c>
      <c r="CC126">
        <v>41173820</v>
      </c>
      <c r="CD126">
        <v>0</v>
      </c>
      <c r="CE126">
        <v>90968.6</v>
      </c>
      <c r="CF126">
        <v>26219968</v>
      </c>
      <c r="CG126">
        <v>0</v>
      </c>
      <c r="CH126">
        <v>1453686</v>
      </c>
      <c r="CI126">
        <v>0</v>
      </c>
      <c r="CJ126">
        <v>22722260</v>
      </c>
      <c r="CK126">
        <v>0</v>
      </c>
      <c r="CL126">
        <v>0</v>
      </c>
      <c r="CM126">
        <v>2289765</v>
      </c>
      <c r="CN126">
        <v>2349455.5</v>
      </c>
      <c r="CO126">
        <v>925822.4</v>
      </c>
      <c r="CP126">
        <v>726387.6</v>
      </c>
      <c r="CQ126">
        <v>13228992</v>
      </c>
      <c r="CR126">
        <v>1000</v>
      </c>
      <c r="CS126">
        <v>0</v>
      </c>
      <c r="CT126">
        <v>317.60000000000002</v>
      </c>
      <c r="CU126">
        <v>531</v>
      </c>
      <c r="CV126">
        <v>0</v>
      </c>
      <c r="CW126">
        <v>0</v>
      </c>
      <c r="CX126">
        <v>1806.6</v>
      </c>
      <c r="CY126">
        <v>9923.7999999999993</v>
      </c>
      <c r="CZ126">
        <v>0</v>
      </c>
      <c r="DA126">
        <v>3011.5</v>
      </c>
      <c r="DB126">
        <v>0</v>
      </c>
      <c r="DC126">
        <v>4440</v>
      </c>
      <c r="DD126">
        <v>2698.1</v>
      </c>
      <c r="DE126">
        <v>12322</v>
      </c>
      <c r="DF126">
        <v>1431.3</v>
      </c>
      <c r="DG126">
        <v>1179.9000000000001</v>
      </c>
      <c r="DH126">
        <v>0</v>
      </c>
      <c r="DI126">
        <v>6204.7</v>
      </c>
      <c r="DJ126">
        <v>0</v>
      </c>
      <c r="DK126">
        <v>2236.1</v>
      </c>
      <c r="DL126">
        <v>14313</v>
      </c>
      <c r="DM126">
        <v>0</v>
      </c>
      <c r="DN126">
        <v>0</v>
      </c>
      <c r="DO126">
        <v>0.39</v>
      </c>
      <c r="DP126">
        <v>0</v>
      </c>
      <c r="DQ126">
        <v>0</v>
      </c>
      <c r="DR126">
        <v>0</v>
      </c>
    </row>
    <row r="127" spans="1:122" x14ac:dyDescent="0.3">
      <c r="A127" t="s">
        <v>165</v>
      </c>
      <c r="B127">
        <v>2024</v>
      </c>
      <c r="C127">
        <v>154312348.30000001</v>
      </c>
      <c r="D127">
        <v>151130748.90000001</v>
      </c>
      <c r="E127">
        <v>145697622.40000001</v>
      </c>
      <c r="F127">
        <v>0</v>
      </c>
      <c r="G127">
        <v>2646648.5</v>
      </c>
      <c r="H127">
        <v>116029314.8</v>
      </c>
      <c r="I127">
        <v>1332370.5</v>
      </c>
      <c r="J127">
        <v>1314277.8999999999</v>
      </c>
      <c r="K127">
        <v>534951</v>
      </c>
      <c r="L127">
        <v>3.5900000000000001E-2</v>
      </c>
      <c r="M127">
        <v>5.3999999999999999E-2</v>
      </c>
      <c r="N127">
        <v>0.155</v>
      </c>
      <c r="O127">
        <v>21244.880000000001</v>
      </c>
      <c r="P127">
        <v>35106.5</v>
      </c>
      <c r="Q127">
        <v>117</v>
      </c>
      <c r="R127">
        <v>2.6</v>
      </c>
      <c r="S127">
        <v>0.3</v>
      </c>
      <c r="T127">
        <v>15.5</v>
      </c>
      <c r="U127">
        <v>588.9</v>
      </c>
      <c r="V127">
        <v>0.09</v>
      </c>
      <c r="W127">
        <v>117.1</v>
      </c>
      <c r="X127">
        <v>32</v>
      </c>
      <c r="Y127">
        <v>149.1</v>
      </c>
      <c r="Z127">
        <v>132.6</v>
      </c>
      <c r="AA127">
        <v>3</v>
      </c>
      <c r="AB127">
        <v>0.35</v>
      </c>
      <c r="AC127">
        <v>17.5</v>
      </c>
      <c r="AD127">
        <v>668.2</v>
      </c>
      <c r="AE127">
        <v>0.11</v>
      </c>
      <c r="AF127">
        <v>132.80000000000001</v>
      </c>
      <c r="AG127">
        <v>36.200000000000003</v>
      </c>
      <c r="AH127">
        <v>169</v>
      </c>
      <c r="AI127">
        <v>294</v>
      </c>
      <c r="AJ127">
        <v>11.3</v>
      </c>
      <c r="AK127">
        <v>1.58</v>
      </c>
      <c r="AL127">
        <v>31.2</v>
      </c>
      <c r="AM127">
        <v>1230.4000000000001</v>
      </c>
      <c r="AN127">
        <v>0.22</v>
      </c>
      <c r="AO127">
        <v>294.7</v>
      </c>
      <c r="AP127">
        <v>65.7</v>
      </c>
      <c r="AQ127">
        <v>360.4</v>
      </c>
      <c r="AR127">
        <v>613.6</v>
      </c>
      <c r="AS127">
        <v>32.6</v>
      </c>
      <c r="AT127">
        <v>4.55</v>
      </c>
      <c r="AU127">
        <v>55.1</v>
      </c>
      <c r="AV127">
        <v>2411.9</v>
      </c>
      <c r="AW127">
        <v>0.37</v>
      </c>
      <c r="AX127">
        <v>615.79999999999995</v>
      </c>
      <c r="AY127">
        <v>122.7</v>
      </c>
      <c r="AZ127">
        <v>738.5</v>
      </c>
      <c r="BA127">
        <v>16367433</v>
      </c>
      <c r="BB127">
        <v>364.2</v>
      </c>
      <c r="BC127">
        <v>41.7</v>
      </c>
      <c r="BD127">
        <v>2163877.2999999998</v>
      </c>
      <c r="BE127">
        <v>82431.3</v>
      </c>
      <c r="BF127">
        <v>13.1</v>
      </c>
      <c r="BG127">
        <v>16388668.800000001</v>
      </c>
      <c r="BH127">
        <v>4475429.3</v>
      </c>
      <c r="BI127">
        <v>20864098.100000001</v>
      </c>
      <c r="BJ127">
        <v>0</v>
      </c>
      <c r="BK127">
        <v>0</v>
      </c>
      <c r="BL127">
        <v>16367433</v>
      </c>
      <c r="BM127">
        <v>18531310.300000001</v>
      </c>
      <c r="BN127">
        <v>20864098.100000001</v>
      </c>
      <c r="BO127">
        <v>34.89</v>
      </c>
      <c r="BP127">
        <v>4.45</v>
      </c>
      <c r="BQ127">
        <v>0</v>
      </c>
      <c r="BR127">
        <v>39.340000000000003</v>
      </c>
      <c r="BS127">
        <v>37.06</v>
      </c>
      <c r="BT127">
        <v>4.8899999999999997</v>
      </c>
      <c r="BU127">
        <v>0</v>
      </c>
      <c r="BV127">
        <v>41.94</v>
      </c>
      <c r="BW127">
        <v>141022160</v>
      </c>
      <c r="BX127">
        <v>35101436</v>
      </c>
      <c r="BY127">
        <v>21551116</v>
      </c>
      <c r="BZ127">
        <v>360830.2</v>
      </c>
      <c r="CA127">
        <v>0</v>
      </c>
      <c r="CB127">
        <v>794441.2</v>
      </c>
      <c r="CC127">
        <v>39435370</v>
      </c>
      <c r="CD127">
        <v>0</v>
      </c>
      <c r="CE127">
        <v>79904.800000000003</v>
      </c>
      <c r="CF127">
        <v>26176436</v>
      </c>
      <c r="CG127">
        <v>0</v>
      </c>
      <c r="CH127">
        <v>1593318.6</v>
      </c>
      <c r="CI127">
        <v>0</v>
      </c>
      <c r="CJ127">
        <v>22599728</v>
      </c>
      <c r="CK127">
        <v>7652913</v>
      </c>
      <c r="CL127">
        <v>0</v>
      </c>
      <c r="CM127">
        <v>2257819.7999999998</v>
      </c>
      <c r="CN127">
        <v>2590973.7999999998</v>
      </c>
      <c r="CO127">
        <v>1067404</v>
      </c>
      <c r="CP127">
        <v>1139150.3999999999</v>
      </c>
      <c r="CQ127">
        <v>13722755</v>
      </c>
      <c r="CR127">
        <v>1500</v>
      </c>
      <c r="CS127">
        <v>0</v>
      </c>
      <c r="CT127">
        <v>336.6</v>
      </c>
      <c r="CU127">
        <v>381</v>
      </c>
      <c r="CV127">
        <v>0</v>
      </c>
      <c r="CW127">
        <v>0</v>
      </c>
      <c r="CX127">
        <v>2008.6</v>
      </c>
      <c r="CY127">
        <v>9923.7999999999993</v>
      </c>
      <c r="CZ127">
        <v>0</v>
      </c>
      <c r="DA127">
        <v>2570.9</v>
      </c>
      <c r="DB127">
        <v>0</v>
      </c>
      <c r="DC127">
        <v>4440</v>
      </c>
      <c r="DD127">
        <v>2698.1</v>
      </c>
      <c r="DE127">
        <v>9135.1</v>
      </c>
      <c r="DF127">
        <v>1431.3</v>
      </c>
      <c r="DG127">
        <v>1179.9000000000001</v>
      </c>
      <c r="DH127">
        <v>1826</v>
      </c>
      <c r="DI127">
        <v>6204.7</v>
      </c>
      <c r="DJ127">
        <v>0</v>
      </c>
      <c r="DK127">
        <v>3483.5</v>
      </c>
      <c r="DL127">
        <v>14313</v>
      </c>
      <c r="DM127">
        <v>0</v>
      </c>
      <c r="DN127">
        <v>0</v>
      </c>
      <c r="DO127">
        <v>0.48</v>
      </c>
      <c r="DP127">
        <v>0</v>
      </c>
      <c r="DQ127">
        <v>0</v>
      </c>
      <c r="DR127">
        <v>0</v>
      </c>
    </row>
    <row r="128" spans="1:122" x14ac:dyDescent="0.3">
      <c r="A128" t="s">
        <v>165</v>
      </c>
      <c r="B128">
        <v>2026</v>
      </c>
      <c r="C128">
        <v>156903970.19999999</v>
      </c>
      <c r="D128">
        <v>153289993.90000001</v>
      </c>
      <c r="E128">
        <v>147779242.69999999</v>
      </c>
      <c r="F128">
        <v>0</v>
      </c>
      <c r="G128">
        <v>3081307.5</v>
      </c>
      <c r="H128">
        <v>112762696.7</v>
      </c>
      <c r="I128">
        <v>1702846</v>
      </c>
      <c r="J128">
        <v>1378461.6</v>
      </c>
      <c r="K128">
        <v>532668.69999999995</v>
      </c>
      <c r="L128">
        <v>3.5900000000000001E-2</v>
      </c>
      <c r="M128">
        <v>5.3999999999999999E-2</v>
      </c>
      <c r="N128">
        <v>0.155</v>
      </c>
      <c r="O128">
        <v>38862.65</v>
      </c>
      <c r="P128">
        <v>35604.699999999997</v>
      </c>
      <c r="Q128">
        <v>107.4</v>
      </c>
      <c r="R128">
        <v>2.4</v>
      </c>
      <c r="S128">
        <v>0.27</v>
      </c>
      <c r="T128">
        <v>14.3</v>
      </c>
      <c r="U128">
        <v>543.20000000000005</v>
      </c>
      <c r="V128">
        <v>0.09</v>
      </c>
      <c r="W128">
        <v>107.5</v>
      </c>
      <c r="X128">
        <v>29.5</v>
      </c>
      <c r="Y128">
        <v>137.1</v>
      </c>
      <c r="Z128">
        <v>123.2</v>
      </c>
      <c r="AA128">
        <v>2.8</v>
      </c>
      <c r="AB128">
        <v>0.32</v>
      </c>
      <c r="AC128">
        <v>16.3</v>
      </c>
      <c r="AD128">
        <v>622.79999999999995</v>
      </c>
      <c r="AE128">
        <v>0.1</v>
      </c>
      <c r="AF128">
        <v>123.3</v>
      </c>
      <c r="AG128">
        <v>33.799999999999997</v>
      </c>
      <c r="AH128">
        <v>157.1</v>
      </c>
      <c r="AI128">
        <v>247.4</v>
      </c>
      <c r="AJ128">
        <v>8.6</v>
      </c>
      <c r="AK128">
        <v>1.18</v>
      </c>
      <c r="AL128">
        <v>27</v>
      </c>
      <c r="AM128">
        <v>1070.7</v>
      </c>
      <c r="AN128">
        <v>0.18</v>
      </c>
      <c r="AO128">
        <v>248</v>
      </c>
      <c r="AP128">
        <v>57</v>
      </c>
      <c r="AQ128">
        <v>305</v>
      </c>
      <c r="AR128">
        <v>598.29999999999995</v>
      </c>
      <c r="AS128">
        <v>31.3</v>
      </c>
      <c r="AT128">
        <v>4.3499999999999996</v>
      </c>
      <c r="AU128">
        <v>54</v>
      </c>
      <c r="AV128">
        <v>2378.8000000000002</v>
      </c>
      <c r="AW128">
        <v>0.35</v>
      </c>
      <c r="AX128">
        <v>600.4</v>
      </c>
      <c r="AY128">
        <v>120.7</v>
      </c>
      <c r="AZ128">
        <v>721.1</v>
      </c>
      <c r="BA128">
        <v>15337414.1</v>
      </c>
      <c r="BB128">
        <v>340.7</v>
      </c>
      <c r="BC128">
        <v>38.6</v>
      </c>
      <c r="BD128">
        <v>2041207.6</v>
      </c>
      <c r="BE128">
        <v>77554.100000000006</v>
      </c>
      <c r="BF128">
        <v>12.4</v>
      </c>
      <c r="BG128">
        <v>15357192.9</v>
      </c>
      <c r="BH128">
        <v>4216006.9000000004</v>
      </c>
      <c r="BI128">
        <v>19573199.800000001</v>
      </c>
      <c r="BJ128">
        <v>0</v>
      </c>
      <c r="BK128">
        <v>0</v>
      </c>
      <c r="BL128">
        <v>15337414.1</v>
      </c>
      <c r="BM128">
        <v>17378621.699999999</v>
      </c>
      <c r="BN128">
        <v>19573199.800000001</v>
      </c>
      <c r="BO128">
        <v>33.770000000000003</v>
      </c>
      <c r="BP128">
        <v>8.09</v>
      </c>
      <c r="BQ128">
        <v>0</v>
      </c>
      <c r="BR128">
        <v>41.86</v>
      </c>
      <c r="BS128">
        <v>35.880000000000003</v>
      </c>
      <c r="BT128">
        <v>8.91</v>
      </c>
      <c r="BU128">
        <v>0</v>
      </c>
      <c r="BV128">
        <v>44.79</v>
      </c>
      <c r="BW128">
        <v>143809680</v>
      </c>
      <c r="BX128">
        <v>40527296</v>
      </c>
      <c r="BY128">
        <v>21551116</v>
      </c>
      <c r="BZ128">
        <v>351794</v>
      </c>
      <c r="CA128">
        <v>0</v>
      </c>
      <c r="CB128">
        <v>632989.80000000005</v>
      </c>
      <c r="CC128">
        <v>37307720</v>
      </c>
      <c r="CD128">
        <v>0</v>
      </c>
      <c r="CE128">
        <v>67341</v>
      </c>
      <c r="CF128">
        <v>26974384</v>
      </c>
      <c r="CG128">
        <v>0</v>
      </c>
      <c r="CH128">
        <v>1592943.1</v>
      </c>
      <c r="CI128">
        <v>0</v>
      </c>
      <c r="CJ128">
        <v>22477854</v>
      </c>
      <c r="CK128">
        <v>12834804</v>
      </c>
      <c r="CL128">
        <v>0</v>
      </c>
      <c r="CM128">
        <v>2226321.2000000002</v>
      </c>
      <c r="CN128">
        <v>2988318</v>
      </c>
      <c r="CO128">
        <v>1103832.3999999999</v>
      </c>
      <c r="CP128">
        <v>1451647.4</v>
      </c>
      <c r="CQ128">
        <v>12248609</v>
      </c>
      <c r="CR128">
        <v>2000</v>
      </c>
      <c r="CS128">
        <v>0</v>
      </c>
      <c r="CT128">
        <v>336.6</v>
      </c>
      <c r="CU128">
        <v>381</v>
      </c>
      <c r="CV128">
        <v>0</v>
      </c>
      <c r="CW128">
        <v>0</v>
      </c>
      <c r="CX128">
        <v>2328.8000000000002</v>
      </c>
      <c r="CY128">
        <v>9923.7999999999993</v>
      </c>
      <c r="CZ128">
        <v>0</v>
      </c>
      <c r="DA128">
        <v>2570.9</v>
      </c>
      <c r="DB128">
        <v>0</v>
      </c>
      <c r="DC128">
        <v>4563</v>
      </c>
      <c r="DD128">
        <v>2698.1</v>
      </c>
      <c r="DE128">
        <v>8868.9</v>
      </c>
      <c r="DF128">
        <v>1431.3</v>
      </c>
      <c r="DG128">
        <v>1179.9000000000001</v>
      </c>
      <c r="DH128">
        <v>3086</v>
      </c>
      <c r="DI128">
        <v>6204.7</v>
      </c>
      <c r="DJ128">
        <v>0</v>
      </c>
      <c r="DK128">
        <v>4483.5</v>
      </c>
      <c r="DL128">
        <v>14313</v>
      </c>
      <c r="DM128">
        <v>0</v>
      </c>
      <c r="DN128">
        <v>0</v>
      </c>
      <c r="DO128">
        <v>0.56999999999999995</v>
      </c>
      <c r="DP128">
        <v>0</v>
      </c>
      <c r="DQ128">
        <v>0</v>
      </c>
      <c r="DR128">
        <v>0</v>
      </c>
    </row>
    <row r="129" spans="1:122" x14ac:dyDescent="0.3">
      <c r="A129" t="s">
        <v>165</v>
      </c>
      <c r="B129">
        <v>2028</v>
      </c>
      <c r="C129">
        <v>157799638.5</v>
      </c>
      <c r="D129">
        <v>153948640.80000001</v>
      </c>
      <c r="E129">
        <v>148414211.40000001</v>
      </c>
      <c r="F129">
        <v>0</v>
      </c>
      <c r="G129">
        <v>3409870</v>
      </c>
      <c r="H129">
        <v>103611587.59999999</v>
      </c>
      <c r="I129">
        <v>2044188.4</v>
      </c>
      <c r="J129">
        <v>1365681.8</v>
      </c>
      <c r="K129">
        <v>441127.7</v>
      </c>
      <c r="L129">
        <v>3.5900000000000001E-2</v>
      </c>
      <c r="M129">
        <v>5.3999999999999999E-2</v>
      </c>
      <c r="N129">
        <v>0.155</v>
      </c>
      <c r="O129">
        <v>22587.66</v>
      </c>
      <c r="P129">
        <v>35755.300000000003</v>
      </c>
      <c r="Q129">
        <v>84.4</v>
      </c>
      <c r="R129">
        <v>1.9</v>
      </c>
      <c r="S129">
        <v>0.21</v>
      </c>
      <c r="T129">
        <v>11.5</v>
      </c>
      <c r="U129">
        <v>432.1</v>
      </c>
      <c r="V129">
        <v>7.0000000000000007E-2</v>
      </c>
      <c r="W129">
        <v>84.5</v>
      </c>
      <c r="X129">
        <v>23.6</v>
      </c>
      <c r="Y129">
        <v>108.1</v>
      </c>
      <c r="Z129">
        <v>100.4</v>
      </c>
      <c r="AA129">
        <v>2.2999999999999998</v>
      </c>
      <c r="AB129">
        <v>0.25</v>
      </c>
      <c r="AC129">
        <v>13.6</v>
      </c>
      <c r="AD129">
        <v>513</v>
      </c>
      <c r="AE129">
        <v>0.08</v>
      </c>
      <c r="AF129">
        <v>100.6</v>
      </c>
      <c r="AG129">
        <v>28</v>
      </c>
      <c r="AH129">
        <v>128.5</v>
      </c>
      <c r="AI129">
        <v>190</v>
      </c>
      <c r="AJ129">
        <v>5.8</v>
      </c>
      <c r="AK129">
        <v>0.77</v>
      </c>
      <c r="AL129">
        <v>21.2</v>
      </c>
      <c r="AM129">
        <v>861.7</v>
      </c>
      <c r="AN129">
        <v>0.13</v>
      </c>
      <c r="AO129">
        <v>190.4</v>
      </c>
      <c r="AP129">
        <v>45.4</v>
      </c>
      <c r="AQ129">
        <v>235.8</v>
      </c>
      <c r="AR129">
        <v>571.70000000000005</v>
      </c>
      <c r="AS129">
        <v>29.1</v>
      </c>
      <c r="AT129">
        <v>4</v>
      </c>
      <c r="AU129">
        <v>52.2</v>
      </c>
      <c r="AV129">
        <v>2318.5</v>
      </c>
      <c r="AW129">
        <v>0.33</v>
      </c>
      <c r="AX129">
        <v>573.5</v>
      </c>
      <c r="AY129">
        <v>117.2</v>
      </c>
      <c r="AZ129">
        <v>690.7</v>
      </c>
      <c r="BA129">
        <v>12597324.699999999</v>
      </c>
      <c r="BB129">
        <v>277.60000000000002</v>
      </c>
      <c r="BC129">
        <v>30.7</v>
      </c>
      <c r="BD129">
        <v>1715613.3</v>
      </c>
      <c r="BE129">
        <v>64489.5</v>
      </c>
      <c r="BF129">
        <v>10.6</v>
      </c>
      <c r="BG129">
        <v>12613233.199999999</v>
      </c>
      <c r="BH129">
        <v>3524116.6</v>
      </c>
      <c r="BI129">
        <v>16137349.9</v>
      </c>
      <c r="BJ129">
        <v>0</v>
      </c>
      <c r="BK129">
        <v>0</v>
      </c>
      <c r="BL129">
        <v>12597324.699999999</v>
      </c>
      <c r="BM129">
        <v>14312938</v>
      </c>
      <c r="BN129">
        <v>16137349.9</v>
      </c>
      <c r="BO129">
        <v>32.75</v>
      </c>
      <c r="BP129">
        <v>4.58</v>
      </c>
      <c r="BQ129">
        <v>8.6300000000000008</v>
      </c>
      <c r="BR129">
        <v>45.96</v>
      </c>
      <c r="BS129">
        <v>34.81</v>
      </c>
      <c r="BT129">
        <v>5.05</v>
      </c>
      <c r="BU129">
        <v>9.1199999999999992</v>
      </c>
      <c r="BV129">
        <v>48.98</v>
      </c>
      <c r="BW129">
        <v>150509010</v>
      </c>
      <c r="BX129">
        <v>50337052</v>
      </c>
      <c r="BY129">
        <v>21551116</v>
      </c>
      <c r="BZ129">
        <v>316766.2</v>
      </c>
      <c r="CA129">
        <v>0</v>
      </c>
      <c r="CB129">
        <v>265095.3</v>
      </c>
      <c r="CC129">
        <v>31698388</v>
      </c>
      <c r="CD129">
        <v>0</v>
      </c>
      <c r="CE129">
        <v>33499.800000000003</v>
      </c>
      <c r="CF129">
        <v>27084230</v>
      </c>
      <c r="CG129">
        <v>0</v>
      </c>
      <c r="CH129">
        <v>1592052.6</v>
      </c>
      <c r="CI129">
        <v>0</v>
      </c>
      <c r="CJ129">
        <v>23057416</v>
      </c>
      <c r="CK129">
        <v>17604146</v>
      </c>
      <c r="CL129">
        <v>0</v>
      </c>
      <c r="CM129">
        <v>6081103.5</v>
      </c>
      <c r="CN129">
        <v>3594387.5</v>
      </c>
      <c r="CO129">
        <v>1102026.1000000001</v>
      </c>
      <c r="CP129">
        <v>1745633.8</v>
      </c>
      <c r="CQ129">
        <v>14783154</v>
      </c>
      <c r="CR129">
        <v>2500</v>
      </c>
      <c r="CS129">
        <v>0</v>
      </c>
      <c r="CT129">
        <v>336.6</v>
      </c>
      <c r="CU129">
        <v>381</v>
      </c>
      <c r="CV129">
        <v>0</v>
      </c>
      <c r="CW129">
        <v>0</v>
      </c>
      <c r="CX129">
        <v>2808.3</v>
      </c>
      <c r="CY129">
        <v>9923.7999999999993</v>
      </c>
      <c r="CZ129">
        <v>0</v>
      </c>
      <c r="DA129">
        <v>2570.9</v>
      </c>
      <c r="DB129">
        <v>0</v>
      </c>
      <c r="DC129">
        <v>4591.8999999999996</v>
      </c>
      <c r="DD129">
        <v>2698.1</v>
      </c>
      <c r="DE129">
        <v>8661.2999999999993</v>
      </c>
      <c r="DF129">
        <v>1431.3</v>
      </c>
      <c r="DG129">
        <v>2915.3</v>
      </c>
      <c r="DH129">
        <v>4316</v>
      </c>
      <c r="DI129">
        <v>6382</v>
      </c>
      <c r="DJ129">
        <v>0</v>
      </c>
      <c r="DK129">
        <v>5483.5</v>
      </c>
      <c r="DL129">
        <v>14313</v>
      </c>
      <c r="DM129">
        <v>0</v>
      </c>
      <c r="DN129">
        <v>13.6</v>
      </c>
      <c r="DO129">
        <v>0.67</v>
      </c>
      <c r="DP129">
        <v>0</v>
      </c>
      <c r="DQ129">
        <v>0</v>
      </c>
      <c r="DR129">
        <v>0</v>
      </c>
    </row>
    <row r="130" spans="1:122" x14ac:dyDescent="0.3">
      <c r="A130" t="s">
        <v>165</v>
      </c>
      <c r="B130">
        <v>2030</v>
      </c>
      <c r="C130">
        <v>160892802.40000001</v>
      </c>
      <c r="D130">
        <v>155342451.09999999</v>
      </c>
      <c r="E130">
        <v>149757914.30000001</v>
      </c>
      <c r="F130">
        <v>0</v>
      </c>
      <c r="G130">
        <v>5081192.5</v>
      </c>
      <c r="H130">
        <v>88880848.200000003</v>
      </c>
      <c r="I130">
        <v>3807639.5</v>
      </c>
      <c r="J130">
        <v>1273552.6000000001</v>
      </c>
      <c r="K130">
        <v>469158.9</v>
      </c>
      <c r="L130">
        <v>3.5900000000000001E-2</v>
      </c>
      <c r="M130">
        <v>5.3999999999999999E-2</v>
      </c>
      <c r="N130">
        <v>0.155</v>
      </c>
      <c r="O130">
        <v>56535.360000000001</v>
      </c>
      <c r="P130">
        <v>36079.1</v>
      </c>
      <c r="Q130">
        <v>62.3</v>
      </c>
      <c r="R130">
        <v>1.3</v>
      </c>
      <c r="S130">
        <v>0.14000000000000001</v>
      </c>
      <c r="T130">
        <v>8.6999999999999993</v>
      </c>
      <c r="U130">
        <v>323</v>
      </c>
      <c r="V130">
        <v>0.06</v>
      </c>
      <c r="W130">
        <v>62.3</v>
      </c>
      <c r="X130">
        <v>17.8</v>
      </c>
      <c r="Y130">
        <v>80.099999999999994</v>
      </c>
      <c r="Z130">
        <v>75.5</v>
      </c>
      <c r="AA130">
        <v>1.7</v>
      </c>
      <c r="AB130">
        <v>0.18</v>
      </c>
      <c r="AC130">
        <v>10.5</v>
      </c>
      <c r="AD130">
        <v>389.3</v>
      </c>
      <c r="AE130">
        <v>7.0000000000000007E-2</v>
      </c>
      <c r="AF130">
        <v>75.599999999999994</v>
      </c>
      <c r="AG130">
        <v>21.4</v>
      </c>
      <c r="AH130">
        <v>96.9</v>
      </c>
      <c r="AI130">
        <v>155.30000000000001</v>
      </c>
      <c r="AJ130">
        <v>4.3</v>
      </c>
      <c r="AK130">
        <v>0.54</v>
      </c>
      <c r="AL130">
        <v>17.5</v>
      </c>
      <c r="AM130">
        <v>738.6</v>
      </c>
      <c r="AN130">
        <v>0.09</v>
      </c>
      <c r="AO130">
        <v>155.6</v>
      </c>
      <c r="AP130">
        <v>38.200000000000003</v>
      </c>
      <c r="AQ130">
        <v>193.8</v>
      </c>
      <c r="AR130">
        <v>513.4</v>
      </c>
      <c r="AS130">
        <v>24.2</v>
      </c>
      <c r="AT130">
        <v>3.28</v>
      </c>
      <c r="AU130">
        <v>48.5</v>
      </c>
      <c r="AV130">
        <v>2156.6</v>
      </c>
      <c r="AW130">
        <v>0.28000000000000003</v>
      </c>
      <c r="AX130">
        <v>515</v>
      </c>
      <c r="AY130">
        <v>108.9</v>
      </c>
      <c r="AZ130">
        <v>623.9</v>
      </c>
      <c r="BA130">
        <v>9941003.9000000004</v>
      </c>
      <c r="BB130">
        <v>208.7</v>
      </c>
      <c r="BC130">
        <v>22.3</v>
      </c>
      <c r="BD130">
        <v>1397288.7</v>
      </c>
      <c r="BE130">
        <v>51562</v>
      </c>
      <c r="BF130">
        <v>9</v>
      </c>
      <c r="BG130">
        <v>9952765.4000000004</v>
      </c>
      <c r="BH130">
        <v>2843422.3</v>
      </c>
      <c r="BI130">
        <v>12796187.699999999</v>
      </c>
      <c r="BJ130">
        <v>0</v>
      </c>
      <c r="BK130">
        <v>0</v>
      </c>
      <c r="BL130">
        <v>9941003.9000000004</v>
      </c>
      <c r="BM130">
        <v>11338292.5</v>
      </c>
      <c r="BN130">
        <v>12796187.699999999</v>
      </c>
      <c r="BO130">
        <v>29.22</v>
      </c>
      <c r="BP130">
        <v>10.86</v>
      </c>
      <c r="BQ130">
        <v>11.9</v>
      </c>
      <c r="BR130">
        <v>51.98</v>
      </c>
      <c r="BS130">
        <v>31.16</v>
      </c>
      <c r="BT130">
        <v>12.06</v>
      </c>
      <c r="BU130">
        <v>12.58</v>
      </c>
      <c r="BV130">
        <v>55.8</v>
      </c>
      <c r="BW130">
        <v>161164220</v>
      </c>
      <c r="BX130">
        <v>66461610</v>
      </c>
      <c r="BY130">
        <v>21551116</v>
      </c>
      <c r="BZ130">
        <v>173704</v>
      </c>
      <c r="CA130">
        <v>0</v>
      </c>
      <c r="CB130">
        <v>110096.9</v>
      </c>
      <c r="CC130">
        <v>25824038</v>
      </c>
      <c r="CD130">
        <v>0</v>
      </c>
      <c r="CE130">
        <v>22758.2</v>
      </c>
      <c r="CF130">
        <v>27040284</v>
      </c>
      <c r="CG130">
        <v>0</v>
      </c>
      <c r="CH130">
        <v>1381561.4</v>
      </c>
      <c r="CI130">
        <v>0</v>
      </c>
      <c r="CJ130">
        <v>31460378</v>
      </c>
      <c r="CK130">
        <v>17497078</v>
      </c>
      <c r="CL130">
        <v>0</v>
      </c>
      <c r="CM130">
        <v>13114032</v>
      </c>
      <c r="CN130">
        <v>4390115</v>
      </c>
      <c r="CO130">
        <v>1012397.9</v>
      </c>
      <c r="CP130">
        <v>3227497.5</v>
      </c>
      <c r="CQ130">
        <v>14359155</v>
      </c>
      <c r="CR130">
        <v>3695.3</v>
      </c>
      <c r="CS130">
        <v>0</v>
      </c>
      <c r="CT130">
        <v>300.60000000000002</v>
      </c>
      <c r="CU130">
        <v>381</v>
      </c>
      <c r="CV130">
        <v>0</v>
      </c>
      <c r="CW130">
        <v>0</v>
      </c>
      <c r="CX130">
        <v>3444.6</v>
      </c>
      <c r="CY130">
        <v>9923.7999999999993</v>
      </c>
      <c r="CZ130">
        <v>0</v>
      </c>
      <c r="DA130">
        <v>1362</v>
      </c>
      <c r="DB130">
        <v>0</v>
      </c>
      <c r="DC130">
        <v>4592</v>
      </c>
      <c r="DD130">
        <v>2698.1</v>
      </c>
      <c r="DE130">
        <v>7994.9</v>
      </c>
      <c r="DF130">
        <v>1431.3</v>
      </c>
      <c r="DG130">
        <v>6240.6</v>
      </c>
      <c r="DH130">
        <v>4316</v>
      </c>
      <c r="DI130">
        <v>8505.6</v>
      </c>
      <c r="DJ130">
        <v>0</v>
      </c>
      <c r="DK130">
        <v>11984.5</v>
      </c>
      <c r="DL130">
        <v>14313</v>
      </c>
      <c r="DM130">
        <v>0</v>
      </c>
      <c r="DN130">
        <v>16.5</v>
      </c>
      <c r="DO130">
        <v>0.76</v>
      </c>
      <c r="DP130">
        <v>0</v>
      </c>
      <c r="DQ130">
        <v>0.75</v>
      </c>
      <c r="DR130">
        <v>0</v>
      </c>
    </row>
    <row r="131" spans="1:122" x14ac:dyDescent="0.3">
      <c r="A131" t="s">
        <v>165</v>
      </c>
      <c r="B131">
        <v>2032</v>
      </c>
      <c r="C131">
        <v>163290412.40000001</v>
      </c>
      <c r="D131">
        <v>157153594.69999999</v>
      </c>
      <c r="E131">
        <v>151503947.59999999</v>
      </c>
      <c r="F131">
        <v>0</v>
      </c>
      <c r="G131">
        <v>5642046</v>
      </c>
      <c r="H131">
        <v>81487727.099999994</v>
      </c>
      <c r="I131">
        <v>4258943.5</v>
      </c>
      <c r="J131">
        <v>1383102.9</v>
      </c>
      <c r="K131">
        <v>494771.5</v>
      </c>
      <c r="L131">
        <v>3.5900000000000001E-2</v>
      </c>
      <c r="M131">
        <v>5.3999999999999999E-2</v>
      </c>
      <c r="N131">
        <v>0.155</v>
      </c>
      <c r="O131">
        <v>67150.58</v>
      </c>
      <c r="P131">
        <v>36498.199999999997</v>
      </c>
      <c r="Q131">
        <v>52.9</v>
      </c>
      <c r="R131">
        <v>1.1000000000000001</v>
      </c>
      <c r="S131">
        <v>0.11</v>
      </c>
      <c r="T131">
        <v>7.6</v>
      </c>
      <c r="U131">
        <v>276.10000000000002</v>
      </c>
      <c r="V131">
        <v>0.05</v>
      </c>
      <c r="W131">
        <v>53</v>
      </c>
      <c r="X131">
        <v>15.4</v>
      </c>
      <c r="Y131">
        <v>68.400000000000006</v>
      </c>
      <c r="Z131">
        <v>64.5</v>
      </c>
      <c r="AA131">
        <v>1.4</v>
      </c>
      <c r="AB131">
        <v>0.15</v>
      </c>
      <c r="AC131">
        <v>9.1</v>
      </c>
      <c r="AD131">
        <v>334.5</v>
      </c>
      <c r="AE131">
        <v>0.06</v>
      </c>
      <c r="AF131">
        <v>64.599999999999994</v>
      </c>
      <c r="AG131">
        <v>18.5</v>
      </c>
      <c r="AH131">
        <v>83.1</v>
      </c>
      <c r="AI131">
        <v>125</v>
      </c>
      <c r="AJ131">
        <v>3</v>
      </c>
      <c r="AK131">
        <v>0.34</v>
      </c>
      <c r="AL131">
        <v>14.5</v>
      </c>
      <c r="AM131">
        <v>625.20000000000005</v>
      </c>
      <c r="AN131">
        <v>0.06</v>
      </c>
      <c r="AO131">
        <v>125.2</v>
      </c>
      <c r="AP131">
        <v>32</v>
      </c>
      <c r="AQ131">
        <v>157.19999999999999</v>
      </c>
      <c r="AR131">
        <v>471.6</v>
      </c>
      <c r="AS131">
        <v>20.5</v>
      </c>
      <c r="AT131">
        <v>2.74</v>
      </c>
      <c r="AU131">
        <v>46.1</v>
      </c>
      <c r="AV131">
        <v>2052.8000000000002</v>
      </c>
      <c r="AW131">
        <v>0.25</v>
      </c>
      <c r="AX131">
        <v>472.9</v>
      </c>
      <c r="AY131">
        <v>103.7</v>
      </c>
      <c r="AZ131">
        <v>576.6</v>
      </c>
      <c r="BA131">
        <v>8806282.4000000004</v>
      </c>
      <c r="BB131">
        <v>178.7</v>
      </c>
      <c r="BC131">
        <v>18.8</v>
      </c>
      <c r="BD131">
        <v>1268541.3999999999</v>
      </c>
      <c r="BE131">
        <v>45940.4</v>
      </c>
      <c r="BF131">
        <v>8.5</v>
      </c>
      <c r="BG131">
        <v>8816273.5</v>
      </c>
      <c r="BH131">
        <v>2557126.2000000002</v>
      </c>
      <c r="BI131">
        <v>11373399.800000001</v>
      </c>
      <c r="BJ131">
        <v>0</v>
      </c>
      <c r="BK131">
        <v>0</v>
      </c>
      <c r="BL131">
        <v>8806282.4000000004</v>
      </c>
      <c r="BM131">
        <v>10074823.800000001</v>
      </c>
      <c r="BN131">
        <v>11373399.800000001</v>
      </c>
      <c r="BO131">
        <v>27.12</v>
      </c>
      <c r="BP131">
        <v>12.71</v>
      </c>
      <c r="BQ131">
        <v>0</v>
      </c>
      <c r="BR131">
        <v>39.83</v>
      </c>
      <c r="BS131">
        <v>29.03</v>
      </c>
      <c r="BT131">
        <v>14.16</v>
      </c>
      <c r="BU131">
        <v>0</v>
      </c>
      <c r="BV131">
        <v>43.19</v>
      </c>
      <c r="BW131">
        <v>167752100</v>
      </c>
      <c r="BX131">
        <v>75665864</v>
      </c>
      <c r="BY131">
        <v>21551116</v>
      </c>
      <c r="BZ131">
        <v>98770.4</v>
      </c>
      <c r="CA131">
        <v>0</v>
      </c>
      <c r="CB131">
        <v>93117.4</v>
      </c>
      <c r="CC131">
        <v>23182122</v>
      </c>
      <c r="CD131">
        <v>0</v>
      </c>
      <c r="CE131">
        <v>21033.8</v>
      </c>
      <c r="CF131">
        <v>26919974</v>
      </c>
      <c r="CG131">
        <v>0</v>
      </c>
      <c r="CH131">
        <v>1336442</v>
      </c>
      <c r="CI131">
        <v>0</v>
      </c>
      <c r="CJ131">
        <v>31148294</v>
      </c>
      <c r="CK131">
        <v>26542268</v>
      </c>
      <c r="CL131">
        <v>0</v>
      </c>
      <c r="CM131">
        <v>12899851</v>
      </c>
      <c r="CN131">
        <v>5075456.5</v>
      </c>
      <c r="CO131">
        <v>1100406.3999999999</v>
      </c>
      <c r="CP131">
        <v>3620887.2</v>
      </c>
      <c r="CQ131">
        <v>14162354</v>
      </c>
      <c r="CR131">
        <v>3976</v>
      </c>
      <c r="CS131">
        <v>0</v>
      </c>
      <c r="CT131">
        <v>300.60000000000002</v>
      </c>
      <c r="CU131">
        <v>381</v>
      </c>
      <c r="CV131">
        <v>0</v>
      </c>
      <c r="CW131">
        <v>0</v>
      </c>
      <c r="CX131">
        <v>4019.7</v>
      </c>
      <c r="CY131">
        <v>9923.7999999999993</v>
      </c>
      <c r="CZ131">
        <v>0</v>
      </c>
      <c r="DA131">
        <v>1362</v>
      </c>
      <c r="DB131">
        <v>0</v>
      </c>
      <c r="DC131">
        <v>4592</v>
      </c>
      <c r="DD131">
        <v>2698.1</v>
      </c>
      <c r="DE131">
        <v>7994.9</v>
      </c>
      <c r="DF131">
        <v>1431.3</v>
      </c>
      <c r="DG131">
        <v>6240.6</v>
      </c>
      <c r="DH131">
        <v>6600</v>
      </c>
      <c r="DI131">
        <v>8457.5</v>
      </c>
      <c r="DJ131">
        <v>0</v>
      </c>
      <c r="DK131">
        <v>13391.1</v>
      </c>
      <c r="DL131">
        <v>14313</v>
      </c>
      <c r="DM131">
        <v>0</v>
      </c>
      <c r="DN131">
        <v>0</v>
      </c>
      <c r="DO131">
        <v>0.76</v>
      </c>
      <c r="DP131">
        <v>0</v>
      </c>
      <c r="DQ131">
        <v>0.8</v>
      </c>
      <c r="DR131">
        <v>0</v>
      </c>
    </row>
    <row r="132" spans="1:122" x14ac:dyDescent="0.3">
      <c r="A132" t="s">
        <v>165</v>
      </c>
      <c r="B132">
        <v>2034</v>
      </c>
      <c r="C132">
        <v>164741894.90000001</v>
      </c>
      <c r="D132">
        <v>158327550.5</v>
      </c>
      <c r="E132">
        <v>152635699.90000001</v>
      </c>
      <c r="F132">
        <v>0</v>
      </c>
      <c r="G132">
        <v>5886688</v>
      </c>
      <c r="H132">
        <v>76951624.200000003</v>
      </c>
      <c r="I132">
        <v>4495940.5</v>
      </c>
      <c r="J132">
        <v>1390747.4</v>
      </c>
      <c r="K132">
        <v>527656.6</v>
      </c>
      <c r="L132">
        <v>3.5900000000000001E-2</v>
      </c>
      <c r="M132">
        <v>5.3999999999999999E-2</v>
      </c>
      <c r="N132">
        <v>0.155</v>
      </c>
      <c r="O132">
        <v>72274.48</v>
      </c>
      <c r="P132">
        <v>36772.199999999997</v>
      </c>
      <c r="Q132">
        <v>47.5</v>
      </c>
      <c r="R132">
        <v>0.9</v>
      </c>
      <c r="S132">
        <v>0.09</v>
      </c>
      <c r="T132">
        <v>6.9</v>
      </c>
      <c r="U132">
        <v>249.7</v>
      </c>
      <c r="V132">
        <v>0.05</v>
      </c>
      <c r="W132">
        <v>47.5</v>
      </c>
      <c r="X132">
        <v>13.9</v>
      </c>
      <c r="Y132">
        <v>61.5</v>
      </c>
      <c r="Z132">
        <v>58.4</v>
      </c>
      <c r="AA132">
        <v>1.2</v>
      </c>
      <c r="AB132">
        <v>0.13</v>
      </c>
      <c r="AC132">
        <v>8.3000000000000007</v>
      </c>
      <c r="AD132">
        <v>304.5</v>
      </c>
      <c r="AE132">
        <v>0.06</v>
      </c>
      <c r="AF132">
        <v>58.5</v>
      </c>
      <c r="AG132">
        <v>16.899999999999999</v>
      </c>
      <c r="AH132">
        <v>75.400000000000006</v>
      </c>
      <c r="AI132">
        <v>108.1</v>
      </c>
      <c r="AJ132">
        <v>2.2999999999999998</v>
      </c>
      <c r="AK132">
        <v>0.24</v>
      </c>
      <c r="AL132">
        <v>12.8</v>
      </c>
      <c r="AM132">
        <v>555</v>
      </c>
      <c r="AN132">
        <v>0.05</v>
      </c>
      <c r="AO132">
        <v>108.2</v>
      </c>
      <c r="AP132">
        <v>28.3</v>
      </c>
      <c r="AQ132">
        <v>136.5</v>
      </c>
      <c r="AR132">
        <v>456.1</v>
      </c>
      <c r="AS132">
        <v>20</v>
      </c>
      <c r="AT132">
        <v>2.66</v>
      </c>
      <c r="AU132">
        <v>44.4</v>
      </c>
      <c r="AV132">
        <v>1984.3</v>
      </c>
      <c r="AW132">
        <v>0.24</v>
      </c>
      <c r="AX132">
        <v>457.4</v>
      </c>
      <c r="AY132">
        <v>100</v>
      </c>
      <c r="AZ132">
        <v>557.4</v>
      </c>
      <c r="BA132">
        <v>8091637.2999999998</v>
      </c>
      <c r="BB132">
        <v>154.30000000000001</v>
      </c>
      <c r="BC132">
        <v>15.8</v>
      </c>
      <c r="BD132">
        <v>1181722.8</v>
      </c>
      <c r="BE132">
        <v>42547.199999999997</v>
      </c>
      <c r="BF132">
        <v>8.1</v>
      </c>
      <c r="BG132">
        <v>8100139.9000000004</v>
      </c>
      <c r="BH132">
        <v>2375198</v>
      </c>
      <c r="BI132">
        <v>10475337.9</v>
      </c>
      <c r="BJ132">
        <v>0</v>
      </c>
      <c r="BK132">
        <v>0</v>
      </c>
      <c r="BL132">
        <v>8091637.2999999998</v>
      </c>
      <c r="BM132">
        <v>9273360.0999999996</v>
      </c>
      <c r="BN132">
        <v>10475337.9</v>
      </c>
      <c r="BO132">
        <v>26.19</v>
      </c>
      <c r="BP132">
        <v>13.56</v>
      </c>
      <c r="BQ132">
        <v>0</v>
      </c>
      <c r="BR132">
        <v>39.74</v>
      </c>
      <c r="BS132">
        <v>28.05</v>
      </c>
      <c r="BT132">
        <v>15.12</v>
      </c>
      <c r="BU132">
        <v>0</v>
      </c>
      <c r="BV132">
        <v>43.16</v>
      </c>
      <c r="BW132">
        <v>171674770</v>
      </c>
      <c r="BX132">
        <v>81375930</v>
      </c>
      <c r="BY132">
        <v>21551116</v>
      </c>
      <c r="BZ132">
        <v>0</v>
      </c>
      <c r="CA132">
        <v>0</v>
      </c>
      <c r="CB132">
        <v>87636.9</v>
      </c>
      <c r="CC132">
        <v>21450806</v>
      </c>
      <c r="CD132">
        <v>0</v>
      </c>
      <c r="CE132">
        <v>25174.799999999999</v>
      </c>
      <c r="CF132">
        <v>26885306</v>
      </c>
      <c r="CG132">
        <v>0</v>
      </c>
      <c r="CH132">
        <v>1071899.8999999999</v>
      </c>
      <c r="CI132">
        <v>0</v>
      </c>
      <c r="CJ132">
        <v>30973590</v>
      </c>
      <c r="CK132">
        <v>32026812</v>
      </c>
      <c r="CL132">
        <v>0</v>
      </c>
      <c r="CM132">
        <v>12692587</v>
      </c>
      <c r="CN132">
        <v>5682935.5</v>
      </c>
      <c r="CO132">
        <v>1092902.5</v>
      </c>
      <c r="CP132">
        <v>3807543.2</v>
      </c>
      <c r="CQ132">
        <v>14326458</v>
      </c>
      <c r="CR132">
        <v>4167.7</v>
      </c>
      <c r="CS132">
        <v>0</v>
      </c>
      <c r="CT132">
        <v>249.6</v>
      </c>
      <c r="CU132">
        <v>11</v>
      </c>
      <c r="CV132">
        <v>0</v>
      </c>
      <c r="CW132">
        <v>0</v>
      </c>
      <c r="CX132">
        <v>4540.1000000000004</v>
      </c>
      <c r="CY132">
        <v>9923.7999999999993</v>
      </c>
      <c r="CZ132">
        <v>0</v>
      </c>
      <c r="DA132">
        <v>1362</v>
      </c>
      <c r="DB132">
        <v>0</v>
      </c>
      <c r="DC132">
        <v>4592</v>
      </c>
      <c r="DD132">
        <v>2698.1</v>
      </c>
      <c r="DE132">
        <v>7305.5</v>
      </c>
      <c r="DF132">
        <v>1431.3</v>
      </c>
      <c r="DG132">
        <v>6240.6</v>
      </c>
      <c r="DH132">
        <v>8000</v>
      </c>
      <c r="DI132">
        <v>8457.5</v>
      </c>
      <c r="DJ132">
        <v>0</v>
      </c>
      <c r="DK132">
        <v>14597.3</v>
      </c>
      <c r="DL132">
        <v>14313</v>
      </c>
      <c r="DM132">
        <v>0</v>
      </c>
      <c r="DN132">
        <v>0</v>
      </c>
      <c r="DO132">
        <v>0.76</v>
      </c>
      <c r="DP132">
        <v>0</v>
      </c>
      <c r="DQ132">
        <v>0.85</v>
      </c>
      <c r="DR132">
        <v>0</v>
      </c>
    </row>
    <row r="133" spans="1:122" x14ac:dyDescent="0.3">
      <c r="A133" t="s">
        <v>165</v>
      </c>
      <c r="B133">
        <v>2036</v>
      </c>
      <c r="C133">
        <v>166934832.69999999</v>
      </c>
      <c r="D133">
        <v>160416537.69999999</v>
      </c>
      <c r="E133">
        <v>154649587.80000001</v>
      </c>
      <c r="F133">
        <v>0</v>
      </c>
      <c r="G133">
        <v>5964601</v>
      </c>
      <c r="H133">
        <v>75008665.299999997</v>
      </c>
      <c r="I133">
        <v>4577024</v>
      </c>
      <c r="J133">
        <v>1387577.4</v>
      </c>
      <c r="K133">
        <v>553693.80000000005</v>
      </c>
      <c r="L133">
        <v>3.5900000000000001E-2</v>
      </c>
      <c r="M133">
        <v>5.3999999999999999E-2</v>
      </c>
      <c r="N133">
        <v>0.155</v>
      </c>
      <c r="O133">
        <v>82325.66</v>
      </c>
      <c r="P133">
        <v>37236.9</v>
      </c>
      <c r="Q133">
        <v>45.8</v>
      </c>
      <c r="R133">
        <v>0.9</v>
      </c>
      <c r="S133">
        <v>0.09</v>
      </c>
      <c r="T133">
        <v>6.7</v>
      </c>
      <c r="U133">
        <v>240.5</v>
      </c>
      <c r="V133">
        <v>0.05</v>
      </c>
      <c r="W133">
        <v>45.8</v>
      </c>
      <c r="X133">
        <v>13.5</v>
      </c>
      <c r="Y133">
        <v>59.3</v>
      </c>
      <c r="Z133">
        <v>57</v>
      </c>
      <c r="AA133">
        <v>1.2</v>
      </c>
      <c r="AB133">
        <v>0.13</v>
      </c>
      <c r="AC133">
        <v>8.1</v>
      </c>
      <c r="AD133">
        <v>295.5</v>
      </c>
      <c r="AE133">
        <v>0.06</v>
      </c>
      <c r="AF133">
        <v>57</v>
      </c>
      <c r="AG133">
        <v>16.399999999999999</v>
      </c>
      <c r="AH133">
        <v>73.400000000000006</v>
      </c>
      <c r="AI133">
        <v>82.5</v>
      </c>
      <c r="AJ133">
        <v>1.6</v>
      </c>
      <c r="AK133">
        <v>0.16</v>
      </c>
      <c r="AL133">
        <v>9.9</v>
      </c>
      <c r="AM133">
        <v>428.7</v>
      </c>
      <c r="AN133">
        <v>0.04</v>
      </c>
      <c r="AO133">
        <v>82.6</v>
      </c>
      <c r="AP133">
        <v>21.9</v>
      </c>
      <c r="AQ133">
        <v>104.5</v>
      </c>
      <c r="AR133">
        <v>459.7</v>
      </c>
      <c r="AS133">
        <v>20.8</v>
      </c>
      <c r="AT133">
        <v>2.8</v>
      </c>
      <c r="AU133">
        <v>44.1</v>
      </c>
      <c r="AV133">
        <v>1969.1</v>
      </c>
      <c r="AW133">
        <v>0.24</v>
      </c>
      <c r="AX133">
        <v>461</v>
      </c>
      <c r="AY133">
        <v>99.3</v>
      </c>
      <c r="AZ133">
        <v>560.29999999999995</v>
      </c>
      <c r="BA133">
        <v>7911349.5</v>
      </c>
      <c r="BB133">
        <v>151.19999999999999</v>
      </c>
      <c r="BC133">
        <v>15.5</v>
      </c>
      <c r="BD133">
        <v>1159931</v>
      </c>
      <c r="BE133">
        <v>41554.9</v>
      </c>
      <c r="BF133">
        <v>8.1</v>
      </c>
      <c r="BG133">
        <v>7919700.7000000002</v>
      </c>
      <c r="BH133">
        <v>2325605.6</v>
      </c>
      <c r="BI133">
        <v>10245306.300000001</v>
      </c>
      <c r="BJ133">
        <v>0</v>
      </c>
      <c r="BK133">
        <v>0</v>
      </c>
      <c r="BL133">
        <v>7911349.5</v>
      </c>
      <c r="BM133">
        <v>9071280.5</v>
      </c>
      <c r="BN133">
        <v>10245306.300000001</v>
      </c>
      <c r="BO133">
        <v>26.3</v>
      </c>
      <c r="BP133">
        <v>15.42</v>
      </c>
      <c r="BQ133">
        <v>0</v>
      </c>
      <c r="BR133">
        <v>41.72</v>
      </c>
      <c r="BS133">
        <v>28.16</v>
      </c>
      <c r="BT133">
        <v>17.190000000000001</v>
      </c>
      <c r="BU133">
        <v>0</v>
      </c>
      <c r="BV133">
        <v>45.35</v>
      </c>
      <c r="BW133">
        <v>174194430</v>
      </c>
      <c r="BX133">
        <v>85407870</v>
      </c>
      <c r="BY133">
        <v>21551116</v>
      </c>
      <c r="BZ133">
        <v>0</v>
      </c>
      <c r="CA133">
        <v>0</v>
      </c>
      <c r="CB133">
        <v>103683.4</v>
      </c>
      <c r="CC133">
        <v>20899102</v>
      </c>
      <c r="CD133">
        <v>0</v>
      </c>
      <c r="CE133">
        <v>18093.8</v>
      </c>
      <c r="CF133">
        <v>26844890</v>
      </c>
      <c r="CG133">
        <v>0</v>
      </c>
      <c r="CH133">
        <v>1058277.8</v>
      </c>
      <c r="CI133">
        <v>0</v>
      </c>
      <c r="CJ133">
        <v>30500518</v>
      </c>
      <c r="CK133">
        <v>36144184</v>
      </c>
      <c r="CL133">
        <v>0</v>
      </c>
      <c r="CM133">
        <v>12504937</v>
      </c>
      <c r="CN133">
        <v>6258231.5</v>
      </c>
      <c r="CO133">
        <v>1110110.8</v>
      </c>
      <c r="CP133">
        <v>3893996.8</v>
      </c>
      <c r="CQ133">
        <v>13307296</v>
      </c>
      <c r="CR133">
        <v>4181.5</v>
      </c>
      <c r="CS133">
        <v>0</v>
      </c>
      <c r="CT133">
        <v>249.6</v>
      </c>
      <c r="CU133">
        <v>0</v>
      </c>
      <c r="CV133">
        <v>0</v>
      </c>
      <c r="CW133">
        <v>0</v>
      </c>
      <c r="CX133">
        <v>5030.5</v>
      </c>
      <c r="CY133">
        <v>9923.7999999999993</v>
      </c>
      <c r="CZ133">
        <v>0</v>
      </c>
      <c r="DA133">
        <v>1362</v>
      </c>
      <c r="DB133">
        <v>0</v>
      </c>
      <c r="DC133">
        <v>4592</v>
      </c>
      <c r="DD133">
        <v>2698.1</v>
      </c>
      <c r="DE133">
        <v>6934.2</v>
      </c>
      <c r="DF133">
        <v>1431.3</v>
      </c>
      <c r="DG133">
        <v>6240.6</v>
      </c>
      <c r="DH133">
        <v>9000</v>
      </c>
      <c r="DI133">
        <v>8320.5</v>
      </c>
      <c r="DJ133">
        <v>0</v>
      </c>
      <c r="DK133">
        <v>14829.8</v>
      </c>
      <c r="DL133">
        <v>14313</v>
      </c>
      <c r="DM133">
        <v>0</v>
      </c>
      <c r="DN133">
        <v>0</v>
      </c>
      <c r="DO133">
        <v>0.76</v>
      </c>
      <c r="DP133">
        <v>0</v>
      </c>
      <c r="DQ133">
        <v>0.9</v>
      </c>
      <c r="DR133">
        <v>0</v>
      </c>
    </row>
    <row r="134" spans="1:122" x14ac:dyDescent="0.3">
      <c r="A134" t="s">
        <v>165</v>
      </c>
      <c r="B134">
        <v>2038</v>
      </c>
      <c r="C134">
        <v>169631874.90000001</v>
      </c>
      <c r="D134">
        <v>163088107.90000001</v>
      </c>
      <c r="E134">
        <v>157225115.40000001</v>
      </c>
      <c r="F134">
        <v>0</v>
      </c>
      <c r="G134">
        <v>6000186</v>
      </c>
      <c r="H134">
        <v>78130891.299999997</v>
      </c>
      <c r="I134">
        <v>4712576</v>
      </c>
      <c r="J134">
        <v>1287610.1000000001</v>
      </c>
      <c r="K134">
        <v>543580.80000000005</v>
      </c>
      <c r="L134">
        <v>3.5900000000000001E-2</v>
      </c>
      <c r="M134">
        <v>5.3999999999999999E-2</v>
      </c>
      <c r="N134">
        <v>0.155</v>
      </c>
      <c r="O134">
        <v>86850.09</v>
      </c>
      <c r="P134">
        <v>37860.800000000003</v>
      </c>
      <c r="Q134">
        <v>50.9</v>
      </c>
      <c r="R134">
        <v>1</v>
      </c>
      <c r="S134">
        <v>0.1</v>
      </c>
      <c r="T134">
        <v>7.3</v>
      </c>
      <c r="U134">
        <v>266.60000000000002</v>
      </c>
      <c r="V134">
        <v>0.05</v>
      </c>
      <c r="W134">
        <v>51</v>
      </c>
      <c r="X134">
        <v>14.8</v>
      </c>
      <c r="Y134">
        <v>65.8</v>
      </c>
      <c r="Z134">
        <v>62.7</v>
      </c>
      <c r="AA134">
        <v>1.3</v>
      </c>
      <c r="AB134">
        <v>0.14000000000000001</v>
      </c>
      <c r="AC134">
        <v>8.8000000000000007</v>
      </c>
      <c r="AD134">
        <v>324.89999999999998</v>
      </c>
      <c r="AE134">
        <v>0.06</v>
      </c>
      <c r="AF134">
        <v>62.8</v>
      </c>
      <c r="AG134">
        <v>17.899999999999999</v>
      </c>
      <c r="AH134">
        <v>80.7</v>
      </c>
      <c r="AI134">
        <v>71.400000000000006</v>
      </c>
      <c r="AJ134">
        <v>1.4</v>
      </c>
      <c r="AK134">
        <v>0.14000000000000001</v>
      </c>
      <c r="AL134">
        <v>8.5</v>
      </c>
      <c r="AM134">
        <v>371.8</v>
      </c>
      <c r="AN134">
        <v>0.03</v>
      </c>
      <c r="AO134">
        <v>71.400000000000006</v>
      </c>
      <c r="AP134">
        <v>18.899999999999999</v>
      </c>
      <c r="AQ134">
        <v>90.3</v>
      </c>
      <c r="AR134">
        <v>476.3</v>
      </c>
      <c r="AS134">
        <v>21.2</v>
      </c>
      <c r="AT134">
        <v>2.84</v>
      </c>
      <c r="AU134">
        <v>46.2</v>
      </c>
      <c r="AV134">
        <v>2051.9</v>
      </c>
      <c r="AW134">
        <v>0.25</v>
      </c>
      <c r="AX134">
        <v>477.6</v>
      </c>
      <c r="AY134">
        <v>103.7</v>
      </c>
      <c r="AZ134">
        <v>581.4</v>
      </c>
      <c r="BA134">
        <v>8896184.9000000004</v>
      </c>
      <c r="BB134">
        <v>170.5</v>
      </c>
      <c r="BC134">
        <v>17.600000000000001</v>
      </c>
      <c r="BD134">
        <v>1279017.2</v>
      </c>
      <c r="BE134">
        <v>46596.4</v>
      </c>
      <c r="BF134">
        <v>8.6</v>
      </c>
      <c r="BG134">
        <v>8905624.5999999996</v>
      </c>
      <c r="BH134">
        <v>2585988.2999999998</v>
      </c>
      <c r="BI134">
        <v>11491612.9</v>
      </c>
      <c r="BJ134">
        <v>0</v>
      </c>
      <c r="BK134">
        <v>0</v>
      </c>
      <c r="BL134">
        <v>8896184.9000000004</v>
      </c>
      <c r="BM134">
        <v>10175202.1</v>
      </c>
      <c r="BN134">
        <v>11491612.9</v>
      </c>
      <c r="BO134">
        <v>26.5</v>
      </c>
      <c r="BP134">
        <v>16.3</v>
      </c>
      <c r="BQ134">
        <v>0</v>
      </c>
      <c r="BR134">
        <v>42.8</v>
      </c>
      <c r="BS134">
        <v>28.36</v>
      </c>
      <c r="BT134">
        <v>18.170000000000002</v>
      </c>
      <c r="BU134">
        <v>0</v>
      </c>
      <c r="BV134">
        <v>46.52</v>
      </c>
      <c r="BW134">
        <v>176241740</v>
      </c>
      <c r="BX134">
        <v>84957220</v>
      </c>
      <c r="BY134">
        <v>21551116</v>
      </c>
      <c r="BZ134">
        <v>0</v>
      </c>
      <c r="CA134">
        <v>0</v>
      </c>
      <c r="CB134">
        <v>138575.5</v>
      </c>
      <c r="CC134">
        <v>23416616</v>
      </c>
      <c r="CD134">
        <v>0</v>
      </c>
      <c r="CE134">
        <v>38425.4</v>
      </c>
      <c r="CF134">
        <v>26922118</v>
      </c>
      <c r="CG134">
        <v>0</v>
      </c>
      <c r="CH134">
        <v>1109119</v>
      </c>
      <c r="CI134">
        <v>0</v>
      </c>
      <c r="CJ134">
        <v>29898676</v>
      </c>
      <c r="CK134">
        <v>35981748</v>
      </c>
      <c r="CL134">
        <v>0</v>
      </c>
      <c r="CM134">
        <v>12356564</v>
      </c>
      <c r="CN134">
        <v>6720230.5</v>
      </c>
      <c r="CO134">
        <v>1015860.9</v>
      </c>
      <c r="CP134">
        <v>3985798.5</v>
      </c>
      <c r="CQ134">
        <v>13106898</v>
      </c>
      <c r="CR134">
        <v>3961</v>
      </c>
      <c r="CS134">
        <v>0</v>
      </c>
      <c r="CT134">
        <v>249.6</v>
      </c>
      <c r="CU134">
        <v>0</v>
      </c>
      <c r="CV134">
        <v>0</v>
      </c>
      <c r="CW134">
        <v>0</v>
      </c>
      <c r="CX134">
        <v>5434.4</v>
      </c>
      <c r="CY134">
        <v>9923.7999999999993</v>
      </c>
      <c r="CZ134">
        <v>0</v>
      </c>
      <c r="DA134">
        <v>1408.5</v>
      </c>
      <c r="DB134">
        <v>0</v>
      </c>
      <c r="DC134">
        <v>4592</v>
      </c>
      <c r="DD134">
        <v>2698.1</v>
      </c>
      <c r="DE134">
        <v>5820.4</v>
      </c>
      <c r="DF134">
        <v>1431.3</v>
      </c>
      <c r="DG134">
        <v>6240.6</v>
      </c>
      <c r="DH134">
        <v>9000</v>
      </c>
      <c r="DI134">
        <v>8081</v>
      </c>
      <c r="DJ134">
        <v>0</v>
      </c>
      <c r="DK134">
        <v>15872.7</v>
      </c>
      <c r="DL134">
        <v>14313</v>
      </c>
      <c r="DM134">
        <v>0</v>
      </c>
      <c r="DN134">
        <v>0</v>
      </c>
      <c r="DO134">
        <v>0.76</v>
      </c>
      <c r="DP134">
        <v>0</v>
      </c>
      <c r="DQ134">
        <v>0.95</v>
      </c>
      <c r="DR134">
        <v>0</v>
      </c>
    </row>
    <row r="135" spans="1:122" x14ac:dyDescent="0.3">
      <c r="A135" t="s">
        <v>165</v>
      </c>
      <c r="B135">
        <v>2040</v>
      </c>
      <c r="C135">
        <v>171969412.90000001</v>
      </c>
      <c r="D135">
        <v>165570225.5</v>
      </c>
      <c r="E135">
        <v>159618001.30000001</v>
      </c>
      <c r="F135">
        <v>0</v>
      </c>
      <c r="G135">
        <v>5869944.5</v>
      </c>
      <c r="H135">
        <v>82771033</v>
      </c>
      <c r="I135">
        <v>4709078</v>
      </c>
      <c r="J135">
        <v>1160866.8</v>
      </c>
      <c r="K135">
        <v>529242.80000000005</v>
      </c>
      <c r="L135">
        <v>3.5900000000000001E-2</v>
      </c>
      <c r="M135">
        <v>5.3999999999999999E-2</v>
      </c>
      <c r="N135">
        <v>0.155</v>
      </c>
      <c r="O135">
        <v>91334.15</v>
      </c>
      <c r="P135">
        <v>38439.800000000003</v>
      </c>
      <c r="Q135">
        <v>63.2</v>
      </c>
      <c r="R135">
        <v>1.2</v>
      </c>
      <c r="S135">
        <v>0.12</v>
      </c>
      <c r="T135">
        <v>8.6999999999999993</v>
      </c>
      <c r="U135">
        <v>331.1</v>
      </c>
      <c r="V135">
        <v>0.05</v>
      </c>
      <c r="W135">
        <v>63.3</v>
      </c>
      <c r="X135">
        <v>18</v>
      </c>
      <c r="Y135">
        <v>81.2</v>
      </c>
      <c r="Z135">
        <v>75.099999999999994</v>
      </c>
      <c r="AA135">
        <v>1.6</v>
      </c>
      <c r="AB135">
        <v>0.17</v>
      </c>
      <c r="AC135">
        <v>10.1</v>
      </c>
      <c r="AD135">
        <v>388.9</v>
      </c>
      <c r="AE135">
        <v>0.06</v>
      </c>
      <c r="AF135">
        <v>75.2</v>
      </c>
      <c r="AG135">
        <v>21</v>
      </c>
      <c r="AH135">
        <v>96.2</v>
      </c>
      <c r="AI135">
        <v>78.8</v>
      </c>
      <c r="AJ135">
        <v>1.5</v>
      </c>
      <c r="AK135">
        <v>0.15</v>
      </c>
      <c r="AL135">
        <v>9.3000000000000007</v>
      </c>
      <c r="AM135">
        <v>411.4</v>
      </c>
      <c r="AN135">
        <v>0.03</v>
      </c>
      <c r="AO135">
        <v>78.900000000000006</v>
      </c>
      <c r="AP135">
        <v>20.8</v>
      </c>
      <c r="AQ135">
        <v>99.7</v>
      </c>
      <c r="AR135">
        <v>472.1</v>
      </c>
      <c r="AS135">
        <v>19.3</v>
      </c>
      <c r="AT135">
        <v>2.54</v>
      </c>
      <c r="AU135">
        <v>46.7</v>
      </c>
      <c r="AV135">
        <v>2104.6</v>
      </c>
      <c r="AW135">
        <v>0.24</v>
      </c>
      <c r="AX135">
        <v>473.3</v>
      </c>
      <c r="AY135">
        <v>105.7</v>
      </c>
      <c r="AZ135">
        <v>579</v>
      </c>
      <c r="BA135">
        <v>11290081</v>
      </c>
      <c r="BB135">
        <v>215.5</v>
      </c>
      <c r="BC135">
        <v>22.1</v>
      </c>
      <c r="BD135">
        <v>1548929.1</v>
      </c>
      <c r="BE135">
        <v>59126.6</v>
      </c>
      <c r="BF135">
        <v>9.5</v>
      </c>
      <c r="BG135">
        <v>11301960.6</v>
      </c>
      <c r="BH135">
        <v>3207001.2</v>
      </c>
      <c r="BI135">
        <v>14508961.800000001</v>
      </c>
      <c r="BJ135">
        <v>0</v>
      </c>
      <c r="BK135">
        <v>0</v>
      </c>
      <c r="BL135">
        <v>11290081</v>
      </c>
      <c r="BM135">
        <v>12839010.1</v>
      </c>
      <c r="BN135">
        <v>14508961.800000001</v>
      </c>
      <c r="BO135">
        <v>27.21</v>
      </c>
      <c r="BP135">
        <v>17.21</v>
      </c>
      <c r="BQ135">
        <v>0</v>
      </c>
      <c r="BR135">
        <v>44.42</v>
      </c>
      <c r="BS135">
        <v>29.08</v>
      </c>
      <c r="BT135">
        <v>19.149999999999999</v>
      </c>
      <c r="BU135">
        <v>0</v>
      </c>
      <c r="BV135">
        <v>48.24</v>
      </c>
      <c r="BW135">
        <v>180083710</v>
      </c>
      <c r="BX135">
        <v>82799190</v>
      </c>
      <c r="BY135">
        <v>21551116</v>
      </c>
      <c r="BZ135">
        <v>0</v>
      </c>
      <c r="CA135">
        <v>0</v>
      </c>
      <c r="CB135">
        <v>129309</v>
      </c>
      <c r="CC135">
        <v>30151708</v>
      </c>
      <c r="CD135">
        <v>0</v>
      </c>
      <c r="CE135">
        <v>81034.100000000006</v>
      </c>
      <c r="CF135">
        <v>26963204</v>
      </c>
      <c r="CG135">
        <v>0</v>
      </c>
      <c r="CH135">
        <v>828588.7</v>
      </c>
      <c r="CI135">
        <v>0</v>
      </c>
      <c r="CJ135">
        <v>27656166</v>
      </c>
      <c r="CK135">
        <v>35864892</v>
      </c>
      <c r="CL135">
        <v>0</v>
      </c>
      <c r="CM135">
        <v>12203120</v>
      </c>
      <c r="CN135">
        <v>7075013</v>
      </c>
      <c r="CO135">
        <v>934844.7</v>
      </c>
      <c r="CP135">
        <v>4000293.5</v>
      </c>
      <c r="CQ135">
        <v>12644425</v>
      </c>
      <c r="CR135">
        <v>3772.3</v>
      </c>
      <c r="CS135">
        <v>0</v>
      </c>
      <c r="CT135">
        <v>177.8</v>
      </c>
      <c r="CU135">
        <v>0</v>
      </c>
      <c r="CV135">
        <v>0</v>
      </c>
      <c r="CW135">
        <v>0</v>
      </c>
      <c r="CX135">
        <v>5753.8</v>
      </c>
      <c r="CY135">
        <v>10932.5</v>
      </c>
      <c r="CZ135">
        <v>0</v>
      </c>
      <c r="DA135">
        <v>1593.4</v>
      </c>
      <c r="DB135">
        <v>0</v>
      </c>
      <c r="DC135">
        <v>4592</v>
      </c>
      <c r="DD135">
        <v>2698.1</v>
      </c>
      <c r="DE135">
        <v>4569.5</v>
      </c>
      <c r="DF135">
        <v>1431.3</v>
      </c>
      <c r="DG135">
        <v>6240.6</v>
      </c>
      <c r="DH135">
        <v>9000</v>
      </c>
      <c r="DI135">
        <v>7279.9</v>
      </c>
      <c r="DJ135">
        <v>0</v>
      </c>
      <c r="DK135">
        <v>16371.8</v>
      </c>
      <c r="DL135">
        <v>14313</v>
      </c>
      <c r="DM135">
        <v>0</v>
      </c>
      <c r="DN135">
        <v>0</v>
      </c>
      <c r="DO135">
        <v>0.76</v>
      </c>
      <c r="DP135">
        <v>0</v>
      </c>
      <c r="DQ135">
        <v>1</v>
      </c>
      <c r="DR135">
        <v>0</v>
      </c>
    </row>
    <row r="136" spans="1:122" x14ac:dyDescent="0.3">
      <c r="A136" t="s">
        <v>165</v>
      </c>
      <c r="B136">
        <v>2042</v>
      </c>
      <c r="C136">
        <v>173888741.69999999</v>
      </c>
      <c r="D136">
        <v>167839154.90000001</v>
      </c>
      <c r="E136">
        <v>161805363.09999999</v>
      </c>
      <c r="F136">
        <v>0</v>
      </c>
      <c r="G136">
        <v>5530090</v>
      </c>
      <c r="H136">
        <v>86140997.099999994</v>
      </c>
      <c r="I136">
        <v>4470684.5</v>
      </c>
      <c r="J136">
        <v>1059405.6000000001</v>
      </c>
      <c r="K136">
        <v>519496.7</v>
      </c>
      <c r="L136">
        <v>3.5900000000000001E-2</v>
      </c>
      <c r="M136">
        <v>5.3999999999999999E-2</v>
      </c>
      <c r="N136">
        <v>0.155</v>
      </c>
      <c r="O136">
        <v>92991.4</v>
      </c>
      <c r="P136">
        <v>38967</v>
      </c>
      <c r="Q136">
        <v>70.3</v>
      </c>
      <c r="R136">
        <v>1.3</v>
      </c>
      <c r="S136">
        <v>0.14000000000000001</v>
      </c>
      <c r="T136">
        <v>9.4</v>
      </c>
      <c r="U136">
        <v>368.4</v>
      </c>
      <c r="V136">
        <v>0.06</v>
      </c>
      <c r="W136">
        <v>70.400000000000006</v>
      </c>
      <c r="X136">
        <v>19.8</v>
      </c>
      <c r="Y136">
        <v>90.1</v>
      </c>
      <c r="Z136">
        <v>82.4</v>
      </c>
      <c r="AA136">
        <v>1.7</v>
      </c>
      <c r="AB136">
        <v>0.18</v>
      </c>
      <c r="AC136">
        <v>10.9</v>
      </c>
      <c r="AD136">
        <v>427.2</v>
      </c>
      <c r="AE136">
        <v>0.06</v>
      </c>
      <c r="AF136">
        <v>82.5</v>
      </c>
      <c r="AG136">
        <v>22.9</v>
      </c>
      <c r="AH136">
        <v>105.3</v>
      </c>
      <c r="AI136">
        <v>87.5</v>
      </c>
      <c r="AJ136">
        <v>1.7</v>
      </c>
      <c r="AK136">
        <v>0.17</v>
      </c>
      <c r="AL136">
        <v>10.3</v>
      </c>
      <c r="AM136">
        <v>455.4</v>
      </c>
      <c r="AN136">
        <v>0.04</v>
      </c>
      <c r="AO136">
        <v>87.6</v>
      </c>
      <c r="AP136">
        <v>23.1</v>
      </c>
      <c r="AQ136">
        <v>110.6</v>
      </c>
      <c r="AR136">
        <v>477.7</v>
      </c>
      <c r="AS136">
        <v>19.2</v>
      </c>
      <c r="AT136">
        <v>2.5099999999999998</v>
      </c>
      <c r="AU136">
        <v>47.6</v>
      </c>
      <c r="AV136">
        <v>2143.5</v>
      </c>
      <c r="AW136">
        <v>0.24</v>
      </c>
      <c r="AX136">
        <v>478.9</v>
      </c>
      <c r="AY136">
        <v>107.7</v>
      </c>
      <c r="AZ136">
        <v>586.6</v>
      </c>
      <c r="BA136">
        <v>12728341.6</v>
      </c>
      <c r="BB136">
        <v>242.2</v>
      </c>
      <c r="BC136">
        <v>24.7</v>
      </c>
      <c r="BD136">
        <v>1710785.5</v>
      </c>
      <c r="BE136">
        <v>66700.5</v>
      </c>
      <c r="BF136">
        <v>10.1</v>
      </c>
      <c r="BG136">
        <v>12741655.199999999</v>
      </c>
      <c r="BH136">
        <v>3581073.4</v>
      </c>
      <c r="BI136">
        <v>16322728.6</v>
      </c>
      <c r="BJ136">
        <v>0</v>
      </c>
      <c r="BK136">
        <v>0</v>
      </c>
      <c r="BL136">
        <v>12728341.6</v>
      </c>
      <c r="BM136">
        <v>14439127.1</v>
      </c>
      <c r="BN136">
        <v>16322728.6</v>
      </c>
      <c r="BO136">
        <v>27.71</v>
      </c>
      <c r="BP136">
        <v>17.600000000000001</v>
      </c>
      <c r="BQ136">
        <v>1.1399999999999999</v>
      </c>
      <c r="BR136">
        <v>46.45</v>
      </c>
      <c r="BS136">
        <v>29.55</v>
      </c>
      <c r="BT136">
        <v>19.55</v>
      </c>
      <c r="BU136">
        <v>1.2</v>
      </c>
      <c r="BV136">
        <v>50.3</v>
      </c>
      <c r="BW136">
        <v>182620530</v>
      </c>
      <c r="BX136">
        <v>81698160</v>
      </c>
      <c r="BY136">
        <v>21551116</v>
      </c>
      <c r="BZ136">
        <v>0</v>
      </c>
      <c r="CA136">
        <v>0</v>
      </c>
      <c r="CB136">
        <v>109375.5</v>
      </c>
      <c r="CC136">
        <v>34183704</v>
      </c>
      <c r="CD136">
        <v>0</v>
      </c>
      <c r="CE136">
        <v>87499.4</v>
      </c>
      <c r="CF136">
        <v>27037676</v>
      </c>
      <c r="CG136">
        <v>0</v>
      </c>
      <c r="CH136">
        <v>661139.30000000005</v>
      </c>
      <c r="CI136">
        <v>0</v>
      </c>
      <c r="CJ136">
        <v>26678346</v>
      </c>
      <c r="CK136">
        <v>35705796</v>
      </c>
      <c r="CL136">
        <v>0</v>
      </c>
      <c r="CM136">
        <v>11974788</v>
      </c>
      <c r="CN136">
        <v>7339229</v>
      </c>
      <c r="CO136">
        <v>838953.7</v>
      </c>
      <c r="CP136">
        <v>3783039.2</v>
      </c>
      <c r="CQ136">
        <v>12669864</v>
      </c>
      <c r="CR136">
        <v>3513.9</v>
      </c>
      <c r="CS136">
        <v>0</v>
      </c>
      <c r="CT136">
        <v>138.6</v>
      </c>
      <c r="CU136">
        <v>0</v>
      </c>
      <c r="CV136">
        <v>0</v>
      </c>
      <c r="CW136">
        <v>0</v>
      </c>
      <c r="CX136">
        <v>6008.3</v>
      </c>
      <c r="CY136">
        <v>11504.9</v>
      </c>
      <c r="CZ136">
        <v>0</v>
      </c>
      <c r="DA136">
        <v>1781.4</v>
      </c>
      <c r="DB136">
        <v>0</v>
      </c>
      <c r="DC136">
        <v>4592</v>
      </c>
      <c r="DD136">
        <v>2698.1</v>
      </c>
      <c r="DE136">
        <v>4569.5</v>
      </c>
      <c r="DF136">
        <v>1431.3</v>
      </c>
      <c r="DG136">
        <v>6197.1</v>
      </c>
      <c r="DH136">
        <v>9000</v>
      </c>
      <c r="DI136">
        <v>6990.2</v>
      </c>
      <c r="DJ136">
        <v>0</v>
      </c>
      <c r="DK136">
        <v>16421</v>
      </c>
      <c r="DL136">
        <v>14313</v>
      </c>
      <c r="DM136">
        <v>0</v>
      </c>
      <c r="DN136">
        <v>0</v>
      </c>
      <c r="DO136">
        <v>0.76</v>
      </c>
      <c r="DP136">
        <v>1.2</v>
      </c>
      <c r="DQ136">
        <v>1</v>
      </c>
      <c r="DR136">
        <v>0</v>
      </c>
    </row>
    <row r="137" spans="1:122" x14ac:dyDescent="0.3">
      <c r="A137" t="s">
        <v>165</v>
      </c>
      <c r="B137">
        <v>2044</v>
      </c>
      <c r="C137">
        <v>176791803.09999999</v>
      </c>
      <c r="D137">
        <v>170854242.5</v>
      </c>
      <c r="E137">
        <v>164712058.90000001</v>
      </c>
      <c r="F137">
        <v>0</v>
      </c>
      <c r="G137">
        <v>5419000.5</v>
      </c>
      <c r="H137">
        <v>89286923.5</v>
      </c>
      <c r="I137">
        <v>4420158.5</v>
      </c>
      <c r="J137">
        <v>998842.4</v>
      </c>
      <c r="K137">
        <v>518560</v>
      </c>
      <c r="L137">
        <v>3.5900000000000001E-2</v>
      </c>
      <c r="M137">
        <v>5.3999999999999999E-2</v>
      </c>
      <c r="N137">
        <v>0.155</v>
      </c>
      <c r="O137">
        <v>93183.8</v>
      </c>
      <c r="P137">
        <v>39669.1</v>
      </c>
      <c r="Q137">
        <v>74.3</v>
      </c>
      <c r="R137">
        <v>1.4</v>
      </c>
      <c r="S137">
        <v>0.14000000000000001</v>
      </c>
      <c r="T137">
        <v>9.9</v>
      </c>
      <c r="U137">
        <v>390.1</v>
      </c>
      <c r="V137">
        <v>0.06</v>
      </c>
      <c r="W137">
        <v>74.3</v>
      </c>
      <c r="X137">
        <v>20.8</v>
      </c>
      <c r="Y137">
        <v>95.2</v>
      </c>
      <c r="Z137">
        <v>86.7</v>
      </c>
      <c r="AA137">
        <v>1.8</v>
      </c>
      <c r="AB137">
        <v>0.19</v>
      </c>
      <c r="AC137">
        <v>11.4</v>
      </c>
      <c r="AD137">
        <v>451.3</v>
      </c>
      <c r="AE137">
        <v>7.0000000000000007E-2</v>
      </c>
      <c r="AF137">
        <v>86.8</v>
      </c>
      <c r="AG137">
        <v>24.1</v>
      </c>
      <c r="AH137">
        <v>110.9</v>
      </c>
      <c r="AI137">
        <v>85.7</v>
      </c>
      <c r="AJ137">
        <v>1.8</v>
      </c>
      <c r="AK137">
        <v>0.19</v>
      </c>
      <c r="AL137">
        <v>10</v>
      </c>
      <c r="AM137">
        <v>442.8</v>
      </c>
      <c r="AN137">
        <v>0.04</v>
      </c>
      <c r="AO137">
        <v>85.8</v>
      </c>
      <c r="AP137">
        <v>22.4</v>
      </c>
      <c r="AQ137">
        <v>108.2</v>
      </c>
      <c r="AR137">
        <v>468.7</v>
      </c>
      <c r="AS137">
        <v>17.7</v>
      </c>
      <c r="AT137">
        <v>2.2799999999999998</v>
      </c>
      <c r="AU137">
        <v>47.6</v>
      </c>
      <c r="AV137">
        <v>2146.5</v>
      </c>
      <c r="AW137">
        <v>0.23</v>
      </c>
      <c r="AX137">
        <v>469.8</v>
      </c>
      <c r="AY137">
        <v>107.8</v>
      </c>
      <c r="AZ137">
        <v>577.6</v>
      </c>
      <c r="BA137">
        <v>13609801</v>
      </c>
      <c r="BB137">
        <v>257.7</v>
      </c>
      <c r="BC137">
        <v>26</v>
      </c>
      <c r="BD137">
        <v>1814608.6</v>
      </c>
      <c r="BE137">
        <v>71476.100000000006</v>
      </c>
      <c r="BF137">
        <v>10.4</v>
      </c>
      <c r="BG137">
        <v>13623905</v>
      </c>
      <c r="BH137">
        <v>3818691.3</v>
      </c>
      <c r="BI137">
        <v>17442596.300000001</v>
      </c>
      <c r="BJ137">
        <v>0</v>
      </c>
      <c r="BK137">
        <v>0</v>
      </c>
      <c r="BL137">
        <v>13609801</v>
      </c>
      <c r="BM137">
        <v>15424409.6</v>
      </c>
      <c r="BN137">
        <v>17442596.300000001</v>
      </c>
      <c r="BO137">
        <v>28.64</v>
      </c>
      <c r="BP137">
        <v>17.71</v>
      </c>
      <c r="BQ137">
        <v>2.86</v>
      </c>
      <c r="BR137">
        <v>49.21</v>
      </c>
      <c r="BS137">
        <v>30.53</v>
      </c>
      <c r="BT137">
        <v>19.64</v>
      </c>
      <c r="BU137">
        <v>3.03</v>
      </c>
      <c r="BV137">
        <v>53.21</v>
      </c>
      <c r="BW137">
        <v>184833520</v>
      </c>
      <c r="BX137">
        <v>81567320</v>
      </c>
      <c r="BY137">
        <v>21551116</v>
      </c>
      <c r="BZ137">
        <v>0</v>
      </c>
      <c r="CA137">
        <v>0</v>
      </c>
      <c r="CB137">
        <v>56532.3</v>
      </c>
      <c r="CC137">
        <v>36500616</v>
      </c>
      <c r="CD137">
        <v>0</v>
      </c>
      <c r="CE137">
        <v>257390.8</v>
      </c>
      <c r="CF137">
        <v>27019894</v>
      </c>
      <c r="CG137">
        <v>0</v>
      </c>
      <c r="CH137">
        <v>665303.9</v>
      </c>
      <c r="CI137">
        <v>0</v>
      </c>
      <c r="CJ137">
        <v>26907836</v>
      </c>
      <c r="CK137">
        <v>35520276</v>
      </c>
      <c r="CL137">
        <v>0</v>
      </c>
      <c r="CM137">
        <v>11883763</v>
      </c>
      <c r="CN137">
        <v>7255441</v>
      </c>
      <c r="CO137">
        <v>808021.8</v>
      </c>
      <c r="CP137">
        <v>3756567.2</v>
      </c>
      <c r="CQ137">
        <v>12650758</v>
      </c>
      <c r="CR137">
        <v>3391.1</v>
      </c>
      <c r="CS137">
        <v>0</v>
      </c>
      <c r="CT137">
        <v>138.6</v>
      </c>
      <c r="CU137">
        <v>0</v>
      </c>
      <c r="CV137">
        <v>0</v>
      </c>
      <c r="CW137">
        <v>0</v>
      </c>
      <c r="CX137">
        <v>6017.4</v>
      </c>
      <c r="CY137">
        <v>11699.3</v>
      </c>
      <c r="CZ137">
        <v>0</v>
      </c>
      <c r="DA137">
        <v>2928.6</v>
      </c>
      <c r="DB137">
        <v>0</v>
      </c>
      <c r="DC137">
        <v>4592</v>
      </c>
      <c r="DD137">
        <v>2698.1</v>
      </c>
      <c r="DE137">
        <v>4039.1</v>
      </c>
      <c r="DF137">
        <v>1431.3</v>
      </c>
      <c r="DG137">
        <v>6231.1</v>
      </c>
      <c r="DH137">
        <v>9000</v>
      </c>
      <c r="DI137">
        <v>7038.9</v>
      </c>
      <c r="DJ137">
        <v>0</v>
      </c>
      <c r="DK137">
        <v>16967.8</v>
      </c>
      <c r="DL137">
        <v>14313</v>
      </c>
      <c r="DM137">
        <v>0</v>
      </c>
      <c r="DN137">
        <v>0</v>
      </c>
      <c r="DO137">
        <v>0.76</v>
      </c>
      <c r="DP137">
        <v>3.1</v>
      </c>
      <c r="DQ137">
        <v>1</v>
      </c>
      <c r="DR137">
        <v>0</v>
      </c>
    </row>
    <row r="138" spans="1:122" x14ac:dyDescent="0.3">
      <c r="A138" t="s">
        <v>165</v>
      </c>
      <c r="B138">
        <v>2046</v>
      </c>
      <c r="C138">
        <v>180346106.90000001</v>
      </c>
      <c r="D138">
        <v>174204339.69999999</v>
      </c>
      <c r="E138">
        <v>167941720.80000001</v>
      </c>
      <c r="F138">
        <v>0</v>
      </c>
      <c r="G138">
        <v>5619848</v>
      </c>
      <c r="H138">
        <v>88710900.200000003</v>
      </c>
      <c r="I138">
        <v>4610797</v>
      </c>
      <c r="J138">
        <v>1009050.9</v>
      </c>
      <c r="K138">
        <v>521919.4</v>
      </c>
      <c r="L138">
        <v>3.5900000000000001E-2</v>
      </c>
      <c r="M138">
        <v>5.3999999999999999E-2</v>
      </c>
      <c r="N138">
        <v>0.155</v>
      </c>
      <c r="O138">
        <v>93461.37</v>
      </c>
      <c r="P138">
        <v>40451.4</v>
      </c>
      <c r="Q138">
        <v>71.5</v>
      </c>
      <c r="R138">
        <v>1.3</v>
      </c>
      <c r="S138">
        <v>0.14000000000000001</v>
      </c>
      <c r="T138">
        <v>9.5</v>
      </c>
      <c r="U138">
        <v>376.4</v>
      </c>
      <c r="V138">
        <v>0.05</v>
      </c>
      <c r="W138">
        <v>71.599999999999994</v>
      </c>
      <c r="X138">
        <v>20.100000000000001</v>
      </c>
      <c r="Y138">
        <v>91.7</v>
      </c>
      <c r="Z138">
        <v>84.1</v>
      </c>
      <c r="AA138">
        <v>1.7</v>
      </c>
      <c r="AB138">
        <v>0.18</v>
      </c>
      <c r="AC138">
        <v>11.1</v>
      </c>
      <c r="AD138">
        <v>438.3</v>
      </c>
      <c r="AE138">
        <v>0.06</v>
      </c>
      <c r="AF138">
        <v>84.2</v>
      </c>
      <c r="AG138">
        <v>23.4</v>
      </c>
      <c r="AH138">
        <v>107.5</v>
      </c>
      <c r="AI138">
        <v>72.099999999999994</v>
      </c>
      <c r="AJ138">
        <v>1.6</v>
      </c>
      <c r="AK138">
        <v>0.17</v>
      </c>
      <c r="AL138">
        <v>8.3000000000000007</v>
      </c>
      <c r="AM138">
        <v>369.7</v>
      </c>
      <c r="AN138">
        <v>0.03</v>
      </c>
      <c r="AO138">
        <v>72.2</v>
      </c>
      <c r="AP138">
        <v>18.7</v>
      </c>
      <c r="AQ138">
        <v>90.9</v>
      </c>
      <c r="AR138">
        <v>468.2</v>
      </c>
      <c r="AS138">
        <v>17.899999999999999</v>
      </c>
      <c r="AT138">
        <v>2.2999999999999998</v>
      </c>
      <c r="AU138">
        <v>47.2</v>
      </c>
      <c r="AV138">
        <v>2149.5</v>
      </c>
      <c r="AW138">
        <v>0.22</v>
      </c>
      <c r="AX138">
        <v>469.3</v>
      </c>
      <c r="AY138">
        <v>107.5</v>
      </c>
      <c r="AZ138">
        <v>576.79999999999995</v>
      </c>
      <c r="BA138">
        <v>13351869.699999999</v>
      </c>
      <c r="BB138">
        <v>251.9</v>
      </c>
      <c r="BC138">
        <v>25.3</v>
      </c>
      <c r="BD138">
        <v>1782630.8</v>
      </c>
      <c r="BE138">
        <v>70257.600000000006</v>
      </c>
      <c r="BF138">
        <v>10.199999999999999</v>
      </c>
      <c r="BG138">
        <v>13365617.6</v>
      </c>
      <c r="BH138">
        <v>3752546.9</v>
      </c>
      <c r="BI138">
        <v>17118164.5</v>
      </c>
      <c r="BJ138">
        <v>0</v>
      </c>
      <c r="BK138">
        <v>0</v>
      </c>
      <c r="BL138">
        <v>13351869.699999999</v>
      </c>
      <c r="BM138">
        <v>15134500.4</v>
      </c>
      <c r="BN138">
        <v>17118164.5</v>
      </c>
      <c r="BO138">
        <v>28.6</v>
      </c>
      <c r="BP138">
        <v>17.54</v>
      </c>
      <c r="BQ138">
        <v>1.1599999999999999</v>
      </c>
      <c r="BR138">
        <v>47.3</v>
      </c>
      <c r="BS138">
        <v>30.48</v>
      </c>
      <c r="BT138">
        <v>19.45</v>
      </c>
      <c r="BU138">
        <v>1.23</v>
      </c>
      <c r="BV138">
        <v>51.17</v>
      </c>
      <c r="BW138">
        <v>188343420</v>
      </c>
      <c r="BX138">
        <v>85493440</v>
      </c>
      <c r="BY138">
        <v>21551116</v>
      </c>
      <c r="BZ138">
        <v>0</v>
      </c>
      <c r="CA138">
        <v>0</v>
      </c>
      <c r="CB138">
        <v>14819.9</v>
      </c>
      <c r="CC138">
        <v>35768430</v>
      </c>
      <c r="CD138">
        <v>0</v>
      </c>
      <c r="CE138">
        <v>427154.2</v>
      </c>
      <c r="CF138">
        <v>27054630</v>
      </c>
      <c r="CG138">
        <v>0</v>
      </c>
      <c r="CH138">
        <v>647200.4</v>
      </c>
      <c r="CI138">
        <v>0</v>
      </c>
      <c r="CJ138">
        <v>27130998</v>
      </c>
      <c r="CK138">
        <v>35313340</v>
      </c>
      <c r="CL138">
        <v>0</v>
      </c>
      <c r="CM138">
        <v>15549994</v>
      </c>
      <c r="CN138">
        <v>7499109</v>
      </c>
      <c r="CO138">
        <v>805470.2</v>
      </c>
      <c r="CP138">
        <v>3906958.8</v>
      </c>
      <c r="CQ138">
        <v>12674197</v>
      </c>
      <c r="CR138">
        <v>3432.3</v>
      </c>
      <c r="CS138">
        <v>0</v>
      </c>
      <c r="CT138">
        <v>134.6</v>
      </c>
      <c r="CU138">
        <v>0</v>
      </c>
      <c r="CV138">
        <v>0</v>
      </c>
      <c r="CW138">
        <v>0</v>
      </c>
      <c r="CX138">
        <v>6286.8</v>
      </c>
      <c r="CY138">
        <v>11699.3</v>
      </c>
      <c r="CZ138">
        <v>0</v>
      </c>
      <c r="DA138">
        <v>5851.7</v>
      </c>
      <c r="DB138">
        <v>0</v>
      </c>
      <c r="DC138">
        <v>4592</v>
      </c>
      <c r="DD138">
        <v>2698.1</v>
      </c>
      <c r="DE138">
        <v>4039.1</v>
      </c>
      <c r="DF138">
        <v>1431.3</v>
      </c>
      <c r="DG138">
        <v>7919.2</v>
      </c>
      <c r="DH138">
        <v>9000</v>
      </c>
      <c r="DI138">
        <v>7128</v>
      </c>
      <c r="DJ138">
        <v>0</v>
      </c>
      <c r="DK138">
        <v>17527.900000000001</v>
      </c>
      <c r="DL138">
        <v>14313</v>
      </c>
      <c r="DM138">
        <v>0</v>
      </c>
      <c r="DN138">
        <v>0</v>
      </c>
      <c r="DO138">
        <v>0.76</v>
      </c>
      <c r="DP138">
        <v>1.2</v>
      </c>
      <c r="DQ138">
        <v>1</v>
      </c>
      <c r="DR138">
        <v>0</v>
      </c>
    </row>
    <row r="139" spans="1:122" x14ac:dyDescent="0.3">
      <c r="A139" t="s">
        <v>165</v>
      </c>
      <c r="B139">
        <v>2048</v>
      </c>
      <c r="C139">
        <v>183945108.59999999</v>
      </c>
      <c r="D139">
        <v>177539209.19999999</v>
      </c>
      <c r="E139">
        <v>171156702.30000001</v>
      </c>
      <c r="F139">
        <v>0</v>
      </c>
      <c r="G139">
        <v>5884538</v>
      </c>
      <c r="H139">
        <v>89419728.799999997</v>
      </c>
      <c r="I139">
        <v>4951572.5</v>
      </c>
      <c r="J139">
        <v>932965.4</v>
      </c>
      <c r="K139">
        <v>521361.6</v>
      </c>
      <c r="L139">
        <v>3.5900000000000001E-2</v>
      </c>
      <c r="M139">
        <v>5.3999999999999999E-2</v>
      </c>
      <c r="N139">
        <v>0.155</v>
      </c>
      <c r="O139">
        <v>92773.11</v>
      </c>
      <c r="P139">
        <v>41228.800000000003</v>
      </c>
      <c r="Q139">
        <v>70.3</v>
      </c>
      <c r="R139">
        <v>1.3</v>
      </c>
      <c r="S139">
        <v>0.13</v>
      </c>
      <c r="T139">
        <v>9.4</v>
      </c>
      <c r="U139">
        <v>370.2</v>
      </c>
      <c r="V139">
        <v>0.05</v>
      </c>
      <c r="W139">
        <v>70.400000000000006</v>
      </c>
      <c r="X139">
        <v>19.8</v>
      </c>
      <c r="Y139">
        <v>90.2</v>
      </c>
      <c r="Z139">
        <v>82.7</v>
      </c>
      <c r="AA139">
        <v>1.6</v>
      </c>
      <c r="AB139">
        <v>0.16</v>
      </c>
      <c r="AC139">
        <v>10.9</v>
      </c>
      <c r="AD139">
        <v>433.3</v>
      </c>
      <c r="AE139">
        <v>0.06</v>
      </c>
      <c r="AF139">
        <v>82.8</v>
      </c>
      <c r="AG139">
        <v>23.1</v>
      </c>
      <c r="AH139">
        <v>105.9</v>
      </c>
      <c r="AI139">
        <v>64.5</v>
      </c>
      <c r="AJ139">
        <v>1.4</v>
      </c>
      <c r="AK139">
        <v>0.15</v>
      </c>
      <c r="AL139">
        <v>7.4</v>
      </c>
      <c r="AM139">
        <v>330.1</v>
      </c>
      <c r="AN139">
        <v>0.03</v>
      </c>
      <c r="AO139">
        <v>64.5</v>
      </c>
      <c r="AP139">
        <v>16.7</v>
      </c>
      <c r="AQ139">
        <v>81.2</v>
      </c>
      <c r="AR139">
        <v>468.3</v>
      </c>
      <c r="AS139">
        <v>16.8</v>
      </c>
      <c r="AT139">
        <v>2.12</v>
      </c>
      <c r="AU139">
        <v>48.3</v>
      </c>
      <c r="AV139">
        <v>2188.1</v>
      </c>
      <c r="AW139">
        <v>0.22</v>
      </c>
      <c r="AX139">
        <v>469.3</v>
      </c>
      <c r="AY139">
        <v>109.6</v>
      </c>
      <c r="AZ139">
        <v>578.9</v>
      </c>
      <c r="BA139">
        <v>13315757.4</v>
      </c>
      <c r="BB139">
        <v>251.1</v>
      </c>
      <c r="BC139">
        <v>25.2</v>
      </c>
      <c r="BD139">
        <v>1776994.5</v>
      </c>
      <c r="BE139">
        <v>70087.8</v>
      </c>
      <c r="BF139">
        <v>10.199999999999999</v>
      </c>
      <c r="BG139">
        <v>13329454.1</v>
      </c>
      <c r="BH139">
        <v>3742145.1</v>
      </c>
      <c r="BI139">
        <v>17071599.199999999</v>
      </c>
      <c r="BJ139">
        <v>0</v>
      </c>
      <c r="BK139">
        <v>0</v>
      </c>
      <c r="BL139">
        <v>13315757.4</v>
      </c>
      <c r="BM139">
        <v>15092751.9</v>
      </c>
      <c r="BN139">
        <v>17071599.199999999</v>
      </c>
      <c r="BO139">
        <v>29.16</v>
      </c>
      <c r="BP139">
        <v>17.43</v>
      </c>
      <c r="BQ139">
        <v>1.1100000000000001</v>
      </c>
      <c r="BR139">
        <v>47.69</v>
      </c>
      <c r="BS139">
        <v>31.07</v>
      </c>
      <c r="BT139">
        <v>19.350000000000001</v>
      </c>
      <c r="BU139">
        <v>1.17</v>
      </c>
      <c r="BV139">
        <v>51.59</v>
      </c>
      <c r="BW139">
        <v>190966830</v>
      </c>
      <c r="BX139">
        <v>88119480</v>
      </c>
      <c r="BY139">
        <v>21551116</v>
      </c>
      <c r="BZ139">
        <v>0</v>
      </c>
      <c r="CA139">
        <v>0</v>
      </c>
      <c r="CB139">
        <v>8331.6</v>
      </c>
      <c r="CC139">
        <v>35712188</v>
      </c>
      <c r="CD139">
        <v>0</v>
      </c>
      <c r="CE139">
        <v>355199</v>
      </c>
      <c r="CF139">
        <v>27016756</v>
      </c>
      <c r="CG139">
        <v>0</v>
      </c>
      <c r="CH139">
        <v>607542.1</v>
      </c>
      <c r="CI139">
        <v>0</v>
      </c>
      <c r="CJ139">
        <v>30511164</v>
      </c>
      <c r="CK139">
        <v>35128056</v>
      </c>
      <c r="CL139">
        <v>0</v>
      </c>
      <c r="CM139">
        <v>15064862</v>
      </c>
      <c r="CN139">
        <v>7415399</v>
      </c>
      <c r="CO139">
        <v>759467.1</v>
      </c>
      <c r="CP139">
        <v>4200915</v>
      </c>
      <c r="CQ139">
        <v>12635845</v>
      </c>
      <c r="CR139">
        <v>3919.4</v>
      </c>
      <c r="CS139">
        <v>0</v>
      </c>
      <c r="CT139">
        <v>125.6</v>
      </c>
      <c r="CU139">
        <v>0</v>
      </c>
      <c r="CV139">
        <v>0</v>
      </c>
      <c r="CW139">
        <v>0</v>
      </c>
      <c r="CX139">
        <v>6303.1</v>
      </c>
      <c r="CY139">
        <v>11699.3</v>
      </c>
      <c r="CZ139">
        <v>0</v>
      </c>
      <c r="DA139">
        <v>6078.9</v>
      </c>
      <c r="DB139">
        <v>0</v>
      </c>
      <c r="DC139">
        <v>4592</v>
      </c>
      <c r="DD139">
        <v>2698.1</v>
      </c>
      <c r="DE139">
        <v>3455.8</v>
      </c>
      <c r="DF139">
        <v>1431.3</v>
      </c>
      <c r="DG139">
        <v>7748</v>
      </c>
      <c r="DH139">
        <v>9000</v>
      </c>
      <c r="DI139">
        <v>7945.6</v>
      </c>
      <c r="DJ139">
        <v>0</v>
      </c>
      <c r="DK139">
        <v>21213.5</v>
      </c>
      <c r="DL139">
        <v>14313</v>
      </c>
      <c r="DM139">
        <v>0</v>
      </c>
      <c r="DN139">
        <v>0</v>
      </c>
      <c r="DO139">
        <v>0.76</v>
      </c>
      <c r="DP139">
        <v>1.2</v>
      </c>
      <c r="DQ139">
        <v>1</v>
      </c>
      <c r="DR139">
        <v>0</v>
      </c>
    </row>
    <row r="140" spans="1:122" x14ac:dyDescent="0.3">
      <c r="A140" t="s">
        <v>165</v>
      </c>
      <c r="B140">
        <v>2050</v>
      </c>
      <c r="C140">
        <v>189389147.30000001</v>
      </c>
      <c r="D140">
        <v>181772514</v>
      </c>
      <c r="E140">
        <v>175237820.59999999</v>
      </c>
      <c r="F140">
        <v>0</v>
      </c>
      <c r="G140">
        <v>7062553</v>
      </c>
      <c r="H140">
        <v>79150140.700000003</v>
      </c>
      <c r="I140">
        <v>6137965.5</v>
      </c>
      <c r="J140">
        <v>924587.5</v>
      </c>
      <c r="K140">
        <v>554080.19999999995</v>
      </c>
      <c r="L140">
        <v>3.5900000000000001E-2</v>
      </c>
      <c r="M140">
        <v>5.3999999999999999E-2</v>
      </c>
      <c r="N140">
        <v>0.155</v>
      </c>
      <c r="O140">
        <v>92288.98</v>
      </c>
      <c r="P140">
        <v>42218.1</v>
      </c>
      <c r="Q140">
        <v>57.7</v>
      </c>
      <c r="R140">
        <v>1.1000000000000001</v>
      </c>
      <c r="S140">
        <v>0.11</v>
      </c>
      <c r="T140">
        <v>7.8</v>
      </c>
      <c r="U140">
        <v>304.3</v>
      </c>
      <c r="V140">
        <v>0.05</v>
      </c>
      <c r="W140">
        <v>57.8</v>
      </c>
      <c r="X140">
        <v>16.399999999999999</v>
      </c>
      <c r="Y140">
        <v>74.2</v>
      </c>
      <c r="Z140">
        <v>68.3</v>
      </c>
      <c r="AA140">
        <v>1.3</v>
      </c>
      <c r="AB140">
        <v>0.13</v>
      </c>
      <c r="AC140">
        <v>9.1999999999999993</v>
      </c>
      <c r="AD140">
        <v>358.5</v>
      </c>
      <c r="AE140">
        <v>0.05</v>
      </c>
      <c r="AF140">
        <v>68.3</v>
      </c>
      <c r="AG140">
        <v>19.2</v>
      </c>
      <c r="AH140">
        <v>87.6</v>
      </c>
      <c r="AI140">
        <v>58.9</v>
      </c>
      <c r="AJ140">
        <v>1.3</v>
      </c>
      <c r="AK140">
        <v>0.14000000000000001</v>
      </c>
      <c r="AL140">
        <v>6.8</v>
      </c>
      <c r="AM140">
        <v>302.7</v>
      </c>
      <c r="AN140">
        <v>0.03</v>
      </c>
      <c r="AO140">
        <v>59</v>
      </c>
      <c r="AP140">
        <v>15.3</v>
      </c>
      <c r="AQ140">
        <v>74.2</v>
      </c>
      <c r="AR140">
        <v>434.9</v>
      </c>
      <c r="AS140">
        <v>14.4</v>
      </c>
      <c r="AT140">
        <v>1.8</v>
      </c>
      <c r="AU140">
        <v>46.1</v>
      </c>
      <c r="AV140">
        <v>2066.1999999999998</v>
      </c>
      <c r="AW140">
        <v>0.2</v>
      </c>
      <c r="AX140">
        <v>435.8</v>
      </c>
      <c r="AY140">
        <v>104</v>
      </c>
      <c r="AZ140">
        <v>539.79999999999995</v>
      </c>
      <c r="BA140">
        <v>11549446.800000001</v>
      </c>
      <c r="BB140">
        <v>217.7</v>
      </c>
      <c r="BC140">
        <v>21.8</v>
      </c>
      <c r="BD140">
        <v>1567434.8</v>
      </c>
      <c r="BE140">
        <v>60877.1</v>
      </c>
      <c r="BF140">
        <v>9.4</v>
      </c>
      <c r="BG140">
        <v>11561310.800000001</v>
      </c>
      <c r="BH140">
        <v>3274478.7</v>
      </c>
      <c r="BI140">
        <v>14835789.5</v>
      </c>
      <c r="BJ140">
        <v>0</v>
      </c>
      <c r="BK140">
        <v>0</v>
      </c>
      <c r="BL140">
        <v>11549446.800000001</v>
      </c>
      <c r="BM140">
        <v>13116881.5</v>
      </c>
      <c r="BN140">
        <v>14835789.5</v>
      </c>
      <c r="BO140">
        <v>27.11</v>
      </c>
      <c r="BP140">
        <v>16.86</v>
      </c>
      <c r="BQ140">
        <v>4.4800000000000004</v>
      </c>
      <c r="BR140">
        <v>48.45</v>
      </c>
      <c r="BS140">
        <v>28.96</v>
      </c>
      <c r="BT140">
        <v>18.8</v>
      </c>
      <c r="BU140">
        <v>4.74</v>
      </c>
      <c r="BV140">
        <v>52.5</v>
      </c>
      <c r="BW140">
        <v>201750670</v>
      </c>
      <c r="BX140">
        <v>102622376</v>
      </c>
      <c r="BY140">
        <v>21551116</v>
      </c>
      <c r="BZ140">
        <v>0</v>
      </c>
      <c r="CA140">
        <v>0</v>
      </c>
      <c r="CB140">
        <v>0</v>
      </c>
      <c r="CC140">
        <v>31324340</v>
      </c>
      <c r="CD140">
        <v>0</v>
      </c>
      <c r="CE140">
        <v>179125.4</v>
      </c>
      <c r="CF140">
        <v>26905814</v>
      </c>
      <c r="CG140">
        <v>0</v>
      </c>
      <c r="CH140">
        <v>584409.9</v>
      </c>
      <c r="CI140">
        <v>0</v>
      </c>
      <c r="CJ140">
        <v>40180736</v>
      </c>
      <c r="CK140">
        <v>34779676</v>
      </c>
      <c r="CL140">
        <v>0</v>
      </c>
      <c r="CM140">
        <v>20370974</v>
      </c>
      <c r="CN140">
        <v>7290987</v>
      </c>
      <c r="CO140">
        <v>726001.5</v>
      </c>
      <c r="CP140">
        <v>5197663.5</v>
      </c>
      <c r="CQ140">
        <v>12659836</v>
      </c>
      <c r="CR140">
        <v>5198.2</v>
      </c>
      <c r="CS140">
        <v>0</v>
      </c>
      <c r="CT140">
        <v>125.6</v>
      </c>
      <c r="CU140">
        <v>0</v>
      </c>
      <c r="CV140">
        <v>0</v>
      </c>
      <c r="CW140">
        <v>0</v>
      </c>
      <c r="CX140">
        <v>6321.7</v>
      </c>
      <c r="CY140">
        <v>11699.3</v>
      </c>
      <c r="CZ140">
        <v>0</v>
      </c>
      <c r="DA140">
        <v>8859.2999999999993</v>
      </c>
      <c r="DB140">
        <v>0</v>
      </c>
      <c r="DC140">
        <v>4592</v>
      </c>
      <c r="DD140">
        <v>2698.1</v>
      </c>
      <c r="DE140">
        <v>910</v>
      </c>
      <c r="DF140">
        <v>1431.3</v>
      </c>
      <c r="DG140">
        <v>10106.200000000001</v>
      </c>
      <c r="DH140">
        <v>9000</v>
      </c>
      <c r="DI140">
        <v>10308.4</v>
      </c>
      <c r="DJ140">
        <v>0</v>
      </c>
      <c r="DK140">
        <v>29259.5</v>
      </c>
      <c r="DL140">
        <v>14313</v>
      </c>
      <c r="DM140">
        <v>0</v>
      </c>
      <c r="DN140">
        <v>0</v>
      </c>
      <c r="DO140">
        <v>0.76</v>
      </c>
      <c r="DP140">
        <v>4.9000000000000004</v>
      </c>
      <c r="DQ140">
        <v>1</v>
      </c>
      <c r="DR140">
        <v>0</v>
      </c>
    </row>
    <row r="141" spans="1:122" x14ac:dyDescent="0.3">
      <c r="A141" t="s">
        <v>166</v>
      </c>
      <c r="B141">
        <v>2022</v>
      </c>
      <c r="C141">
        <v>290266098.69999999</v>
      </c>
      <c r="D141">
        <v>285840512.89999998</v>
      </c>
      <c r="E141">
        <v>275563927.80000001</v>
      </c>
      <c r="F141">
        <v>0</v>
      </c>
      <c r="G141">
        <v>2719480.8</v>
      </c>
      <c r="H141">
        <v>255373743</v>
      </c>
      <c r="I141">
        <v>1087050.6000000001</v>
      </c>
      <c r="J141">
        <v>1632430.1</v>
      </c>
      <c r="K141">
        <v>1706105.2</v>
      </c>
      <c r="L141">
        <v>3.5900000000000001E-2</v>
      </c>
      <c r="M141">
        <v>5.3999999999999999E-2</v>
      </c>
      <c r="N141">
        <v>0.15</v>
      </c>
      <c r="O141">
        <v>38722.36</v>
      </c>
      <c r="P141">
        <v>70881.899999999994</v>
      </c>
      <c r="Q141">
        <v>282.10000000000002</v>
      </c>
      <c r="R141">
        <v>16.100000000000001</v>
      </c>
      <c r="S141">
        <v>2.19</v>
      </c>
      <c r="T141">
        <v>26.8</v>
      </c>
      <c r="U141">
        <v>1139.9000000000001</v>
      </c>
      <c r="V141">
        <v>0.2</v>
      </c>
      <c r="W141">
        <v>283.10000000000002</v>
      </c>
      <c r="X141">
        <v>58.8</v>
      </c>
      <c r="Y141">
        <v>341.9</v>
      </c>
      <c r="Z141">
        <v>298.5</v>
      </c>
      <c r="AA141">
        <v>17.3</v>
      </c>
      <c r="AB141">
        <v>2.37</v>
      </c>
      <c r="AC141">
        <v>28</v>
      </c>
      <c r="AD141">
        <v>1195.9000000000001</v>
      </c>
      <c r="AE141">
        <v>0.21</v>
      </c>
      <c r="AF141">
        <v>299.60000000000002</v>
      </c>
      <c r="AG141">
        <v>61.5</v>
      </c>
      <c r="AH141">
        <v>361.1</v>
      </c>
      <c r="AI141">
        <v>590.5</v>
      </c>
      <c r="AJ141">
        <v>49.1</v>
      </c>
      <c r="AK141">
        <v>7.02</v>
      </c>
      <c r="AL141">
        <v>36</v>
      </c>
      <c r="AM141">
        <v>1840.2</v>
      </c>
      <c r="AN141">
        <v>0.31</v>
      </c>
      <c r="AO141">
        <v>593.70000000000005</v>
      </c>
      <c r="AP141">
        <v>87.6</v>
      </c>
      <c r="AQ141">
        <v>681.3</v>
      </c>
      <c r="AR141">
        <v>734</v>
      </c>
      <c r="AS141">
        <v>56.4</v>
      </c>
      <c r="AT141">
        <v>8.0500000000000007</v>
      </c>
      <c r="AU141">
        <v>49.3</v>
      </c>
      <c r="AV141">
        <v>2405.1</v>
      </c>
      <c r="AW141">
        <v>0.41</v>
      </c>
      <c r="AX141">
        <v>737.7</v>
      </c>
      <c r="AY141">
        <v>116.7</v>
      </c>
      <c r="AZ141">
        <v>854.4</v>
      </c>
      <c r="BA141">
        <v>88249453.700000003</v>
      </c>
      <c r="BB141">
        <v>5028.2</v>
      </c>
      <c r="BC141">
        <v>686.6</v>
      </c>
      <c r="BD141">
        <v>8378918.2000000002</v>
      </c>
      <c r="BE141">
        <v>356524.1</v>
      </c>
      <c r="BF141">
        <v>61.8</v>
      </c>
      <c r="BG141">
        <v>88572185.900000006</v>
      </c>
      <c r="BH141">
        <v>18377959.899999999</v>
      </c>
      <c r="BI141">
        <v>106950145.8</v>
      </c>
      <c r="BJ141">
        <v>0</v>
      </c>
      <c r="BK141">
        <v>0</v>
      </c>
      <c r="BL141">
        <v>88249453.700000003</v>
      </c>
      <c r="BM141">
        <v>96628372</v>
      </c>
      <c r="BN141">
        <v>106950145.8</v>
      </c>
      <c r="BO141">
        <v>36.64</v>
      </c>
      <c r="BP141">
        <v>8.73</v>
      </c>
      <c r="BQ141">
        <v>4.0599999999999996</v>
      </c>
      <c r="BR141">
        <v>49.43</v>
      </c>
      <c r="BS141">
        <v>38.86</v>
      </c>
      <c r="BT141">
        <v>9.57</v>
      </c>
      <c r="BU141">
        <v>4.3</v>
      </c>
      <c r="BV141">
        <v>52.73</v>
      </c>
      <c r="BW141">
        <v>314760540</v>
      </c>
      <c r="BX141">
        <v>30466772</v>
      </c>
      <c r="BY141">
        <v>100022616</v>
      </c>
      <c r="BZ141">
        <v>32824048</v>
      </c>
      <c r="CA141">
        <v>0</v>
      </c>
      <c r="CB141">
        <v>293159.90000000002</v>
      </c>
      <c r="CC141">
        <v>141851400</v>
      </c>
      <c r="CD141">
        <v>0</v>
      </c>
      <c r="CE141">
        <v>482315</v>
      </c>
      <c r="CF141">
        <v>3912289.5</v>
      </c>
      <c r="CG141">
        <v>0</v>
      </c>
      <c r="CH141">
        <v>2671194.7999999998</v>
      </c>
      <c r="CI141">
        <v>0</v>
      </c>
      <c r="CJ141">
        <v>17615216</v>
      </c>
      <c r="CK141">
        <v>44038.3</v>
      </c>
      <c r="CL141">
        <v>0</v>
      </c>
      <c r="CM141">
        <v>7024724</v>
      </c>
      <c r="CN141">
        <v>5782792.5</v>
      </c>
      <c r="CO141">
        <v>1311220.6000000001</v>
      </c>
      <c r="CP141">
        <v>925551.6</v>
      </c>
      <c r="CQ141">
        <v>0</v>
      </c>
      <c r="CR141">
        <v>970.3</v>
      </c>
      <c r="CS141">
        <v>0</v>
      </c>
      <c r="CT141">
        <v>583.6</v>
      </c>
      <c r="CU141">
        <v>10325.299999999999</v>
      </c>
      <c r="CV141">
        <v>0</v>
      </c>
      <c r="CW141">
        <v>0</v>
      </c>
      <c r="CX141">
        <v>4215.6000000000004</v>
      </c>
      <c r="CY141">
        <v>29374.3</v>
      </c>
      <c r="CZ141">
        <v>0</v>
      </c>
      <c r="DA141">
        <v>5922.5</v>
      </c>
      <c r="DB141">
        <v>0</v>
      </c>
      <c r="DC141">
        <v>1252</v>
      </c>
      <c r="DD141">
        <v>12522.6</v>
      </c>
      <c r="DE141">
        <v>8395.7000000000007</v>
      </c>
      <c r="DF141">
        <v>1992</v>
      </c>
      <c r="DG141">
        <v>3503.2</v>
      </c>
      <c r="DH141">
        <v>12</v>
      </c>
      <c r="DI141">
        <v>4894.5</v>
      </c>
      <c r="DJ141">
        <v>0</v>
      </c>
      <c r="DK141">
        <v>2820.5</v>
      </c>
      <c r="DL141">
        <v>19920</v>
      </c>
      <c r="DM141">
        <v>0</v>
      </c>
      <c r="DN141">
        <v>17.8</v>
      </c>
      <c r="DO141">
        <v>0.19</v>
      </c>
      <c r="DP141">
        <v>0</v>
      </c>
      <c r="DQ141">
        <v>0</v>
      </c>
      <c r="DR141">
        <v>0</v>
      </c>
    </row>
    <row r="142" spans="1:122" x14ac:dyDescent="0.3">
      <c r="A142" t="s">
        <v>166</v>
      </c>
      <c r="B142">
        <v>2024</v>
      </c>
      <c r="C142">
        <v>298465030.5</v>
      </c>
      <c r="D142">
        <v>292410353.60000002</v>
      </c>
      <c r="E142">
        <v>281897568.69999999</v>
      </c>
      <c r="F142">
        <v>0</v>
      </c>
      <c r="G142">
        <v>3919647.2</v>
      </c>
      <c r="H142">
        <v>256279284.30000001</v>
      </c>
      <c r="I142">
        <v>1490214.9</v>
      </c>
      <c r="J142">
        <v>2429432</v>
      </c>
      <c r="K142">
        <v>2135030</v>
      </c>
      <c r="L142">
        <v>3.5900000000000001E-2</v>
      </c>
      <c r="M142">
        <v>5.3999999999999999E-2</v>
      </c>
      <c r="N142">
        <v>0.15</v>
      </c>
      <c r="O142">
        <v>38722.54</v>
      </c>
      <c r="P142">
        <v>72508.600000000006</v>
      </c>
      <c r="Q142">
        <v>236</v>
      </c>
      <c r="R142">
        <v>7.5</v>
      </c>
      <c r="S142">
        <v>0.93</v>
      </c>
      <c r="T142">
        <v>28.2</v>
      </c>
      <c r="U142">
        <v>1137.2</v>
      </c>
      <c r="V142">
        <v>0.17</v>
      </c>
      <c r="W142">
        <v>236.5</v>
      </c>
      <c r="X142">
        <v>60.1</v>
      </c>
      <c r="Y142">
        <v>296.60000000000002</v>
      </c>
      <c r="Z142">
        <v>249.9</v>
      </c>
      <c r="AA142">
        <v>8.3000000000000007</v>
      </c>
      <c r="AB142">
        <v>1.04</v>
      </c>
      <c r="AC142">
        <v>29.5</v>
      </c>
      <c r="AD142">
        <v>1191.7</v>
      </c>
      <c r="AE142">
        <v>0.18</v>
      </c>
      <c r="AF142">
        <v>250.4</v>
      </c>
      <c r="AG142">
        <v>62.9</v>
      </c>
      <c r="AH142">
        <v>313.3</v>
      </c>
      <c r="AI142">
        <v>506.3</v>
      </c>
      <c r="AJ142">
        <v>40.6</v>
      </c>
      <c r="AK142">
        <v>5.8</v>
      </c>
      <c r="AL142">
        <v>32.299999999999997</v>
      </c>
      <c r="AM142">
        <v>1615</v>
      </c>
      <c r="AN142">
        <v>0.28000000000000003</v>
      </c>
      <c r="AO142">
        <v>509</v>
      </c>
      <c r="AP142">
        <v>77.599999999999994</v>
      </c>
      <c r="AQ142">
        <v>586.6</v>
      </c>
      <c r="AR142">
        <v>731</v>
      </c>
      <c r="AS142">
        <v>53.1</v>
      </c>
      <c r="AT142">
        <v>7.57</v>
      </c>
      <c r="AU142">
        <v>52.2</v>
      </c>
      <c r="AV142">
        <v>2468.6</v>
      </c>
      <c r="AW142">
        <v>0.42</v>
      </c>
      <c r="AX142">
        <v>734.5</v>
      </c>
      <c r="AY142">
        <v>121.4</v>
      </c>
      <c r="AZ142">
        <v>855.9</v>
      </c>
      <c r="BA142">
        <v>77978341.700000003</v>
      </c>
      <c r="BB142">
        <v>2485.3000000000002</v>
      </c>
      <c r="BC142">
        <v>306.39999999999998</v>
      </c>
      <c r="BD142">
        <v>9318002.4000000004</v>
      </c>
      <c r="BE142">
        <v>375584.4</v>
      </c>
      <c r="BF142">
        <v>57</v>
      </c>
      <c r="BG142">
        <v>78129129.099999994</v>
      </c>
      <c r="BH142">
        <v>19849457.199999999</v>
      </c>
      <c r="BI142">
        <v>97978586.299999997</v>
      </c>
      <c r="BJ142">
        <v>0</v>
      </c>
      <c r="BK142">
        <v>0</v>
      </c>
      <c r="BL142">
        <v>77978341.700000003</v>
      </c>
      <c r="BM142">
        <v>87296344.099999994</v>
      </c>
      <c r="BN142">
        <v>97978586.299999997</v>
      </c>
      <c r="BO142">
        <v>33.54</v>
      </c>
      <c r="BP142">
        <v>8.67</v>
      </c>
      <c r="BQ142">
        <v>0.15</v>
      </c>
      <c r="BR142">
        <v>42.35</v>
      </c>
      <c r="BS142">
        <v>35.619999999999997</v>
      </c>
      <c r="BT142">
        <v>9.5500000000000007</v>
      </c>
      <c r="BU142">
        <v>0.16</v>
      </c>
      <c r="BV142">
        <v>45.33</v>
      </c>
      <c r="BW142">
        <v>332233540</v>
      </c>
      <c r="BX142">
        <v>36131068</v>
      </c>
      <c r="BY142">
        <v>100022616</v>
      </c>
      <c r="BZ142">
        <v>9345581</v>
      </c>
      <c r="CA142">
        <v>0</v>
      </c>
      <c r="CB142">
        <v>917485.2</v>
      </c>
      <c r="CC142">
        <v>174904930</v>
      </c>
      <c r="CD142">
        <v>0</v>
      </c>
      <c r="CE142">
        <v>1079816.3999999999</v>
      </c>
      <c r="CF142">
        <v>3912473.5</v>
      </c>
      <c r="CG142">
        <v>0</v>
      </c>
      <c r="CH142">
        <v>2669130.7999999998</v>
      </c>
      <c r="CI142">
        <v>0</v>
      </c>
      <c r="CJ142">
        <v>17520226</v>
      </c>
      <c r="CK142">
        <v>4914641</v>
      </c>
      <c r="CL142">
        <v>0</v>
      </c>
      <c r="CM142">
        <v>7247601.5</v>
      </c>
      <c r="CN142">
        <v>6448600.5</v>
      </c>
      <c r="CO142">
        <v>1977313.2</v>
      </c>
      <c r="CP142">
        <v>1273128.3999999999</v>
      </c>
      <c r="CQ142">
        <v>0</v>
      </c>
      <c r="CR142">
        <v>1281.5999999999999</v>
      </c>
      <c r="CS142">
        <v>0</v>
      </c>
      <c r="CT142">
        <v>583.6</v>
      </c>
      <c r="CU142">
        <v>6608.9</v>
      </c>
      <c r="CV142">
        <v>0</v>
      </c>
      <c r="CW142">
        <v>0</v>
      </c>
      <c r="CX142">
        <v>4745.5</v>
      </c>
      <c r="CY142">
        <v>29374.3</v>
      </c>
      <c r="CZ142">
        <v>0</v>
      </c>
      <c r="DA142">
        <v>5706</v>
      </c>
      <c r="DB142">
        <v>0</v>
      </c>
      <c r="DC142">
        <v>1252</v>
      </c>
      <c r="DD142">
        <v>12522.6</v>
      </c>
      <c r="DE142">
        <v>7582.3</v>
      </c>
      <c r="DF142">
        <v>1992</v>
      </c>
      <c r="DG142">
        <v>3646.7</v>
      </c>
      <c r="DH142">
        <v>1360</v>
      </c>
      <c r="DI142">
        <v>4894.5</v>
      </c>
      <c r="DJ142">
        <v>0</v>
      </c>
      <c r="DK142">
        <v>3438.3</v>
      </c>
      <c r="DL142">
        <v>19920</v>
      </c>
      <c r="DM142">
        <v>0</v>
      </c>
      <c r="DN142">
        <v>0.5</v>
      </c>
      <c r="DO142">
        <v>0.21</v>
      </c>
      <c r="DP142">
        <v>0</v>
      </c>
      <c r="DQ142">
        <v>0</v>
      </c>
      <c r="DR142">
        <v>0</v>
      </c>
    </row>
    <row r="143" spans="1:122" x14ac:dyDescent="0.3">
      <c r="A143" t="s">
        <v>166</v>
      </c>
      <c r="B143">
        <v>2026</v>
      </c>
      <c r="C143">
        <v>303603139</v>
      </c>
      <c r="D143">
        <v>297171218.60000002</v>
      </c>
      <c r="E143">
        <v>286487271</v>
      </c>
      <c r="F143">
        <v>0</v>
      </c>
      <c r="G143">
        <v>4226217</v>
      </c>
      <c r="H143">
        <v>252482548.69999999</v>
      </c>
      <c r="I143">
        <v>1828723</v>
      </c>
      <c r="J143">
        <v>2397494.2000000002</v>
      </c>
      <c r="K143">
        <v>2205703.2999999998</v>
      </c>
      <c r="L143">
        <v>3.5900000000000001E-2</v>
      </c>
      <c r="M143">
        <v>5.3999999999999999E-2</v>
      </c>
      <c r="N143">
        <v>0.15</v>
      </c>
      <c r="O143">
        <v>40061.040000000001</v>
      </c>
      <c r="P143">
        <v>73690.600000000006</v>
      </c>
      <c r="Q143">
        <v>232.9</v>
      </c>
      <c r="R143">
        <v>7.8</v>
      </c>
      <c r="S143">
        <v>0.97</v>
      </c>
      <c r="T143">
        <v>27.5</v>
      </c>
      <c r="U143">
        <v>1110.9000000000001</v>
      </c>
      <c r="V143">
        <v>0.17</v>
      </c>
      <c r="W143">
        <v>233.4</v>
      </c>
      <c r="X143">
        <v>58.6</v>
      </c>
      <c r="Y143">
        <v>292</v>
      </c>
      <c r="Z143">
        <v>245.7</v>
      </c>
      <c r="AA143">
        <v>8.5</v>
      </c>
      <c r="AB143">
        <v>1.07</v>
      </c>
      <c r="AC143">
        <v>28.7</v>
      </c>
      <c r="AD143">
        <v>1162.0999999999999</v>
      </c>
      <c r="AE143">
        <v>0.18</v>
      </c>
      <c r="AF143">
        <v>246.2</v>
      </c>
      <c r="AG143">
        <v>61.3</v>
      </c>
      <c r="AH143">
        <v>307.5</v>
      </c>
      <c r="AI143">
        <v>452.1</v>
      </c>
      <c r="AJ143">
        <v>36</v>
      </c>
      <c r="AK143">
        <v>5.15</v>
      </c>
      <c r="AL143">
        <v>29.1</v>
      </c>
      <c r="AM143">
        <v>1448.1</v>
      </c>
      <c r="AN143">
        <v>0.25</v>
      </c>
      <c r="AO143">
        <v>454.5</v>
      </c>
      <c r="AP143">
        <v>69.7</v>
      </c>
      <c r="AQ143">
        <v>524.20000000000005</v>
      </c>
      <c r="AR143">
        <v>714.3</v>
      </c>
      <c r="AS143">
        <v>50.8</v>
      </c>
      <c r="AT143">
        <v>7.23</v>
      </c>
      <c r="AU143">
        <v>52</v>
      </c>
      <c r="AV143">
        <v>2446.1</v>
      </c>
      <c r="AW143">
        <v>0.41</v>
      </c>
      <c r="AX143">
        <v>717.6</v>
      </c>
      <c r="AY143">
        <v>120.6</v>
      </c>
      <c r="AZ143">
        <v>838.2</v>
      </c>
      <c r="BA143">
        <v>79036413.200000003</v>
      </c>
      <c r="BB143">
        <v>2641.4</v>
      </c>
      <c r="BC143">
        <v>329.3</v>
      </c>
      <c r="BD143">
        <v>9317357.9000000004</v>
      </c>
      <c r="BE143">
        <v>376896.2</v>
      </c>
      <c r="BF143">
        <v>57.4</v>
      </c>
      <c r="BG143">
        <v>79197640.799999997</v>
      </c>
      <c r="BH143">
        <v>19885669.100000001</v>
      </c>
      <c r="BI143">
        <v>99083309.900000006</v>
      </c>
      <c r="BJ143">
        <v>0</v>
      </c>
      <c r="BK143">
        <v>0</v>
      </c>
      <c r="BL143">
        <v>79036413.200000003</v>
      </c>
      <c r="BM143">
        <v>88353771.099999994</v>
      </c>
      <c r="BN143">
        <v>99083309.900000006</v>
      </c>
      <c r="BO143">
        <v>33.26</v>
      </c>
      <c r="BP143">
        <v>8.77</v>
      </c>
      <c r="BQ143">
        <v>0.47</v>
      </c>
      <c r="BR143">
        <v>42.5</v>
      </c>
      <c r="BS143">
        <v>35.33</v>
      </c>
      <c r="BT143">
        <v>9.66</v>
      </c>
      <c r="BU143">
        <v>0.5</v>
      </c>
      <c r="BV143">
        <v>45.49</v>
      </c>
      <c r="BW143">
        <v>341348300</v>
      </c>
      <c r="BX143">
        <v>44688668</v>
      </c>
      <c r="BY143">
        <v>100022616</v>
      </c>
      <c r="BZ143">
        <v>10712904</v>
      </c>
      <c r="CA143">
        <v>0</v>
      </c>
      <c r="CB143">
        <v>883080.6</v>
      </c>
      <c r="CC143">
        <v>173716940</v>
      </c>
      <c r="CD143">
        <v>0</v>
      </c>
      <c r="CE143">
        <v>1086522</v>
      </c>
      <c r="CF143">
        <v>4080175.5</v>
      </c>
      <c r="CG143">
        <v>0</v>
      </c>
      <c r="CH143">
        <v>2669320</v>
      </c>
      <c r="CI143">
        <v>0</v>
      </c>
      <c r="CJ143">
        <v>17425738</v>
      </c>
      <c r="CK143">
        <v>8181889.5</v>
      </c>
      <c r="CL143">
        <v>0</v>
      </c>
      <c r="CM143">
        <v>11565886</v>
      </c>
      <c r="CN143">
        <v>7515156</v>
      </c>
      <c r="CO143">
        <v>1929928.8</v>
      </c>
      <c r="CP143">
        <v>1558120.2</v>
      </c>
      <c r="CQ143">
        <v>0</v>
      </c>
      <c r="CR143">
        <v>1593</v>
      </c>
      <c r="CS143">
        <v>0</v>
      </c>
      <c r="CT143">
        <v>583.6</v>
      </c>
      <c r="CU143">
        <v>6608.9</v>
      </c>
      <c r="CV143">
        <v>0</v>
      </c>
      <c r="CW143">
        <v>0</v>
      </c>
      <c r="CX143">
        <v>5564.7</v>
      </c>
      <c r="CY143">
        <v>29374.3</v>
      </c>
      <c r="CZ143">
        <v>0</v>
      </c>
      <c r="DA143">
        <v>5706</v>
      </c>
      <c r="DB143">
        <v>0</v>
      </c>
      <c r="DC143">
        <v>1305</v>
      </c>
      <c r="DD143">
        <v>12522.6</v>
      </c>
      <c r="DE143">
        <v>7582.3</v>
      </c>
      <c r="DF143">
        <v>1992</v>
      </c>
      <c r="DG143">
        <v>5604.3</v>
      </c>
      <c r="DH143">
        <v>2280</v>
      </c>
      <c r="DI143">
        <v>4894.5</v>
      </c>
      <c r="DJ143">
        <v>0</v>
      </c>
      <c r="DK143">
        <v>4056.2</v>
      </c>
      <c r="DL143">
        <v>19920</v>
      </c>
      <c r="DM143">
        <v>0</v>
      </c>
      <c r="DN143">
        <v>1.3</v>
      </c>
      <c r="DO143">
        <v>0.26</v>
      </c>
      <c r="DP143">
        <v>0</v>
      </c>
      <c r="DQ143">
        <v>0</v>
      </c>
      <c r="DR143">
        <v>0</v>
      </c>
    </row>
    <row r="144" spans="1:122" x14ac:dyDescent="0.3">
      <c r="A144" t="s">
        <v>166</v>
      </c>
      <c r="B144">
        <v>2028</v>
      </c>
      <c r="C144">
        <v>306379883.5</v>
      </c>
      <c r="D144">
        <v>299378537.39999998</v>
      </c>
      <c r="E144">
        <v>288615233</v>
      </c>
      <c r="F144">
        <v>0</v>
      </c>
      <c r="G144">
        <v>4569949</v>
      </c>
      <c r="H144">
        <v>241997043.59999999</v>
      </c>
      <c r="I144">
        <v>2291620.2000000002</v>
      </c>
      <c r="J144">
        <v>2278328.5</v>
      </c>
      <c r="K144">
        <v>2431397.2000000002</v>
      </c>
      <c r="L144">
        <v>3.5900000000000001E-2</v>
      </c>
      <c r="M144">
        <v>5.3999999999999999E-2</v>
      </c>
      <c r="N144">
        <v>0.15</v>
      </c>
      <c r="O144">
        <v>46314.29</v>
      </c>
      <c r="P144">
        <v>74233</v>
      </c>
      <c r="Q144">
        <v>222</v>
      </c>
      <c r="R144">
        <v>7.9</v>
      </c>
      <c r="S144">
        <v>0.99</v>
      </c>
      <c r="T144">
        <v>25.8</v>
      </c>
      <c r="U144">
        <v>1045.5999999999999</v>
      </c>
      <c r="V144">
        <v>0.16</v>
      </c>
      <c r="W144">
        <v>222.4</v>
      </c>
      <c r="X144">
        <v>55.2</v>
      </c>
      <c r="Y144">
        <v>277.60000000000002</v>
      </c>
      <c r="Z144">
        <v>232.1</v>
      </c>
      <c r="AA144">
        <v>8.4</v>
      </c>
      <c r="AB144">
        <v>1.07</v>
      </c>
      <c r="AC144">
        <v>26.9</v>
      </c>
      <c r="AD144">
        <v>1087.4000000000001</v>
      </c>
      <c r="AE144">
        <v>0.17</v>
      </c>
      <c r="AF144">
        <v>232.7</v>
      </c>
      <c r="AG144">
        <v>57.3</v>
      </c>
      <c r="AH144">
        <v>290</v>
      </c>
      <c r="AI144">
        <v>357.5</v>
      </c>
      <c r="AJ144">
        <v>24.3</v>
      </c>
      <c r="AK144">
        <v>3.43</v>
      </c>
      <c r="AL144">
        <v>26.9</v>
      </c>
      <c r="AM144">
        <v>1269.5999999999999</v>
      </c>
      <c r="AN144">
        <v>0.2</v>
      </c>
      <c r="AO144">
        <v>359.1</v>
      </c>
      <c r="AP144">
        <v>62.5</v>
      </c>
      <c r="AQ144">
        <v>421.6</v>
      </c>
      <c r="AR144">
        <v>693.3</v>
      </c>
      <c r="AS144">
        <v>48.4</v>
      </c>
      <c r="AT144">
        <v>6.86</v>
      </c>
      <c r="AU144">
        <v>51.1</v>
      </c>
      <c r="AV144">
        <v>2414.5</v>
      </c>
      <c r="AW144">
        <v>0.39</v>
      </c>
      <c r="AX144">
        <v>696.4</v>
      </c>
      <c r="AY144">
        <v>118.8</v>
      </c>
      <c r="AZ144">
        <v>815.3</v>
      </c>
      <c r="BA144">
        <v>76332636.900000006</v>
      </c>
      <c r="BB144">
        <v>2708.7</v>
      </c>
      <c r="BC144">
        <v>342</v>
      </c>
      <c r="BD144">
        <v>8884509.3000000007</v>
      </c>
      <c r="BE144">
        <v>359470.8</v>
      </c>
      <c r="BF144">
        <v>56</v>
      </c>
      <c r="BG144">
        <v>76499101.5</v>
      </c>
      <c r="BH144">
        <v>18964532.100000001</v>
      </c>
      <c r="BI144">
        <v>95463633.700000003</v>
      </c>
      <c r="BJ144">
        <v>0</v>
      </c>
      <c r="BK144">
        <v>0</v>
      </c>
      <c r="BL144">
        <v>76332636.900000006</v>
      </c>
      <c r="BM144">
        <v>85217146.200000003</v>
      </c>
      <c r="BN144">
        <v>95463633.700000003</v>
      </c>
      <c r="BO144">
        <v>33.64</v>
      </c>
      <c r="BP144">
        <v>10.09</v>
      </c>
      <c r="BQ144">
        <v>0</v>
      </c>
      <c r="BR144">
        <v>43.72</v>
      </c>
      <c r="BS144">
        <v>35.74</v>
      </c>
      <c r="BT144">
        <v>11.12</v>
      </c>
      <c r="BU144">
        <v>0</v>
      </c>
      <c r="BV144">
        <v>46.86</v>
      </c>
      <c r="BW144">
        <v>345889630</v>
      </c>
      <c r="BX144">
        <v>57381492</v>
      </c>
      <c r="BY144">
        <v>100022616</v>
      </c>
      <c r="BZ144">
        <v>11834962</v>
      </c>
      <c r="CA144">
        <v>0</v>
      </c>
      <c r="CB144">
        <v>702577.3</v>
      </c>
      <c r="CC144">
        <v>164432380</v>
      </c>
      <c r="CD144">
        <v>0</v>
      </c>
      <c r="CE144">
        <v>966177.4</v>
      </c>
      <c r="CF144">
        <v>4079586</v>
      </c>
      <c r="CG144">
        <v>0</v>
      </c>
      <c r="CH144">
        <v>2669959.7999999998</v>
      </c>
      <c r="CI144">
        <v>0</v>
      </c>
      <c r="CJ144">
        <v>17331764</v>
      </c>
      <c r="CK144">
        <v>19682794</v>
      </c>
      <c r="CL144">
        <v>0</v>
      </c>
      <c r="CM144">
        <v>11321174</v>
      </c>
      <c r="CN144">
        <v>9045761</v>
      </c>
      <c r="CO144">
        <v>1845244.8</v>
      </c>
      <c r="CP144">
        <v>1954651.2</v>
      </c>
      <c r="CQ144">
        <v>0</v>
      </c>
      <c r="CR144">
        <v>1904.3</v>
      </c>
      <c r="CS144">
        <v>0</v>
      </c>
      <c r="CT144">
        <v>583.6</v>
      </c>
      <c r="CU144">
        <v>6608.9</v>
      </c>
      <c r="CV144">
        <v>0</v>
      </c>
      <c r="CW144">
        <v>0</v>
      </c>
      <c r="CX144">
        <v>6723.3</v>
      </c>
      <c r="CY144">
        <v>29374.3</v>
      </c>
      <c r="CZ144">
        <v>0</v>
      </c>
      <c r="DA144">
        <v>5706</v>
      </c>
      <c r="DB144">
        <v>0</v>
      </c>
      <c r="DC144">
        <v>1305</v>
      </c>
      <c r="DD144">
        <v>12522.6</v>
      </c>
      <c r="DE144">
        <v>7234.4</v>
      </c>
      <c r="DF144">
        <v>1992</v>
      </c>
      <c r="DG144">
        <v>5602.7</v>
      </c>
      <c r="DH144">
        <v>5498.1</v>
      </c>
      <c r="DI144">
        <v>4894.5</v>
      </c>
      <c r="DJ144">
        <v>0</v>
      </c>
      <c r="DK144">
        <v>5298</v>
      </c>
      <c r="DL144">
        <v>19920</v>
      </c>
      <c r="DM144">
        <v>0</v>
      </c>
      <c r="DN144">
        <v>0</v>
      </c>
      <c r="DO144">
        <v>0.27</v>
      </c>
      <c r="DP144">
        <v>0</v>
      </c>
      <c r="DQ144">
        <v>0</v>
      </c>
      <c r="DR144">
        <v>0</v>
      </c>
    </row>
    <row r="145" spans="1:122" x14ac:dyDescent="0.3">
      <c r="A145" t="s">
        <v>166</v>
      </c>
      <c r="B145">
        <v>2030</v>
      </c>
      <c r="C145">
        <v>309896120.80000001</v>
      </c>
      <c r="D145">
        <v>302547903.19999999</v>
      </c>
      <c r="E145">
        <v>291670653.80000001</v>
      </c>
      <c r="F145">
        <v>0</v>
      </c>
      <c r="G145">
        <v>4898754</v>
      </c>
      <c r="H145">
        <v>242006366.5</v>
      </c>
      <c r="I145">
        <v>2590444.2000000002</v>
      </c>
      <c r="J145">
        <v>2308310</v>
      </c>
      <c r="K145">
        <v>2449463.4</v>
      </c>
      <c r="L145">
        <v>3.5900000000000001E-2</v>
      </c>
      <c r="M145">
        <v>5.3999999999999999E-2</v>
      </c>
      <c r="N145">
        <v>0.15</v>
      </c>
      <c r="O145">
        <v>58181.45</v>
      </c>
      <c r="P145">
        <v>75018.600000000006</v>
      </c>
      <c r="Q145">
        <v>214.6</v>
      </c>
      <c r="R145">
        <v>7.5</v>
      </c>
      <c r="S145">
        <v>0.94</v>
      </c>
      <c r="T145">
        <v>25.2</v>
      </c>
      <c r="U145">
        <v>1016.8</v>
      </c>
      <c r="V145">
        <v>0.16</v>
      </c>
      <c r="W145">
        <v>215.1</v>
      </c>
      <c r="X145">
        <v>53.7</v>
      </c>
      <c r="Y145">
        <v>268.8</v>
      </c>
      <c r="Z145">
        <v>223.7</v>
      </c>
      <c r="AA145">
        <v>8.1</v>
      </c>
      <c r="AB145">
        <v>1.02</v>
      </c>
      <c r="AC145">
        <v>26</v>
      </c>
      <c r="AD145">
        <v>1051.5</v>
      </c>
      <c r="AE145">
        <v>0.16</v>
      </c>
      <c r="AF145">
        <v>224.2</v>
      </c>
      <c r="AG145">
        <v>55.5</v>
      </c>
      <c r="AH145">
        <v>279.7</v>
      </c>
      <c r="AI145">
        <v>335.3</v>
      </c>
      <c r="AJ145">
        <v>18.2</v>
      </c>
      <c r="AK145">
        <v>2.4900000000000002</v>
      </c>
      <c r="AL145">
        <v>29.2</v>
      </c>
      <c r="AM145">
        <v>1352.5</v>
      </c>
      <c r="AN145">
        <v>0.17</v>
      </c>
      <c r="AO145">
        <v>336.5</v>
      </c>
      <c r="AP145">
        <v>67.099999999999994</v>
      </c>
      <c r="AQ145">
        <v>403.6</v>
      </c>
      <c r="AR145">
        <v>679.1</v>
      </c>
      <c r="AS145">
        <v>46.8</v>
      </c>
      <c r="AT145">
        <v>6.64</v>
      </c>
      <c r="AU145">
        <v>50.7</v>
      </c>
      <c r="AV145">
        <v>2374</v>
      </c>
      <c r="AW145">
        <v>0.39</v>
      </c>
      <c r="AX145">
        <v>682.1</v>
      </c>
      <c r="AY145">
        <v>117.3</v>
      </c>
      <c r="AZ145">
        <v>799.4</v>
      </c>
      <c r="BA145">
        <v>73553965.900000006</v>
      </c>
      <c r="BB145">
        <v>2569</v>
      </c>
      <c r="BC145">
        <v>322.5</v>
      </c>
      <c r="BD145">
        <v>8625897.9000000004</v>
      </c>
      <c r="BE145">
        <v>348372.6</v>
      </c>
      <c r="BF145">
        <v>54.3</v>
      </c>
      <c r="BG145">
        <v>73711354.599999994</v>
      </c>
      <c r="BH145">
        <v>18394711.899999999</v>
      </c>
      <c r="BI145">
        <v>92106066.5</v>
      </c>
      <c r="BJ145">
        <v>0</v>
      </c>
      <c r="BK145">
        <v>0</v>
      </c>
      <c r="BL145">
        <v>73553965.900000006</v>
      </c>
      <c r="BM145">
        <v>82179863.799999997</v>
      </c>
      <c r="BN145">
        <v>92106066.5</v>
      </c>
      <c r="BO145">
        <v>32.630000000000003</v>
      </c>
      <c r="BP145">
        <v>12.61</v>
      </c>
      <c r="BQ145">
        <v>0.05</v>
      </c>
      <c r="BR145">
        <v>45.29</v>
      </c>
      <c r="BS145">
        <v>34.67</v>
      </c>
      <c r="BT145">
        <v>13.91</v>
      </c>
      <c r="BU145">
        <v>0.05</v>
      </c>
      <c r="BV145">
        <v>48.63</v>
      </c>
      <c r="BW145">
        <v>344794660</v>
      </c>
      <c r="BX145">
        <v>60541536</v>
      </c>
      <c r="BY145">
        <v>100022616</v>
      </c>
      <c r="BZ145">
        <v>11117669</v>
      </c>
      <c r="CA145">
        <v>0</v>
      </c>
      <c r="CB145">
        <v>443690.4</v>
      </c>
      <c r="CC145">
        <v>161129920</v>
      </c>
      <c r="CD145">
        <v>0</v>
      </c>
      <c r="CE145">
        <v>790292.7</v>
      </c>
      <c r="CF145">
        <v>4074638.5</v>
      </c>
      <c r="CG145">
        <v>0</v>
      </c>
      <c r="CH145">
        <v>2617800</v>
      </c>
      <c r="CI145">
        <v>0</v>
      </c>
      <c r="CJ145">
        <v>17238304</v>
      </c>
      <c r="CK145">
        <v>21103100</v>
      </c>
      <c r="CL145">
        <v>0</v>
      </c>
      <c r="CM145">
        <v>11166490</v>
      </c>
      <c r="CN145">
        <v>11033643</v>
      </c>
      <c r="CO145">
        <v>1852680.4</v>
      </c>
      <c r="CP145">
        <v>2203802.2000000002</v>
      </c>
      <c r="CQ145">
        <v>0</v>
      </c>
      <c r="CR145">
        <v>2056.1</v>
      </c>
      <c r="CS145">
        <v>0</v>
      </c>
      <c r="CT145">
        <v>573</v>
      </c>
      <c r="CU145">
        <v>6608.9</v>
      </c>
      <c r="CV145">
        <v>0</v>
      </c>
      <c r="CW145">
        <v>0</v>
      </c>
      <c r="CX145">
        <v>8228.4</v>
      </c>
      <c r="CY145">
        <v>29002.799999999999</v>
      </c>
      <c r="CZ145">
        <v>0</v>
      </c>
      <c r="DA145">
        <v>5706</v>
      </c>
      <c r="DB145">
        <v>0</v>
      </c>
      <c r="DC145">
        <v>1305</v>
      </c>
      <c r="DD145">
        <v>12522.6</v>
      </c>
      <c r="DE145">
        <v>6038.6</v>
      </c>
      <c r="DF145">
        <v>1992</v>
      </c>
      <c r="DG145">
        <v>5601.2</v>
      </c>
      <c r="DH145">
        <v>5898.1</v>
      </c>
      <c r="DI145">
        <v>4894.5</v>
      </c>
      <c r="DJ145">
        <v>0</v>
      </c>
      <c r="DK145">
        <v>5596.9</v>
      </c>
      <c r="DL145">
        <v>19920</v>
      </c>
      <c r="DM145">
        <v>0</v>
      </c>
      <c r="DN145">
        <v>0.1</v>
      </c>
      <c r="DO145">
        <v>0.33</v>
      </c>
      <c r="DP145">
        <v>0</v>
      </c>
      <c r="DQ145">
        <v>0</v>
      </c>
      <c r="DR145">
        <v>0</v>
      </c>
    </row>
    <row r="146" spans="1:122" x14ac:dyDescent="0.3">
      <c r="A146" t="s">
        <v>166</v>
      </c>
      <c r="B146">
        <v>2032</v>
      </c>
      <c r="C146">
        <v>314030846.80000001</v>
      </c>
      <c r="D146">
        <v>306568833.19999999</v>
      </c>
      <c r="E146">
        <v>295547023.19999999</v>
      </c>
      <c r="F146">
        <v>0</v>
      </c>
      <c r="G146">
        <v>4903000</v>
      </c>
      <c r="H146">
        <v>240097524.40000001</v>
      </c>
      <c r="I146">
        <v>2581144</v>
      </c>
      <c r="J146">
        <v>2321856</v>
      </c>
      <c r="K146">
        <v>2559013.9</v>
      </c>
      <c r="L146">
        <v>3.5900000000000001E-2</v>
      </c>
      <c r="M146">
        <v>5.3999999999999999E-2</v>
      </c>
      <c r="N146">
        <v>0.15</v>
      </c>
      <c r="O146">
        <v>69352.14</v>
      </c>
      <c r="P146">
        <v>76016.2</v>
      </c>
      <c r="Q146">
        <v>205.1</v>
      </c>
      <c r="R146">
        <v>6.6</v>
      </c>
      <c r="S146">
        <v>0.81</v>
      </c>
      <c r="T146">
        <v>24.7</v>
      </c>
      <c r="U146">
        <v>990.6</v>
      </c>
      <c r="V146">
        <v>0.15</v>
      </c>
      <c r="W146">
        <v>205.5</v>
      </c>
      <c r="X146">
        <v>52.5</v>
      </c>
      <c r="Y146">
        <v>258</v>
      </c>
      <c r="Z146">
        <v>214</v>
      </c>
      <c r="AA146">
        <v>7.2</v>
      </c>
      <c r="AB146">
        <v>0.89</v>
      </c>
      <c r="AC146">
        <v>25.4</v>
      </c>
      <c r="AD146">
        <v>1023.4</v>
      </c>
      <c r="AE146">
        <v>0.16</v>
      </c>
      <c r="AF146">
        <v>214.4</v>
      </c>
      <c r="AG146">
        <v>54.1</v>
      </c>
      <c r="AH146">
        <v>268.5</v>
      </c>
      <c r="AI146">
        <v>288.2</v>
      </c>
      <c r="AJ146">
        <v>9.6999999999999993</v>
      </c>
      <c r="AK146">
        <v>1.21</v>
      </c>
      <c r="AL146">
        <v>30.3</v>
      </c>
      <c r="AM146">
        <v>1364.2</v>
      </c>
      <c r="AN146">
        <v>0.13</v>
      </c>
      <c r="AO146">
        <v>288.8</v>
      </c>
      <c r="AP146">
        <v>68.599999999999994</v>
      </c>
      <c r="AQ146">
        <v>357.4</v>
      </c>
      <c r="AR146">
        <v>665.7</v>
      </c>
      <c r="AS146">
        <v>45.4</v>
      </c>
      <c r="AT146">
        <v>6.42</v>
      </c>
      <c r="AU146">
        <v>49.8</v>
      </c>
      <c r="AV146">
        <v>2363.8000000000002</v>
      </c>
      <c r="AW146">
        <v>0.36</v>
      </c>
      <c r="AX146">
        <v>668.6</v>
      </c>
      <c r="AY146">
        <v>116.1</v>
      </c>
      <c r="AZ146">
        <v>784.8</v>
      </c>
      <c r="BA146">
        <v>71071634.5</v>
      </c>
      <c r="BB146">
        <v>2285.6</v>
      </c>
      <c r="BC146">
        <v>281.10000000000002</v>
      </c>
      <c r="BD146">
        <v>8544350.4000000004</v>
      </c>
      <c r="BE146">
        <v>343031.5</v>
      </c>
      <c r="BF146">
        <v>52.9</v>
      </c>
      <c r="BG146">
        <v>71210126.099999994</v>
      </c>
      <c r="BH146">
        <v>18163258.199999999</v>
      </c>
      <c r="BI146">
        <v>89373384.299999997</v>
      </c>
      <c r="BJ146">
        <v>0</v>
      </c>
      <c r="BK146">
        <v>0</v>
      </c>
      <c r="BL146">
        <v>71071634.5</v>
      </c>
      <c r="BM146">
        <v>79615984.900000006</v>
      </c>
      <c r="BN146">
        <v>89373384.299999997</v>
      </c>
      <c r="BO146">
        <v>31.86</v>
      </c>
      <c r="BP146">
        <v>14.97</v>
      </c>
      <c r="BQ146">
        <v>0.04</v>
      </c>
      <c r="BR146">
        <v>46.87</v>
      </c>
      <c r="BS146">
        <v>33.840000000000003</v>
      </c>
      <c r="BT146">
        <v>16.510000000000002</v>
      </c>
      <c r="BU146">
        <v>0.04</v>
      </c>
      <c r="BV146">
        <v>50.39</v>
      </c>
      <c r="BW146">
        <v>348440000</v>
      </c>
      <c r="BX146">
        <v>66471308</v>
      </c>
      <c r="BY146">
        <v>100022616</v>
      </c>
      <c r="BZ146">
        <v>8836262</v>
      </c>
      <c r="CA146">
        <v>0</v>
      </c>
      <c r="CB146">
        <v>385573.2</v>
      </c>
      <c r="CC146">
        <v>161193550</v>
      </c>
      <c r="CD146">
        <v>0</v>
      </c>
      <c r="CE146">
        <v>752243.4</v>
      </c>
      <c r="CF146">
        <v>4074724.5</v>
      </c>
      <c r="CG146">
        <v>0</v>
      </c>
      <c r="CH146">
        <v>2617510.2000000002</v>
      </c>
      <c r="CI146">
        <v>0</v>
      </c>
      <c r="CJ146">
        <v>17085254</v>
      </c>
      <c r="CK146">
        <v>25696968</v>
      </c>
      <c r="CL146">
        <v>0</v>
      </c>
      <c r="CM146">
        <v>11002863</v>
      </c>
      <c r="CN146">
        <v>12686223</v>
      </c>
      <c r="CO146">
        <v>1883710.4</v>
      </c>
      <c r="CP146">
        <v>2202503.5</v>
      </c>
      <c r="CQ146">
        <v>0</v>
      </c>
      <c r="CR146">
        <v>2002.7</v>
      </c>
      <c r="CS146">
        <v>0</v>
      </c>
      <c r="CT146">
        <v>573</v>
      </c>
      <c r="CU146">
        <v>6608.9</v>
      </c>
      <c r="CV146">
        <v>0</v>
      </c>
      <c r="CW146">
        <v>0</v>
      </c>
      <c r="CX146">
        <v>9519</v>
      </c>
      <c r="CY146">
        <v>29002.799999999999</v>
      </c>
      <c r="CZ146">
        <v>0</v>
      </c>
      <c r="DA146">
        <v>5706</v>
      </c>
      <c r="DB146">
        <v>0</v>
      </c>
      <c r="DC146">
        <v>1305</v>
      </c>
      <c r="DD146">
        <v>12522.6</v>
      </c>
      <c r="DE146">
        <v>5879.4</v>
      </c>
      <c r="DF146">
        <v>1992</v>
      </c>
      <c r="DG146">
        <v>5599.6</v>
      </c>
      <c r="DH146">
        <v>7308.1</v>
      </c>
      <c r="DI146">
        <v>4870.5</v>
      </c>
      <c r="DJ146">
        <v>0</v>
      </c>
      <c r="DK146">
        <v>5499.8</v>
      </c>
      <c r="DL146">
        <v>19920</v>
      </c>
      <c r="DM146">
        <v>0</v>
      </c>
      <c r="DN146">
        <v>0.1</v>
      </c>
      <c r="DO146">
        <v>0.34</v>
      </c>
      <c r="DP146">
        <v>0</v>
      </c>
      <c r="DQ146">
        <v>0</v>
      </c>
      <c r="DR146">
        <v>0</v>
      </c>
    </row>
    <row r="147" spans="1:122" x14ac:dyDescent="0.3">
      <c r="A147" t="s">
        <v>166</v>
      </c>
      <c r="B147">
        <v>2034</v>
      </c>
      <c r="C147">
        <v>317339697.39999998</v>
      </c>
      <c r="D147">
        <v>309780518.39999998</v>
      </c>
      <c r="E147">
        <v>298643242.5</v>
      </c>
      <c r="F147">
        <v>0</v>
      </c>
      <c r="G147">
        <v>4947838</v>
      </c>
      <c r="H147">
        <v>235599183.59999999</v>
      </c>
      <c r="I147">
        <v>2643429</v>
      </c>
      <c r="J147">
        <v>2304409</v>
      </c>
      <c r="K147">
        <v>2611341.2999999998</v>
      </c>
      <c r="L147">
        <v>3.5900000000000001E-2</v>
      </c>
      <c r="M147">
        <v>5.3999999999999999E-2</v>
      </c>
      <c r="N147">
        <v>0.15</v>
      </c>
      <c r="O147">
        <v>74143.94</v>
      </c>
      <c r="P147">
        <v>76811.3</v>
      </c>
      <c r="Q147">
        <v>196</v>
      </c>
      <c r="R147">
        <v>6.2</v>
      </c>
      <c r="S147">
        <v>0.76</v>
      </c>
      <c r="T147">
        <v>23.7</v>
      </c>
      <c r="U147">
        <v>949.6</v>
      </c>
      <c r="V147">
        <v>0.15</v>
      </c>
      <c r="W147">
        <v>196.4</v>
      </c>
      <c r="X147">
        <v>50.3</v>
      </c>
      <c r="Y147">
        <v>246.7</v>
      </c>
      <c r="Z147">
        <v>204.7</v>
      </c>
      <c r="AA147">
        <v>6.8</v>
      </c>
      <c r="AB147">
        <v>0.84</v>
      </c>
      <c r="AC147">
        <v>24.4</v>
      </c>
      <c r="AD147">
        <v>980.9</v>
      </c>
      <c r="AE147">
        <v>0.15</v>
      </c>
      <c r="AF147">
        <v>205.1</v>
      </c>
      <c r="AG147">
        <v>51.9</v>
      </c>
      <c r="AH147">
        <v>257</v>
      </c>
      <c r="AI147">
        <v>274.60000000000002</v>
      </c>
      <c r="AJ147">
        <v>5.3</v>
      </c>
      <c r="AK147">
        <v>0.55000000000000004</v>
      </c>
      <c r="AL147">
        <v>32.299999999999997</v>
      </c>
      <c r="AM147">
        <v>1429.3</v>
      </c>
      <c r="AN147">
        <v>0.12</v>
      </c>
      <c r="AO147">
        <v>274.89999999999998</v>
      </c>
      <c r="AP147">
        <v>72.400000000000006</v>
      </c>
      <c r="AQ147">
        <v>347.3</v>
      </c>
      <c r="AR147">
        <v>659.2</v>
      </c>
      <c r="AS147">
        <v>44.9</v>
      </c>
      <c r="AT147">
        <v>6.32</v>
      </c>
      <c r="AU147">
        <v>49.1</v>
      </c>
      <c r="AV147">
        <v>2362.1</v>
      </c>
      <c r="AW147">
        <v>0.35</v>
      </c>
      <c r="AX147">
        <v>662.1</v>
      </c>
      <c r="AY147">
        <v>115.4</v>
      </c>
      <c r="AZ147">
        <v>777.5</v>
      </c>
      <c r="BA147">
        <v>68167852.900000006</v>
      </c>
      <c r="BB147">
        <v>2162.3000000000002</v>
      </c>
      <c r="BC147">
        <v>264.89999999999998</v>
      </c>
      <c r="BD147">
        <v>8246500.7000000002</v>
      </c>
      <c r="BE147">
        <v>330136.7</v>
      </c>
      <c r="BF147">
        <v>51.5</v>
      </c>
      <c r="BG147">
        <v>68298595.900000006</v>
      </c>
      <c r="BH147">
        <v>17503962.399999999</v>
      </c>
      <c r="BI147">
        <v>85802558.299999997</v>
      </c>
      <c r="BJ147">
        <v>0</v>
      </c>
      <c r="BK147">
        <v>0</v>
      </c>
      <c r="BL147">
        <v>68167852.900000006</v>
      </c>
      <c r="BM147">
        <v>76414353.599999994</v>
      </c>
      <c r="BN147">
        <v>85802558.299999997</v>
      </c>
      <c r="BO147">
        <v>31.5</v>
      </c>
      <c r="BP147">
        <v>16</v>
      </c>
      <c r="BQ147">
        <v>0</v>
      </c>
      <c r="BR147">
        <v>47.5</v>
      </c>
      <c r="BS147">
        <v>33.46</v>
      </c>
      <c r="BT147">
        <v>17.649999999999999</v>
      </c>
      <c r="BU147">
        <v>0</v>
      </c>
      <c r="BV147">
        <v>51.11</v>
      </c>
      <c r="BW147">
        <v>349842370</v>
      </c>
      <c r="BX147">
        <v>74181336</v>
      </c>
      <c r="BY147">
        <v>100022616</v>
      </c>
      <c r="BZ147">
        <v>8210273</v>
      </c>
      <c r="CA147">
        <v>0</v>
      </c>
      <c r="CB147">
        <v>331751</v>
      </c>
      <c r="CC147">
        <v>155920340</v>
      </c>
      <c r="CD147">
        <v>0</v>
      </c>
      <c r="CE147">
        <v>667565.4</v>
      </c>
      <c r="CF147">
        <v>4074555.2</v>
      </c>
      <c r="CG147">
        <v>0</v>
      </c>
      <c r="CH147">
        <v>2335487.7999999998</v>
      </c>
      <c r="CI147">
        <v>0</v>
      </c>
      <c r="CJ147">
        <v>16760730</v>
      </c>
      <c r="CK147">
        <v>33817276</v>
      </c>
      <c r="CL147">
        <v>0</v>
      </c>
      <c r="CM147">
        <v>10843890</v>
      </c>
      <c r="CN147">
        <v>12759439</v>
      </c>
      <c r="CO147">
        <v>1848056</v>
      </c>
      <c r="CP147">
        <v>2250405.5</v>
      </c>
      <c r="CQ147">
        <v>0</v>
      </c>
      <c r="CR147">
        <v>2033</v>
      </c>
      <c r="CS147">
        <v>0</v>
      </c>
      <c r="CT147">
        <v>511.7</v>
      </c>
      <c r="CU147">
        <v>6608.9</v>
      </c>
      <c r="CV147">
        <v>0</v>
      </c>
      <c r="CW147">
        <v>0</v>
      </c>
      <c r="CX147">
        <v>9695.1</v>
      </c>
      <c r="CY147">
        <v>29002.799999999999</v>
      </c>
      <c r="CZ147">
        <v>0</v>
      </c>
      <c r="DA147">
        <v>5706</v>
      </c>
      <c r="DB147">
        <v>0</v>
      </c>
      <c r="DC147">
        <v>1305</v>
      </c>
      <c r="DD147">
        <v>12522.6</v>
      </c>
      <c r="DE147">
        <v>5879.4</v>
      </c>
      <c r="DF147">
        <v>1992</v>
      </c>
      <c r="DG147">
        <v>5598.1</v>
      </c>
      <c r="DH147">
        <v>9908.1</v>
      </c>
      <c r="DI147">
        <v>4776</v>
      </c>
      <c r="DJ147">
        <v>0</v>
      </c>
      <c r="DK147">
        <v>5761.3</v>
      </c>
      <c r="DL147">
        <v>19920</v>
      </c>
      <c r="DM147">
        <v>0</v>
      </c>
      <c r="DN147">
        <v>0</v>
      </c>
      <c r="DO147">
        <v>0.33</v>
      </c>
      <c r="DP147">
        <v>0</v>
      </c>
      <c r="DQ147">
        <v>0</v>
      </c>
      <c r="DR147">
        <v>0</v>
      </c>
    </row>
    <row r="148" spans="1:122" x14ac:dyDescent="0.3">
      <c r="A148" t="s">
        <v>166</v>
      </c>
      <c r="B148">
        <v>2036</v>
      </c>
      <c r="C148">
        <v>321674937.19999999</v>
      </c>
      <c r="D148">
        <v>314303918.39999998</v>
      </c>
      <c r="E148">
        <v>303004017.30000001</v>
      </c>
      <c r="F148">
        <v>0</v>
      </c>
      <c r="G148">
        <v>4731275.5</v>
      </c>
      <c r="H148">
        <v>234386212.30000001</v>
      </c>
      <c r="I148">
        <v>2535155.2000000002</v>
      </c>
      <c r="J148">
        <v>2196120</v>
      </c>
      <c r="K148">
        <v>2639743.5</v>
      </c>
      <c r="L148">
        <v>3.5900000000000001E-2</v>
      </c>
      <c r="M148">
        <v>5.3999999999999999E-2</v>
      </c>
      <c r="N148">
        <v>0.15</v>
      </c>
      <c r="O148">
        <v>80260.37</v>
      </c>
      <c r="P148">
        <v>77931.5</v>
      </c>
      <c r="Q148">
        <v>193.8</v>
      </c>
      <c r="R148">
        <v>6.8</v>
      </c>
      <c r="S148">
        <v>0.85</v>
      </c>
      <c r="T148">
        <v>22.9</v>
      </c>
      <c r="U148">
        <v>919.2</v>
      </c>
      <c r="V148">
        <v>0.15</v>
      </c>
      <c r="W148">
        <v>194.2</v>
      </c>
      <c r="X148">
        <v>48.7</v>
      </c>
      <c r="Y148">
        <v>242.9</v>
      </c>
      <c r="Z148">
        <v>202.4</v>
      </c>
      <c r="AA148">
        <v>7.4</v>
      </c>
      <c r="AB148">
        <v>0.94</v>
      </c>
      <c r="AC148">
        <v>23.5</v>
      </c>
      <c r="AD148">
        <v>948.8</v>
      </c>
      <c r="AE148">
        <v>0.15</v>
      </c>
      <c r="AF148">
        <v>202.9</v>
      </c>
      <c r="AG148">
        <v>50.2</v>
      </c>
      <c r="AH148">
        <v>253.1</v>
      </c>
      <c r="AI148">
        <v>277.3</v>
      </c>
      <c r="AJ148">
        <v>5.6</v>
      </c>
      <c r="AK148">
        <v>0.57999999999999996</v>
      </c>
      <c r="AL148">
        <v>32.5</v>
      </c>
      <c r="AM148">
        <v>1437.5</v>
      </c>
      <c r="AN148">
        <v>0.12</v>
      </c>
      <c r="AO148">
        <v>277.60000000000002</v>
      </c>
      <c r="AP148">
        <v>72.8</v>
      </c>
      <c r="AQ148">
        <v>350.3</v>
      </c>
      <c r="AR148">
        <v>644.1</v>
      </c>
      <c r="AS148">
        <v>43.3</v>
      </c>
      <c r="AT148">
        <v>6.1</v>
      </c>
      <c r="AU148">
        <v>48.6</v>
      </c>
      <c r="AV148">
        <v>2320.5</v>
      </c>
      <c r="AW148">
        <v>0.34</v>
      </c>
      <c r="AX148">
        <v>646.9</v>
      </c>
      <c r="AY148">
        <v>113.7</v>
      </c>
      <c r="AZ148">
        <v>760.5</v>
      </c>
      <c r="BA148">
        <v>67497006.200000003</v>
      </c>
      <c r="BB148">
        <v>2364.1</v>
      </c>
      <c r="BC148">
        <v>296.5</v>
      </c>
      <c r="BD148">
        <v>7970626.2000000002</v>
      </c>
      <c r="BE148">
        <v>320015.40000000002</v>
      </c>
      <c r="BF148">
        <v>51.2</v>
      </c>
      <c r="BG148">
        <v>67641785.299999997</v>
      </c>
      <c r="BH148">
        <v>16944617.100000001</v>
      </c>
      <c r="BI148">
        <v>84586402.400000006</v>
      </c>
      <c r="BJ148">
        <v>0</v>
      </c>
      <c r="BK148">
        <v>0</v>
      </c>
      <c r="BL148">
        <v>67497006.200000003</v>
      </c>
      <c r="BM148">
        <v>75467632.400000006</v>
      </c>
      <c r="BN148">
        <v>84586402.400000006</v>
      </c>
      <c r="BO148">
        <v>31.1</v>
      </c>
      <c r="BP148">
        <v>17.28</v>
      </c>
      <c r="BQ148">
        <v>0.92</v>
      </c>
      <c r="BR148">
        <v>49.3</v>
      </c>
      <c r="BS148">
        <v>33.04</v>
      </c>
      <c r="BT148">
        <v>19.03</v>
      </c>
      <c r="BU148">
        <v>0.98</v>
      </c>
      <c r="BV148">
        <v>53.05</v>
      </c>
      <c r="BW148">
        <v>350351870</v>
      </c>
      <c r="BX148">
        <v>79917704</v>
      </c>
      <c r="BY148">
        <v>100022616</v>
      </c>
      <c r="BZ148">
        <v>10321719</v>
      </c>
      <c r="CA148">
        <v>0</v>
      </c>
      <c r="CB148">
        <v>262167.8</v>
      </c>
      <c r="CC148">
        <v>148949340</v>
      </c>
      <c r="CD148">
        <v>0</v>
      </c>
      <c r="CE148">
        <v>532380.69999999995</v>
      </c>
      <c r="CF148">
        <v>4071058.5</v>
      </c>
      <c r="CG148">
        <v>0</v>
      </c>
      <c r="CH148">
        <v>2333372.2000000002</v>
      </c>
      <c r="CI148">
        <v>0</v>
      </c>
      <c r="CJ148">
        <v>16669939</v>
      </c>
      <c r="CK148">
        <v>39512030</v>
      </c>
      <c r="CL148">
        <v>0</v>
      </c>
      <c r="CM148">
        <v>10931105</v>
      </c>
      <c r="CN148">
        <v>12804631</v>
      </c>
      <c r="CO148">
        <v>1778231.4</v>
      </c>
      <c r="CP148">
        <v>2163287.2000000002</v>
      </c>
      <c r="CQ148">
        <v>0</v>
      </c>
      <c r="CR148">
        <v>2033.6</v>
      </c>
      <c r="CS148">
        <v>0</v>
      </c>
      <c r="CT148">
        <v>511.7</v>
      </c>
      <c r="CU148">
        <v>6608.9</v>
      </c>
      <c r="CV148">
        <v>0</v>
      </c>
      <c r="CW148">
        <v>0</v>
      </c>
      <c r="CX148">
        <v>9851.7999999999993</v>
      </c>
      <c r="CY148">
        <v>29002.799999999999</v>
      </c>
      <c r="CZ148">
        <v>0</v>
      </c>
      <c r="DA148">
        <v>5123.2</v>
      </c>
      <c r="DB148">
        <v>0</v>
      </c>
      <c r="DC148">
        <v>1305</v>
      </c>
      <c r="DD148">
        <v>12522.6</v>
      </c>
      <c r="DE148">
        <v>5559.8</v>
      </c>
      <c r="DF148">
        <v>1992</v>
      </c>
      <c r="DG148">
        <v>5691.3</v>
      </c>
      <c r="DH148">
        <v>11308.1</v>
      </c>
      <c r="DI148">
        <v>4776</v>
      </c>
      <c r="DJ148">
        <v>0</v>
      </c>
      <c r="DK148">
        <v>5758.8</v>
      </c>
      <c r="DL148">
        <v>19920</v>
      </c>
      <c r="DM148">
        <v>0</v>
      </c>
      <c r="DN148">
        <v>1.7</v>
      </c>
      <c r="DO148">
        <v>0.33</v>
      </c>
      <c r="DP148">
        <v>0</v>
      </c>
      <c r="DQ148">
        <v>0</v>
      </c>
      <c r="DR148">
        <v>0</v>
      </c>
    </row>
    <row r="149" spans="1:122" x14ac:dyDescent="0.3">
      <c r="A149" t="s">
        <v>166</v>
      </c>
      <c r="B149">
        <v>2038</v>
      </c>
      <c r="C149">
        <v>327253423.19999999</v>
      </c>
      <c r="D149">
        <v>319915774.39999998</v>
      </c>
      <c r="E149">
        <v>308414115.5</v>
      </c>
      <c r="F149">
        <v>0</v>
      </c>
      <c r="G149">
        <v>4690038.5</v>
      </c>
      <c r="H149">
        <v>240427080</v>
      </c>
      <c r="I149">
        <v>2453627</v>
      </c>
      <c r="J149">
        <v>2236412</v>
      </c>
      <c r="K149">
        <v>2647610</v>
      </c>
      <c r="L149">
        <v>3.5900000000000001E-2</v>
      </c>
      <c r="M149">
        <v>5.3999999999999999E-2</v>
      </c>
      <c r="N149">
        <v>0.15</v>
      </c>
      <c r="O149">
        <v>83861.73</v>
      </c>
      <c r="P149">
        <v>79326.3</v>
      </c>
      <c r="Q149">
        <v>193</v>
      </c>
      <c r="R149">
        <v>6.4</v>
      </c>
      <c r="S149">
        <v>0.79</v>
      </c>
      <c r="T149">
        <v>23.1</v>
      </c>
      <c r="U149">
        <v>927.3</v>
      </c>
      <c r="V149">
        <v>0.15</v>
      </c>
      <c r="W149">
        <v>193.4</v>
      </c>
      <c r="X149">
        <v>49.1</v>
      </c>
      <c r="Y149">
        <v>242.5</v>
      </c>
      <c r="Z149">
        <v>203</v>
      </c>
      <c r="AA149">
        <v>7.1</v>
      </c>
      <c r="AB149">
        <v>0.89</v>
      </c>
      <c r="AC149">
        <v>23.9</v>
      </c>
      <c r="AD149">
        <v>962</v>
      </c>
      <c r="AE149">
        <v>0.15</v>
      </c>
      <c r="AF149">
        <v>203.4</v>
      </c>
      <c r="AG149">
        <v>50.9</v>
      </c>
      <c r="AH149">
        <v>254.3</v>
      </c>
      <c r="AI149">
        <v>279.60000000000002</v>
      </c>
      <c r="AJ149">
        <v>6.1</v>
      </c>
      <c r="AK149">
        <v>0.65</v>
      </c>
      <c r="AL149">
        <v>32.299999999999997</v>
      </c>
      <c r="AM149">
        <v>1434.4</v>
      </c>
      <c r="AN149">
        <v>0.12</v>
      </c>
      <c r="AO149">
        <v>279.89999999999998</v>
      </c>
      <c r="AP149">
        <v>72.5</v>
      </c>
      <c r="AQ149">
        <v>352.4</v>
      </c>
      <c r="AR149">
        <v>636</v>
      </c>
      <c r="AS149">
        <v>42.3</v>
      </c>
      <c r="AT149">
        <v>5.93</v>
      </c>
      <c r="AU149">
        <v>48.4</v>
      </c>
      <c r="AV149">
        <v>2315.6999999999998</v>
      </c>
      <c r="AW149">
        <v>0.33</v>
      </c>
      <c r="AX149">
        <v>638.70000000000005</v>
      </c>
      <c r="AY149">
        <v>113.3</v>
      </c>
      <c r="AZ149">
        <v>752</v>
      </c>
      <c r="BA149">
        <v>67592003.5</v>
      </c>
      <c r="BB149">
        <v>2234.5</v>
      </c>
      <c r="BC149">
        <v>276.5</v>
      </c>
      <c r="BD149">
        <v>8098957.5</v>
      </c>
      <c r="BE149">
        <v>324604.09999999998</v>
      </c>
      <c r="BF149">
        <v>51.2</v>
      </c>
      <c r="BG149">
        <v>67727848.400000006</v>
      </c>
      <c r="BH149">
        <v>17201429.600000001</v>
      </c>
      <c r="BI149">
        <v>84929278</v>
      </c>
      <c r="BJ149">
        <v>0</v>
      </c>
      <c r="BK149">
        <v>0</v>
      </c>
      <c r="BL149">
        <v>67592003.5</v>
      </c>
      <c r="BM149">
        <v>75690961</v>
      </c>
      <c r="BN149">
        <v>84929278</v>
      </c>
      <c r="BO149">
        <v>30.57</v>
      </c>
      <c r="BP149">
        <v>18.09</v>
      </c>
      <c r="BQ149">
        <v>1.21</v>
      </c>
      <c r="BR149">
        <v>49.87</v>
      </c>
      <c r="BS149">
        <v>32.47</v>
      </c>
      <c r="BT149">
        <v>19.91</v>
      </c>
      <c r="BU149">
        <v>1.29</v>
      </c>
      <c r="BV149">
        <v>53.67</v>
      </c>
      <c r="BW149">
        <v>352273900</v>
      </c>
      <c r="BX149">
        <v>79488696</v>
      </c>
      <c r="BY149">
        <v>100022616</v>
      </c>
      <c r="BZ149">
        <v>9044023</v>
      </c>
      <c r="CA149">
        <v>0</v>
      </c>
      <c r="CB149">
        <v>286414.5</v>
      </c>
      <c r="CC149">
        <v>152655730</v>
      </c>
      <c r="CD149">
        <v>0</v>
      </c>
      <c r="CE149">
        <v>574712.4</v>
      </c>
      <c r="CF149">
        <v>4074276.8</v>
      </c>
      <c r="CG149">
        <v>0</v>
      </c>
      <c r="CH149">
        <v>2240432.7999999998</v>
      </c>
      <c r="CI149">
        <v>0</v>
      </c>
      <c r="CJ149">
        <v>16081104</v>
      </c>
      <c r="CK149">
        <v>39465650</v>
      </c>
      <c r="CL149">
        <v>0</v>
      </c>
      <c r="CM149">
        <v>11092706</v>
      </c>
      <c r="CN149">
        <v>12849236</v>
      </c>
      <c r="CO149">
        <v>1798136.4</v>
      </c>
      <c r="CP149">
        <v>2088855</v>
      </c>
      <c r="CQ149">
        <v>0</v>
      </c>
      <c r="CR149">
        <v>2056.3000000000002</v>
      </c>
      <c r="CS149">
        <v>0</v>
      </c>
      <c r="CT149">
        <v>491.7</v>
      </c>
      <c r="CU149">
        <v>6608.9</v>
      </c>
      <c r="CV149">
        <v>0</v>
      </c>
      <c r="CW149">
        <v>0</v>
      </c>
      <c r="CX149">
        <v>10008.700000000001</v>
      </c>
      <c r="CY149">
        <v>28631.4</v>
      </c>
      <c r="CZ149">
        <v>0</v>
      </c>
      <c r="DA149">
        <v>5123.2</v>
      </c>
      <c r="DB149">
        <v>0</v>
      </c>
      <c r="DC149">
        <v>1305</v>
      </c>
      <c r="DD149">
        <v>12522.6</v>
      </c>
      <c r="DE149">
        <v>5559.8</v>
      </c>
      <c r="DF149">
        <v>1992</v>
      </c>
      <c r="DG149">
        <v>5816.3</v>
      </c>
      <c r="DH149">
        <v>11308.1</v>
      </c>
      <c r="DI149">
        <v>4604</v>
      </c>
      <c r="DJ149">
        <v>0</v>
      </c>
      <c r="DK149">
        <v>5451.1</v>
      </c>
      <c r="DL149">
        <v>19920</v>
      </c>
      <c r="DM149">
        <v>0</v>
      </c>
      <c r="DN149">
        <v>2.2999999999999998</v>
      </c>
      <c r="DO149">
        <v>0.33</v>
      </c>
      <c r="DP149">
        <v>0</v>
      </c>
      <c r="DQ149">
        <v>0</v>
      </c>
      <c r="DR149">
        <v>0</v>
      </c>
    </row>
    <row r="150" spans="1:122" x14ac:dyDescent="0.3">
      <c r="A150" t="s">
        <v>166</v>
      </c>
      <c r="B150">
        <v>2040</v>
      </c>
      <c r="C150">
        <v>332484310.5</v>
      </c>
      <c r="D150">
        <v>325280594.80000001</v>
      </c>
      <c r="E150">
        <v>313586059.60000002</v>
      </c>
      <c r="F150">
        <v>0</v>
      </c>
      <c r="G150">
        <v>4598580.5</v>
      </c>
      <c r="H150">
        <v>247046104.69999999</v>
      </c>
      <c r="I150">
        <v>2533662.2000000002</v>
      </c>
      <c r="J150">
        <v>2064918</v>
      </c>
      <c r="K150">
        <v>2605135.5</v>
      </c>
      <c r="L150">
        <v>3.5900000000000001E-2</v>
      </c>
      <c r="M150">
        <v>5.3999999999999999E-2</v>
      </c>
      <c r="N150">
        <v>0.15</v>
      </c>
      <c r="O150">
        <v>85779.32</v>
      </c>
      <c r="P150">
        <v>80655.7</v>
      </c>
      <c r="Q150">
        <v>202.3</v>
      </c>
      <c r="R150">
        <v>7.5</v>
      </c>
      <c r="S150">
        <v>0.96</v>
      </c>
      <c r="T150">
        <v>23.2</v>
      </c>
      <c r="U150">
        <v>944.5</v>
      </c>
      <c r="V150">
        <v>0.15</v>
      </c>
      <c r="W150">
        <v>202.8</v>
      </c>
      <c r="X150">
        <v>49.7</v>
      </c>
      <c r="Y150">
        <v>252.5</v>
      </c>
      <c r="Z150">
        <v>212.5</v>
      </c>
      <c r="AA150">
        <v>8.3000000000000007</v>
      </c>
      <c r="AB150">
        <v>1.06</v>
      </c>
      <c r="AC150">
        <v>24</v>
      </c>
      <c r="AD150">
        <v>980.5</v>
      </c>
      <c r="AE150">
        <v>0.16</v>
      </c>
      <c r="AF150">
        <v>213</v>
      </c>
      <c r="AG150">
        <v>51.5</v>
      </c>
      <c r="AH150">
        <v>264.5</v>
      </c>
      <c r="AI150">
        <v>276.39999999999998</v>
      </c>
      <c r="AJ150">
        <v>6</v>
      </c>
      <c r="AK150">
        <v>0.65</v>
      </c>
      <c r="AL150">
        <v>31.9</v>
      </c>
      <c r="AM150">
        <v>1417.4</v>
      </c>
      <c r="AN150">
        <v>0.12</v>
      </c>
      <c r="AO150">
        <v>276.8</v>
      </c>
      <c r="AP150">
        <v>71.599999999999994</v>
      </c>
      <c r="AQ150">
        <v>348.4</v>
      </c>
      <c r="AR150">
        <v>637.29999999999995</v>
      </c>
      <c r="AS150">
        <v>42.9</v>
      </c>
      <c r="AT150">
        <v>6.03</v>
      </c>
      <c r="AU150">
        <v>47.9</v>
      </c>
      <c r="AV150">
        <v>2305</v>
      </c>
      <c r="AW150">
        <v>0.33</v>
      </c>
      <c r="AX150">
        <v>640.1</v>
      </c>
      <c r="AY150">
        <v>112.6</v>
      </c>
      <c r="AZ150">
        <v>752.7</v>
      </c>
      <c r="BA150">
        <v>71248507</v>
      </c>
      <c r="BB150">
        <v>2656.5</v>
      </c>
      <c r="BC150">
        <v>337.8</v>
      </c>
      <c r="BD150">
        <v>8179630.0999999996</v>
      </c>
      <c r="BE150">
        <v>332593.09999999998</v>
      </c>
      <c r="BF150">
        <v>52.8</v>
      </c>
      <c r="BG150">
        <v>71412409.400000006</v>
      </c>
      <c r="BH150">
        <v>17506223.699999999</v>
      </c>
      <c r="BI150">
        <v>88918633.099999994</v>
      </c>
      <c r="BJ150">
        <v>0</v>
      </c>
      <c r="BK150">
        <v>0</v>
      </c>
      <c r="BL150">
        <v>71248507</v>
      </c>
      <c r="BM150">
        <v>79428137.099999994</v>
      </c>
      <c r="BN150">
        <v>88918633.099999994</v>
      </c>
      <c r="BO150">
        <v>30.17</v>
      </c>
      <c r="BP150">
        <v>18.239999999999998</v>
      </c>
      <c r="BQ150">
        <v>0.99</v>
      </c>
      <c r="BR150">
        <v>49.41</v>
      </c>
      <c r="BS150">
        <v>32.04</v>
      </c>
      <c r="BT150">
        <v>20.05</v>
      </c>
      <c r="BU150">
        <v>1.06</v>
      </c>
      <c r="BV150">
        <v>53.14</v>
      </c>
      <c r="BW150">
        <v>354428960</v>
      </c>
      <c r="BX150">
        <v>78234490</v>
      </c>
      <c r="BY150">
        <v>100022616</v>
      </c>
      <c r="BZ150">
        <v>12523301</v>
      </c>
      <c r="CA150">
        <v>0</v>
      </c>
      <c r="CB150">
        <v>255223</v>
      </c>
      <c r="CC150">
        <v>153305390</v>
      </c>
      <c r="CD150">
        <v>0</v>
      </c>
      <c r="CE150">
        <v>546919.6</v>
      </c>
      <c r="CF150">
        <v>4074221.2</v>
      </c>
      <c r="CG150">
        <v>0</v>
      </c>
      <c r="CH150">
        <v>1631509.5</v>
      </c>
      <c r="CI150">
        <v>0</v>
      </c>
      <c r="CJ150">
        <v>14637755</v>
      </c>
      <c r="CK150">
        <v>39368064</v>
      </c>
      <c r="CL150">
        <v>0</v>
      </c>
      <c r="CM150">
        <v>11348355</v>
      </c>
      <c r="CN150">
        <v>12880316</v>
      </c>
      <c r="CO150">
        <v>1672569.5</v>
      </c>
      <c r="CP150">
        <v>2162710.2000000002</v>
      </c>
      <c r="CQ150">
        <v>0</v>
      </c>
      <c r="CR150">
        <v>2106.4</v>
      </c>
      <c r="CS150">
        <v>0</v>
      </c>
      <c r="CT150">
        <v>358.4</v>
      </c>
      <c r="CU150">
        <v>6608.9</v>
      </c>
      <c r="CV150">
        <v>0</v>
      </c>
      <c r="CW150">
        <v>0</v>
      </c>
      <c r="CX150">
        <v>10156.700000000001</v>
      </c>
      <c r="CY150">
        <v>28960.9</v>
      </c>
      <c r="CZ150">
        <v>0</v>
      </c>
      <c r="DA150">
        <v>4242</v>
      </c>
      <c r="DB150">
        <v>0</v>
      </c>
      <c r="DC150">
        <v>1305</v>
      </c>
      <c r="DD150">
        <v>12522.6</v>
      </c>
      <c r="DE150">
        <v>5080.5</v>
      </c>
      <c r="DF150">
        <v>1992</v>
      </c>
      <c r="DG150">
        <v>5972.2</v>
      </c>
      <c r="DH150">
        <v>11308.1</v>
      </c>
      <c r="DI150">
        <v>4154.6000000000004</v>
      </c>
      <c r="DJ150">
        <v>0</v>
      </c>
      <c r="DK150">
        <v>5772.8</v>
      </c>
      <c r="DL150">
        <v>19920</v>
      </c>
      <c r="DM150">
        <v>0</v>
      </c>
      <c r="DN150">
        <v>1.9</v>
      </c>
      <c r="DO150">
        <v>0.33</v>
      </c>
      <c r="DP150">
        <v>0</v>
      </c>
      <c r="DQ150">
        <v>0</v>
      </c>
      <c r="DR150">
        <v>0</v>
      </c>
    </row>
    <row r="151" spans="1:122" x14ac:dyDescent="0.3">
      <c r="A151" t="s">
        <v>166</v>
      </c>
      <c r="B151">
        <v>2042</v>
      </c>
      <c r="C151">
        <v>339147698.69999999</v>
      </c>
      <c r="D151">
        <v>330609452.19999999</v>
      </c>
      <c r="E151">
        <v>318723334</v>
      </c>
      <c r="F151">
        <v>0</v>
      </c>
      <c r="G151">
        <v>5921235</v>
      </c>
      <c r="H151">
        <v>254555842.59999999</v>
      </c>
      <c r="I151">
        <v>4065961.5</v>
      </c>
      <c r="J151">
        <v>1855273.2</v>
      </c>
      <c r="K151">
        <v>2617011.6</v>
      </c>
      <c r="L151">
        <v>3.5900000000000001E-2</v>
      </c>
      <c r="M151">
        <v>5.3999999999999999E-2</v>
      </c>
      <c r="N151">
        <v>0.15</v>
      </c>
      <c r="O151">
        <v>86913.79</v>
      </c>
      <c r="P151">
        <v>81972.399999999994</v>
      </c>
      <c r="Q151">
        <v>205</v>
      </c>
      <c r="R151">
        <v>7.3</v>
      </c>
      <c r="S151">
        <v>0.92</v>
      </c>
      <c r="T151">
        <v>23.7</v>
      </c>
      <c r="U151">
        <v>968.6</v>
      </c>
      <c r="V151">
        <v>0.15</v>
      </c>
      <c r="W151">
        <v>205.5</v>
      </c>
      <c r="X151">
        <v>50.9</v>
      </c>
      <c r="Y151">
        <v>256.3</v>
      </c>
      <c r="Z151">
        <v>214.7</v>
      </c>
      <c r="AA151">
        <v>7.9</v>
      </c>
      <c r="AB151">
        <v>1</v>
      </c>
      <c r="AC151">
        <v>24.5</v>
      </c>
      <c r="AD151">
        <v>1004.8</v>
      </c>
      <c r="AE151">
        <v>0.16</v>
      </c>
      <c r="AF151">
        <v>215.2</v>
      </c>
      <c r="AG151">
        <v>52.7</v>
      </c>
      <c r="AH151">
        <v>267.8</v>
      </c>
      <c r="AI151">
        <v>277.89999999999998</v>
      </c>
      <c r="AJ151">
        <v>6.5</v>
      </c>
      <c r="AK151">
        <v>0.72</v>
      </c>
      <c r="AL151">
        <v>31.7</v>
      </c>
      <c r="AM151">
        <v>1412.2</v>
      </c>
      <c r="AN151">
        <v>0.12</v>
      </c>
      <c r="AO151">
        <v>278.3</v>
      </c>
      <c r="AP151">
        <v>71.3</v>
      </c>
      <c r="AQ151">
        <v>349.5</v>
      </c>
      <c r="AR151">
        <v>624.9</v>
      </c>
      <c r="AS151">
        <v>41</v>
      </c>
      <c r="AT151">
        <v>5.73</v>
      </c>
      <c r="AU151">
        <v>47.9</v>
      </c>
      <c r="AV151">
        <v>2301.6</v>
      </c>
      <c r="AW151">
        <v>0.32</v>
      </c>
      <c r="AX151">
        <v>627.6</v>
      </c>
      <c r="AY151">
        <v>112.5</v>
      </c>
      <c r="AZ151">
        <v>740.1</v>
      </c>
      <c r="BA151">
        <v>73688239.599999994</v>
      </c>
      <c r="BB151">
        <v>2621.3000000000002</v>
      </c>
      <c r="BC151">
        <v>329.7</v>
      </c>
      <c r="BD151">
        <v>8514020.5999999996</v>
      </c>
      <c r="BE151">
        <v>348043.7</v>
      </c>
      <c r="BF151">
        <v>53.6</v>
      </c>
      <c r="BG151">
        <v>73849010.799999997</v>
      </c>
      <c r="BH151">
        <v>18273438.899999999</v>
      </c>
      <c r="BI151">
        <v>92122449.700000003</v>
      </c>
      <c r="BJ151">
        <v>0</v>
      </c>
      <c r="BK151">
        <v>0</v>
      </c>
      <c r="BL151">
        <v>73688239.599999994</v>
      </c>
      <c r="BM151">
        <v>82202260.200000003</v>
      </c>
      <c r="BN151">
        <v>92122449.700000003</v>
      </c>
      <c r="BO151">
        <v>29.83</v>
      </c>
      <c r="BP151">
        <v>18.2</v>
      </c>
      <c r="BQ151">
        <v>0.55000000000000004</v>
      </c>
      <c r="BR151">
        <v>48.58</v>
      </c>
      <c r="BS151">
        <v>31.69</v>
      </c>
      <c r="BT151">
        <v>20.059999999999999</v>
      </c>
      <c r="BU151">
        <v>0.57999999999999996</v>
      </c>
      <c r="BV151">
        <v>52.33</v>
      </c>
      <c r="BW151">
        <v>361678720</v>
      </c>
      <c r="BX151">
        <v>76053610</v>
      </c>
      <c r="BY151">
        <v>100022616</v>
      </c>
      <c r="BZ151">
        <v>11778700</v>
      </c>
      <c r="CA151">
        <v>0</v>
      </c>
      <c r="CB151">
        <v>194698.4</v>
      </c>
      <c r="CC151">
        <v>163013600</v>
      </c>
      <c r="CD151">
        <v>0</v>
      </c>
      <c r="CE151">
        <v>451243</v>
      </c>
      <c r="CF151">
        <v>4074468.5</v>
      </c>
      <c r="CG151">
        <v>0</v>
      </c>
      <c r="CH151">
        <v>1138801</v>
      </c>
      <c r="CI151">
        <v>0</v>
      </c>
      <c r="CJ151">
        <v>12632779</v>
      </c>
      <c r="CK151">
        <v>39215580</v>
      </c>
      <c r="CL151">
        <v>0</v>
      </c>
      <c r="CM151">
        <v>11298694</v>
      </c>
      <c r="CN151">
        <v>12906556</v>
      </c>
      <c r="CO151">
        <v>1483749.9</v>
      </c>
      <c r="CP151">
        <v>3467242</v>
      </c>
      <c r="CQ151">
        <v>0</v>
      </c>
      <c r="CR151">
        <v>2997.2</v>
      </c>
      <c r="CS151">
        <v>0</v>
      </c>
      <c r="CT151">
        <v>250.4</v>
      </c>
      <c r="CU151">
        <v>6608.9</v>
      </c>
      <c r="CV151">
        <v>0</v>
      </c>
      <c r="CW151">
        <v>0</v>
      </c>
      <c r="CX151">
        <v>10301.700000000001</v>
      </c>
      <c r="CY151">
        <v>30821.599999999999</v>
      </c>
      <c r="CZ151">
        <v>0</v>
      </c>
      <c r="DA151">
        <v>3754.3</v>
      </c>
      <c r="DB151">
        <v>0</v>
      </c>
      <c r="DC151">
        <v>1305</v>
      </c>
      <c r="DD151">
        <v>12522.6</v>
      </c>
      <c r="DE151">
        <v>4913.6000000000004</v>
      </c>
      <c r="DF151">
        <v>1992</v>
      </c>
      <c r="DG151">
        <v>5906.2</v>
      </c>
      <c r="DH151">
        <v>11308.1</v>
      </c>
      <c r="DI151">
        <v>3610.9</v>
      </c>
      <c r="DJ151">
        <v>0</v>
      </c>
      <c r="DK151">
        <v>9957.1</v>
      </c>
      <c r="DL151">
        <v>19920</v>
      </c>
      <c r="DM151">
        <v>0</v>
      </c>
      <c r="DN151">
        <v>1</v>
      </c>
      <c r="DO151">
        <v>0.33</v>
      </c>
      <c r="DP151">
        <v>0</v>
      </c>
      <c r="DQ151">
        <v>0</v>
      </c>
      <c r="DR151">
        <v>0</v>
      </c>
    </row>
    <row r="152" spans="1:122" x14ac:dyDescent="0.3">
      <c r="A152" t="s">
        <v>166</v>
      </c>
      <c r="B152">
        <v>2044</v>
      </c>
      <c r="C152">
        <v>347081442.10000002</v>
      </c>
      <c r="D152">
        <v>337207979.39999998</v>
      </c>
      <c r="E152">
        <v>325084630.80000001</v>
      </c>
      <c r="F152">
        <v>0</v>
      </c>
      <c r="G152">
        <v>7229687</v>
      </c>
      <c r="H152">
        <v>261136160.19999999</v>
      </c>
      <c r="I152">
        <v>5604416</v>
      </c>
      <c r="J152">
        <v>1625271.6</v>
      </c>
      <c r="K152">
        <v>2643775.1</v>
      </c>
      <c r="L152">
        <v>3.5900000000000001E-2</v>
      </c>
      <c r="M152">
        <v>5.3999999999999999E-2</v>
      </c>
      <c r="N152">
        <v>0.15</v>
      </c>
      <c r="O152">
        <v>87661.45</v>
      </c>
      <c r="P152">
        <v>83606.600000000006</v>
      </c>
      <c r="Q152">
        <v>203.9</v>
      </c>
      <c r="R152">
        <v>6.9</v>
      </c>
      <c r="S152">
        <v>0.85</v>
      </c>
      <c r="T152">
        <v>23.9</v>
      </c>
      <c r="U152">
        <v>975.9</v>
      </c>
      <c r="V152">
        <v>0.15</v>
      </c>
      <c r="W152">
        <v>204.3</v>
      </c>
      <c r="X152">
        <v>51.2</v>
      </c>
      <c r="Y152">
        <v>255.5</v>
      </c>
      <c r="Z152">
        <v>213.9</v>
      </c>
      <c r="AA152">
        <v>7.4</v>
      </c>
      <c r="AB152">
        <v>0.93</v>
      </c>
      <c r="AC152">
        <v>24.8</v>
      </c>
      <c r="AD152">
        <v>1015.7</v>
      </c>
      <c r="AE152">
        <v>0.15</v>
      </c>
      <c r="AF152">
        <v>214.4</v>
      </c>
      <c r="AG152">
        <v>53.2</v>
      </c>
      <c r="AH152">
        <v>267.60000000000002</v>
      </c>
      <c r="AI152">
        <v>284.3</v>
      </c>
      <c r="AJ152">
        <v>7.8</v>
      </c>
      <c r="AK152">
        <v>0.92</v>
      </c>
      <c r="AL152">
        <v>31.4</v>
      </c>
      <c r="AM152">
        <v>1407.1</v>
      </c>
      <c r="AN152">
        <v>0.13</v>
      </c>
      <c r="AO152">
        <v>284.8</v>
      </c>
      <c r="AP152">
        <v>70.8</v>
      </c>
      <c r="AQ152">
        <v>355.5</v>
      </c>
      <c r="AR152">
        <v>615.70000000000005</v>
      </c>
      <c r="AS152">
        <v>39.6</v>
      </c>
      <c r="AT152">
        <v>5.51</v>
      </c>
      <c r="AU152">
        <v>47.8</v>
      </c>
      <c r="AV152">
        <v>2307.6</v>
      </c>
      <c r="AW152">
        <v>0.31</v>
      </c>
      <c r="AX152">
        <v>618.20000000000005</v>
      </c>
      <c r="AY152">
        <v>112.5</v>
      </c>
      <c r="AZ152">
        <v>730.8</v>
      </c>
      <c r="BA152">
        <v>74919865.299999997</v>
      </c>
      <c r="BB152">
        <v>2520.3000000000002</v>
      </c>
      <c r="BC152">
        <v>312.8</v>
      </c>
      <c r="BD152">
        <v>8763487.1999999993</v>
      </c>
      <c r="BE152">
        <v>358478.5</v>
      </c>
      <c r="BF152">
        <v>53.9</v>
      </c>
      <c r="BG152">
        <v>75073320.599999994</v>
      </c>
      <c r="BH152">
        <v>18815178.199999999</v>
      </c>
      <c r="BI152">
        <v>93888498.799999997</v>
      </c>
      <c r="BJ152">
        <v>0</v>
      </c>
      <c r="BK152">
        <v>0</v>
      </c>
      <c r="BL152">
        <v>74919865.299999997</v>
      </c>
      <c r="BM152">
        <v>83683352.5</v>
      </c>
      <c r="BN152">
        <v>93888498.799999997</v>
      </c>
      <c r="BO152">
        <v>29.87</v>
      </c>
      <c r="BP152">
        <v>18.309999999999999</v>
      </c>
      <c r="BQ152">
        <v>0.37</v>
      </c>
      <c r="BR152">
        <v>48.55</v>
      </c>
      <c r="BS152">
        <v>31.75</v>
      </c>
      <c r="BT152">
        <v>20.239999999999998</v>
      </c>
      <c r="BU152">
        <v>0.4</v>
      </c>
      <c r="BV152">
        <v>52.39</v>
      </c>
      <c r="BW152">
        <v>369696060</v>
      </c>
      <c r="BX152">
        <v>76071816</v>
      </c>
      <c r="BY152">
        <v>100022616</v>
      </c>
      <c r="BZ152">
        <v>10473605</v>
      </c>
      <c r="CA152">
        <v>0</v>
      </c>
      <c r="CB152">
        <v>166941.5</v>
      </c>
      <c r="CC152">
        <v>171437060</v>
      </c>
      <c r="CD152">
        <v>0</v>
      </c>
      <c r="CE152">
        <v>389269.2</v>
      </c>
      <c r="CF152">
        <v>4074246.8</v>
      </c>
      <c r="CG152">
        <v>0</v>
      </c>
      <c r="CH152">
        <v>938384.6</v>
      </c>
      <c r="CI152">
        <v>0</v>
      </c>
      <c r="CJ152">
        <v>12564652</v>
      </c>
      <c r="CK152">
        <v>39065132</v>
      </c>
      <c r="CL152">
        <v>0</v>
      </c>
      <c r="CM152">
        <v>11504967</v>
      </c>
      <c r="CN152">
        <v>12937069</v>
      </c>
      <c r="CO152">
        <v>1328621.2</v>
      </c>
      <c r="CP152">
        <v>4793513.5</v>
      </c>
      <c r="CQ152">
        <v>0</v>
      </c>
      <c r="CR152">
        <v>4372</v>
      </c>
      <c r="CS152">
        <v>0</v>
      </c>
      <c r="CT152">
        <v>206.5</v>
      </c>
      <c r="CU152">
        <v>5608.9</v>
      </c>
      <c r="CV152">
        <v>0</v>
      </c>
      <c r="CW152">
        <v>0</v>
      </c>
      <c r="CX152">
        <v>10450</v>
      </c>
      <c r="CY152">
        <v>32789.9</v>
      </c>
      <c r="CZ152">
        <v>0</v>
      </c>
      <c r="DA152">
        <v>3754.3</v>
      </c>
      <c r="DB152">
        <v>0</v>
      </c>
      <c r="DC152">
        <v>1305</v>
      </c>
      <c r="DD152">
        <v>12522.6</v>
      </c>
      <c r="DE152">
        <v>4913.6000000000004</v>
      </c>
      <c r="DF152">
        <v>1992</v>
      </c>
      <c r="DG152">
        <v>6006.4</v>
      </c>
      <c r="DH152">
        <v>11308.1</v>
      </c>
      <c r="DI152">
        <v>3610.9</v>
      </c>
      <c r="DJ152">
        <v>0</v>
      </c>
      <c r="DK152">
        <v>15549.6</v>
      </c>
      <c r="DL152">
        <v>19920</v>
      </c>
      <c r="DM152">
        <v>0</v>
      </c>
      <c r="DN152">
        <v>0.7</v>
      </c>
      <c r="DO152">
        <v>0.33</v>
      </c>
      <c r="DP152">
        <v>0</v>
      </c>
      <c r="DQ152">
        <v>0</v>
      </c>
      <c r="DR152">
        <v>0</v>
      </c>
    </row>
    <row r="153" spans="1:122" x14ac:dyDescent="0.3">
      <c r="A153" t="s">
        <v>166</v>
      </c>
      <c r="B153">
        <v>2046</v>
      </c>
      <c r="C153">
        <v>354610962.69999999</v>
      </c>
      <c r="D153">
        <v>344302895.10000002</v>
      </c>
      <c r="E153">
        <v>331924469.69999999</v>
      </c>
      <c r="F153">
        <v>0</v>
      </c>
      <c r="G153">
        <v>7479399</v>
      </c>
      <c r="H153">
        <v>268587675.30000001</v>
      </c>
      <c r="I153">
        <v>5880277</v>
      </c>
      <c r="J153">
        <v>1599122</v>
      </c>
      <c r="K153">
        <v>2828668.3</v>
      </c>
      <c r="L153">
        <v>3.5900000000000001E-2</v>
      </c>
      <c r="M153">
        <v>5.3999999999999999E-2</v>
      </c>
      <c r="N153">
        <v>0.15</v>
      </c>
      <c r="O153">
        <v>93179.15</v>
      </c>
      <c r="P153">
        <v>85367.4</v>
      </c>
      <c r="Q153">
        <v>205.6</v>
      </c>
      <c r="R153">
        <v>6.5</v>
      </c>
      <c r="S153">
        <v>0.8</v>
      </c>
      <c r="T153">
        <v>24.3</v>
      </c>
      <c r="U153">
        <v>996.2</v>
      </c>
      <c r="V153">
        <v>0.15</v>
      </c>
      <c r="W153">
        <v>206</v>
      </c>
      <c r="X153">
        <v>52.2</v>
      </c>
      <c r="Y153">
        <v>258.3</v>
      </c>
      <c r="Z153">
        <v>214.4</v>
      </c>
      <c r="AA153">
        <v>7</v>
      </c>
      <c r="AB153">
        <v>0.86</v>
      </c>
      <c r="AC153">
        <v>25.2</v>
      </c>
      <c r="AD153">
        <v>1033.2</v>
      </c>
      <c r="AE153">
        <v>0.15</v>
      </c>
      <c r="AF153">
        <v>214.8</v>
      </c>
      <c r="AG153">
        <v>54.1</v>
      </c>
      <c r="AH153">
        <v>268.89999999999998</v>
      </c>
      <c r="AI153">
        <v>296</v>
      </c>
      <c r="AJ153">
        <v>9.8000000000000007</v>
      </c>
      <c r="AK153">
        <v>1.22</v>
      </c>
      <c r="AL153">
        <v>31.1</v>
      </c>
      <c r="AM153">
        <v>1411.6</v>
      </c>
      <c r="AN153">
        <v>0.13</v>
      </c>
      <c r="AO153">
        <v>296.60000000000002</v>
      </c>
      <c r="AP153">
        <v>70.7</v>
      </c>
      <c r="AQ153">
        <v>367.3</v>
      </c>
      <c r="AR153">
        <v>589</v>
      </c>
      <c r="AS153">
        <v>35.299999999999997</v>
      </c>
      <c r="AT153">
        <v>4.8899999999999997</v>
      </c>
      <c r="AU153">
        <v>48.2</v>
      </c>
      <c r="AV153">
        <v>2282.4</v>
      </c>
      <c r="AW153">
        <v>0.28999999999999998</v>
      </c>
      <c r="AX153">
        <v>591.29999999999995</v>
      </c>
      <c r="AY153">
        <v>112.2</v>
      </c>
      <c r="AZ153">
        <v>703.4</v>
      </c>
      <c r="BA153">
        <v>77419943.099999994</v>
      </c>
      <c r="BB153">
        <v>2464.5</v>
      </c>
      <c r="BC153">
        <v>301.39999999999998</v>
      </c>
      <c r="BD153">
        <v>9138397.3000000007</v>
      </c>
      <c r="BE153">
        <v>374953.6</v>
      </c>
      <c r="BF153">
        <v>54.8</v>
      </c>
      <c r="BG153">
        <v>77568825.099999994</v>
      </c>
      <c r="BH153">
        <v>19651620.699999999</v>
      </c>
      <c r="BI153">
        <v>97220445.799999997</v>
      </c>
      <c r="BJ153">
        <v>0</v>
      </c>
      <c r="BK153">
        <v>0</v>
      </c>
      <c r="BL153">
        <v>77419943.099999994</v>
      </c>
      <c r="BM153">
        <v>86558340.400000006</v>
      </c>
      <c r="BN153">
        <v>97220445.799999997</v>
      </c>
      <c r="BO153">
        <v>29.66</v>
      </c>
      <c r="BP153">
        <v>19.11</v>
      </c>
      <c r="BQ153">
        <v>0.25</v>
      </c>
      <c r="BR153">
        <v>49.02</v>
      </c>
      <c r="BS153">
        <v>31.51</v>
      </c>
      <c r="BT153">
        <v>21.12</v>
      </c>
      <c r="BU153">
        <v>0.27</v>
      </c>
      <c r="BV153">
        <v>52.9</v>
      </c>
      <c r="BW153">
        <v>378770660</v>
      </c>
      <c r="BX153">
        <v>75715220</v>
      </c>
      <c r="BY153">
        <v>100022616</v>
      </c>
      <c r="BZ153">
        <v>9501481</v>
      </c>
      <c r="CA153">
        <v>0</v>
      </c>
      <c r="CB153">
        <v>105899.1</v>
      </c>
      <c r="CC153">
        <v>181812530</v>
      </c>
      <c r="CD153">
        <v>0</v>
      </c>
      <c r="CE153">
        <v>552162.80000000005</v>
      </c>
      <c r="CF153">
        <v>4071512</v>
      </c>
      <c r="CG153">
        <v>0</v>
      </c>
      <c r="CH153">
        <v>692249.2</v>
      </c>
      <c r="CI153">
        <v>0</v>
      </c>
      <c r="CJ153">
        <v>12362856</v>
      </c>
      <c r="CK153">
        <v>38887360</v>
      </c>
      <c r="CL153">
        <v>0</v>
      </c>
      <c r="CM153">
        <v>11473235</v>
      </c>
      <c r="CN153">
        <v>12991769</v>
      </c>
      <c r="CO153">
        <v>1283714.6000000001</v>
      </c>
      <c r="CP153">
        <v>5013269.5</v>
      </c>
      <c r="CQ153">
        <v>0</v>
      </c>
      <c r="CR153">
        <v>4784.5</v>
      </c>
      <c r="CS153">
        <v>0</v>
      </c>
      <c r="CT153">
        <v>152.5</v>
      </c>
      <c r="CU153">
        <v>4375.8999999999996</v>
      </c>
      <c r="CV153">
        <v>0</v>
      </c>
      <c r="CW153">
        <v>0</v>
      </c>
      <c r="CX153">
        <v>10616.1</v>
      </c>
      <c r="CY153">
        <v>35886.9</v>
      </c>
      <c r="CZ153">
        <v>0</v>
      </c>
      <c r="DA153">
        <v>4806.2</v>
      </c>
      <c r="DB153">
        <v>0</v>
      </c>
      <c r="DC153">
        <v>1305</v>
      </c>
      <c r="DD153">
        <v>12522.6</v>
      </c>
      <c r="DE153">
        <v>4913.6000000000004</v>
      </c>
      <c r="DF153">
        <v>1992</v>
      </c>
      <c r="DG153">
        <v>5917</v>
      </c>
      <c r="DH153">
        <v>11308.1</v>
      </c>
      <c r="DI153">
        <v>3572.7</v>
      </c>
      <c r="DJ153">
        <v>0</v>
      </c>
      <c r="DK153">
        <v>17863.7</v>
      </c>
      <c r="DL153">
        <v>19920</v>
      </c>
      <c r="DM153">
        <v>0</v>
      </c>
      <c r="DN153">
        <v>0.5</v>
      </c>
      <c r="DO153">
        <v>0.33</v>
      </c>
      <c r="DP153">
        <v>0</v>
      </c>
      <c r="DQ153">
        <v>0</v>
      </c>
      <c r="DR153">
        <v>0</v>
      </c>
    </row>
    <row r="154" spans="1:122" x14ac:dyDescent="0.3">
      <c r="A154" t="s">
        <v>166</v>
      </c>
      <c r="B154">
        <v>2048</v>
      </c>
      <c r="C154">
        <v>362089305.5</v>
      </c>
      <c r="D154">
        <v>351464205.5</v>
      </c>
      <c r="E154">
        <v>338828316.30000001</v>
      </c>
      <c r="F154">
        <v>0</v>
      </c>
      <c r="G154">
        <v>7699031</v>
      </c>
      <c r="H154">
        <v>275975174.80000001</v>
      </c>
      <c r="I154">
        <v>6199247</v>
      </c>
      <c r="J154">
        <v>1499784.1</v>
      </c>
      <c r="K154">
        <v>2926068.8</v>
      </c>
      <c r="L154">
        <v>3.5900000000000001E-2</v>
      </c>
      <c r="M154">
        <v>5.3999999999999999E-2</v>
      </c>
      <c r="N154">
        <v>0.15</v>
      </c>
      <c r="O154">
        <v>92595.78</v>
      </c>
      <c r="P154">
        <v>87141</v>
      </c>
      <c r="Q154">
        <v>200.2</v>
      </c>
      <c r="R154">
        <v>5.0999999999999996</v>
      </c>
      <c r="S154">
        <v>0.57999999999999996</v>
      </c>
      <c r="T154">
        <v>24.8</v>
      </c>
      <c r="U154">
        <v>1010.5</v>
      </c>
      <c r="V154">
        <v>0.14000000000000001</v>
      </c>
      <c r="W154">
        <v>200.5</v>
      </c>
      <c r="X154">
        <v>53.1</v>
      </c>
      <c r="Y154">
        <v>253.7</v>
      </c>
      <c r="Z154">
        <v>208.3</v>
      </c>
      <c r="AA154">
        <v>5.4</v>
      </c>
      <c r="AB154">
        <v>0.62</v>
      </c>
      <c r="AC154">
        <v>25.7</v>
      </c>
      <c r="AD154">
        <v>1047.5999999999999</v>
      </c>
      <c r="AE154">
        <v>0.15</v>
      </c>
      <c r="AF154">
        <v>208.6</v>
      </c>
      <c r="AG154">
        <v>55.1</v>
      </c>
      <c r="AH154">
        <v>263.7</v>
      </c>
      <c r="AI154">
        <v>292</v>
      </c>
      <c r="AJ154">
        <v>9.9</v>
      </c>
      <c r="AK154">
        <v>1.23</v>
      </c>
      <c r="AL154">
        <v>30.6</v>
      </c>
      <c r="AM154">
        <v>1387.2</v>
      </c>
      <c r="AN154">
        <v>0.13</v>
      </c>
      <c r="AO154">
        <v>292.60000000000002</v>
      </c>
      <c r="AP154">
        <v>69.400000000000006</v>
      </c>
      <c r="AQ154">
        <v>362</v>
      </c>
      <c r="AR154">
        <v>567.1</v>
      </c>
      <c r="AS154">
        <v>30.7</v>
      </c>
      <c r="AT154">
        <v>4.1900000000000004</v>
      </c>
      <c r="AU154">
        <v>49.3</v>
      </c>
      <c r="AV154">
        <v>2307.3000000000002</v>
      </c>
      <c r="AW154">
        <v>0.28000000000000003</v>
      </c>
      <c r="AX154">
        <v>569</v>
      </c>
      <c r="AY154">
        <v>114</v>
      </c>
      <c r="AZ154">
        <v>683</v>
      </c>
      <c r="BA154">
        <v>77282616.799999997</v>
      </c>
      <c r="BB154">
        <v>1967.1</v>
      </c>
      <c r="BC154">
        <v>224.8</v>
      </c>
      <c r="BD154">
        <v>9568742.4000000004</v>
      </c>
      <c r="BE154">
        <v>389933.6</v>
      </c>
      <c r="BF154">
        <v>54.4</v>
      </c>
      <c r="BG154">
        <v>77397257</v>
      </c>
      <c r="BH154">
        <v>20501299.100000001</v>
      </c>
      <c r="BI154">
        <v>97898556</v>
      </c>
      <c r="BJ154">
        <v>0</v>
      </c>
      <c r="BK154">
        <v>0</v>
      </c>
      <c r="BL154">
        <v>77282616.799999997</v>
      </c>
      <c r="BM154">
        <v>86851359.200000003</v>
      </c>
      <c r="BN154">
        <v>97898556</v>
      </c>
      <c r="BO154">
        <v>30.38</v>
      </c>
      <c r="BP154">
        <v>19.04</v>
      </c>
      <c r="BQ154">
        <v>0.31</v>
      </c>
      <c r="BR154">
        <v>49.74</v>
      </c>
      <c r="BS154">
        <v>32.28</v>
      </c>
      <c r="BT154">
        <v>21.05</v>
      </c>
      <c r="BU154">
        <v>0.33</v>
      </c>
      <c r="BV154">
        <v>53.66</v>
      </c>
      <c r="BW154">
        <v>388276320</v>
      </c>
      <c r="BX154">
        <v>75489030</v>
      </c>
      <c r="BY154">
        <v>100022616</v>
      </c>
      <c r="BZ154">
        <v>4558846.5</v>
      </c>
      <c r="CA154">
        <v>0</v>
      </c>
      <c r="CB154">
        <v>91078.7</v>
      </c>
      <c r="CC154">
        <v>195882600</v>
      </c>
      <c r="CD154">
        <v>0</v>
      </c>
      <c r="CE154">
        <v>985725</v>
      </c>
      <c r="CF154">
        <v>4073860.5</v>
      </c>
      <c r="CG154">
        <v>0</v>
      </c>
      <c r="CH154">
        <v>643402.19999999995</v>
      </c>
      <c r="CI154">
        <v>0</v>
      </c>
      <c r="CJ154">
        <v>12298512</v>
      </c>
      <c r="CK154">
        <v>38730090</v>
      </c>
      <c r="CL154">
        <v>0</v>
      </c>
      <c r="CM154">
        <v>11453203</v>
      </c>
      <c r="CN154">
        <v>13007227</v>
      </c>
      <c r="CO154">
        <v>1220059.6000000001</v>
      </c>
      <c r="CP154">
        <v>5309095.5</v>
      </c>
      <c r="CQ154">
        <v>0</v>
      </c>
      <c r="CR154">
        <v>5244.6</v>
      </c>
      <c r="CS154">
        <v>0</v>
      </c>
      <c r="CT154">
        <v>141.69999999999999</v>
      </c>
      <c r="CU154">
        <v>3042.6</v>
      </c>
      <c r="CV154">
        <v>0</v>
      </c>
      <c r="CW154">
        <v>0</v>
      </c>
      <c r="CX154">
        <v>10753.9</v>
      </c>
      <c r="CY154">
        <v>38379.800000000003</v>
      </c>
      <c r="CZ154">
        <v>0</v>
      </c>
      <c r="DA154">
        <v>6482.7</v>
      </c>
      <c r="DB154">
        <v>0</v>
      </c>
      <c r="DC154">
        <v>1305</v>
      </c>
      <c r="DD154">
        <v>12522.6</v>
      </c>
      <c r="DE154">
        <v>4021.5</v>
      </c>
      <c r="DF154">
        <v>1992</v>
      </c>
      <c r="DG154">
        <v>5868.5</v>
      </c>
      <c r="DH154">
        <v>11308.1</v>
      </c>
      <c r="DI154">
        <v>3573.2</v>
      </c>
      <c r="DJ154">
        <v>0</v>
      </c>
      <c r="DK154">
        <v>20628.900000000001</v>
      </c>
      <c r="DL154">
        <v>19920</v>
      </c>
      <c r="DM154">
        <v>0</v>
      </c>
      <c r="DN154">
        <v>0.6</v>
      </c>
      <c r="DO154">
        <v>0.33</v>
      </c>
      <c r="DP154">
        <v>0</v>
      </c>
      <c r="DQ154">
        <v>0</v>
      </c>
      <c r="DR154">
        <v>0</v>
      </c>
    </row>
    <row r="155" spans="1:122" x14ac:dyDescent="0.3">
      <c r="A155" t="s">
        <v>166</v>
      </c>
      <c r="B155">
        <v>2050</v>
      </c>
      <c r="C155">
        <v>371585938</v>
      </c>
      <c r="D155">
        <v>360127143</v>
      </c>
      <c r="E155">
        <v>347179802.89999998</v>
      </c>
      <c r="F155">
        <v>0</v>
      </c>
      <c r="G155">
        <v>8477490</v>
      </c>
      <c r="H155">
        <v>284636772.19999999</v>
      </c>
      <c r="I155">
        <v>7113675</v>
      </c>
      <c r="J155">
        <v>1363814.1</v>
      </c>
      <c r="K155">
        <v>2981305.2</v>
      </c>
      <c r="L155">
        <v>3.5900000000000001E-2</v>
      </c>
      <c r="M155">
        <v>5.3999999999999999E-2</v>
      </c>
      <c r="N155">
        <v>0.15</v>
      </c>
      <c r="O155">
        <v>91734.52</v>
      </c>
      <c r="P155">
        <v>89292.4</v>
      </c>
      <c r="Q155">
        <v>201.6</v>
      </c>
      <c r="R155">
        <v>5</v>
      </c>
      <c r="S155">
        <v>0.56999999999999995</v>
      </c>
      <c r="T155">
        <v>25</v>
      </c>
      <c r="U155">
        <v>1021.4</v>
      </c>
      <c r="V155">
        <v>0.14000000000000001</v>
      </c>
      <c r="W155">
        <v>201.9</v>
      </c>
      <c r="X155">
        <v>53.7</v>
      </c>
      <c r="Y155">
        <v>255.5</v>
      </c>
      <c r="Z155">
        <v>208.4</v>
      </c>
      <c r="AA155">
        <v>5.2</v>
      </c>
      <c r="AB155">
        <v>0.6</v>
      </c>
      <c r="AC155">
        <v>25.8</v>
      </c>
      <c r="AD155">
        <v>1053.7</v>
      </c>
      <c r="AE155">
        <v>0.15</v>
      </c>
      <c r="AF155">
        <v>208.7</v>
      </c>
      <c r="AG155">
        <v>55.4</v>
      </c>
      <c r="AH155">
        <v>264</v>
      </c>
      <c r="AI155">
        <v>286.10000000000002</v>
      </c>
      <c r="AJ155">
        <v>9.3000000000000007</v>
      </c>
      <c r="AK155">
        <v>1.1499999999999999</v>
      </c>
      <c r="AL155">
        <v>30.2</v>
      </c>
      <c r="AM155">
        <v>1369.7</v>
      </c>
      <c r="AN155">
        <v>0.13</v>
      </c>
      <c r="AO155">
        <v>286.7</v>
      </c>
      <c r="AP155">
        <v>68.599999999999994</v>
      </c>
      <c r="AQ155">
        <v>355.3</v>
      </c>
      <c r="AR155">
        <v>556.5</v>
      </c>
      <c r="AS155">
        <v>28.7</v>
      </c>
      <c r="AT155">
        <v>3.89</v>
      </c>
      <c r="AU155">
        <v>49.9</v>
      </c>
      <c r="AV155">
        <v>2311.8000000000002</v>
      </c>
      <c r="AW155">
        <v>0.27</v>
      </c>
      <c r="AX155">
        <v>558.4</v>
      </c>
      <c r="AY155">
        <v>114.7</v>
      </c>
      <c r="AZ155">
        <v>673</v>
      </c>
      <c r="BA155">
        <v>78949720.799999997</v>
      </c>
      <c r="BB155">
        <v>1963.1</v>
      </c>
      <c r="BC155">
        <v>222.2</v>
      </c>
      <c r="BD155">
        <v>9795503</v>
      </c>
      <c r="BE155">
        <v>399944.6</v>
      </c>
      <c r="BF155">
        <v>55</v>
      </c>
      <c r="BG155">
        <v>79063580.900000006</v>
      </c>
      <c r="BH155">
        <v>21008520.899999999</v>
      </c>
      <c r="BI155">
        <v>100072101.8</v>
      </c>
      <c r="BJ155">
        <v>0</v>
      </c>
      <c r="BK155">
        <v>0</v>
      </c>
      <c r="BL155">
        <v>78949720.799999997</v>
      </c>
      <c r="BM155">
        <v>88745223.799999997</v>
      </c>
      <c r="BN155">
        <v>100072101.8</v>
      </c>
      <c r="BO155">
        <v>30.22</v>
      </c>
      <c r="BP155">
        <v>18.72</v>
      </c>
      <c r="BQ155">
        <v>0</v>
      </c>
      <c r="BR155">
        <v>48.94</v>
      </c>
      <c r="BS155">
        <v>32.11</v>
      </c>
      <c r="BT155">
        <v>20.72</v>
      </c>
      <c r="BU155">
        <v>0</v>
      </c>
      <c r="BV155">
        <v>52.84</v>
      </c>
      <c r="BW155">
        <v>394015550</v>
      </c>
      <c r="BX155">
        <v>75490370</v>
      </c>
      <c r="BY155">
        <v>100022616</v>
      </c>
      <c r="BZ155">
        <v>4219111.5</v>
      </c>
      <c r="CA155">
        <v>0</v>
      </c>
      <c r="CB155">
        <v>23750.6</v>
      </c>
      <c r="CC155">
        <v>201122060</v>
      </c>
      <c r="CD155">
        <v>0</v>
      </c>
      <c r="CE155">
        <v>1255755.2</v>
      </c>
      <c r="CF155">
        <v>4074484.5</v>
      </c>
      <c r="CG155">
        <v>0</v>
      </c>
      <c r="CH155">
        <v>642903.4</v>
      </c>
      <c r="CI155">
        <v>0</v>
      </c>
      <c r="CJ155">
        <v>12294753</v>
      </c>
      <c r="CK155">
        <v>38563970</v>
      </c>
      <c r="CL155">
        <v>0</v>
      </c>
      <c r="CM155">
        <v>11576760</v>
      </c>
      <c r="CN155">
        <v>13054888</v>
      </c>
      <c r="CO155">
        <v>1095682.6000000001</v>
      </c>
      <c r="CP155">
        <v>6068819</v>
      </c>
      <c r="CQ155">
        <v>0</v>
      </c>
      <c r="CR155">
        <v>6196.1</v>
      </c>
      <c r="CS155">
        <v>0</v>
      </c>
      <c r="CT155">
        <v>141.69999999999999</v>
      </c>
      <c r="CU155">
        <v>3042.6</v>
      </c>
      <c r="CV155">
        <v>0</v>
      </c>
      <c r="CW155">
        <v>0</v>
      </c>
      <c r="CX155">
        <v>10915.3</v>
      </c>
      <c r="CY155">
        <v>38669.699999999997</v>
      </c>
      <c r="CZ155">
        <v>0</v>
      </c>
      <c r="DA155">
        <v>9480.5</v>
      </c>
      <c r="DB155">
        <v>0</v>
      </c>
      <c r="DC155">
        <v>1305</v>
      </c>
      <c r="DD155">
        <v>12522.6</v>
      </c>
      <c r="DE155">
        <v>2213</v>
      </c>
      <c r="DF155">
        <v>1992</v>
      </c>
      <c r="DG155">
        <v>5920.4</v>
      </c>
      <c r="DH155">
        <v>11308.1</v>
      </c>
      <c r="DI155">
        <v>3543.5</v>
      </c>
      <c r="DJ155">
        <v>0</v>
      </c>
      <c r="DK155">
        <v>26325.599999999999</v>
      </c>
      <c r="DL155">
        <v>19920</v>
      </c>
      <c r="DM155">
        <v>0</v>
      </c>
      <c r="DN155">
        <v>0</v>
      </c>
      <c r="DO155">
        <v>0.33</v>
      </c>
      <c r="DP155">
        <v>0</v>
      </c>
      <c r="DQ155">
        <v>0</v>
      </c>
      <c r="DR155">
        <v>0</v>
      </c>
    </row>
    <row r="156" spans="1:122" x14ac:dyDescent="0.3">
      <c r="A156" t="s">
        <v>167</v>
      </c>
      <c r="B156">
        <v>2022</v>
      </c>
      <c r="C156">
        <v>103662741.5</v>
      </c>
      <c r="D156">
        <v>101779070.7</v>
      </c>
      <c r="E156">
        <v>98120614.5</v>
      </c>
      <c r="F156">
        <v>0</v>
      </c>
      <c r="G156">
        <v>1584819</v>
      </c>
      <c r="H156">
        <v>90946741.299999997</v>
      </c>
      <c r="I156">
        <v>0</v>
      </c>
      <c r="J156">
        <v>1584819</v>
      </c>
      <c r="K156">
        <v>298851.8</v>
      </c>
      <c r="L156">
        <v>3.5900000000000001E-2</v>
      </c>
      <c r="M156">
        <v>5.3999999999999999E-2</v>
      </c>
      <c r="N156">
        <v>0.15</v>
      </c>
      <c r="O156">
        <v>25667.24</v>
      </c>
      <c r="P156">
        <v>23908.6</v>
      </c>
      <c r="Q156">
        <v>530.29999999999995</v>
      </c>
      <c r="R156">
        <v>50.2</v>
      </c>
      <c r="S156">
        <v>7.24</v>
      </c>
      <c r="T156">
        <v>28.8</v>
      </c>
      <c r="U156">
        <v>1477.4</v>
      </c>
      <c r="V156">
        <v>0.32</v>
      </c>
      <c r="W156">
        <v>533.6</v>
      </c>
      <c r="X156">
        <v>70.3</v>
      </c>
      <c r="Y156">
        <v>603.9</v>
      </c>
      <c r="Z156">
        <v>581.20000000000005</v>
      </c>
      <c r="AA156">
        <v>56.4</v>
      </c>
      <c r="AB156">
        <v>8.15</v>
      </c>
      <c r="AC156">
        <v>30.1</v>
      </c>
      <c r="AD156">
        <v>1572.7</v>
      </c>
      <c r="AE156">
        <v>0.34</v>
      </c>
      <c r="AF156">
        <v>584.9</v>
      </c>
      <c r="AG156">
        <v>74.2</v>
      </c>
      <c r="AH156">
        <v>659.2</v>
      </c>
      <c r="AI156">
        <v>508.2</v>
      </c>
      <c r="AJ156">
        <v>28.6</v>
      </c>
      <c r="AK156">
        <v>4</v>
      </c>
      <c r="AL156">
        <v>44.1</v>
      </c>
      <c r="AM156">
        <v>1957.4</v>
      </c>
      <c r="AN156">
        <v>0.3</v>
      </c>
      <c r="AO156">
        <v>510.1</v>
      </c>
      <c r="AP156">
        <v>99</v>
      </c>
      <c r="AQ156">
        <v>609</v>
      </c>
      <c r="AR156">
        <v>809.6</v>
      </c>
      <c r="AS156">
        <v>65.400000000000006</v>
      </c>
      <c r="AT156">
        <v>9.44</v>
      </c>
      <c r="AU156">
        <v>52.2</v>
      </c>
      <c r="AV156">
        <v>2490.4</v>
      </c>
      <c r="AW156">
        <v>0.49</v>
      </c>
      <c r="AX156">
        <v>814</v>
      </c>
      <c r="AY156">
        <v>122.1</v>
      </c>
      <c r="AZ156">
        <v>936</v>
      </c>
      <c r="BA156">
        <v>58495406.799999997</v>
      </c>
      <c r="BB156">
        <v>5535.4</v>
      </c>
      <c r="BC156">
        <v>798</v>
      </c>
      <c r="BD156">
        <v>3179174.3</v>
      </c>
      <c r="BE156">
        <v>162965.29999999999</v>
      </c>
      <c r="BF156">
        <v>34.9</v>
      </c>
      <c r="BG156">
        <v>58861866.899999999</v>
      </c>
      <c r="BH156">
        <v>7751460.5999999996</v>
      </c>
      <c r="BI156">
        <v>66613327.5</v>
      </c>
      <c r="BJ156">
        <v>0</v>
      </c>
      <c r="BK156">
        <v>0</v>
      </c>
      <c r="BL156">
        <v>58495406.799999997</v>
      </c>
      <c r="BM156">
        <v>61674581.100000001</v>
      </c>
      <c r="BN156">
        <v>66613327.5</v>
      </c>
      <c r="BO156">
        <v>36.799999999999997</v>
      </c>
      <c r="BP156">
        <v>5.48</v>
      </c>
      <c r="BQ156">
        <v>0</v>
      </c>
      <c r="BR156">
        <v>42.28</v>
      </c>
      <c r="BS156">
        <v>39.049999999999997</v>
      </c>
      <c r="BT156">
        <v>6.03</v>
      </c>
      <c r="BU156">
        <v>0</v>
      </c>
      <c r="BV156">
        <v>45.07</v>
      </c>
      <c r="BW156">
        <v>110915500</v>
      </c>
      <c r="BX156">
        <v>10832329</v>
      </c>
      <c r="BY156">
        <v>20889362</v>
      </c>
      <c r="BZ156">
        <v>42983708</v>
      </c>
      <c r="CA156">
        <v>0</v>
      </c>
      <c r="CB156">
        <v>1379526.9</v>
      </c>
      <c r="CC156">
        <v>28463318</v>
      </c>
      <c r="CD156">
        <v>0</v>
      </c>
      <c r="CE156">
        <v>1081993.8999999999</v>
      </c>
      <c r="CF156">
        <v>953464.4</v>
      </c>
      <c r="CG156">
        <v>0</v>
      </c>
      <c r="CH156">
        <v>1860933.2</v>
      </c>
      <c r="CI156">
        <v>0</v>
      </c>
      <c r="CJ156">
        <v>10329084</v>
      </c>
      <c r="CK156">
        <v>0</v>
      </c>
      <c r="CL156">
        <v>0</v>
      </c>
      <c r="CM156">
        <v>391290.7</v>
      </c>
      <c r="CN156">
        <v>111955</v>
      </c>
      <c r="CO156">
        <v>1281348.6000000001</v>
      </c>
      <c r="CP156">
        <v>0</v>
      </c>
      <c r="CQ156">
        <v>1189522.8</v>
      </c>
      <c r="CR156">
        <v>0</v>
      </c>
      <c r="CS156">
        <v>0</v>
      </c>
      <c r="CT156">
        <v>303</v>
      </c>
      <c r="CU156">
        <v>6507.8</v>
      </c>
      <c r="CV156">
        <v>0</v>
      </c>
      <c r="CW156">
        <v>0</v>
      </c>
      <c r="CX156">
        <v>82.7</v>
      </c>
      <c r="CY156">
        <v>6853.3</v>
      </c>
      <c r="CZ156">
        <v>0</v>
      </c>
      <c r="DA156">
        <v>3841.5</v>
      </c>
      <c r="DB156">
        <v>0</v>
      </c>
      <c r="DC156">
        <v>170</v>
      </c>
      <c r="DD156">
        <v>2615.3000000000002</v>
      </c>
      <c r="DE156">
        <v>2438.6</v>
      </c>
      <c r="DF156">
        <v>2232</v>
      </c>
      <c r="DG156">
        <v>191</v>
      </c>
      <c r="DH156">
        <v>0</v>
      </c>
      <c r="DI156">
        <v>3178.3</v>
      </c>
      <c r="DJ156">
        <v>0</v>
      </c>
      <c r="DK156">
        <v>0</v>
      </c>
      <c r="DL156">
        <v>22320</v>
      </c>
      <c r="DM156">
        <v>0</v>
      </c>
      <c r="DN156">
        <v>0</v>
      </c>
      <c r="DO156">
        <v>0.13</v>
      </c>
      <c r="DP156">
        <v>0</v>
      </c>
      <c r="DQ156">
        <v>0</v>
      </c>
      <c r="DR156">
        <v>0</v>
      </c>
    </row>
    <row r="157" spans="1:122" x14ac:dyDescent="0.3">
      <c r="A157" t="s">
        <v>167</v>
      </c>
      <c r="B157">
        <v>2024</v>
      </c>
      <c r="C157">
        <v>105543957.8</v>
      </c>
      <c r="D157">
        <v>103614526.8</v>
      </c>
      <c r="E157">
        <v>99890095</v>
      </c>
      <c r="F157">
        <v>0</v>
      </c>
      <c r="G157">
        <v>1629275.8</v>
      </c>
      <c r="H157">
        <v>92786950.200000003</v>
      </c>
      <c r="I157">
        <v>0</v>
      </c>
      <c r="J157">
        <v>1629275.8</v>
      </c>
      <c r="K157">
        <v>300155.3</v>
      </c>
      <c r="L157">
        <v>3.5900000000000001E-2</v>
      </c>
      <c r="M157">
        <v>5.3999999999999999E-2</v>
      </c>
      <c r="N157">
        <v>0.15</v>
      </c>
      <c r="O157">
        <v>25667.24</v>
      </c>
      <c r="P157">
        <v>24338.7</v>
      </c>
      <c r="Q157">
        <v>491.7</v>
      </c>
      <c r="R157">
        <v>42.5</v>
      </c>
      <c r="S157">
        <v>6.11</v>
      </c>
      <c r="T157">
        <v>30.8</v>
      </c>
      <c r="U157">
        <v>1477.8</v>
      </c>
      <c r="V157">
        <v>0.31</v>
      </c>
      <c r="W157">
        <v>494.5</v>
      </c>
      <c r="X157">
        <v>72.2</v>
      </c>
      <c r="Y157">
        <v>566.79999999999995</v>
      </c>
      <c r="Z157">
        <v>539.9</v>
      </c>
      <c r="AA157">
        <v>48.2</v>
      </c>
      <c r="AB157">
        <v>6.95</v>
      </c>
      <c r="AC157">
        <v>32.200000000000003</v>
      </c>
      <c r="AD157">
        <v>1570.1</v>
      </c>
      <c r="AE157">
        <v>0.33</v>
      </c>
      <c r="AF157">
        <v>543</v>
      </c>
      <c r="AG157">
        <v>76.2</v>
      </c>
      <c r="AH157">
        <v>619.29999999999995</v>
      </c>
      <c r="AI157">
        <v>461.7</v>
      </c>
      <c r="AJ157">
        <v>22</v>
      </c>
      <c r="AK157">
        <v>3.01</v>
      </c>
      <c r="AL157">
        <v>43.5</v>
      </c>
      <c r="AM157">
        <v>1917.3</v>
      </c>
      <c r="AN157">
        <v>0.26</v>
      </c>
      <c r="AO157">
        <v>463.2</v>
      </c>
      <c r="AP157">
        <v>97.2</v>
      </c>
      <c r="AQ157">
        <v>560.4</v>
      </c>
      <c r="AR157">
        <v>853.8</v>
      </c>
      <c r="AS157">
        <v>70.7</v>
      </c>
      <c r="AT157">
        <v>10.210000000000001</v>
      </c>
      <c r="AU157">
        <v>53.4</v>
      </c>
      <c r="AV157">
        <v>2584.1</v>
      </c>
      <c r="AW157">
        <v>0.51</v>
      </c>
      <c r="AX157">
        <v>858.5</v>
      </c>
      <c r="AY157">
        <v>125.9</v>
      </c>
      <c r="AZ157">
        <v>984.4</v>
      </c>
      <c r="BA157">
        <v>56187276.600000001</v>
      </c>
      <c r="BB157">
        <v>4852.8</v>
      </c>
      <c r="BC157">
        <v>697.6</v>
      </c>
      <c r="BD157">
        <v>3515508.5</v>
      </c>
      <c r="BE157">
        <v>168872.7</v>
      </c>
      <c r="BF157">
        <v>35.1</v>
      </c>
      <c r="BG157">
        <v>56508008.600000001</v>
      </c>
      <c r="BH157">
        <v>8253249.7999999998</v>
      </c>
      <c r="BI157">
        <v>64761258.399999999</v>
      </c>
      <c r="BJ157">
        <v>0</v>
      </c>
      <c r="BK157">
        <v>0</v>
      </c>
      <c r="BL157">
        <v>56187276.600000001</v>
      </c>
      <c r="BM157">
        <v>59702785.200000003</v>
      </c>
      <c r="BN157">
        <v>64761258.399999999</v>
      </c>
      <c r="BO157">
        <v>33.85</v>
      </c>
      <c r="BP157">
        <v>5.47</v>
      </c>
      <c r="BQ157">
        <v>0</v>
      </c>
      <c r="BR157">
        <v>39.32</v>
      </c>
      <c r="BS157">
        <v>35.92</v>
      </c>
      <c r="BT157">
        <v>6.01</v>
      </c>
      <c r="BU157">
        <v>0</v>
      </c>
      <c r="BV157">
        <v>41.94</v>
      </c>
      <c r="BW157">
        <v>114928340</v>
      </c>
      <c r="BX157">
        <v>10827577</v>
      </c>
      <c r="BY157">
        <v>20889362</v>
      </c>
      <c r="BZ157">
        <v>36556276</v>
      </c>
      <c r="CA157">
        <v>0</v>
      </c>
      <c r="CB157">
        <v>2385505.2000000002</v>
      </c>
      <c r="CC157">
        <v>36748364</v>
      </c>
      <c r="CD157">
        <v>0</v>
      </c>
      <c r="CE157">
        <v>1678313.6</v>
      </c>
      <c r="CF157">
        <v>953425.1</v>
      </c>
      <c r="CG157">
        <v>0</v>
      </c>
      <c r="CH157">
        <v>1860933.2</v>
      </c>
      <c r="CI157">
        <v>0</v>
      </c>
      <c r="CJ157">
        <v>10273381</v>
      </c>
      <c r="CK157">
        <v>0</v>
      </c>
      <c r="CL157">
        <v>0</v>
      </c>
      <c r="CM157">
        <v>385831.8</v>
      </c>
      <c r="CN157">
        <v>168363.8</v>
      </c>
      <c r="CO157">
        <v>1348287.8</v>
      </c>
      <c r="CP157">
        <v>0</v>
      </c>
      <c r="CQ157">
        <v>1680284.2</v>
      </c>
      <c r="CR157">
        <v>0</v>
      </c>
      <c r="CS157">
        <v>0</v>
      </c>
      <c r="CT157">
        <v>303</v>
      </c>
      <c r="CU157">
        <v>5865.6</v>
      </c>
      <c r="CV157">
        <v>0</v>
      </c>
      <c r="CW157">
        <v>0</v>
      </c>
      <c r="CX157">
        <v>124.5</v>
      </c>
      <c r="CY157">
        <v>7360.6</v>
      </c>
      <c r="CZ157">
        <v>0</v>
      </c>
      <c r="DA157">
        <v>3841.5</v>
      </c>
      <c r="DB157">
        <v>0</v>
      </c>
      <c r="DC157">
        <v>170</v>
      </c>
      <c r="DD157">
        <v>2615.3000000000002</v>
      </c>
      <c r="DE157">
        <v>2438.6</v>
      </c>
      <c r="DF157">
        <v>2232</v>
      </c>
      <c r="DG157">
        <v>191</v>
      </c>
      <c r="DH157">
        <v>0</v>
      </c>
      <c r="DI157">
        <v>3178.3</v>
      </c>
      <c r="DJ157">
        <v>0</v>
      </c>
      <c r="DK157">
        <v>0</v>
      </c>
      <c r="DL157">
        <v>22320</v>
      </c>
      <c r="DM157">
        <v>0</v>
      </c>
      <c r="DN157">
        <v>0</v>
      </c>
      <c r="DO157">
        <v>0.13</v>
      </c>
      <c r="DP157">
        <v>0</v>
      </c>
      <c r="DQ157">
        <v>0</v>
      </c>
      <c r="DR157">
        <v>0</v>
      </c>
    </row>
    <row r="158" spans="1:122" x14ac:dyDescent="0.3">
      <c r="A158" t="s">
        <v>167</v>
      </c>
      <c r="B158">
        <v>2026</v>
      </c>
      <c r="C158">
        <v>107541500.5</v>
      </c>
      <c r="D158">
        <v>105685403.40000001</v>
      </c>
      <c r="E158">
        <v>101886533.5</v>
      </c>
      <c r="F158">
        <v>0</v>
      </c>
      <c r="G158">
        <v>1569684.6</v>
      </c>
      <c r="H158">
        <v>94795937</v>
      </c>
      <c r="I158">
        <v>14266.5</v>
      </c>
      <c r="J158">
        <v>1555418.1</v>
      </c>
      <c r="K158">
        <v>286412.5</v>
      </c>
      <c r="L158">
        <v>3.5900000000000001E-2</v>
      </c>
      <c r="M158">
        <v>5.3999999999999999E-2</v>
      </c>
      <c r="N158">
        <v>0.15</v>
      </c>
      <c r="O158">
        <v>31927.47</v>
      </c>
      <c r="P158">
        <v>24822.400000000001</v>
      </c>
      <c r="Q158">
        <v>485.2</v>
      </c>
      <c r="R158">
        <v>40.5</v>
      </c>
      <c r="S158">
        <v>5.8</v>
      </c>
      <c r="T158">
        <v>31.6</v>
      </c>
      <c r="U158">
        <v>1502.6</v>
      </c>
      <c r="V158">
        <v>0.3</v>
      </c>
      <c r="W158">
        <v>487.9</v>
      </c>
      <c r="X158">
        <v>73.8</v>
      </c>
      <c r="Y158">
        <v>561.70000000000005</v>
      </c>
      <c r="Z158">
        <v>534.4</v>
      </c>
      <c r="AA158">
        <v>46.2</v>
      </c>
      <c r="AB158">
        <v>6.65</v>
      </c>
      <c r="AC158">
        <v>33.1</v>
      </c>
      <c r="AD158">
        <v>1599.8</v>
      </c>
      <c r="AE158">
        <v>0.33</v>
      </c>
      <c r="AF158">
        <v>537.5</v>
      </c>
      <c r="AG158">
        <v>78</v>
      </c>
      <c r="AH158">
        <v>615.5</v>
      </c>
      <c r="AI158">
        <v>366.2</v>
      </c>
      <c r="AJ158">
        <v>10.9</v>
      </c>
      <c r="AK158">
        <v>1.35</v>
      </c>
      <c r="AL158">
        <v>40.1</v>
      </c>
      <c r="AM158">
        <v>1754.5</v>
      </c>
      <c r="AN158">
        <v>0.19</v>
      </c>
      <c r="AO158">
        <v>366.9</v>
      </c>
      <c r="AP158">
        <v>89.3</v>
      </c>
      <c r="AQ158">
        <v>456.2</v>
      </c>
      <c r="AR158">
        <v>847.4</v>
      </c>
      <c r="AS158">
        <v>71.099999999999994</v>
      </c>
      <c r="AT158">
        <v>10.23</v>
      </c>
      <c r="AU158">
        <v>51.5</v>
      </c>
      <c r="AV158">
        <v>2576.9</v>
      </c>
      <c r="AW158">
        <v>0.48</v>
      </c>
      <c r="AX158">
        <v>852.1</v>
      </c>
      <c r="AY158">
        <v>123.8</v>
      </c>
      <c r="AZ158">
        <v>975.9</v>
      </c>
      <c r="BA158">
        <v>57531103.899999999</v>
      </c>
      <c r="BB158">
        <v>4797.2</v>
      </c>
      <c r="BC158">
        <v>687.9</v>
      </c>
      <c r="BD158">
        <v>3751411.9</v>
      </c>
      <c r="BE158">
        <v>178180.5</v>
      </c>
      <c r="BF158">
        <v>35.9</v>
      </c>
      <c r="BG158">
        <v>57847720.200000003</v>
      </c>
      <c r="BH158">
        <v>8749967.9000000004</v>
      </c>
      <c r="BI158">
        <v>66597688.100000001</v>
      </c>
      <c r="BJ158">
        <v>0</v>
      </c>
      <c r="BK158">
        <v>0</v>
      </c>
      <c r="BL158">
        <v>57531103.899999999</v>
      </c>
      <c r="BM158">
        <v>61282515.700000003</v>
      </c>
      <c r="BN158">
        <v>66597688.100000001</v>
      </c>
      <c r="BO158">
        <v>33.200000000000003</v>
      </c>
      <c r="BP158">
        <v>6.82</v>
      </c>
      <c r="BQ158">
        <v>0</v>
      </c>
      <c r="BR158">
        <v>40.020000000000003</v>
      </c>
      <c r="BS158">
        <v>35.229999999999997</v>
      </c>
      <c r="BT158">
        <v>7.48</v>
      </c>
      <c r="BU158">
        <v>0</v>
      </c>
      <c r="BV158">
        <v>42.71</v>
      </c>
      <c r="BW158">
        <v>119276530</v>
      </c>
      <c r="BX158">
        <v>10889466</v>
      </c>
      <c r="BY158">
        <v>20889362</v>
      </c>
      <c r="BZ158">
        <v>35754056</v>
      </c>
      <c r="CA158">
        <v>0</v>
      </c>
      <c r="CB158">
        <v>2523156.7999999998</v>
      </c>
      <c r="CC158">
        <v>42856384</v>
      </c>
      <c r="CD158">
        <v>0</v>
      </c>
      <c r="CE158">
        <v>1689661.2</v>
      </c>
      <c r="CF158">
        <v>953447.1</v>
      </c>
      <c r="CG158">
        <v>0</v>
      </c>
      <c r="CH158">
        <v>1860933.2</v>
      </c>
      <c r="CI158">
        <v>0</v>
      </c>
      <c r="CJ158">
        <v>10217980</v>
      </c>
      <c r="CK158">
        <v>0</v>
      </c>
      <c r="CL158">
        <v>0</v>
      </c>
      <c r="CM158">
        <v>380449</v>
      </c>
      <c r="CN158">
        <v>291037.5</v>
      </c>
      <c r="CO158">
        <v>1261656</v>
      </c>
      <c r="CP158">
        <v>12137</v>
      </c>
      <c r="CQ158">
        <v>586277.4</v>
      </c>
      <c r="CR158">
        <v>10.5</v>
      </c>
      <c r="CS158">
        <v>0</v>
      </c>
      <c r="CT158">
        <v>303</v>
      </c>
      <c r="CU158">
        <v>5865.6</v>
      </c>
      <c r="CV158">
        <v>0</v>
      </c>
      <c r="CW158">
        <v>0</v>
      </c>
      <c r="CX158">
        <v>214.7</v>
      </c>
      <c r="CY158">
        <v>8145.9</v>
      </c>
      <c r="CZ158">
        <v>0</v>
      </c>
      <c r="DA158">
        <v>3841.5</v>
      </c>
      <c r="DB158">
        <v>0</v>
      </c>
      <c r="DC158">
        <v>170</v>
      </c>
      <c r="DD158">
        <v>2615.3000000000002</v>
      </c>
      <c r="DE158">
        <v>2438.6</v>
      </c>
      <c r="DF158">
        <v>2232</v>
      </c>
      <c r="DG158">
        <v>191</v>
      </c>
      <c r="DH158">
        <v>0</v>
      </c>
      <c r="DI158">
        <v>3178.3</v>
      </c>
      <c r="DJ158">
        <v>0</v>
      </c>
      <c r="DK158">
        <v>42</v>
      </c>
      <c r="DL158">
        <v>22320</v>
      </c>
      <c r="DM158">
        <v>0</v>
      </c>
      <c r="DN158">
        <v>0</v>
      </c>
      <c r="DO158">
        <v>0.13</v>
      </c>
      <c r="DP158">
        <v>0</v>
      </c>
      <c r="DQ158">
        <v>0</v>
      </c>
      <c r="DR158">
        <v>0</v>
      </c>
    </row>
    <row r="159" spans="1:122" x14ac:dyDescent="0.3">
      <c r="A159" t="s">
        <v>167</v>
      </c>
      <c r="B159">
        <v>2028</v>
      </c>
      <c r="C159">
        <v>108679195.90000001</v>
      </c>
      <c r="D159">
        <v>106855450.7</v>
      </c>
      <c r="E159">
        <v>103014523.40000001</v>
      </c>
      <c r="F159">
        <v>0</v>
      </c>
      <c r="G159">
        <v>1546714.5</v>
      </c>
      <c r="H159">
        <v>95772236.799999997</v>
      </c>
      <c r="I159">
        <v>16165.7</v>
      </c>
      <c r="J159">
        <v>1530548.8</v>
      </c>
      <c r="K159">
        <v>277030.7</v>
      </c>
      <c r="L159">
        <v>3.5900000000000001E-2</v>
      </c>
      <c r="M159">
        <v>5.3999999999999999E-2</v>
      </c>
      <c r="N159">
        <v>0.15</v>
      </c>
      <c r="O159">
        <v>35262.5</v>
      </c>
      <c r="P159">
        <v>25095.9</v>
      </c>
      <c r="Q159">
        <v>478</v>
      </c>
      <c r="R159">
        <v>40.700000000000003</v>
      </c>
      <c r="S159">
        <v>5.84</v>
      </c>
      <c r="T159">
        <v>30.3</v>
      </c>
      <c r="U159">
        <v>1462.5</v>
      </c>
      <c r="V159">
        <v>0.28999999999999998</v>
      </c>
      <c r="W159">
        <v>480.7</v>
      </c>
      <c r="X159">
        <v>71.3</v>
      </c>
      <c r="Y159">
        <v>552.1</v>
      </c>
      <c r="Z159">
        <v>524.5</v>
      </c>
      <c r="AA159">
        <v>46.3</v>
      </c>
      <c r="AB159">
        <v>6.65</v>
      </c>
      <c r="AC159">
        <v>31.6</v>
      </c>
      <c r="AD159">
        <v>1552.3</v>
      </c>
      <c r="AE159">
        <v>0.32</v>
      </c>
      <c r="AF159">
        <v>527.6</v>
      </c>
      <c r="AG159">
        <v>75.099999999999994</v>
      </c>
      <c r="AH159">
        <v>602.70000000000005</v>
      </c>
      <c r="AI159">
        <v>325.89999999999998</v>
      </c>
      <c r="AJ159">
        <v>11.7</v>
      </c>
      <c r="AK159">
        <v>1.53</v>
      </c>
      <c r="AL159">
        <v>34.200000000000003</v>
      </c>
      <c r="AM159">
        <v>1475</v>
      </c>
      <c r="AN159">
        <v>0.18</v>
      </c>
      <c r="AO159">
        <v>326.60000000000002</v>
      </c>
      <c r="AP159">
        <v>75.599999999999994</v>
      </c>
      <c r="AQ159">
        <v>402.2</v>
      </c>
      <c r="AR159">
        <v>814.5</v>
      </c>
      <c r="AS159">
        <v>66.3</v>
      </c>
      <c r="AT159">
        <v>9.52</v>
      </c>
      <c r="AU159">
        <v>51.5</v>
      </c>
      <c r="AV159">
        <v>2535.9</v>
      </c>
      <c r="AW159">
        <v>0.46</v>
      </c>
      <c r="AX159">
        <v>818.9</v>
      </c>
      <c r="AY159">
        <v>122.6</v>
      </c>
      <c r="AZ159">
        <v>941.5</v>
      </c>
      <c r="BA159">
        <v>57093224.600000001</v>
      </c>
      <c r="BB159">
        <v>4860.2</v>
      </c>
      <c r="BC159">
        <v>696.9</v>
      </c>
      <c r="BD159">
        <v>3620921.3</v>
      </c>
      <c r="BE159">
        <v>174682.7</v>
      </c>
      <c r="BF159">
        <v>35</v>
      </c>
      <c r="BG159">
        <v>57413990.399999999</v>
      </c>
      <c r="BH159">
        <v>8521301.1999999993</v>
      </c>
      <c r="BI159">
        <v>65935291.600000001</v>
      </c>
      <c r="BJ159">
        <v>0</v>
      </c>
      <c r="BK159">
        <v>0</v>
      </c>
      <c r="BL159">
        <v>57093224.600000001</v>
      </c>
      <c r="BM159">
        <v>60714145.899999999</v>
      </c>
      <c r="BN159">
        <v>65935291.600000001</v>
      </c>
      <c r="BO159">
        <v>34.11</v>
      </c>
      <c r="BP159">
        <v>7.56</v>
      </c>
      <c r="BQ159">
        <v>0</v>
      </c>
      <c r="BR159">
        <v>41.66</v>
      </c>
      <c r="BS159">
        <v>36.18</v>
      </c>
      <c r="BT159">
        <v>8.2899999999999991</v>
      </c>
      <c r="BU159">
        <v>0</v>
      </c>
      <c r="BV159">
        <v>44.47</v>
      </c>
      <c r="BW159">
        <v>120137150</v>
      </c>
      <c r="BX159">
        <v>11083214</v>
      </c>
      <c r="BY159">
        <v>20889362</v>
      </c>
      <c r="BZ159">
        <v>36527040</v>
      </c>
      <c r="CA159">
        <v>0</v>
      </c>
      <c r="CB159">
        <v>2052051.2</v>
      </c>
      <c r="CC159">
        <v>40817116</v>
      </c>
      <c r="CD159">
        <v>0</v>
      </c>
      <c r="CE159">
        <v>1454062.6</v>
      </c>
      <c r="CF159">
        <v>953399</v>
      </c>
      <c r="CG159">
        <v>0</v>
      </c>
      <c r="CH159">
        <v>1860933.2</v>
      </c>
      <c r="CI159">
        <v>0</v>
      </c>
      <c r="CJ159">
        <v>10162879</v>
      </c>
      <c r="CK159">
        <v>0</v>
      </c>
      <c r="CL159">
        <v>0</v>
      </c>
      <c r="CM159">
        <v>375141.4</v>
      </c>
      <c r="CN159">
        <v>545193.19999999995</v>
      </c>
      <c r="CO159">
        <v>1266555.1000000001</v>
      </c>
      <c r="CP159">
        <v>13862.6</v>
      </c>
      <c r="CQ159">
        <v>3219556.2</v>
      </c>
      <c r="CR159">
        <v>11.9</v>
      </c>
      <c r="CS159">
        <v>0</v>
      </c>
      <c r="CT159">
        <v>303</v>
      </c>
      <c r="CU159">
        <v>5865.6</v>
      </c>
      <c r="CV159">
        <v>0</v>
      </c>
      <c r="CW159">
        <v>0</v>
      </c>
      <c r="CX159">
        <v>400.9</v>
      </c>
      <c r="CY159">
        <v>8145.9</v>
      </c>
      <c r="CZ159">
        <v>0</v>
      </c>
      <c r="DA159">
        <v>3841.5</v>
      </c>
      <c r="DB159">
        <v>0</v>
      </c>
      <c r="DC159">
        <v>170</v>
      </c>
      <c r="DD159">
        <v>2615.3000000000002</v>
      </c>
      <c r="DE159">
        <v>2438.6</v>
      </c>
      <c r="DF159">
        <v>2232</v>
      </c>
      <c r="DG159">
        <v>191</v>
      </c>
      <c r="DH159">
        <v>0</v>
      </c>
      <c r="DI159">
        <v>3178.3</v>
      </c>
      <c r="DJ159">
        <v>0</v>
      </c>
      <c r="DK159">
        <v>47.7</v>
      </c>
      <c r="DL159">
        <v>22320</v>
      </c>
      <c r="DM159">
        <v>0</v>
      </c>
      <c r="DN159">
        <v>0</v>
      </c>
      <c r="DO159">
        <v>0.13</v>
      </c>
      <c r="DP159">
        <v>0</v>
      </c>
      <c r="DQ159">
        <v>0</v>
      </c>
      <c r="DR159">
        <v>0</v>
      </c>
    </row>
    <row r="160" spans="1:122" x14ac:dyDescent="0.3">
      <c r="A160" t="s">
        <v>167</v>
      </c>
      <c r="B160">
        <v>2030</v>
      </c>
      <c r="C160">
        <v>109957287.3</v>
      </c>
      <c r="D160">
        <v>107927056</v>
      </c>
      <c r="E160">
        <v>104047609.8</v>
      </c>
      <c r="F160">
        <v>0</v>
      </c>
      <c r="G160">
        <v>1743612.2</v>
      </c>
      <c r="H160">
        <v>89037540.900000006</v>
      </c>
      <c r="I160">
        <v>66591</v>
      </c>
      <c r="J160">
        <v>1677021.1</v>
      </c>
      <c r="K160">
        <v>286619.2</v>
      </c>
      <c r="L160">
        <v>3.5900000000000001E-2</v>
      </c>
      <c r="M160">
        <v>5.3999999999999999E-2</v>
      </c>
      <c r="N160">
        <v>0.15</v>
      </c>
      <c r="O160">
        <v>54916.95</v>
      </c>
      <c r="P160">
        <v>25349.599999999999</v>
      </c>
      <c r="Q160">
        <v>410.3</v>
      </c>
      <c r="R160">
        <v>33.799999999999997</v>
      </c>
      <c r="S160">
        <v>4.83</v>
      </c>
      <c r="T160">
        <v>27.4</v>
      </c>
      <c r="U160">
        <v>1292.8</v>
      </c>
      <c r="V160">
        <v>0.26</v>
      </c>
      <c r="W160">
        <v>412.5</v>
      </c>
      <c r="X160">
        <v>63.7</v>
      </c>
      <c r="Y160">
        <v>476.2</v>
      </c>
      <c r="Z160">
        <v>446.4</v>
      </c>
      <c r="AA160">
        <v>38.1</v>
      </c>
      <c r="AB160">
        <v>5.46</v>
      </c>
      <c r="AC160">
        <v>28.4</v>
      </c>
      <c r="AD160">
        <v>1362.3</v>
      </c>
      <c r="AE160">
        <v>0.27</v>
      </c>
      <c r="AF160">
        <v>448.9</v>
      </c>
      <c r="AG160">
        <v>66.599999999999994</v>
      </c>
      <c r="AH160">
        <v>515.5</v>
      </c>
      <c r="AI160">
        <v>317.8</v>
      </c>
      <c r="AJ160">
        <v>10.9</v>
      </c>
      <c r="AK160">
        <v>1.41</v>
      </c>
      <c r="AL160">
        <v>33.700000000000003</v>
      </c>
      <c r="AM160">
        <v>1459.7</v>
      </c>
      <c r="AN160">
        <v>0.17</v>
      </c>
      <c r="AO160">
        <v>318.5</v>
      </c>
      <c r="AP160">
        <v>74.599999999999994</v>
      </c>
      <c r="AQ160">
        <v>393.1</v>
      </c>
      <c r="AR160">
        <v>782.8</v>
      </c>
      <c r="AS160">
        <v>61.5</v>
      </c>
      <c r="AT160">
        <v>8.84</v>
      </c>
      <c r="AU160">
        <v>51.8</v>
      </c>
      <c r="AV160">
        <v>2479.6999999999998</v>
      </c>
      <c r="AW160">
        <v>0.46</v>
      </c>
      <c r="AX160">
        <v>786.9</v>
      </c>
      <c r="AY160">
        <v>121.4</v>
      </c>
      <c r="AZ160">
        <v>908.3</v>
      </c>
      <c r="BA160">
        <v>48700790.799999997</v>
      </c>
      <c r="BB160">
        <v>4007.3</v>
      </c>
      <c r="BC160">
        <v>573.1</v>
      </c>
      <c r="BD160">
        <v>3251180.9</v>
      </c>
      <c r="BE160">
        <v>153435.4</v>
      </c>
      <c r="BF160">
        <v>30.4</v>
      </c>
      <c r="BG160">
        <v>48964873.5</v>
      </c>
      <c r="BH160">
        <v>7555432.5999999996</v>
      </c>
      <c r="BI160">
        <v>56520306.100000001</v>
      </c>
      <c r="BJ160">
        <v>0</v>
      </c>
      <c r="BK160">
        <v>0</v>
      </c>
      <c r="BL160">
        <v>48700790.799999997</v>
      </c>
      <c r="BM160">
        <v>51951971.700000003</v>
      </c>
      <c r="BN160">
        <v>56520306.100000001</v>
      </c>
      <c r="BO160">
        <v>33.619999999999997</v>
      </c>
      <c r="BP160">
        <v>10.91</v>
      </c>
      <c r="BQ160">
        <v>0</v>
      </c>
      <c r="BR160">
        <v>44.53</v>
      </c>
      <c r="BS160">
        <v>35.68</v>
      </c>
      <c r="BT160">
        <v>11.95</v>
      </c>
      <c r="BU160">
        <v>0</v>
      </c>
      <c r="BV160">
        <v>47.62</v>
      </c>
      <c r="BW160">
        <v>119395520</v>
      </c>
      <c r="BX160">
        <v>18889516</v>
      </c>
      <c r="BY160">
        <v>20889362</v>
      </c>
      <c r="BZ160">
        <v>30051012</v>
      </c>
      <c r="CA160">
        <v>0</v>
      </c>
      <c r="CB160">
        <v>1772910.4</v>
      </c>
      <c r="CC160">
        <v>39206188</v>
      </c>
      <c r="CD160">
        <v>0</v>
      </c>
      <c r="CE160">
        <v>1206358.5</v>
      </c>
      <c r="CF160">
        <v>951809.6</v>
      </c>
      <c r="CG160">
        <v>0</v>
      </c>
      <c r="CH160">
        <v>1860338.2</v>
      </c>
      <c r="CI160">
        <v>0</v>
      </c>
      <c r="CJ160">
        <v>10108071</v>
      </c>
      <c r="CK160">
        <v>0</v>
      </c>
      <c r="CL160">
        <v>0</v>
      </c>
      <c r="CM160">
        <v>7706021</v>
      </c>
      <c r="CN160">
        <v>1075423.8</v>
      </c>
      <c r="CO160">
        <v>1365756.5</v>
      </c>
      <c r="CP160">
        <v>56568.4</v>
      </c>
      <c r="CQ160">
        <v>3145704.8</v>
      </c>
      <c r="CR160">
        <v>42.6</v>
      </c>
      <c r="CS160">
        <v>0</v>
      </c>
      <c r="CT160">
        <v>303</v>
      </c>
      <c r="CU160">
        <v>4495.8</v>
      </c>
      <c r="CV160">
        <v>0</v>
      </c>
      <c r="CW160">
        <v>0</v>
      </c>
      <c r="CX160">
        <v>788.9</v>
      </c>
      <c r="CY160">
        <v>8145.9</v>
      </c>
      <c r="CZ160">
        <v>0</v>
      </c>
      <c r="DA160">
        <v>3841.5</v>
      </c>
      <c r="DB160">
        <v>0</v>
      </c>
      <c r="DC160">
        <v>170</v>
      </c>
      <c r="DD160">
        <v>2615.3000000000002</v>
      </c>
      <c r="DE160">
        <v>2180.8000000000002</v>
      </c>
      <c r="DF160">
        <v>2232</v>
      </c>
      <c r="DG160">
        <v>3409.5</v>
      </c>
      <c r="DH160">
        <v>0</v>
      </c>
      <c r="DI160">
        <v>3178.3</v>
      </c>
      <c r="DJ160">
        <v>0</v>
      </c>
      <c r="DK160">
        <v>170.2</v>
      </c>
      <c r="DL160">
        <v>22320</v>
      </c>
      <c r="DM160">
        <v>0</v>
      </c>
      <c r="DN160">
        <v>0</v>
      </c>
      <c r="DO160">
        <v>0.13</v>
      </c>
      <c r="DP160">
        <v>0</v>
      </c>
      <c r="DQ160">
        <v>0</v>
      </c>
      <c r="DR160">
        <v>0</v>
      </c>
    </row>
    <row r="161" spans="1:122" x14ac:dyDescent="0.3">
      <c r="A161" t="s">
        <v>167</v>
      </c>
      <c r="B161">
        <v>2032</v>
      </c>
      <c r="C161">
        <v>111151603.3</v>
      </c>
      <c r="D161">
        <v>109007656.3</v>
      </c>
      <c r="E161">
        <v>105089367.90000001</v>
      </c>
      <c r="F161">
        <v>0</v>
      </c>
      <c r="G161">
        <v>1890095.2</v>
      </c>
      <c r="H161">
        <v>89659368.400000006</v>
      </c>
      <c r="I161">
        <v>170388.4</v>
      </c>
      <c r="J161">
        <v>1719706.8</v>
      </c>
      <c r="K161">
        <v>253851.9</v>
      </c>
      <c r="L161">
        <v>3.5900000000000001E-2</v>
      </c>
      <c r="M161">
        <v>5.3999999999999999E-2</v>
      </c>
      <c r="N161">
        <v>0.15</v>
      </c>
      <c r="O161">
        <v>67249.179999999993</v>
      </c>
      <c r="P161">
        <v>25604.3</v>
      </c>
      <c r="Q161">
        <v>400</v>
      </c>
      <c r="R161">
        <v>32.200000000000003</v>
      </c>
      <c r="S161">
        <v>4.5999999999999996</v>
      </c>
      <c r="T161">
        <v>27.2</v>
      </c>
      <c r="U161">
        <v>1288.2</v>
      </c>
      <c r="V161">
        <v>0.24</v>
      </c>
      <c r="W161">
        <v>402.1</v>
      </c>
      <c r="X161">
        <v>63.3</v>
      </c>
      <c r="Y161">
        <v>465.5</v>
      </c>
      <c r="Z161">
        <v>438.3</v>
      </c>
      <c r="AA161">
        <v>36.700000000000003</v>
      </c>
      <c r="AB161">
        <v>5.25</v>
      </c>
      <c r="AC161">
        <v>28.3</v>
      </c>
      <c r="AD161">
        <v>1367.1</v>
      </c>
      <c r="AE161">
        <v>0.26</v>
      </c>
      <c r="AF161">
        <v>440.7</v>
      </c>
      <c r="AG161">
        <v>66.7</v>
      </c>
      <c r="AH161">
        <v>507.4</v>
      </c>
      <c r="AI161">
        <v>313.5</v>
      </c>
      <c r="AJ161">
        <v>8.4</v>
      </c>
      <c r="AK161">
        <v>1.02</v>
      </c>
      <c r="AL161">
        <v>35.1</v>
      </c>
      <c r="AM161">
        <v>1530</v>
      </c>
      <c r="AN161">
        <v>0.16</v>
      </c>
      <c r="AO161">
        <v>314</v>
      </c>
      <c r="AP161">
        <v>78</v>
      </c>
      <c r="AQ161">
        <v>392</v>
      </c>
      <c r="AR161">
        <v>778.2</v>
      </c>
      <c r="AS161">
        <v>62.5</v>
      </c>
      <c r="AT161">
        <v>8.9499999999999993</v>
      </c>
      <c r="AU161">
        <v>49.9</v>
      </c>
      <c r="AV161">
        <v>2458.6</v>
      </c>
      <c r="AW161">
        <v>0.44</v>
      </c>
      <c r="AX161">
        <v>782.3</v>
      </c>
      <c r="AY161">
        <v>118.8</v>
      </c>
      <c r="AZ161">
        <v>901.1</v>
      </c>
      <c r="BA161">
        <v>48856184.100000001</v>
      </c>
      <c r="BB161">
        <v>3938.8</v>
      </c>
      <c r="BC161">
        <v>561.5</v>
      </c>
      <c r="BD161">
        <v>3323854.8</v>
      </c>
      <c r="BE161">
        <v>157319.20000000001</v>
      </c>
      <c r="BF161">
        <v>29.9</v>
      </c>
      <c r="BG161">
        <v>49115258.600000001</v>
      </c>
      <c r="BH161">
        <v>7736707.5</v>
      </c>
      <c r="BI161">
        <v>56851966.200000003</v>
      </c>
      <c r="BJ161">
        <v>0</v>
      </c>
      <c r="BK161">
        <v>0</v>
      </c>
      <c r="BL161">
        <v>48856184.100000001</v>
      </c>
      <c r="BM161">
        <v>52180038.899999999</v>
      </c>
      <c r="BN161">
        <v>56851966.200000003</v>
      </c>
      <c r="BO161">
        <v>32.22</v>
      </c>
      <c r="BP161">
        <v>13.35</v>
      </c>
      <c r="BQ161">
        <v>0</v>
      </c>
      <c r="BR161">
        <v>45.57</v>
      </c>
      <c r="BS161">
        <v>34.18</v>
      </c>
      <c r="BT161">
        <v>14.63</v>
      </c>
      <c r="BU161">
        <v>0</v>
      </c>
      <c r="BV161">
        <v>48.82</v>
      </c>
      <c r="BW161">
        <v>122860264</v>
      </c>
      <c r="BX161">
        <v>19348288</v>
      </c>
      <c r="BY161">
        <v>20889362</v>
      </c>
      <c r="BZ161">
        <v>29422928</v>
      </c>
      <c r="CA161">
        <v>0</v>
      </c>
      <c r="CB161">
        <v>1411942.9</v>
      </c>
      <c r="CC161">
        <v>43486844</v>
      </c>
      <c r="CD161">
        <v>0</v>
      </c>
      <c r="CE161">
        <v>772998.8</v>
      </c>
      <c r="CF161">
        <v>952016.6</v>
      </c>
      <c r="CG161">
        <v>0</v>
      </c>
      <c r="CH161">
        <v>1860338.2</v>
      </c>
      <c r="CI161">
        <v>0</v>
      </c>
      <c r="CJ161">
        <v>10049431</v>
      </c>
      <c r="CK161">
        <v>0</v>
      </c>
      <c r="CL161">
        <v>0</v>
      </c>
      <c r="CM161">
        <v>7598511</v>
      </c>
      <c r="CN161">
        <v>1700345</v>
      </c>
      <c r="CO161">
        <v>1423143.1</v>
      </c>
      <c r="CP161">
        <v>145327</v>
      </c>
      <c r="CQ161">
        <v>3147073.2</v>
      </c>
      <c r="CR161">
        <v>99.1</v>
      </c>
      <c r="CS161">
        <v>0</v>
      </c>
      <c r="CT161">
        <v>303</v>
      </c>
      <c r="CU161">
        <v>4495.8</v>
      </c>
      <c r="CV161">
        <v>0</v>
      </c>
      <c r="CW161">
        <v>0</v>
      </c>
      <c r="CX161">
        <v>1250.5999999999999</v>
      </c>
      <c r="CY161">
        <v>8968.5</v>
      </c>
      <c r="CZ161">
        <v>0</v>
      </c>
      <c r="DA161">
        <v>3841.5</v>
      </c>
      <c r="DB161">
        <v>0</v>
      </c>
      <c r="DC161">
        <v>170</v>
      </c>
      <c r="DD161">
        <v>2615.3000000000002</v>
      </c>
      <c r="DE161">
        <v>2180.8000000000002</v>
      </c>
      <c r="DF161">
        <v>2232</v>
      </c>
      <c r="DG161">
        <v>3409.5</v>
      </c>
      <c r="DH161">
        <v>0</v>
      </c>
      <c r="DI161">
        <v>3176.5</v>
      </c>
      <c r="DJ161">
        <v>0</v>
      </c>
      <c r="DK161">
        <v>396.3</v>
      </c>
      <c r="DL161">
        <v>22320</v>
      </c>
      <c r="DM161">
        <v>0</v>
      </c>
      <c r="DN161">
        <v>0</v>
      </c>
      <c r="DO161">
        <v>0.12</v>
      </c>
      <c r="DP161">
        <v>0</v>
      </c>
      <c r="DQ161">
        <v>0</v>
      </c>
      <c r="DR161">
        <v>0</v>
      </c>
    </row>
    <row r="162" spans="1:122" x14ac:dyDescent="0.3">
      <c r="A162" t="s">
        <v>167</v>
      </c>
      <c r="B162">
        <v>2034</v>
      </c>
      <c r="C162">
        <v>112368201.3</v>
      </c>
      <c r="D162">
        <v>110246665.8</v>
      </c>
      <c r="E162">
        <v>106283841.3</v>
      </c>
      <c r="F162">
        <v>0</v>
      </c>
      <c r="G162">
        <v>1875827</v>
      </c>
      <c r="H162">
        <v>90429170.5</v>
      </c>
      <c r="I162">
        <v>170299.7</v>
      </c>
      <c r="J162">
        <v>1705527.2</v>
      </c>
      <c r="K162">
        <v>245708.5</v>
      </c>
      <c r="L162">
        <v>3.5900000000000001E-2</v>
      </c>
      <c r="M162">
        <v>5.3999999999999999E-2</v>
      </c>
      <c r="N162">
        <v>0.15</v>
      </c>
      <c r="O162">
        <v>71186.69</v>
      </c>
      <c r="P162">
        <v>25900.799999999999</v>
      </c>
      <c r="Q162">
        <v>392.2</v>
      </c>
      <c r="R162">
        <v>31.6</v>
      </c>
      <c r="S162">
        <v>4.51</v>
      </c>
      <c r="T162">
        <v>26.7</v>
      </c>
      <c r="U162">
        <v>1264.8</v>
      </c>
      <c r="V162">
        <v>0.24</v>
      </c>
      <c r="W162">
        <v>394.3</v>
      </c>
      <c r="X162">
        <v>62.2</v>
      </c>
      <c r="Y162">
        <v>456.4</v>
      </c>
      <c r="Z162">
        <v>428.8</v>
      </c>
      <c r="AA162">
        <v>35.799999999999997</v>
      </c>
      <c r="AB162">
        <v>5.12</v>
      </c>
      <c r="AC162">
        <v>27.8</v>
      </c>
      <c r="AD162">
        <v>1342.6</v>
      </c>
      <c r="AE162">
        <v>0.26</v>
      </c>
      <c r="AF162">
        <v>431.1</v>
      </c>
      <c r="AG162">
        <v>65.5</v>
      </c>
      <c r="AH162">
        <v>496.6</v>
      </c>
      <c r="AI162">
        <v>346</v>
      </c>
      <c r="AJ162">
        <v>6.9</v>
      </c>
      <c r="AK162">
        <v>0.72</v>
      </c>
      <c r="AL162">
        <v>40.5</v>
      </c>
      <c r="AM162">
        <v>1793.4</v>
      </c>
      <c r="AN162">
        <v>0.15</v>
      </c>
      <c r="AO162">
        <v>346.4</v>
      </c>
      <c r="AP162">
        <v>90.8</v>
      </c>
      <c r="AQ162">
        <v>437.1</v>
      </c>
      <c r="AR162">
        <v>760.5</v>
      </c>
      <c r="AS162">
        <v>60.7</v>
      </c>
      <c r="AT162">
        <v>8.67</v>
      </c>
      <c r="AU162">
        <v>48.8</v>
      </c>
      <c r="AV162">
        <v>2434.1</v>
      </c>
      <c r="AW162">
        <v>0.41</v>
      </c>
      <c r="AX162">
        <v>764.5</v>
      </c>
      <c r="AY162">
        <v>117</v>
      </c>
      <c r="AZ162">
        <v>881.5</v>
      </c>
      <c r="BA162">
        <v>48252342.600000001</v>
      </c>
      <c r="BB162">
        <v>3890.2</v>
      </c>
      <c r="BC162">
        <v>554.29999999999995</v>
      </c>
      <c r="BD162">
        <v>3282487.2</v>
      </c>
      <c r="BE162">
        <v>155613.4</v>
      </c>
      <c r="BF162">
        <v>29.4</v>
      </c>
      <c r="BG162">
        <v>48508155.100000001</v>
      </c>
      <c r="BH162">
        <v>7647450</v>
      </c>
      <c r="BI162">
        <v>56155605</v>
      </c>
      <c r="BJ162">
        <v>0</v>
      </c>
      <c r="BK162">
        <v>0</v>
      </c>
      <c r="BL162">
        <v>48252342.600000001</v>
      </c>
      <c r="BM162">
        <v>51534829.899999999</v>
      </c>
      <c r="BN162">
        <v>56155605</v>
      </c>
      <c r="BO162">
        <v>31.82</v>
      </c>
      <c r="BP162">
        <v>14.13</v>
      </c>
      <c r="BQ162">
        <v>0</v>
      </c>
      <c r="BR162">
        <v>45.95</v>
      </c>
      <c r="BS162">
        <v>33.76</v>
      </c>
      <c r="BT162">
        <v>15.48</v>
      </c>
      <c r="BU162">
        <v>0</v>
      </c>
      <c r="BV162">
        <v>49.24</v>
      </c>
      <c r="BW162">
        <v>123768620</v>
      </c>
      <c r="BX162">
        <v>19817496</v>
      </c>
      <c r="BY162">
        <v>20889362</v>
      </c>
      <c r="BZ162">
        <v>29082698</v>
      </c>
      <c r="CA162">
        <v>0</v>
      </c>
      <c r="CB162">
        <v>1287904.8999999999</v>
      </c>
      <c r="CC162">
        <v>43646132</v>
      </c>
      <c r="CD162">
        <v>0</v>
      </c>
      <c r="CE162">
        <v>721200</v>
      </c>
      <c r="CF162">
        <v>952097.1</v>
      </c>
      <c r="CG162">
        <v>0</v>
      </c>
      <c r="CH162">
        <v>1860338.2</v>
      </c>
      <c r="CI162">
        <v>0</v>
      </c>
      <c r="CJ162">
        <v>9995525</v>
      </c>
      <c r="CK162">
        <v>0</v>
      </c>
      <c r="CL162">
        <v>0</v>
      </c>
      <c r="CM162">
        <v>7492507</v>
      </c>
      <c r="CN162">
        <v>2329463.2000000002</v>
      </c>
      <c r="CO162">
        <v>1392391.5</v>
      </c>
      <c r="CP162">
        <v>145042.79999999999</v>
      </c>
      <c r="CQ162">
        <v>3973963.5</v>
      </c>
      <c r="CR162">
        <v>99.1</v>
      </c>
      <c r="CS162">
        <v>0</v>
      </c>
      <c r="CT162">
        <v>303</v>
      </c>
      <c r="CU162">
        <v>4495.8</v>
      </c>
      <c r="CV162">
        <v>0</v>
      </c>
      <c r="CW162">
        <v>0</v>
      </c>
      <c r="CX162">
        <v>1721.6</v>
      </c>
      <c r="CY162">
        <v>9163.7999999999993</v>
      </c>
      <c r="CZ162">
        <v>0</v>
      </c>
      <c r="DA162">
        <v>3841.5</v>
      </c>
      <c r="DB162">
        <v>0</v>
      </c>
      <c r="DC162">
        <v>170</v>
      </c>
      <c r="DD162">
        <v>2615.3000000000002</v>
      </c>
      <c r="DE162">
        <v>2180.8000000000002</v>
      </c>
      <c r="DF162">
        <v>2232</v>
      </c>
      <c r="DG162">
        <v>3409.5</v>
      </c>
      <c r="DH162">
        <v>0</v>
      </c>
      <c r="DI162">
        <v>3176.6</v>
      </c>
      <c r="DJ162">
        <v>0</v>
      </c>
      <c r="DK162">
        <v>396.4</v>
      </c>
      <c r="DL162">
        <v>22320</v>
      </c>
      <c r="DM162">
        <v>0</v>
      </c>
      <c r="DN162">
        <v>0</v>
      </c>
      <c r="DO162">
        <v>0.12</v>
      </c>
      <c r="DP162">
        <v>0</v>
      </c>
      <c r="DQ162">
        <v>0</v>
      </c>
      <c r="DR162">
        <v>0</v>
      </c>
    </row>
    <row r="163" spans="1:122" x14ac:dyDescent="0.3">
      <c r="A163" t="s">
        <v>167</v>
      </c>
      <c r="B163">
        <v>2036</v>
      </c>
      <c r="C163">
        <v>113746121.09999999</v>
      </c>
      <c r="D163">
        <v>111714856.40000001</v>
      </c>
      <c r="E163">
        <v>107699257.09999999</v>
      </c>
      <c r="F163">
        <v>0</v>
      </c>
      <c r="G163">
        <v>1795103.8</v>
      </c>
      <c r="H163">
        <v>91496334.099999994</v>
      </c>
      <c r="I163">
        <v>166102.6</v>
      </c>
      <c r="J163">
        <v>1629001.1</v>
      </c>
      <c r="K163">
        <v>236160.9</v>
      </c>
      <c r="L163">
        <v>3.5900000000000001E-2</v>
      </c>
      <c r="M163">
        <v>5.3999999999999999E-2</v>
      </c>
      <c r="N163">
        <v>0.15</v>
      </c>
      <c r="O163">
        <v>72986.09</v>
      </c>
      <c r="P163">
        <v>26230.1</v>
      </c>
      <c r="Q163">
        <v>387.7</v>
      </c>
      <c r="R163">
        <v>30.6</v>
      </c>
      <c r="S163">
        <v>4.3499999999999996</v>
      </c>
      <c r="T163">
        <v>27</v>
      </c>
      <c r="U163">
        <v>1271.8</v>
      </c>
      <c r="V163">
        <v>0.24</v>
      </c>
      <c r="W163">
        <v>389.7</v>
      </c>
      <c r="X163">
        <v>62.6</v>
      </c>
      <c r="Y163">
        <v>452.4</v>
      </c>
      <c r="Z163">
        <v>422.9</v>
      </c>
      <c r="AA163">
        <v>34.5</v>
      </c>
      <c r="AB163">
        <v>4.92</v>
      </c>
      <c r="AC163">
        <v>28.1</v>
      </c>
      <c r="AD163">
        <v>1350.1</v>
      </c>
      <c r="AE163">
        <v>0.25</v>
      </c>
      <c r="AF163">
        <v>425.2</v>
      </c>
      <c r="AG163">
        <v>66</v>
      </c>
      <c r="AH163">
        <v>491.2</v>
      </c>
      <c r="AI163">
        <v>351.2</v>
      </c>
      <c r="AJ163">
        <v>7.4</v>
      </c>
      <c r="AK163">
        <v>0.79</v>
      </c>
      <c r="AL163">
        <v>40.799999999999997</v>
      </c>
      <c r="AM163">
        <v>1806.6</v>
      </c>
      <c r="AN163">
        <v>0.16</v>
      </c>
      <c r="AO163">
        <v>351.6</v>
      </c>
      <c r="AP163">
        <v>91.5</v>
      </c>
      <c r="AQ163">
        <v>443.1</v>
      </c>
      <c r="AR163">
        <v>752</v>
      </c>
      <c r="AS163">
        <v>59.9</v>
      </c>
      <c r="AT163">
        <v>8.59</v>
      </c>
      <c r="AU163">
        <v>48.6</v>
      </c>
      <c r="AV163">
        <v>2389.6999999999998</v>
      </c>
      <c r="AW163">
        <v>0.42</v>
      </c>
      <c r="AX163">
        <v>755.9</v>
      </c>
      <c r="AY163">
        <v>115.6</v>
      </c>
      <c r="AZ163">
        <v>871.6</v>
      </c>
      <c r="BA163">
        <v>48243171.200000003</v>
      </c>
      <c r="BB163">
        <v>3808.3</v>
      </c>
      <c r="BC163">
        <v>541.5</v>
      </c>
      <c r="BD163">
        <v>3354192.2</v>
      </c>
      <c r="BE163">
        <v>158243.1</v>
      </c>
      <c r="BF163">
        <v>29.3</v>
      </c>
      <c r="BG163">
        <v>48493313.100000001</v>
      </c>
      <c r="BH163">
        <v>7792757.0999999996</v>
      </c>
      <c r="BI163">
        <v>56286070.299999997</v>
      </c>
      <c r="BJ163">
        <v>0</v>
      </c>
      <c r="BK163">
        <v>0</v>
      </c>
      <c r="BL163">
        <v>48243171.200000003</v>
      </c>
      <c r="BM163">
        <v>51597363.399999999</v>
      </c>
      <c r="BN163">
        <v>56286070.299999997</v>
      </c>
      <c r="BO163">
        <v>30.99</v>
      </c>
      <c r="BP163">
        <v>14.48</v>
      </c>
      <c r="BQ163">
        <v>0</v>
      </c>
      <c r="BR163">
        <v>45.47</v>
      </c>
      <c r="BS163">
        <v>32.880000000000003</v>
      </c>
      <c r="BT163">
        <v>15.85</v>
      </c>
      <c r="BU163">
        <v>0</v>
      </c>
      <c r="BV163">
        <v>48.73</v>
      </c>
      <c r="BW163">
        <v>125175530</v>
      </c>
      <c r="BX163">
        <v>20218522</v>
      </c>
      <c r="BY163">
        <v>20889362</v>
      </c>
      <c r="BZ163">
        <v>28294774</v>
      </c>
      <c r="CA163">
        <v>0</v>
      </c>
      <c r="CB163">
        <v>1246432.3999999999</v>
      </c>
      <c r="CC163">
        <v>45999476</v>
      </c>
      <c r="CD163">
        <v>0</v>
      </c>
      <c r="CE163">
        <v>686015.4</v>
      </c>
      <c r="CF163">
        <v>952018.5</v>
      </c>
      <c r="CG163">
        <v>0</v>
      </c>
      <c r="CH163">
        <v>1860338.2</v>
      </c>
      <c r="CI163">
        <v>0</v>
      </c>
      <c r="CJ163">
        <v>9943034</v>
      </c>
      <c r="CK163">
        <v>0</v>
      </c>
      <c r="CL163">
        <v>0</v>
      </c>
      <c r="CM163">
        <v>7387980</v>
      </c>
      <c r="CN163">
        <v>2887508.2</v>
      </c>
      <c r="CO163">
        <v>1343224.5</v>
      </c>
      <c r="CP163">
        <v>141871.5</v>
      </c>
      <c r="CQ163">
        <v>3543492</v>
      </c>
      <c r="CR163">
        <v>99.1</v>
      </c>
      <c r="CS163">
        <v>0</v>
      </c>
      <c r="CT163">
        <v>303</v>
      </c>
      <c r="CU163">
        <v>4495.8</v>
      </c>
      <c r="CV163">
        <v>0</v>
      </c>
      <c r="CW163">
        <v>0</v>
      </c>
      <c r="CX163">
        <v>2147.6</v>
      </c>
      <c r="CY163">
        <v>9539.2999999999993</v>
      </c>
      <c r="CZ163">
        <v>0</v>
      </c>
      <c r="DA163">
        <v>3841.5</v>
      </c>
      <c r="DB163">
        <v>0</v>
      </c>
      <c r="DC163">
        <v>170</v>
      </c>
      <c r="DD163">
        <v>2615.3000000000002</v>
      </c>
      <c r="DE163">
        <v>2124.6</v>
      </c>
      <c r="DF163">
        <v>2232</v>
      </c>
      <c r="DG163">
        <v>3409.5</v>
      </c>
      <c r="DH163">
        <v>0</v>
      </c>
      <c r="DI163">
        <v>3176.9</v>
      </c>
      <c r="DJ163">
        <v>0</v>
      </c>
      <c r="DK163">
        <v>396.4</v>
      </c>
      <c r="DL163">
        <v>22320</v>
      </c>
      <c r="DM163">
        <v>0</v>
      </c>
      <c r="DN163">
        <v>0</v>
      </c>
      <c r="DO163">
        <v>0.12</v>
      </c>
      <c r="DP163">
        <v>0</v>
      </c>
      <c r="DQ163">
        <v>0</v>
      </c>
      <c r="DR163">
        <v>0</v>
      </c>
    </row>
    <row r="164" spans="1:122" x14ac:dyDescent="0.3">
      <c r="A164" t="s">
        <v>167</v>
      </c>
      <c r="B164">
        <v>2038</v>
      </c>
      <c r="C164">
        <v>115311769.2</v>
      </c>
      <c r="D164">
        <v>113276912.3</v>
      </c>
      <c r="E164">
        <v>109205164.7</v>
      </c>
      <c r="F164">
        <v>0</v>
      </c>
      <c r="G164">
        <v>1794252.4</v>
      </c>
      <c r="H164">
        <v>92751582.5</v>
      </c>
      <c r="I164">
        <v>162008.6</v>
      </c>
      <c r="J164">
        <v>1632243.9</v>
      </c>
      <c r="K164">
        <v>240604.4</v>
      </c>
      <c r="L164">
        <v>3.5900000000000001E-2</v>
      </c>
      <c r="M164">
        <v>5.3999999999999999E-2</v>
      </c>
      <c r="N164">
        <v>0.15</v>
      </c>
      <c r="O164">
        <v>74014.59</v>
      </c>
      <c r="P164">
        <v>26599.200000000001</v>
      </c>
      <c r="Q164">
        <v>369.9</v>
      </c>
      <c r="R164">
        <v>27.5</v>
      </c>
      <c r="S164">
        <v>3.89</v>
      </c>
      <c r="T164">
        <v>27.2</v>
      </c>
      <c r="U164">
        <v>1266.3</v>
      </c>
      <c r="V164">
        <v>0.23</v>
      </c>
      <c r="W164">
        <v>371.7</v>
      </c>
      <c r="X164">
        <v>62.8</v>
      </c>
      <c r="Y164">
        <v>434.5</v>
      </c>
      <c r="Z164">
        <v>400.8</v>
      </c>
      <c r="AA164">
        <v>30.7</v>
      </c>
      <c r="AB164">
        <v>4.3600000000000003</v>
      </c>
      <c r="AC164">
        <v>28.4</v>
      </c>
      <c r="AD164">
        <v>1340.9</v>
      </c>
      <c r="AE164">
        <v>0.24</v>
      </c>
      <c r="AF164">
        <v>402.9</v>
      </c>
      <c r="AG164">
        <v>66</v>
      </c>
      <c r="AH164">
        <v>468.9</v>
      </c>
      <c r="AI164">
        <v>354.2</v>
      </c>
      <c r="AJ164">
        <v>8.5</v>
      </c>
      <c r="AK164">
        <v>0.95</v>
      </c>
      <c r="AL164">
        <v>40.299999999999997</v>
      </c>
      <c r="AM164">
        <v>1787.3</v>
      </c>
      <c r="AN164">
        <v>0.16</v>
      </c>
      <c r="AO164">
        <v>354.7</v>
      </c>
      <c r="AP164">
        <v>90.4</v>
      </c>
      <c r="AQ164">
        <v>445.1</v>
      </c>
      <c r="AR164">
        <v>733.2</v>
      </c>
      <c r="AS164">
        <v>57.9</v>
      </c>
      <c r="AT164">
        <v>8.2799999999999994</v>
      </c>
      <c r="AU164">
        <v>47.6</v>
      </c>
      <c r="AV164">
        <v>2360.3000000000002</v>
      </c>
      <c r="AW164">
        <v>0.4</v>
      </c>
      <c r="AX164">
        <v>737</v>
      </c>
      <c r="AY164">
        <v>113.8</v>
      </c>
      <c r="AZ164">
        <v>850.8</v>
      </c>
      <c r="BA164">
        <v>46152823.799999997</v>
      </c>
      <c r="BB164">
        <v>3429.6</v>
      </c>
      <c r="BC164">
        <v>485.3</v>
      </c>
      <c r="BD164">
        <v>3400817.8</v>
      </c>
      <c r="BE164">
        <v>158004.6</v>
      </c>
      <c r="BF164">
        <v>28.1</v>
      </c>
      <c r="BG164">
        <v>46377450.799999997</v>
      </c>
      <c r="BH164">
        <v>7832393</v>
      </c>
      <c r="BI164">
        <v>54209843.799999997</v>
      </c>
      <c r="BJ164">
        <v>0</v>
      </c>
      <c r="BK164">
        <v>0</v>
      </c>
      <c r="BL164">
        <v>46152823.799999997</v>
      </c>
      <c r="BM164">
        <v>49553641.600000001</v>
      </c>
      <c r="BN164">
        <v>54209843.799999997</v>
      </c>
      <c r="BO164">
        <v>30.21</v>
      </c>
      <c r="BP164">
        <v>14.68</v>
      </c>
      <c r="BQ164">
        <v>0</v>
      </c>
      <c r="BR164">
        <v>44.89</v>
      </c>
      <c r="BS164">
        <v>32.049999999999997</v>
      </c>
      <c r="BT164">
        <v>16.059999999999999</v>
      </c>
      <c r="BU164">
        <v>0</v>
      </c>
      <c r="BV164">
        <v>48.11</v>
      </c>
      <c r="BW164">
        <v>125543210</v>
      </c>
      <c r="BX164">
        <v>20525330</v>
      </c>
      <c r="BY164">
        <v>20889362</v>
      </c>
      <c r="BZ164">
        <v>24955684</v>
      </c>
      <c r="CA164">
        <v>0</v>
      </c>
      <c r="CB164">
        <v>1259744.5</v>
      </c>
      <c r="CC164">
        <v>49834508</v>
      </c>
      <c r="CD164">
        <v>0</v>
      </c>
      <c r="CE164">
        <v>685049.8</v>
      </c>
      <c r="CF164">
        <v>952051.4</v>
      </c>
      <c r="CG164">
        <v>0</v>
      </c>
      <c r="CH164">
        <v>1432353.2</v>
      </c>
      <c r="CI164">
        <v>0</v>
      </c>
      <c r="CJ164">
        <v>9890406</v>
      </c>
      <c r="CK164">
        <v>0</v>
      </c>
      <c r="CL164">
        <v>0</v>
      </c>
      <c r="CM164">
        <v>7284909.5</v>
      </c>
      <c r="CN164">
        <v>3350014.5</v>
      </c>
      <c r="CO164">
        <v>1321802.8</v>
      </c>
      <c r="CP164">
        <v>138140.6</v>
      </c>
      <c r="CQ164">
        <v>3549183.2</v>
      </c>
      <c r="CR164">
        <v>99.1</v>
      </c>
      <c r="CS164">
        <v>0</v>
      </c>
      <c r="CT164">
        <v>241.9</v>
      </c>
      <c r="CU164">
        <v>4180.6000000000004</v>
      </c>
      <c r="CV164">
        <v>0</v>
      </c>
      <c r="CW164">
        <v>0</v>
      </c>
      <c r="CX164">
        <v>2510.3000000000002</v>
      </c>
      <c r="CY164">
        <v>10045.299999999999</v>
      </c>
      <c r="CZ164">
        <v>0</v>
      </c>
      <c r="DA164">
        <v>3841.5</v>
      </c>
      <c r="DB164">
        <v>0</v>
      </c>
      <c r="DC164">
        <v>170</v>
      </c>
      <c r="DD164">
        <v>2615.3000000000002</v>
      </c>
      <c r="DE164">
        <v>2124.6</v>
      </c>
      <c r="DF164">
        <v>2232</v>
      </c>
      <c r="DG164">
        <v>3409.5</v>
      </c>
      <c r="DH164">
        <v>0</v>
      </c>
      <c r="DI164">
        <v>3177.1</v>
      </c>
      <c r="DJ164">
        <v>0</v>
      </c>
      <c r="DK164">
        <v>396.4</v>
      </c>
      <c r="DL164">
        <v>22320</v>
      </c>
      <c r="DM164">
        <v>0</v>
      </c>
      <c r="DN164">
        <v>0</v>
      </c>
      <c r="DO164">
        <v>0.12</v>
      </c>
      <c r="DP164">
        <v>0</v>
      </c>
      <c r="DQ164">
        <v>0</v>
      </c>
      <c r="DR164">
        <v>0</v>
      </c>
    </row>
    <row r="165" spans="1:122" x14ac:dyDescent="0.3">
      <c r="A165" t="s">
        <v>167</v>
      </c>
      <c r="B165">
        <v>2040</v>
      </c>
      <c r="C165">
        <v>116955504.5</v>
      </c>
      <c r="D165">
        <v>114731978</v>
      </c>
      <c r="E165">
        <v>110607928</v>
      </c>
      <c r="F165">
        <v>0</v>
      </c>
      <c r="G165">
        <v>1979062.8</v>
      </c>
      <c r="H165">
        <v>93454386.900000006</v>
      </c>
      <c r="I165">
        <v>403386.2</v>
      </c>
      <c r="J165">
        <v>1575676.5</v>
      </c>
      <c r="K165">
        <v>244463.8</v>
      </c>
      <c r="L165">
        <v>3.5900000000000001E-2</v>
      </c>
      <c r="M165">
        <v>5.3999999999999999E-2</v>
      </c>
      <c r="N165">
        <v>0.15</v>
      </c>
      <c r="O165">
        <v>74788.5</v>
      </c>
      <c r="P165">
        <v>26942.1</v>
      </c>
      <c r="Q165">
        <v>363.6</v>
      </c>
      <c r="R165">
        <v>26.8</v>
      </c>
      <c r="S165">
        <v>3.79</v>
      </c>
      <c r="T165">
        <v>27</v>
      </c>
      <c r="U165">
        <v>1252.5</v>
      </c>
      <c r="V165">
        <v>0.22</v>
      </c>
      <c r="W165">
        <v>365.4</v>
      </c>
      <c r="X165">
        <v>62.1</v>
      </c>
      <c r="Y165">
        <v>427.5</v>
      </c>
      <c r="Z165">
        <v>393.4</v>
      </c>
      <c r="AA165">
        <v>29.8</v>
      </c>
      <c r="AB165">
        <v>4.2300000000000004</v>
      </c>
      <c r="AC165">
        <v>28.2</v>
      </c>
      <c r="AD165">
        <v>1327.4</v>
      </c>
      <c r="AE165">
        <v>0.23</v>
      </c>
      <c r="AF165">
        <v>395.4</v>
      </c>
      <c r="AG165">
        <v>65.5</v>
      </c>
      <c r="AH165">
        <v>460.8</v>
      </c>
      <c r="AI165">
        <v>319.60000000000002</v>
      </c>
      <c r="AJ165">
        <v>8</v>
      </c>
      <c r="AK165">
        <v>0.92</v>
      </c>
      <c r="AL165">
        <v>36.1</v>
      </c>
      <c r="AM165">
        <v>1599</v>
      </c>
      <c r="AN165">
        <v>0.15</v>
      </c>
      <c r="AO165">
        <v>320.10000000000002</v>
      </c>
      <c r="AP165">
        <v>80.900000000000006</v>
      </c>
      <c r="AQ165">
        <v>401</v>
      </c>
      <c r="AR165">
        <v>720.2</v>
      </c>
      <c r="AS165">
        <v>55.8</v>
      </c>
      <c r="AT165">
        <v>7.97</v>
      </c>
      <c r="AU165">
        <v>47.9</v>
      </c>
      <c r="AV165">
        <v>2347.4</v>
      </c>
      <c r="AW165">
        <v>0.4</v>
      </c>
      <c r="AX165">
        <v>723.8</v>
      </c>
      <c r="AY165">
        <v>113.7</v>
      </c>
      <c r="AZ165">
        <v>837.5</v>
      </c>
      <c r="BA165">
        <v>45646995.899999999</v>
      </c>
      <c r="BB165">
        <v>3364.6</v>
      </c>
      <c r="BC165">
        <v>475.6</v>
      </c>
      <c r="BD165">
        <v>3390189.6</v>
      </c>
      <c r="BE165">
        <v>157237.29999999999</v>
      </c>
      <c r="BF165">
        <v>27.8</v>
      </c>
      <c r="BG165">
        <v>45867242.299999997</v>
      </c>
      <c r="BH165">
        <v>7800190.7999999998</v>
      </c>
      <c r="BI165">
        <v>53667433.100000001</v>
      </c>
      <c r="BJ165">
        <v>0</v>
      </c>
      <c r="BK165">
        <v>0</v>
      </c>
      <c r="BL165">
        <v>45646995.899999999</v>
      </c>
      <c r="BM165">
        <v>49037185.5</v>
      </c>
      <c r="BN165">
        <v>53667433.100000001</v>
      </c>
      <c r="BO165">
        <v>29.8</v>
      </c>
      <c r="BP165">
        <v>14.83</v>
      </c>
      <c r="BQ165">
        <v>0</v>
      </c>
      <c r="BR165">
        <v>44.63</v>
      </c>
      <c r="BS165">
        <v>31.63</v>
      </c>
      <c r="BT165">
        <v>16.25</v>
      </c>
      <c r="BU165">
        <v>0</v>
      </c>
      <c r="BV165">
        <v>47.87</v>
      </c>
      <c r="BW165">
        <v>126313384</v>
      </c>
      <c r="BX165">
        <v>21277592</v>
      </c>
      <c r="BY165">
        <v>20889362</v>
      </c>
      <c r="BZ165">
        <v>24425418</v>
      </c>
      <c r="CA165">
        <v>0</v>
      </c>
      <c r="CB165">
        <v>1204809.6000000001</v>
      </c>
      <c r="CC165">
        <v>50618740</v>
      </c>
      <c r="CD165">
        <v>0</v>
      </c>
      <c r="CE165">
        <v>676668.4</v>
      </c>
      <c r="CF165">
        <v>951994.5</v>
      </c>
      <c r="CG165">
        <v>0</v>
      </c>
      <c r="CH165">
        <v>1432295.5</v>
      </c>
      <c r="CI165">
        <v>0</v>
      </c>
      <c r="CJ165">
        <v>10389190</v>
      </c>
      <c r="CK165">
        <v>0</v>
      </c>
      <c r="CL165">
        <v>0</v>
      </c>
      <c r="CM165">
        <v>7183275</v>
      </c>
      <c r="CN165">
        <v>3705125.5</v>
      </c>
      <c r="CO165">
        <v>1305648.2</v>
      </c>
      <c r="CP165">
        <v>344638.7</v>
      </c>
      <c r="CQ165">
        <v>3186217.8</v>
      </c>
      <c r="CR165">
        <v>221.5</v>
      </c>
      <c r="CS165">
        <v>0</v>
      </c>
      <c r="CT165">
        <v>241.9</v>
      </c>
      <c r="CU165">
        <v>4180.6000000000004</v>
      </c>
      <c r="CV165">
        <v>0</v>
      </c>
      <c r="CW165">
        <v>0</v>
      </c>
      <c r="CX165">
        <v>2800.2</v>
      </c>
      <c r="CY165">
        <v>10155.4</v>
      </c>
      <c r="CZ165">
        <v>0</v>
      </c>
      <c r="DA165">
        <v>3889.8</v>
      </c>
      <c r="DB165">
        <v>0</v>
      </c>
      <c r="DC165">
        <v>170</v>
      </c>
      <c r="DD165">
        <v>2615.3000000000002</v>
      </c>
      <c r="DE165">
        <v>2124.6</v>
      </c>
      <c r="DF165">
        <v>2232</v>
      </c>
      <c r="DG165">
        <v>3409.5</v>
      </c>
      <c r="DH165">
        <v>0</v>
      </c>
      <c r="DI165">
        <v>3233.4</v>
      </c>
      <c r="DJ165">
        <v>0</v>
      </c>
      <c r="DK165">
        <v>1131</v>
      </c>
      <c r="DL165">
        <v>22320</v>
      </c>
      <c r="DM165">
        <v>0</v>
      </c>
      <c r="DN165">
        <v>0</v>
      </c>
      <c r="DO165">
        <v>0.12</v>
      </c>
      <c r="DP165">
        <v>0</v>
      </c>
      <c r="DQ165">
        <v>0</v>
      </c>
      <c r="DR165">
        <v>0</v>
      </c>
    </row>
    <row r="166" spans="1:122" x14ac:dyDescent="0.3">
      <c r="A166" t="s">
        <v>167</v>
      </c>
      <c r="B166">
        <v>2042</v>
      </c>
      <c r="C166">
        <v>119299578.8</v>
      </c>
      <c r="D166">
        <v>116529412.2</v>
      </c>
      <c r="E166">
        <v>112340753.40000001</v>
      </c>
      <c r="F166">
        <v>0</v>
      </c>
      <c r="G166">
        <v>2516218.2000000002</v>
      </c>
      <c r="H166">
        <v>93692394.200000003</v>
      </c>
      <c r="I166">
        <v>1110636</v>
      </c>
      <c r="J166">
        <v>1405582.2</v>
      </c>
      <c r="K166">
        <v>253948.4</v>
      </c>
      <c r="L166">
        <v>3.5900000000000001E-2</v>
      </c>
      <c r="M166">
        <v>5.3999999999999999E-2</v>
      </c>
      <c r="N166">
        <v>0.15</v>
      </c>
      <c r="O166">
        <v>74670.7</v>
      </c>
      <c r="P166">
        <v>27363.8</v>
      </c>
      <c r="Q166">
        <v>346.9</v>
      </c>
      <c r="R166">
        <v>24.6</v>
      </c>
      <c r="S166">
        <v>3.46</v>
      </c>
      <c r="T166">
        <v>26.6</v>
      </c>
      <c r="U166">
        <v>1226.7</v>
      </c>
      <c r="V166">
        <v>0.21</v>
      </c>
      <c r="W166">
        <v>348.5</v>
      </c>
      <c r="X166">
        <v>61</v>
      </c>
      <c r="Y166">
        <v>409.5</v>
      </c>
      <c r="Z166">
        <v>374.6</v>
      </c>
      <c r="AA166">
        <v>27.3</v>
      </c>
      <c r="AB166">
        <v>3.85</v>
      </c>
      <c r="AC166">
        <v>27.8</v>
      </c>
      <c r="AD166">
        <v>1300.5</v>
      </c>
      <c r="AE166">
        <v>0.22</v>
      </c>
      <c r="AF166">
        <v>376.4</v>
      </c>
      <c r="AG166">
        <v>64.3</v>
      </c>
      <c r="AH166">
        <v>440.6</v>
      </c>
      <c r="AI166">
        <v>282.89999999999998</v>
      </c>
      <c r="AJ166">
        <v>7.5</v>
      </c>
      <c r="AK166">
        <v>0.89</v>
      </c>
      <c r="AL166">
        <v>31.6</v>
      </c>
      <c r="AM166">
        <v>1394.5</v>
      </c>
      <c r="AN166">
        <v>0.13</v>
      </c>
      <c r="AO166">
        <v>283.39999999999998</v>
      </c>
      <c r="AP166">
        <v>70.7</v>
      </c>
      <c r="AQ166">
        <v>354</v>
      </c>
      <c r="AR166">
        <v>708.9</v>
      </c>
      <c r="AS166">
        <v>54.5</v>
      </c>
      <c r="AT166">
        <v>7.77</v>
      </c>
      <c r="AU166">
        <v>47.4</v>
      </c>
      <c r="AV166">
        <v>2330</v>
      </c>
      <c r="AW166">
        <v>0.39</v>
      </c>
      <c r="AX166">
        <v>712.5</v>
      </c>
      <c r="AY166">
        <v>112.7</v>
      </c>
      <c r="AZ166">
        <v>825.2</v>
      </c>
      <c r="BA166">
        <v>44170619.700000003</v>
      </c>
      <c r="BB166">
        <v>3132.5</v>
      </c>
      <c r="BC166">
        <v>441</v>
      </c>
      <c r="BD166">
        <v>3385296</v>
      </c>
      <c r="BE166">
        <v>156209.60000000001</v>
      </c>
      <c r="BF166">
        <v>26.8</v>
      </c>
      <c r="BG166">
        <v>44375201.700000003</v>
      </c>
      <c r="BH166">
        <v>7766257.7000000002</v>
      </c>
      <c r="BI166">
        <v>52141459.399999999</v>
      </c>
      <c r="BJ166">
        <v>0</v>
      </c>
      <c r="BK166">
        <v>0</v>
      </c>
      <c r="BL166">
        <v>44170619.700000003</v>
      </c>
      <c r="BM166">
        <v>47555915.700000003</v>
      </c>
      <c r="BN166">
        <v>52141459.399999999</v>
      </c>
      <c r="BO166">
        <v>29.4</v>
      </c>
      <c r="BP166">
        <v>14.72</v>
      </c>
      <c r="BQ166">
        <v>0</v>
      </c>
      <c r="BR166">
        <v>44.12</v>
      </c>
      <c r="BS166">
        <v>31.2</v>
      </c>
      <c r="BT166">
        <v>16.2</v>
      </c>
      <c r="BU166">
        <v>0</v>
      </c>
      <c r="BV166">
        <v>47.4</v>
      </c>
      <c r="BW166">
        <v>128124210</v>
      </c>
      <c r="BX166">
        <v>22837018</v>
      </c>
      <c r="BY166">
        <v>20889362</v>
      </c>
      <c r="BZ166">
        <v>22457510</v>
      </c>
      <c r="CA166">
        <v>0</v>
      </c>
      <c r="CB166">
        <v>1099621.2</v>
      </c>
      <c r="CC166">
        <v>52893930</v>
      </c>
      <c r="CD166">
        <v>0</v>
      </c>
      <c r="CE166">
        <v>608780</v>
      </c>
      <c r="CF166">
        <v>951891.3</v>
      </c>
      <c r="CG166">
        <v>0</v>
      </c>
      <c r="CH166">
        <v>1101173.5</v>
      </c>
      <c r="CI166">
        <v>0</v>
      </c>
      <c r="CJ166">
        <v>11756325</v>
      </c>
      <c r="CK166">
        <v>0</v>
      </c>
      <c r="CL166">
        <v>0</v>
      </c>
      <c r="CM166">
        <v>7083065.5</v>
      </c>
      <c r="CN166">
        <v>3997627.2</v>
      </c>
      <c r="CO166">
        <v>1146623</v>
      </c>
      <c r="CP166">
        <v>946762.4</v>
      </c>
      <c r="CQ166">
        <v>3191542.8</v>
      </c>
      <c r="CR166">
        <v>613.4</v>
      </c>
      <c r="CS166">
        <v>0</v>
      </c>
      <c r="CT166">
        <v>192.7</v>
      </c>
      <c r="CU166">
        <v>3865.3</v>
      </c>
      <c r="CV166">
        <v>0</v>
      </c>
      <c r="CW166">
        <v>0</v>
      </c>
      <c r="CX166">
        <v>3048.5</v>
      </c>
      <c r="CY166">
        <v>10487.3</v>
      </c>
      <c r="CZ166">
        <v>0</v>
      </c>
      <c r="DA166">
        <v>3993.1</v>
      </c>
      <c r="DB166">
        <v>0</v>
      </c>
      <c r="DC166">
        <v>170</v>
      </c>
      <c r="DD166">
        <v>2615.3000000000002</v>
      </c>
      <c r="DE166">
        <v>2124.6</v>
      </c>
      <c r="DF166">
        <v>2232</v>
      </c>
      <c r="DG166">
        <v>3409.5</v>
      </c>
      <c r="DH166">
        <v>0</v>
      </c>
      <c r="DI166">
        <v>3334.6</v>
      </c>
      <c r="DJ166">
        <v>0</v>
      </c>
      <c r="DK166">
        <v>3503.4</v>
      </c>
      <c r="DL166">
        <v>22320</v>
      </c>
      <c r="DM166">
        <v>0</v>
      </c>
      <c r="DN166">
        <v>0</v>
      </c>
      <c r="DO166">
        <v>0.12</v>
      </c>
      <c r="DP166">
        <v>0</v>
      </c>
      <c r="DQ166">
        <v>0</v>
      </c>
      <c r="DR166">
        <v>0</v>
      </c>
    </row>
    <row r="167" spans="1:122" x14ac:dyDescent="0.3">
      <c r="A167" t="s">
        <v>167</v>
      </c>
      <c r="B167">
        <v>2044</v>
      </c>
      <c r="C167">
        <v>121165895.90000001</v>
      </c>
      <c r="D167">
        <v>118498030.5</v>
      </c>
      <c r="E167">
        <v>114238609.7</v>
      </c>
      <c r="F167">
        <v>0</v>
      </c>
      <c r="G167">
        <v>2427524.7999999998</v>
      </c>
      <c r="H167">
        <v>97206627.200000003</v>
      </c>
      <c r="I167">
        <v>1115557.2</v>
      </c>
      <c r="J167">
        <v>1311967.5</v>
      </c>
      <c r="K167">
        <v>240340.5</v>
      </c>
      <c r="L167">
        <v>3.5900000000000001E-2</v>
      </c>
      <c r="M167">
        <v>5.3999999999999999E-2</v>
      </c>
      <c r="N167">
        <v>0.15</v>
      </c>
      <c r="O167">
        <v>77545.179999999993</v>
      </c>
      <c r="P167">
        <v>27828.3</v>
      </c>
      <c r="Q167">
        <v>351.5</v>
      </c>
      <c r="R167">
        <v>24.5</v>
      </c>
      <c r="S167">
        <v>3.44</v>
      </c>
      <c r="T167">
        <v>27.1</v>
      </c>
      <c r="U167">
        <v>1259.3</v>
      </c>
      <c r="V167">
        <v>0.21</v>
      </c>
      <c r="W167">
        <v>353.1</v>
      </c>
      <c r="X167">
        <v>62.4</v>
      </c>
      <c r="Y167">
        <v>415.5</v>
      </c>
      <c r="Z167">
        <v>378.4</v>
      </c>
      <c r="AA167">
        <v>27</v>
      </c>
      <c r="AB167">
        <v>3.8</v>
      </c>
      <c r="AC167">
        <v>28.4</v>
      </c>
      <c r="AD167">
        <v>1336</v>
      </c>
      <c r="AE167">
        <v>0.22</v>
      </c>
      <c r="AF167">
        <v>380.2</v>
      </c>
      <c r="AG167">
        <v>65.900000000000006</v>
      </c>
      <c r="AH167">
        <v>446.1</v>
      </c>
      <c r="AI167">
        <v>295.5</v>
      </c>
      <c r="AJ167">
        <v>9.1</v>
      </c>
      <c r="AK167">
        <v>1.1299999999999999</v>
      </c>
      <c r="AL167">
        <v>32.1</v>
      </c>
      <c r="AM167">
        <v>1405.3</v>
      </c>
      <c r="AN167">
        <v>0.15</v>
      </c>
      <c r="AO167">
        <v>296.10000000000002</v>
      </c>
      <c r="AP167">
        <v>71.5</v>
      </c>
      <c r="AQ167">
        <v>367.6</v>
      </c>
      <c r="AR167">
        <v>687.9</v>
      </c>
      <c r="AS167">
        <v>51.2</v>
      </c>
      <c r="AT167">
        <v>7.27</v>
      </c>
      <c r="AU167">
        <v>47.5</v>
      </c>
      <c r="AV167">
        <v>2318.5</v>
      </c>
      <c r="AW167">
        <v>0.37</v>
      </c>
      <c r="AX167">
        <v>691.3</v>
      </c>
      <c r="AY167">
        <v>112.5</v>
      </c>
      <c r="AZ167">
        <v>803.8</v>
      </c>
      <c r="BA167">
        <v>45227614.700000003</v>
      </c>
      <c r="BB167">
        <v>3152.6</v>
      </c>
      <c r="BC167">
        <v>442.7</v>
      </c>
      <c r="BD167">
        <v>3492502.1</v>
      </c>
      <c r="BE167">
        <v>162058.5</v>
      </c>
      <c r="BF167">
        <v>26.9</v>
      </c>
      <c r="BG167">
        <v>45433192.5</v>
      </c>
      <c r="BH167">
        <v>8037276.0999999996</v>
      </c>
      <c r="BI167">
        <v>53470468.600000001</v>
      </c>
      <c r="BJ167">
        <v>0</v>
      </c>
      <c r="BK167">
        <v>0</v>
      </c>
      <c r="BL167">
        <v>45227614.700000003</v>
      </c>
      <c r="BM167">
        <v>48720116.799999997</v>
      </c>
      <c r="BN167">
        <v>53470468.600000001</v>
      </c>
      <c r="BO167">
        <v>29.37</v>
      </c>
      <c r="BP167">
        <v>15.37</v>
      </c>
      <c r="BQ167">
        <v>0</v>
      </c>
      <c r="BR167">
        <v>44.74</v>
      </c>
      <c r="BS167">
        <v>31.16</v>
      </c>
      <c r="BT167">
        <v>16.89</v>
      </c>
      <c r="BU167">
        <v>0</v>
      </c>
      <c r="BV167">
        <v>48.05</v>
      </c>
      <c r="BW167">
        <v>129501940</v>
      </c>
      <c r="BX167">
        <v>21291404</v>
      </c>
      <c r="BY167">
        <v>20889362</v>
      </c>
      <c r="BZ167">
        <v>22485318</v>
      </c>
      <c r="CA167">
        <v>0</v>
      </c>
      <c r="CB167">
        <v>946382.6</v>
      </c>
      <c r="CC167">
        <v>56366910</v>
      </c>
      <c r="CD167">
        <v>0</v>
      </c>
      <c r="CE167">
        <v>566459</v>
      </c>
      <c r="CF167">
        <v>951853.7</v>
      </c>
      <c r="CG167">
        <v>0</v>
      </c>
      <c r="CH167">
        <v>766406.1</v>
      </c>
      <c r="CI167">
        <v>0</v>
      </c>
      <c r="CJ167">
        <v>10136556</v>
      </c>
      <c r="CK167">
        <v>0</v>
      </c>
      <c r="CL167">
        <v>0</v>
      </c>
      <c r="CM167">
        <v>6984249.5</v>
      </c>
      <c r="CN167">
        <v>4170598.5</v>
      </c>
      <c r="CO167">
        <v>1096779.5</v>
      </c>
      <c r="CP167">
        <v>954576.9</v>
      </c>
      <c r="CQ167">
        <v>3186487.8</v>
      </c>
      <c r="CR167">
        <v>632.4</v>
      </c>
      <c r="CS167">
        <v>0</v>
      </c>
      <c r="CT167">
        <v>142.69999999999999</v>
      </c>
      <c r="CU167">
        <v>3865.3</v>
      </c>
      <c r="CV167">
        <v>0</v>
      </c>
      <c r="CW167">
        <v>0</v>
      </c>
      <c r="CX167">
        <v>3213.4</v>
      </c>
      <c r="CY167">
        <v>11270.5</v>
      </c>
      <c r="CZ167">
        <v>0</v>
      </c>
      <c r="DA167">
        <v>3605.5</v>
      </c>
      <c r="DB167">
        <v>0</v>
      </c>
      <c r="DC167">
        <v>170</v>
      </c>
      <c r="DD167">
        <v>2615.3000000000002</v>
      </c>
      <c r="DE167">
        <v>2124.6</v>
      </c>
      <c r="DF167">
        <v>2232</v>
      </c>
      <c r="DG167">
        <v>3409.5</v>
      </c>
      <c r="DH167">
        <v>0</v>
      </c>
      <c r="DI167">
        <v>2823.1</v>
      </c>
      <c r="DJ167">
        <v>0</v>
      </c>
      <c r="DK167">
        <v>3586.6</v>
      </c>
      <c r="DL167">
        <v>22320</v>
      </c>
      <c r="DM167">
        <v>0</v>
      </c>
      <c r="DN167">
        <v>0</v>
      </c>
      <c r="DO167">
        <v>0.11</v>
      </c>
      <c r="DP167">
        <v>0</v>
      </c>
      <c r="DQ167">
        <v>0</v>
      </c>
      <c r="DR167">
        <v>0</v>
      </c>
    </row>
    <row r="168" spans="1:122" x14ac:dyDescent="0.3">
      <c r="A168" t="s">
        <v>167</v>
      </c>
      <c r="B168">
        <v>2046</v>
      </c>
      <c r="C168">
        <v>123446177.3</v>
      </c>
      <c r="D168">
        <v>120391755.8</v>
      </c>
      <c r="E168">
        <v>116064264.90000001</v>
      </c>
      <c r="F168">
        <v>0</v>
      </c>
      <c r="G168">
        <v>2808285.8</v>
      </c>
      <c r="H168">
        <v>95651332.400000006</v>
      </c>
      <c r="I168">
        <v>1644873.6</v>
      </c>
      <c r="J168">
        <v>1163412</v>
      </c>
      <c r="K168">
        <v>246135.8</v>
      </c>
      <c r="L168">
        <v>3.5900000000000001E-2</v>
      </c>
      <c r="M168">
        <v>5.3999999999999999E-2</v>
      </c>
      <c r="N168">
        <v>0.15</v>
      </c>
      <c r="O168">
        <v>80226.289999999994</v>
      </c>
      <c r="P168">
        <v>28275.200000000001</v>
      </c>
      <c r="Q168">
        <v>320.2</v>
      </c>
      <c r="R168">
        <v>20.6</v>
      </c>
      <c r="S168">
        <v>2.87</v>
      </c>
      <c r="T168">
        <v>26.3</v>
      </c>
      <c r="U168">
        <v>1201.4000000000001</v>
      </c>
      <c r="V168">
        <v>0.19</v>
      </c>
      <c r="W168">
        <v>321.5</v>
      </c>
      <c r="X168">
        <v>60</v>
      </c>
      <c r="Y168">
        <v>381.5</v>
      </c>
      <c r="Z168">
        <v>343.5</v>
      </c>
      <c r="AA168">
        <v>22.5</v>
      </c>
      <c r="AB168">
        <v>3.14</v>
      </c>
      <c r="AC168">
        <v>27.6</v>
      </c>
      <c r="AD168">
        <v>1276.0999999999999</v>
      </c>
      <c r="AE168">
        <v>0.2</v>
      </c>
      <c r="AF168">
        <v>345</v>
      </c>
      <c r="AG168">
        <v>63.4</v>
      </c>
      <c r="AH168">
        <v>408.4</v>
      </c>
      <c r="AI168">
        <v>306.7</v>
      </c>
      <c r="AJ168">
        <v>9.6</v>
      </c>
      <c r="AK168">
        <v>1.2</v>
      </c>
      <c r="AL168">
        <v>33.299999999999997</v>
      </c>
      <c r="AM168">
        <v>1449</v>
      </c>
      <c r="AN168">
        <v>0.16</v>
      </c>
      <c r="AO168">
        <v>307.3</v>
      </c>
      <c r="AP168">
        <v>73.900000000000006</v>
      </c>
      <c r="AQ168">
        <v>381.2</v>
      </c>
      <c r="AR168">
        <v>638</v>
      </c>
      <c r="AS168">
        <v>43.8</v>
      </c>
      <c r="AT168">
        <v>6.17</v>
      </c>
      <c r="AU168">
        <v>47.3</v>
      </c>
      <c r="AV168">
        <v>2276.1999999999998</v>
      </c>
      <c r="AW168">
        <v>0.34</v>
      </c>
      <c r="AX168">
        <v>640.9</v>
      </c>
      <c r="AY168">
        <v>111.1</v>
      </c>
      <c r="AZ168">
        <v>752</v>
      </c>
      <c r="BA168">
        <v>41496413.5</v>
      </c>
      <c r="BB168">
        <v>2670.1</v>
      </c>
      <c r="BC168">
        <v>371.9</v>
      </c>
      <c r="BD168">
        <v>3408305.9</v>
      </c>
      <c r="BE168">
        <v>155707.4</v>
      </c>
      <c r="BF168">
        <v>24.9</v>
      </c>
      <c r="BG168">
        <v>41669724.5</v>
      </c>
      <c r="BH168">
        <v>7774706.5</v>
      </c>
      <c r="BI168">
        <v>49444431</v>
      </c>
      <c r="BJ168">
        <v>0</v>
      </c>
      <c r="BK168">
        <v>0</v>
      </c>
      <c r="BL168">
        <v>41496413.5</v>
      </c>
      <c r="BM168">
        <v>44904719.399999999</v>
      </c>
      <c r="BN168">
        <v>49444431</v>
      </c>
      <c r="BO168">
        <v>29.14</v>
      </c>
      <c r="BP168">
        <v>15.84</v>
      </c>
      <c r="BQ168">
        <v>0</v>
      </c>
      <c r="BR168">
        <v>44.98</v>
      </c>
      <c r="BS168">
        <v>30.93</v>
      </c>
      <c r="BT168">
        <v>17.45</v>
      </c>
      <c r="BU168">
        <v>0</v>
      </c>
      <c r="BV168">
        <v>48.38</v>
      </c>
      <c r="BW168">
        <v>130432664</v>
      </c>
      <c r="BX168">
        <v>24740424</v>
      </c>
      <c r="BY168">
        <v>20889362</v>
      </c>
      <c r="BZ168">
        <v>18350758</v>
      </c>
      <c r="CA168">
        <v>0</v>
      </c>
      <c r="CB168">
        <v>888933.9</v>
      </c>
      <c r="CC168">
        <v>57987336</v>
      </c>
      <c r="CD168">
        <v>0</v>
      </c>
      <c r="CE168">
        <v>696031.9</v>
      </c>
      <c r="CF168">
        <v>951876.6</v>
      </c>
      <c r="CG168">
        <v>0</v>
      </c>
      <c r="CH168">
        <v>373719.4</v>
      </c>
      <c r="CI168">
        <v>0</v>
      </c>
      <c r="CJ168">
        <v>13363884</v>
      </c>
      <c r="CK168">
        <v>0</v>
      </c>
      <c r="CL168">
        <v>0</v>
      </c>
      <c r="CM168">
        <v>6872807</v>
      </c>
      <c r="CN168">
        <v>4503732.5</v>
      </c>
      <c r="CO168">
        <v>958105.5</v>
      </c>
      <c r="CP168">
        <v>1404454.8</v>
      </c>
      <c r="CQ168">
        <v>3191672.8</v>
      </c>
      <c r="CR168">
        <v>1024.4000000000001</v>
      </c>
      <c r="CS168">
        <v>0</v>
      </c>
      <c r="CT168">
        <v>78.2</v>
      </c>
      <c r="CU168">
        <v>3211.3</v>
      </c>
      <c r="CV168">
        <v>0</v>
      </c>
      <c r="CW168">
        <v>0</v>
      </c>
      <c r="CX168">
        <v>3495.6</v>
      </c>
      <c r="CY168">
        <v>11730.3</v>
      </c>
      <c r="CZ168">
        <v>0</v>
      </c>
      <c r="DA168">
        <v>4008.8</v>
      </c>
      <c r="DB168">
        <v>0</v>
      </c>
      <c r="DC168">
        <v>170</v>
      </c>
      <c r="DD168">
        <v>2615.3000000000002</v>
      </c>
      <c r="DE168">
        <v>2124.6</v>
      </c>
      <c r="DF168">
        <v>2232</v>
      </c>
      <c r="DG168">
        <v>3400</v>
      </c>
      <c r="DH168">
        <v>0</v>
      </c>
      <c r="DI168">
        <v>3608.6</v>
      </c>
      <c r="DJ168">
        <v>0</v>
      </c>
      <c r="DK168">
        <v>6000</v>
      </c>
      <c r="DL168">
        <v>22320</v>
      </c>
      <c r="DM168">
        <v>0</v>
      </c>
      <c r="DN168">
        <v>0</v>
      </c>
      <c r="DO168">
        <v>0.11</v>
      </c>
      <c r="DP168">
        <v>0</v>
      </c>
      <c r="DQ168">
        <v>0</v>
      </c>
      <c r="DR168">
        <v>0</v>
      </c>
    </row>
    <row r="169" spans="1:122" x14ac:dyDescent="0.3">
      <c r="A169" t="s">
        <v>167</v>
      </c>
      <c r="B169">
        <v>2048</v>
      </c>
      <c r="C169">
        <v>125510398.2</v>
      </c>
      <c r="D169">
        <v>122445966.2</v>
      </c>
      <c r="E169">
        <v>118044636.59999999</v>
      </c>
      <c r="F169">
        <v>0</v>
      </c>
      <c r="G169">
        <v>2801994.5</v>
      </c>
      <c r="H169">
        <v>97510250.200000003</v>
      </c>
      <c r="I169">
        <v>1605754.2</v>
      </c>
      <c r="J169">
        <v>1196240.2</v>
      </c>
      <c r="K169">
        <v>262437.40000000002</v>
      </c>
      <c r="L169">
        <v>3.5900000000000001E-2</v>
      </c>
      <c r="M169">
        <v>5.3999999999999999E-2</v>
      </c>
      <c r="N169">
        <v>0.15</v>
      </c>
      <c r="O169">
        <v>80491.960000000006</v>
      </c>
      <c r="P169">
        <v>28759.5</v>
      </c>
      <c r="Q169">
        <v>274</v>
      </c>
      <c r="R169">
        <v>12.5</v>
      </c>
      <c r="S169">
        <v>1.67</v>
      </c>
      <c r="T169">
        <v>27.4</v>
      </c>
      <c r="U169">
        <v>1186.4000000000001</v>
      </c>
      <c r="V169">
        <v>0.17</v>
      </c>
      <c r="W169">
        <v>274.8</v>
      </c>
      <c r="X169">
        <v>60.7</v>
      </c>
      <c r="Y169">
        <v>335.4</v>
      </c>
      <c r="Z169">
        <v>291.8</v>
      </c>
      <c r="AA169">
        <v>13.5</v>
      </c>
      <c r="AB169">
        <v>1.81</v>
      </c>
      <c r="AC169">
        <v>28.8</v>
      </c>
      <c r="AD169">
        <v>1255.4000000000001</v>
      </c>
      <c r="AE169">
        <v>0.18</v>
      </c>
      <c r="AF169">
        <v>292.7</v>
      </c>
      <c r="AG169">
        <v>64</v>
      </c>
      <c r="AH169">
        <v>356.6</v>
      </c>
      <c r="AI169">
        <v>330.5</v>
      </c>
      <c r="AJ169">
        <v>10.1</v>
      </c>
      <c r="AK169">
        <v>1.26</v>
      </c>
      <c r="AL169">
        <v>36</v>
      </c>
      <c r="AM169">
        <v>1569.8</v>
      </c>
      <c r="AN169">
        <v>0.17</v>
      </c>
      <c r="AO169">
        <v>331.1</v>
      </c>
      <c r="AP169">
        <v>80</v>
      </c>
      <c r="AQ169">
        <v>411.1</v>
      </c>
      <c r="AR169">
        <v>617.5</v>
      </c>
      <c r="AS169">
        <v>39.299999999999997</v>
      </c>
      <c r="AT169">
        <v>5.5</v>
      </c>
      <c r="AU169">
        <v>48.7</v>
      </c>
      <c r="AV169">
        <v>2297</v>
      </c>
      <c r="AW169">
        <v>0.33</v>
      </c>
      <c r="AX169">
        <v>620.1</v>
      </c>
      <c r="AY169">
        <v>113.1</v>
      </c>
      <c r="AZ169">
        <v>733.2</v>
      </c>
      <c r="BA169">
        <v>36167294.700000003</v>
      </c>
      <c r="BB169">
        <v>1647.6</v>
      </c>
      <c r="BC169">
        <v>220</v>
      </c>
      <c r="BD169">
        <v>3618281.5</v>
      </c>
      <c r="BE169">
        <v>156631.6</v>
      </c>
      <c r="BF169">
        <v>22.3</v>
      </c>
      <c r="BG169">
        <v>36271718.200000003</v>
      </c>
      <c r="BH169">
        <v>8009862.4000000004</v>
      </c>
      <c r="BI169">
        <v>44281580.700000003</v>
      </c>
      <c r="BJ169">
        <v>0</v>
      </c>
      <c r="BK169">
        <v>0</v>
      </c>
      <c r="BL169">
        <v>36167294.700000003</v>
      </c>
      <c r="BM169">
        <v>39785576.100000001</v>
      </c>
      <c r="BN169">
        <v>44281580.700000003</v>
      </c>
      <c r="BO169">
        <v>29.36</v>
      </c>
      <c r="BP169">
        <v>15.93</v>
      </c>
      <c r="BQ169">
        <v>0</v>
      </c>
      <c r="BR169">
        <v>45.29</v>
      </c>
      <c r="BS169">
        <v>31.17</v>
      </c>
      <c r="BT169">
        <v>17.55</v>
      </c>
      <c r="BU169">
        <v>0</v>
      </c>
      <c r="BV169">
        <v>48.71</v>
      </c>
      <c r="BW169">
        <v>132831080</v>
      </c>
      <c r="BX169">
        <v>24935716</v>
      </c>
      <c r="BY169">
        <v>20889362</v>
      </c>
      <c r="BZ169">
        <v>9368601</v>
      </c>
      <c r="CA169">
        <v>0</v>
      </c>
      <c r="CB169">
        <v>1066908</v>
      </c>
      <c r="CC169">
        <v>68519700</v>
      </c>
      <c r="CD169">
        <v>0</v>
      </c>
      <c r="CE169">
        <v>1205623.6000000001</v>
      </c>
      <c r="CF169">
        <v>951853.4</v>
      </c>
      <c r="CG169">
        <v>0</v>
      </c>
      <c r="CH169">
        <v>318767.2</v>
      </c>
      <c r="CI169">
        <v>0</v>
      </c>
      <c r="CJ169">
        <v>13457816</v>
      </c>
      <c r="CK169">
        <v>0</v>
      </c>
      <c r="CL169">
        <v>0</v>
      </c>
      <c r="CM169">
        <v>6652306.5</v>
      </c>
      <c r="CN169">
        <v>4825593</v>
      </c>
      <c r="CO169">
        <v>1011437.8</v>
      </c>
      <c r="CP169">
        <v>1376298.5</v>
      </c>
      <c r="CQ169">
        <v>3186811.8</v>
      </c>
      <c r="CR169">
        <v>1081.2</v>
      </c>
      <c r="CS169">
        <v>0</v>
      </c>
      <c r="CT169">
        <v>66.2</v>
      </c>
      <c r="CU169">
        <v>1635</v>
      </c>
      <c r="CV169">
        <v>0</v>
      </c>
      <c r="CW169">
        <v>0</v>
      </c>
      <c r="CX169">
        <v>3773.1</v>
      </c>
      <c r="CY169">
        <v>13189.8</v>
      </c>
      <c r="CZ169">
        <v>0</v>
      </c>
      <c r="DA169">
        <v>4502.6000000000004</v>
      </c>
      <c r="DB169">
        <v>0</v>
      </c>
      <c r="DC169">
        <v>170</v>
      </c>
      <c r="DD169">
        <v>2615.3000000000002</v>
      </c>
      <c r="DE169">
        <v>2124.6</v>
      </c>
      <c r="DF169">
        <v>2232</v>
      </c>
      <c r="DG169">
        <v>3321.8</v>
      </c>
      <c r="DH169">
        <v>0</v>
      </c>
      <c r="DI169">
        <v>3585.3</v>
      </c>
      <c r="DJ169">
        <v>0</v>
      </c>
      <c r="DK169">
        <v>6350.1</v>
      </c>
      <c r="DL169">
        <v>22320</v>
      </c>
      <c r="DM169">
        <v>0</v>
      </c>
      <c r="DN169">
        <v>0</v>
      </c>
      <c r="DO169">
        <v>0.11</v>
      </c>
      <c r="DP169">
        <v>0</v>
      </c>
      <c r="DQ169">
        <v>0</v>
      </c>
      <c r="DR169">
        <v>0</v>
      </c>
    </row>
    <row r="170" spans="1:122" x14ac:dyDescent="0.3">
      <c r="A170" t="s">
        <v>167</v>
      </c>
      <c r="B170">
        <v>2050</v>
      </c>
      <c r="C170">
        <v>127922330.5</v>
      </c>
      <c r="D170">
        <v>124896040.09999999</v>
      </c>
      <c r="E170">
        <v>120406642.5</v>
      </c>
      <c r="F170">
        <v>0</v>
      </c>
      <c r="G170">
        <v>2747407.2</v>
      </c>
      <c r="H170">
        <v>98306293.200000003</v>
      </c>
      <c r="I170">
        <v>1622476.1</v>
      </c>
      <c r="J170">
        <v>1124931.1000000001</v>
      </c>
      <c r="K170">
        <v>278883.09999999998</v>
      </c>
      <c r="L170">
        <v>3.5900000000000001E-2</v>
      </c>
      <c r="M170">
        <v>5.3999999999999999E-2</v>
      </c>
      <c r="N170">
        <v>0.15</v>
      </c>
      <c r="O170">
        <v>83622.7</v>
      </c>
      <c r="P170">
        <v>29334.799999999999</v>
      </c>
      <c r="Q170">
        <v>244.5</v>
      </c>
      <c r="R170">
        <v>6.8</v>
      </c>
      <c r="S170">
        <v>0.82</v>
      </c>
      <c r="T170">
        <v>28.4</v>
      </c>
      <c r="U170">
        <v>1195.7</v>
      </c>
      <c r="V170">
        <v>0.15</v>
      </c>
      <c r="W170">
        <v>244.9</v>
      </c>
      <c r="X170">
        <v>62</v>
      </c>
      <c r="Y170">
        <v>306.8</v>
      </c>
      <c r="Z170">
        <v>260.60000000000002</v>
      </c>
      <c r="AA170">
        <v>7.4</v>
      </c>
      <c r="AB170">
        <v>0.89</v>
      </c>
      <c r="AC170">
        <v>30</v>
      </c>
      <c r="AD170">
        <v>1268.9000000000001</v>
      </c>
      <c r="AE170">
        <v>0.15</v>
      </c>
      <c r="AF170">
        <v>261.10000000000002</v>
      </c>
      <c r="AG170">
        <v>65.599999999999994</v>
      </c>
      <c r="AH170">
        <v>326.60000000000002</v>
      </c>
      <c r="AI170">
        <v>298.8</v>
      </c>
      <c r="AJ170">
        <v>7.6</v>
      </c>
      <c r="AK170">
        <v>0.91</v>
      </c>
      <c r="AL170">
        <v>33.799999999999997</v>
      </c>
      <c r="AM170">
        <v>1470.5</v>
      </c>
      <c r="AN170">
        <v>0.15</v>
      </c>
      <c r="AO170">
        <v>299.2</v>
      </c>
      <c r="AP170">
        <v>75.099999999999994</v>
      </c>
      <c r="AQ170">
        <v>374.3</v>
      </c>
      <c r="AR170">
        <v>561.6</v>
      </c>
      <c r="AS170">
        <v>30.5</v>
      </c>
      <c r="AT170">
        <v>4.2</v>
      </c>
      <c r="AU170">
        <v>49</v>
      </c>
      <c r="AV170">
        <v>2251.5</v>
      </c>
      <c r="AW170">
        <v>0.3</v>
      </c>
      <c r="AX170">
        <v>563.5</v>
      </c>
      <c r="AY170">
        <v>112.1</v>
      </c>
      <c r="AZ170">
        <v>675.7</v>
      </c>
      <c r="BA170">
        <v>35192625.200000003</v>
      </c>
      <c r="BB170">
        <v>976</v>
      </c>
      <c r="BC170">
        <v>117.4</v>
      </c>
      <c r="BD170">
        <v>4096166.3</v>
      </c>
      <c r="BE170">
        <v>172134.2</v>
      </c>
      <c r="BF170">
        <v>21.5</v>
      </c>
      <c r="BG170">
        <v>35251059.100000001</v>
      </c>
      <c r="BH170">
        <v>8921615</v>
      </c>
      <c r="BI170">
        <v>44172674.100000001</v>
      </c>
      <c r="BJ170">
        <v>0</v>
      </c>
      <c r="BK170">
        <v>0</v>
      </c>
      <c r="BL170">
        <v>35192625.200000003</v>
      </c>
      <c r="BM170">
        <v>39288791.5</v>
      </c>
      <c r="BN170">
        <v>44172674.100000001</v>
      </c>
      <c r="BO170">
        <v>28.38</v>
      </c>
      <c r="BP170">
        <v>16.54</v>
      </c>
      <c r="BQ170">
        <v>0</v>
      </c>
      <c r="BR170">
        <v>44.91</v>
      </c>
      <c r="BS170">
        <v>30.12</v>
      </c>
      <c r="BT170">
        <v>18.22</v>
      </c>
      <c r="BU170">
        <v>0</v>
      </c>
      <c r="BV170">
        <v>48.34</v>
      </c>
      <c r="BW170">
        <v>144856140</v>
      </c>
      <c r="BX170">
        <v>26589746</v>
      </c>
      <c r="BY170">
        <v>20889362</v>
      </c>
      <c r="BZ170">
        <v>2913097.2</v>
      </c>
      <c r="CA170">
        <v>0</v>
      </c>
      <c r="CB170">
        <v>1105498.8</v>
      </c>
      <c r="CC170">
        <v>85099770</v>
      </c>
      <c r="CD170">
        <v>0</v>
      </c>
      <c r="CE170">
        <v>1486537.6</v>
      </c>
      <c r="CF170">
        <v>951894.1</v>
      </c>
      <c r="CG170">
        <v>0</v>
      </c>
      <c r="CH170">
        <v>314904.5</v>
      </c>
      <c r="CI170">
        <v>0</v>
      </c>
      <c r="CJ170">
        <v>15103342</v>
      </c>
      <c r="CK170">
        <v>0</v>
      </c>
      <c r="CL170">
        <v>0</v>
      </c>
      <c r="CM170">
        <v>6417085.5</v>
      </c>
      <c r="CN170">
        <v>5069319.5</v>
      </c>
      <c r="CO170">
        <v>925800.7</v>
      </c>
      <c r="CP170">
        <v>1387659.1</v>
      </c>
      <c r="CQ170">
        <v>3191875</v>
      </c>
      <c r="CR170">
        <v>1229</v>
      </c>
      <c r="CS170">
        <v>0</v>
      </c>
      <c r="CT170">
        <v>65.400000000000006</v>
      </c>
      <c r="CU170">
        <v>654</v>
      </c>
      <c r="CV170">
        <v>0</v>
      </c>
      <c r="CW170">
        <v>0</v>
      </c>
      <c r="CX170">
        <v>3997.3</v>
      </c>
      <c r="CY170">
        <v>14505.7</v>
      </c>
      <c r="CZ170">
        <v>0</v>
      </c>
      <c r="DA170">
        <v>4132.7</v>
      </c>
      <c r="DB170">
        <v>0</v>
      </c>
      <c r="DC170">
        <v>170</v>
      </c>
      <c r="DD170">
        <v>2615.3000000000002</v>
      </c>
      <c r="DE170">
        <v>1506.2</v>
      </c>
      <c r="DF170">
        <v>2232</v>
      </c>
      <c r="DG170">
        <v>3235.3</v>
      </c>
      <c r="DH170">
        <v>0</v>
      </c>
      <c r="DI170">
        <v>3766.6</v>
      </c>
      <c r="DJ170">
        <v>0</v>
      </c>
      <c r="DK170">
        <v>7237.1</v>
      </c>
      <c r="DL170">
        <v>22320</v>
      </c>
      <c r="DM170">
        <v>0</v>
      </c>
      <c r="DN170">
        <v>0</v>
      </c>
      <c r="DO170">
        <v>0.11</v>
      </c>
      <c r="DP170">
        <v>0</v>
      </c>
      <c r="DQ170">
        <v>0</v>
      </c>
      <c r="DR170">
        <v>0</v>
      </c>
    </row>
    <row r="171" spans="1:122" x14ac:dyDescent="0.3">
      <c r="A171" t="s">
        <v>168</v>
      </c>
      <c r="B171">
        <v>2022</v>
      </c>
      <c r="C171">
        <v>490873157.10000002</v>
      </c>
      <c r="D171">
        <v>485943317.10000002</v>
      </c>
      <c r="E171">
        <v>468472600.10000002</v>
      </c>
      <c r="F171">
        <v>0</v>
      </c>
      <c r="G171">
        <v>445559.2</v>
      </c>
      <c r="H171">
        <v>454289616.39999998</v>
      </c>
      <c r="I171">
        <v>445559.2</v>
      </c>
      <c r="J171">
        <v>0</v>
      </c>
      <c r="K171">
        <v>4484280.8</v>
      </c>
      <c r="L171">
        <v>3.5900000000000001E-2</v>
      </c>
      <c r="M171">
        <v>5.3999999999999999E-2</v>
      </c>
      <c r="N171">
        <v>0.15</v>
      </c>
      <c r="O171">
        <v>43800.39</v>
      </c>
      <c r="P171">
        <v>107964.5</v>
      </c>
      <c r="Q171">
        <v>557.1</v>
      </c>
      <c r="R171">
        <v>52.1</v>
      </c>
      <c r="S171">
        <v>7.47</v>
      </c>
      <c r="T171">
        <v>29.7</v>
      </c>
      <c r="U171">
        <v>1597.7</v>
      </c>
      <c r="V171">
        <v>0.3</v>
      </c>
      <c r="W171">
        <v>560.5</v>
      </c>
      <c r="X171">
        <v>74.5</v>
      </c>
      <c r="Y171">
        <v>635</v>
      </c>
      <c r="Z171">
        <v>550.79999999999995</v>
      </c>
      <c r="AA171">
        <v>51.1</v>
      </c>
      <c r="AB171">
        <v>7.32</v>
      </c>
      <c r="AC171">
        <v>29.9</v>
      </c>
      <c r="AD171">
        <v>1593.8</v>
      </c>
      <c r="AE171">
        <v>0.31</v>
      </c>
      <c r="AF171">
        <v>554.20000000000005</v>
      </c>
      <c r="AG171">
        <v>74.7</v>
      </c>
      <c r="AH171">
        <v>628.79999999999995</v>
      </c>
      <c r="AI171">
        <v>586.70000000000005</v>
      </c>
      <c r="AJ171">
        <v>49.9</v>
      </c>
      <c r="AK171">
        <v>7.13</v>
      </c>
      <c r="AL171">
        <v>34.6</v>
      </c>
      <c r="AM171">
        <v>1806.9</v>
      </c>
      <c r="AN171">
        <v>0.3</v>
      </c>
      <c r="AO171">
        <v>590</v>
      </c>
      <c r="AP171">
        <v>85.2</v>
      </c>
      <c r="AQ171">
        <v>675.3</v>
      </c>
      <c r="AR171">
        <v>783.4</v>
      </c>
      <c r="AS171">
        <v>64.5</v>
      </c>
      <c r="AT171">
        <v>9.25</v>
      </c>
      <c r="AU171">
        <v>48.6</v>
      </c>
      <c r="AV171">
        <v>2438.8000000000002</v>
      </c>
      <c r="AW171">
        <v>0.43</v>
      </c>
      <c r="AX171">
        <v>787.7</v>
      </c>
      <c r="AY171">
        <v>117</v>
      </c>
      <c r="AZ171">
        <v>904.6</v>
      </c>
      <c r="BA171">
        <v>239513644.30000001</v>
      </c>
      <c r="BB171">
        <v>22390.6</v>
      </c>
      <c r="BC171">
        <v>3211.9</v>
      </c>
      <c r="BD171">
        <v>12763339.6</v>
      </c>
      <c r="BE171">
        <v>687094</v>
      </c>
      <c r="BF171">
        <v>130.80000000000001</v>
      </c>
      <c r="BG171">
        <v>240991724</v>
      </c>
      <c r="BH171">
        <v>32036634.5</v>
      </c>
      <c r="BI171">
        <v>273028358.5</v>
      </c>
      <c r="BJ171">
        <v>0</v>
      </c>
      <c r="BK171">
        <v>0</v>
      </c>
      <c r="BL171">
        <v>239513644.30000001</v>
      </c>
      <c r="BM171">
        <v>252276984</v>
      </c>
      <c r="BN171">
        <v>273028358.5</v>
      </c>
      <c r="BO171">
        <v>36.19</v>
      </c>
      <c r="BP171">
        <v>9.15</v>
      </c>
      <c r="BQ171">
        <v>0.16</v>
      </c>
      <c r="BR171">
        <v>45.51</v>
      </c>
      <c r="BS171">
        <v>38.33</v>
      </c>
      <c r="BT171">
        <v>9.91</v>
      </c>
      <c r="BU171">
        <v>0.17</v>
      </c>
      <c r="BV171">
        <v>48.41</v>
      </c>
      <c r="BW171">
        <v>432614820</v>
      </c>
      <c r="BX171">
        <v>31653700</v>
      </c>
      <c r="BY171">
        <v>71187540</v>
      </c>
      <c r="BZ171">
        <v>179891170</v>
      </c>
      <c r="CA171">
        <v>0</v>
      </c>
      <c r="CB171">
        <v>443927.6</v>
      </c>
      <c r="CC171">
        <v>141222400</v>
      </c>
      <c r="CD171">
        <v>0</v>
      </c>
      <c r="CE171">
        <v>2332784.2000000002</v>
      </c>
      <c r="CF171">
        <v>4252741</v>
      </c>
      <c r="CG171">
        <v>0</v>
      </c>
      <c r="CH171">
        <v>1251218.5</v>
      </c>
      <c r="CI171">
        <v>0</v>
      </c>
      <c r="CJ171">
        <v>24161472</v>
      </c>
      <c r="CK171">
        <v>78155.399999999994</v>
      </c>
      <c r="CL171">
        <v>0</v>
      </c>
      <c r="CM171">
        <v>6173566.5</v>
      </c>
      <c r="CN171">
        <v>1240506.2</v>
      </c>
      <c r="CO171">
        <v>0</v>
      </c>
      <c r="CP171">
        <v>379316.6</v>
      </c>
      <c r="CQ171">
        <v>0</v>
      </c>
      <c r="CR171">
        <v>704.5</v>
      </c>
      <c r="CS171">
        <v>0</v>
      </c>
      <c r="CT171">
        <v>278.2</v>
      </c>
      <c r="CU171">
        <v>43665.8</v>
      </c>
      <c r="CV171">
        <v>0</v>
      </c>
      <c r="CW171">
        <v>0</v>
      </c>
      <c r="CX171">
        <v>897.8</v>
      </c>
      <c r="CY171">
        <v>24088.7</v>
      </c>
      <c r="CZ171">
        <v>0</v>
      </c>
      <c r="DA171">
        <v>20453.900000000001</v>
      </c>
      <c r="DB171">
        <v>0</v>
      </c>
      <c r="DC171">
        <v>1163</v>
      </c>
      <c r="DD171">
        <v>8912.5</v>
      </c>
      <c r="DE171">
        <v>2749.1</v>
      </c>
      <c r="DF171">
        <v>0</v>
      </c>
      <c r="DG171">
        <v>2916.7</v>
      </c>
      <c r="DH171">
        <v>20.399999999999999</v>
      </c>
      <c r="DI171">
        <v>8116.6</v>
      </c>
      <c r="DJ171">
        <v>0</v>
      </c>
      <c r="DK171">
        <v>1590.5</v>
      </c>
      <c r="DL171">
        <v>0</v>
      </c>
      <c r="DM171">
        <v>0</v>
      </c>
      <c r="DN171">
        <v>1.1000000000000001</v>
      </c>
      <c r="DO171">
        <v>7.0000000000000007E-2</v>
      </c>
      <c r="DP171">
        <v>0</v>
      </c>
      <c r="DQ171">
        <v>0.01</v>
      </c>
      <c r="DR171">
        <v>0</v>
      </c>
    </row>
    <row r="172" spans="1:122" x14ac:dyDescent="0.3">
      <c r="A172" t="s">
        <v>168</v>
      </c>
      <c r="B172">
        <v>2024</v>
      </c>
      <c r="C172">
        <v>499954690.80000001</v>
      </c>
      <c r="D172">
        <v>495316812.89999998</v>
      </c>
      <c r="E172">
        <v>477509094.39999998</v>
      </c>
      <c r="F172">
        <v>0</v>
      </c>
      <c r="G172">
        <v>574859.9</v>
      </c>
      <c r="H172">
        <v>451444912.39999998</v>
      </c>
      <c r="I172">
        <v>574859.9</v>
      </c>
      <c r="J172">
        <v>0</v>
      </c>
      <c r="K172">
        <v>4063018</v>
      </c>
      <c r="L172">
        <v>3.5900000000000001E-2</v>
      </c>
      <c r="M172">
        <v>5.3999999999999999E-2</v>
      </c>
      <c r="N172">
        <v>0.15</v>
      </c>
      <c r="O172">
        <v>43795.06</v>
      </c>
      <c r="P172">
        <v>110034.3</v>
      </c>
      <c r="Q172">
        <v>475.2</v>
      </c>
      <c r="R172">
        <v>39.4</v>
      </c>
      <c r="S172">
        <v>5.6</v>
      </c>
      <c r="T172">
        <v>30.1</v>
      </c>
      <c r="U172">
        <v>1520.5</v>
      </c>
      <c r="V172">
        <v>0.26</v>
      </c>
      <c r="W172">
        <v>477.8</v>
      </c>
      <c r="X172">
        <v>72.8</v>
      </c>
      <c r="Y172">
        <v>550.5</v>
      </c>
      <c r="Z172">
        <v>465.7</v>
      </c>
      <c r="AA172">
        <v>37.6</v>
      </c>
      <c r="AB172">
        <v>5.33</v>
      </c>
      <c r="AC172">
        <v>30.7</v>
      </c>
      <c r="AD172">
        <v>1522.3</v>
      </c>
      <c r="AE172">
        <v>0.26</v>
      </c>
      <c r="AF172">
        <v>468.2</v>
      </c>
      <c r="AG172">
        <v>73.400000000000006</v>
      </c>
      <c r="AH172">
        <v>541.6</v>
      </c>
      <c r="AI172">
        <v>506.3</v>
      </c>
      <c r="AJ172">
        <v>40.9</v>
      </c>
      <c r="AK172">
        <v>5.83</v>
      </c>
      <c r="AL172">
        <v>31.8</v>
      </c>
      <c r="AM172">
        <v>1625.4</v>
      </c>
      <c r="AN172">
        <v>0.26</v>
      </c>
      <c r="AO172">
        <v>509</v>
      </c>
      <c r="AP172">
        <v>77.400000000000006</v>
      </c>
      <c r="AQ172">
        <v>586.4</v>
      </c>
      <c r="AR172">
        <v>815.5</v>
      </c>
      <c r="AS172">
        <v>67</v>
      </c>
      <c r="AT172">
        <v>9.6199999999999992</v>
      </c>
      <c r="AU172">
        <v>50.7</v>
      </c>
      <c r="AV172">
        <v>2535.1999999999998</v>
      </c>
      <c r="AW172">
        <v>0.45</v>
      </c>
      <c r="AX172">
        <v>819.9</v>
      </c>
      <c r="AY172">
        <v>121.8</v>
      </c>
      <c r="AZ172">
        <v>941.8</v>
      </c>
      <c r="BA172">
        <v>205313093.59999999</v>
      </c>
      <c r="BB172">
        <v>17021.400000000001</v>
      </c>
      <c r="BC172">
        <v>2419</v>
      </c>
      <c r="BD172">
        <v>13016108.6</v>
      </c>
      <c r="BE172">
        <v>657091.69999999995</v>
      </c>
      <c r="BF172">
        <v>113.5</v>
      </c>
      <c r="BG172">
        <v>206430722.19999999</v>
      </c>
      <c r="BH172">
        <v>31444741.399999999</v>
      </c>
      <c r="BI172">
        <v>237875463.59999999</v>
      </c>
      <c r="BJ172">
        <v>0</v>
      </c>
      <c r="BK172">
        <v>0</v>
      </c>
      <c r="BL172">
        <v>205313093.59999999</v>
      </c>
      <c r="BM172">
        <v>218329202.19999999</v>
      </c>
      <c r="BN172">
        <v>237875463.59999999</v>
      </c>
      <c r="BO172">
        <v>33.76</v>
      </c>
      <c r="BP172">
        <v>9.14</v>
      </c>
      <c r="BQ172">
        <v>0.01</v>
      </c>
      <c r="BR172">
        <v>42.91</v>
      </c>
      <c r="BS172">
        <v>35.76</v>
      </c>
      <c r="BT172">
        <v>9.89</v>
      </c>
      <c r="BU172">
        <v>0.01</v>
      </c>
      <c r="BV172">
        <v>45.66</v>
      </c>
      <c r="BW172">
        <v>434735300</v>
      </c>
      <c r="BX172">
        <v>43871900</v>
      </c>
      <c r="BY172">
        <v>71187540</v>
      </c>
      <c r="BZ172">
        <v>132272280</v>
      </c>
      <c r="CA172">
        <v>0</v>
      </c>
      <c r="CB172">
        <v>732055</v>
      </c>
      <c r="CC172">
        <v>176081400</v>
      </c>
      <c r="CD172">
        <v>0</v>
      </c>
      <c r="CE172">
        <v>4599666</v>
      </c>
      <c r="CF172">
        <v>4252127.5</v>
      </c>
      <c r="CG172">
        <v>0</v>
      </c>
      <c r="CH172">
        <v>1246944.8999999999</v>
      </c>
      <c r="CI172">
        <v>0</v>
      </c>
      <c r="CJ172">
        <v>28469104</v>
      </c>
      <c r="CK172">
        <v>80058.600000000006</v>
      </c>
      <c r="CL172">
        <v>0</v>
      </c>
      <c r="CM172">
        <v>13690253</v>
      </c>
      <c r="CN172">
        <v>1632484.4</v>
      </c>
      <c r="CO172">
        <v>0</v>
      </c>
      <c r="CP172">
        <v>491408.6</v>
      </c>
      <c r="CQ172">
        <v>0</v>
      </c>
      <c r="CR172">
        <v>755.9</v>
      </c>
      <c r="CS172">
        <v>0</v>
      </c>
      <c r="CT172">
        <v>278.2</v>
      </c>
      <c r="CU172">
        <v>38055.699999999997</v>
      </c>
      <c r="CV172">
        <v>0</v>
      </c>
      <c r="CW172">
        <v>0</v>
      </c>
      <c r="CX172">
        <v>1185.9000000000001</v>
      </c>
      <c r="CY172">
        <v>26122.3</v>
      </c>
      <c r="CZ172">
        <v>0</v>
      </c>
      <c r="DA172">
        <v>20453.900000000001</v>
      </c>
      <c r="DB172">
        <v>0</v>
      </c>
      <c r="DC172">
        <v>1163</v>
      </c>
      <c r="DD172">
        <v>8912.5</v>
      </c>
      <c r="DE172">
        <v>2264.1</v>
      </c>
      <c r="DF172">
        <v>0</v>
      </c>
      <c r="DG172">
        <v>6367.3</v>
      </c>
      <c r="DH172">
        <v>21</v>
      </c>
      <c r="DI172">
        <v>9257.4</v>
      </c>
      <c r="DJ172">
        <v>0</v>
      </c>
      <c r="DK172">
        <v>1693.2</v>
      </c>
      <c r="DL172">
        <v>0</v>
      </c>
      <c r="DM172">
        <v>0</v>
      </c>
      <c r="DN172">
        <v>0</v>
      </c>
      <c r="DO172">
        <v>7.0000000000000007E-2</v>
      </c>
      <c r="DP172">
        <v>0</v>
      </c>
      <c r="DQ172">
        <v>0.01</v>
      </c>
      <c r="DR172">
        <v>0</v>
      </c>
    </row>
    <row r="173" spans="1:122" x14ac:dyDescent="0.3">
      <c r="A173" t="s">
        <v>168</v>
      </c>
      <c r="B173">
        <v>2026</v>
      </c>
      <c r="C173">
        <v>509937582.10000002</v>
      </c>
      <c r="D173">
        <v>505017358.39999998</v>
      </c>
      <c r="E173">
        <v>486860885.69999999</v>
      </c>
      <c r="F173">
        <v>0</v>
      </c>
      <c r="G173">
        <v>660544.9</v>
      </c>
      <c r="H173">
        <v>450417231.60000002</v>
      </c>
      <c r="I173">
        <v>660544.9</v>
      </c>
      <c r="J173">
        <v>0</v>
      </c>
      <c r="K173">
        <v>4259678.8</v>
      </c>
      <c r="L173">
        <v>3.5900000000000001E-2</v>
      </c>
      <c r="M173">
        <v>5.3999999999999999E-2</v>
      </c>
      <c r="N173">
        <v>0.15</v>
      </c>
      <c r="O173">
        <v>43223.89</v>
      </c>
      <c r="P173">
        <v>112200.6</v>
      </c>
      <c r="Q173">
        <v>441.8</v>
      </c>
      <c r="R173">
        <v>34.799999999999997</v>
      </c>
      <c r="S173">
        <v>4.93</v>
      </c>
      <c r="T173">
        <v>29.7</v>
      </c>
      <c r="U173">
        <v>1470.2</v>
      </c>
      <c r="V173">
        <v>0.25</v>
      </c>
      <c r="W173">
        <v>444</v>
      </c>
      <c r="X173">
        <v>71</v>
      </c>
      <c r="Y173">
        <v>515</v>
      </c>
      <c r="Z173">
        <v>430.2</v>
      </c>
      <c r="AA173">
        <v>32.9</v>
      </c>
      <c r="AB173">
        <v>4.6399999999999997</v>
      </c>
      <c r="AC173">
        <v>30.2</v>
      </c>
      <c r="AD173">
        <v>1464.8</v>
      </c>
      <c r="AE173">
        <v>0.24</v>
      </c>
      <c r="AF173">
        <v>432.4</v>
      </c>
      <c r="AG173">
        <v>71.3</v>
      </c>
      <c r="AH173">
        <v>503.6</v>
      </c>
      <c r="AI173">
        <v>397</v>
      </c>
      <c r="AJ173">
        <v>29.9</v>
      </c>
      <c r="AK173">
        <v>4.24</v>
      </c>
      <c r="AL173">
        <v>26.9</v>
      </c>
      <c r="AM173">
        <v>1341.7</v>
      </c>
      <c r="AN173">
        <v>0.2</v>
      </c>
      <c r="AO173">
        <v>399</v>
      </c>
      <c r="AP173">
        <v>64.5</v>
      </c>
      <c r="AQ173">
        <v>463.5</v>
      </c>
      <c r="AR173">
        <v>803</v>
      </c>
      <c r="AS173">
        <v>65.099999999999994</v>
      </c>
      <c r="AT173">
        <v>9.33</v>
      </c>
      <c r="AU173">
        <v>50.7</v>
      </c>
      <c r="AV173">
        <v>2528.1999999999998</v>
      </c>
      <c r="AW173">
        <v>0.44</v>
      </c>
      <c r="AX173">
        <v>807.3</v>
      </c>
      <c r="AY173">
        <v>121.6</v>
      </c>
      <c r="AZ173">
        <v>928.9</v>
      </c>
      <c r="BA173">
        <v>194448627</v>
      </c>
      <c r="BB173">
        <v>15321.3</v>
      </c>
      <c r="BC173">
        <v>2168</v>
      </c>
      <c r="BD173">
        <v>13092046.699999999</v>
      </c>
      <c r="BE173">
        <v>647340.80000000005</v>
      </c>
      <c r="BF173">
        <v>108</v>
      </c>
      <c r="BG173">
        <v>195452144.59999999</v>
      </c>
      <c r="BH173">
        <v>31246201.899999999</v>
      </c>
      <c r="BI173">
        <v>226698346.5</v>
      </c>
      <c r="BJ173">
        <v>0</v>
      </c>
      <c r="BK173">
        <v>0</v>
      </c>
      <c r="BL173">
        <v>194448627</v>
      </c>
      <c r="BM173">
        <v>207540673.69999999</v>
      </c>
      <c r="BN173">
        <v>226698346.5</v>
      </c>
      <c r="BO173">
        <v>33.67</v>
      </c>
      <c r="BP173">
        <v>8.98</v>
      </c>
      <c r="BQ173">
        <v>0.01</v>
      </c>
      <c r="BR173">
        <v>42.66</v>
      </c>
      <c r="BS173">
        <v>35.659999999999997</v>
      </c>
      <c r="BT173">
        <v>9.7200000000000006</v>
      </c>
      <c r="BU173">
        <v>0.01</v>
      </c>
      <c r="BV173">
        <v>45.39</v>
      </c>
      <c r="BW173">
        <v>442983360</v>
      </c>
      <c r="BX173">
        <v>54600130</v>
      </c>
      <c r="BY173">
        <v>71187540</v>
      </c>
      <c r="BZ173">
        <v>117053400</v>
      </c>
      <c r="CA173">
        <v>0</v>
      </c>
      <c r="CB173">
        <v>844897.9</v>
      </c>
      <c r="CC173">
        <v>187719970</v>
      </c>
      <c r="CD173">
        <v>0</v>
      </c>
      <c r="CE173">
        <v>5139581</v>
      </c>
      <c r="CF173">
        <v>4628022</v>
      </c>
      <c r="CG173">
        <v>0</v>
      </c>
      <c r="CH173">
        <v>1247125.3999999999</v>
      </c>
      <c r="CI173">
        <v>0</v>
      </c>
      <c r="CJ173">
        <v>28583756</v>
      </c>
      <c r="CK173">
        <v>79626.899999999994</v>
      </c>
      <c r="CL173">
        <v>0</v>
      </c>
      <c r="CM173">
        <v>23612848</v>
      </c>
      <c r="CN173">
        <v>2323893</v>
      </c>
      <c r="CO173">
        <v>0</v>
      </c>
      <c r="CP173">
        <v>562756.1</v>
      </c>
      <c r="CQ173">
        <v>0</v>
      </c>
      <c r="CR173">
        <v>807.2</v>
      </c>
      <c r="CS173">
        <v>0</v>
      </c>
      <c r="CT173">
        <v>278.2</v>
      </c>
      <c r="CU173">
        <v>35730.699999999997</v>
      </c>
      <c r="CV173">
        <v>0</v>
      </c>
      <c r="CW173">
        <v>0</v>
      </c>
      <c r="CX173">
        <v>1688</v>
      </c>
      <c r="CY173">
        <v>27527.4</v>
      </c>
      <c r="CZ173">
        <v>0</v>
      </c>
      <c r="DA173">
        <v>20453.900000000001</v>
      </c>
      <c r="DB173">
        <v>0</v>
      </c>
      <c r="DC173">
        <v>1178</v>
      </c>
      <c r="DD173">
        <v>8912.5</v>
      </c>
      <c r="DE173">
        <v>2264.1</v>
      </c>
      <c r="DF173">
        <v>0</v>
      </c>
      <c r="DG173">
        <v>11015.7</v>
      </c>
      <c r="DH173">
        <v>21</v>
      </c>
      <c r="DI173">
        <v>9329.5</v>
      </c>
      <c r="DJ173">
        <v>0</v>
      </c>
      <c r="DK173">
        <v>1795.8</v>
      </c>
      <c r="DL173">
        <v>0</v>
      </c>
      <c r="DM173">
        <v>0</v>
      </c>
      <c r="DN173">
        <v>0</v>
      </c>
      <c r="DO173">
        <v>0.08</v>
      </c>
      <c r="DP173">
        <v>0</v>
      </c>
      <c r="DQ173">
        <v>0.01</v>
      </c>
      <c r="DR173">
        <v>0</v>
      </c>
    </row>
    <row r="174" spans="1:122" x14ac:dyDescent="0.3">
      <c r="A174" t="s">
        <v>168</v>
      </c>
      <c r="B174">
        <v>2028</v>
      </c>
      <c r="C174">
        <v>515908220.30000001</v>
      </c>
      <c r="D174">
        <v>510594141.10000002</v>
      </c>
      <c r="E174">
        <v>492237172.10000002</v>
      </c>
      <c r="F174">
        <v>0</v>
      </c>
      <c r="G174">
        <v>874116.3</v>
      </c>
      <c r="H174">
        <v>454144808.60000002</v>
      </c>
      <c r="I174">
        <v>874116.3</v>
      </c>
      <c r="J174">
        <v>0</v>
      </c>
      <c r="K174">
        <v>4439962.9000000004</v>
      </c>
      <c r="L174">
        <v>3.5900000000000001E-2</v>
      </c>
      <c r="M174">
        <v>5.3999999999999999E-2</v>
      </c>
      <c r="N174">
        <v>0.15</v>
      </c>
      <c r="O174">
        <v>48755.35</v>
      </c>
      <c r="P174">
        <v>113435.5</v>
      </c>
      <c r="Q174">
        <v>438.9</v>
      </c>
      <c r="R174">
        <v>35</v>
      </c>
      <c r="S174">
        <v>4.95</v>
      </c>
      <c r="T174">
        <v>29.2</v>
      </c>
      <c r="U174">
        <v>1449.9</v>
      </c>
      <c r="V174">
        <v>0.24</v>
      </c>
      <c r="W174">
        <v>441.2</v>
      </c>
      <c r="X174">
        <v>69.900000000000006</v>
      </c>
      <c r="Y174">
        <v>511.1</v>
      </c>
      <c r="Z174">
        <v>418.3</v>
      </c>
      <c r="AA174">
        <v>32.299999999999997</v>
      </c>
      <c r="AB174">
        <v>4.57</v>
      </c>
      <c r="AC174">
        <v>29.1</v>
      </c>
      <c r="AD174">
        <v>1413.5</v>
      </c>
      <c r="AE174">
        <v>0.24</v>
      </c>
      <c r="AF174">
        <v>420.5</v>
      </c>
      <c r="AG174">
        <v>68.7</v>
      </c>
      <c r="AH174">
        <v>489.2</v>
      </c>
      <c r="AI174">
        <v>339.4</v>
      </c>
      <c r="AJ174">
        <v>22.7</v>
      </c>
      <c r="AK174">
        <v>3.17</v>
      </c>
      <c r="AL174">
        <v>25.6</v>
      </c>
      <c r="AM174">
        <v>1241.0999999999999</v>
      </c>
      <c r="AN174">
        <v>0.17</v>
      </c>
      <c r="AO174">
        <v>340.9</v>
      </c>
      <c r="AP174">
        <v>60.4</v>
      </c>
      <c r="AQ174">
        <v>401.3</v>
      </c>
      <c r="AR174">
        <v>779.7</v>
      </c>
      <c r="AS174">
        <v>62.1</v>
      </c>
      <c r="AT174">
        <v>8.8699999999999992</v>
      </c>
      <c r="AU174">
        <v>50.2</v>
      </c>
      <c r="AV174">
        <v>2501.1999999999998</v>
      </c>
      <c r="AW174">
        <v>0.42</v>
      </c>
      <c r="AX174">
        <v>783.8</v>
      </c>
      <c r="AY174">
        <v>120.3</v>
      </c>
      <c r="AZ174">
        <v>904.1</v>
      </c>
      <c r="BA174">
        <v>190922422.80000001</v>
      </c>
      <c r="BB174">
        <v>15203.6</v>
      </c>
      <c r="BC174">
        <v>2153</v>
      </c>
      <c r="BD174">
        <v>12717121.699999999</v>
      </c>
      <c r="BE174">
        <v>630890.30000000005</v>
      </c>
      <c r="BF174">
        <v>106.1</v>
      </c>
      <c r="BG174">
        <v>191918679.90000001</v>
      </c>
      <c r="BH174">
        <v>30410180.600000001</v>
      </c>
      <c r="BI174">
        <v>222328860.5</v>
      </c>
      <c r="BJ174">
        <v>0</v>
      </c>
      <c r="BK174">
        <v>0</v>
      </c>
      <c r="BL174">
        <v>190922422.80000001</v>
      </c>
      <c r="BM174">
        <v>203639544.5</v>
      </c>
      <c r="BN174">
        <v>222328860.5</v>
      </c>
      <c r="BO174">
        <v>34.44</v>
      </c>
      <c r="BP174">
        <v>9.82</v>
      </c>
      <c r="BQ174">
        <v>0</v>
      </c>
      <c r="BR174">
        <v>44.27</v>
      </c>
      <c r="BS174">
        <v>36.479999999999997</v>
      </c>
      <c r="BT174">
        <v>10.61</v>
      </c>
      <c r="BU174">
        <v>0</v>
      </c>
      <c r="BV174">
        <v>47.1</v>
      </c>
      <c r="BW174">
        <v>437890800</v>
      </c>
      <c r="BX174">
        <v>56449332</v>
      </c>
      <c r="BY174">
        <v>71187540</v>
      </c>
      <c r="BZ174">
        <v>116869580</v>
      </c>
      <c r="CA174">
        <v>0</v>
      </c>
      <c r="CB174">
        <v>695495.6</v>
      </c>
      <c r="CC174">
        <v>181435740</v>
      </c>
      <c r="CD174">
        <v>0</v>
      </c>
      <c r="CE174">
        <v>4630690</v>
      </c>
      <c r="CF174">
        <v>4627530</v>
      </c>
      <c r="CG174">
        <v>0</v>
      </c>
      <c r="CH174">
        <v>1247727.8</v>
      </c>
      <c r="CI174">
        <v>0</v>
      </c>
      <c r="CJ174">
        <v>28429606</v>
      </c>
      <c r="CK174">
        <v>79197.5</v>
      </c>
      <c r="CL174">
        <v>0</v>
      </c>
      <c r="CM174">
        <v>24503114</v>
      </c>
      <c r="CN174">
        <v>3437413.5</v>
      </c>
      <c r="CO174">
        <v>0</v>
      </c>
      <c r="CP174">
        <v>747179.9</v>
      </c>
      <c r="CQ174">
        <v>0</v>
      </c>
      <c r="CR174">
        <v>974.5</v>
      </c>
      <c r="CS174">
        <v>0</v>
      </c>
      <c r="CT174">
        <v>278.2</v>
      </c>
      <c r="CU174">
        <v>33982.400000000001</v>
      </c>
      <c r="CV174">
        <v>0</v>
      </c>
      <c r="CW174">
        <v>0</v>
      </c>
      <c r="CX174">
        <v>2492.1999999999998</v>
      </c>
      <c r="CY174">
        <v>27527.4</v>
      </c>
      <c r="CZ174">
        <v>0</v>
      </c>
      <c r="DA174">
        <v>20453.900000000001</v>
      </c>
      <c r="DB174">
        <v>0</v>
      </c>
      <c r="DC174">
        <v>1178</v>
      </c>
      <c r="DD174">
        <v>8912.5</v>
      </c>
      <c r="DE174">
        <v>2074.9</v>
      </c>
      <c r="DF174">
        <v>0</v>
      </c>
      <c r="DG174">
        <v>11548.5</v>
      </c>
      <c r="DH174">
        <v>21</v>
      </c>
      <c r="DI174">
        <v>9329.5</v>
      </c>
      <c r="DJ174">
        <v>0</v>
      </c>
      <c r="DK174">
        <v>2422.3000000000002</v>
      </c>
      <c r="DL174">
        <v>0</v>
      </c>
      <c r="DM174">
        <v>0</v>
      </c>
      <c r="DN174">
        <v>0</v>
      </c>
      <c r="DO174">
        <v>0.06</v>
      </c>
      <c r="DP174">
        <v>0</v>
      </c>
      <c r="DQ174">
        <v>0.01</v>
      </c>
      <c r="DR174">
        <v>0</v>
      </c>
    </row>
    <row r="175" spans="1:122" x14ac:dyDescent="0.3">
      <c r="A175" t="s">
        <v>168</v>
      </c>
      <c r="B175">
        <v>2030</v>
      </c>
      <c r="C175">
        <v>523163843.60000002</v>
      </c>
      <c r="D175">
        <v>515995377.89999998</v>
      </c>
      <c r="E175">
        <v>497444221.60000002</v>
      </c>
      <c r="F175">
        <v>0</v>
      </c>
      <c r="G175">
        <v>2779524.2</v>
      </c>
      <c r="H175">
        <v>437843785.5</v>
      </c>
      <c r="I175">
        <v>2779524.2</v>
      </c>
      <c r="J175">
        <v>0</v>
      </c>
      <c r="K175">
        <v>4388941.4000000004</v>
      </c>
      <c r="L175">
        <v>3.5900000000000001E-2</v>
      </c>
      <c r="M175">
        <v>5.3999999999999999E-2</v>
      </c>
      <c r="N175">
        <v>0.15</v>
      </c>
      <c r="O175">
        <v>62106.239999999998</v>
      </c>
      <c r="P175">
        <v>114629.3</v>
      </c>
      <c r="Q175">
        <v>405.4</v>
      </c>
      <c r="R175">
        <v>32.200000000000003</v>
      </c>
      <c r="S175">
        <v>4.5599999999999996</v>
      </c>
      <c r="T175">
        <v>27.1</v>
      </c>
      <c r="U175">
        <v>1344.1</v>
      </c>
      <c r="V175">
        <v>0.23</v>
      </c>
      <c r="W175">
        <v>407.5</v>
      </c>
      <c r="X175">
        <v>64.8</v>
      </c>
      <c r="Y175">
        <v>472.3</v>
      </c>
      <c r="Z175">
        <v>391.2</v>
      </c>
      <c r="AA175">
        <v>30.3</v>
      </c>
      <c r="AB175">
        <v>4.28</v>
      </c>
      <c r="AC175">
        <v>27.2</v>
      </c>
      <c r="AD175">
        <v>1322.4</v>
      </c>
      <c r="AE175">
        <v>0.22</v>
      </c>
      <c r="AF175">
        <v>393.2</v>
      </c>
      <c r="AG175">
        <v>64.3</v>
      </c>
      <c r="AH175">
        <v>457.5</v>
      </c>
      <c r="AI175">
        <v>343.2</v>
      </c>
      <c r="AJ175">
        <v>17.399999999999999</v>
      </c>
      <c r="AK175">
        <v>2.34</v>
      </c>
      <c r="AL175">
        <v>30.8</v>
      </c>
      <c r="AM175">
        <v>1438.6</v>
      </c>
      <c r="AN175">
        <v>0.16</v>
      </c>
      <c r="AO175">
        <v>344.3</v>
      </c>
      <c r="AP175">
        <v>71.099999999999994</v>
      </c>
      <c r="AQ175">
        <v>415.5</v>
      </c>
      <c r="AR175">
        <v>763.3</v>
      </c>
      <c r="AS175">
        <v>60.4</v>
      </c>
      <c r="AT175">
        <v>8.66</v>
      </c>
      <c r="AU175">
        <v>49.7</v>
      </c>
      <c r="AV175">
        <v>2437.6</v>
      </c>
      <c r="AW175">
        <v>0.43</v>
      </c>
      <c r="AX175">
        <v>767.3</v>
      </c>
      <c r="AY175">
        <v>118</v>
      </c>
      <c r="AZ175">
        <v>885.3</v>
      </c>
      <c r="BA175">
        <v>179803354.19999999</v>
      </c>
      <c r="BB175">
        <v>14275.3</v>
      </c>
      <c r="BC175">
        <v>2020.1</v>
      </c>
      <c r="BD175">
        <v>12043272.5</v>
      </c>
      <c r="BE175">
        <v>596417.80000000005</v>
      </c>
      <c r="BF175">
        <v>100.2</v>
      </c>
      <c r="BG175">
        <v>180738392.69999999</v>
      </c>
      <c r="BH175">
        <v>28769525</v>
      </c>
      <c r="BI175">
        <v>209507917.59999999</v>
      </c>
      <c r="BJ175">
        <v>0</v>
      </c>
      <c r="BK175">
        <v>0</v>
      </c>
      <c r="BL175">
        <v>179803354.19999999</v>
      </c>
      <c r="BM175">
        <v>191846626.69999999</v>
      </c>
      <c r="BN175">
        <v>209507917.59999999</v>
      </c>
      <c r="BO175">
        <v>33.299999999999997</v>
      </c>
      <c r="BP175">
        <v>11.97</v>
      </c>
      <c r="BQ175">
        <v>0</v>
      </c>
      <c r="BR175">
        <v>45.28</v>
      </c>
      <c r="BS175">
        <v>35.31</v>
      </c>
      <c r="BT175">
        <v>12.96</v>
      </c>
      <c r="BU175">
        <v>0</v>
      </c>
      <c r="BV175">
        <v>48.27</v>
      </c>
      <c r="BW175">
        <v>446701660</v>
      </c>
      <c r="BX175">
        <v>78151590</v>
      </c>
      <c r="BY175">
        <v>71187540</v>
      </c>
      <c r="BZ175">
        <v>110166720</v>
      </c>
      <c r="CA175">
        <v>0</v>
      </c>
      <c r="CB175">
        <v>314291.7</v>
      </c>
      <c r="CC175">
        <v>175691540</v>
      </c>
      <c r="CD175">
        <v>0</v>
      </c>
      <c r="CE175">
        <v>2945718.8</v>
      </c>
      <c r="CF175">
        <v>4623631.5</v>
      </c>
      <c r="CG175">
        <v>0</v>
      </c>
      <c r="CH175">
        <v>1248738.8999999999</v>
      </c>
      <c r="CI175">
        <v>0</v>
      </c>
      <c r="CJ175">
        <v>28276292</v>
      </c>
      <c r="CK175">
        <v>78770.399999999994</v>
      </c>
      <c r="CL175">
        <v>0</v>
      </c>
      <c r="CM175">
        <v>44603150</v>
      </c>
      <c r="CN175">
        <v>5193378</v>
      </c>
      <c r="CO175">
        <v>0</v>
      </c>
      <c r="CP175">
        <v>2371919.7999999998</v>
      </c>
      <c r="CQ175">
        <v>0</v>
      </c>
      <c r="CR175">
        <v>2352.6</v>
      </c>
      <c r="CS175">
        <v>0</v>
      </c>
      <c r="CT175">
        <v>278.2</v>
      </c>
      <c r="CU175">
        <v>31733.200000000001</v>
      </c>
      <c r="CV175">
        <v>0</v>
      </c>
      <c r="CW175">
        <v>0</v>
      </c>
      <c r="CX175">
        <v>3787.9</v>
      </c>
      <c r="CY175">
        <v>27527.4</v>
      </c>
      <c r="CZ175">
        <v>0</v>
      </c>
      <c r="DA175">
        <v>20166.900000000001</v>
      </c>
      <c r="DB175">
        <v>0</v>
      </c>
      <c r="DC175">
        <v>1178</v>
      </c>
      <c r="DD175">
        <v>8912.5</v>
      </c>
      <c r="DE175">
        <v>1519.9</v>
      </c>
      <c r="DF175">
        <v>0</v>
      </c>
      <c r="DG175">
        <v>20586.599999999999</v>
      </c>
      <c r="DH175">
        <v>21</v>
      </c>
      <c r="DI175">
        <v>9329.5</v>
      </c>
      <c r="DJ175">
        <v>0</v>
      </c>
      <c r="DK175">
        <v>8210.7999999999993</v>
      </c>
      <c r="DL175">
        <v>0</v>
      </c>
      <c r="DM175">
        <v>0</v>
      </c>
      <c r="DN175">
        <v>0</v>
      </c>
      <c r="DO175">
        <v>0.06</v>
      </c>
      <c r="DP175">
        <v>0</v>
      </c>
      <c r="DQ175">
        <v>0.02</v>
      </c>
      <c r="DR175">
        <v>0</v>
      </c>
    </row>
    <row r="176" spans="1:122" x14ac:dyDescent="0.3">
      <c r="A176" t="s">
        <v>168</v>
      </c>
      <c r="B176">
        <v>2032</v>
      </c>
      <c r="C176">
        <v>532929663.80000001</v>
      </c>
      <c r="D176">
        <v>521714288</v>
      </c>
      <c r="E176">
        <v>502957521.19999999</v>
      </c>
      <c r="F176">
        <v>0</v>
      </c>
      <c r="G176">
        <v>6872339</v>
      </c>
      <c r="H176">
        <v>442238430.10000002</v>
      </c>
      <c r="I176">
        <v>6872339</v>
      </c>
      <c r="J176">
        <v>0</v>
      </c>
      <c r="K176">
        <v>4343036.5999999996</v>
      </c>
      <c r="L176">
        <v>3.5900000000000001E-2</v>
      </c>
      <c r="M176">
        <v>5.3999999999999999E-2</v>
      </c>
      <c r="N176">
        <v>0.15</v>
      </c>
      <c r="O176">
        <v>70874.38</v>
      </c>
      <c r="P176">
        <v>115892.9</v>
      </c>
      <c r="Q176">
        <v>387.6</v>
      </c>
      <c r="R176">
        <v>29.6</v>
      </c>
      <c r="S176">
        <v>4.17</v>
      </c>
      <c r="T176">
        <v>27</v>
      </c>
      <c r="U176">
        <v>1323.6</v>
      </c>
      <c r="V176">
        <v>0.22</v>
      </c>
      <c r="W176">
        <v>389.6</v>
      </c>
      <c r="X176">
        <v>64.2</v>
      </c>
      <c r="Y176">
        <v>453.7</v>
      </c>
      <c r="Z176">
        <v>377</v>
      </c>
      <c r="AA176">
        <v>28.1</v>
      </c>
      <c r="AB176">
        <v>3.95</v>
      </c>
      <c r="AC176">
        <v>27.2</v>
      </c>
      <c r="AD176">
        <v>1309.4000000000001</v>
      </c>
      <c r="AE176">
        <v>0.22</v>
      </c>
      <c r="AF176">
        <v>378.8</v>
      </c>
      <c r="AG176">
        <v>64</v>
      </c>
      <c r="AH176">
        <v>442.8</v>
      </c>
      <c r="AI176">
        <v>323.89999999999998</v>
      </c>
      <c r="AJ176">
        <v>8.5</v>
      </c>
      <c r="AK176">
        <v>0.98</v>
      </c>
      <c r="AL176">
        <v>36.1</v>
      </c>
      <c r="AM176">
        <v>1614.8</v>
      </c>
      <c r="AN176">
        <v>0.14000000000000001</v>
      </c>
      <c r="AO176">
        <v>324.39999999999998</v>
      </c>
      <c r="AP176">
        <v>81.400000000000006</v>
      </c>
      <c r="AQ176">
        <v>405.8</v>
      </c>
      <c r="AR176">
        <v>750</v>
      </c>
      <c r="AS176">
        <v>59.4</v>
      </c>
      <c r="AT176">
        <v>8.48</v>
      </c>
      <c r="AU176">
        <v>48.6</v>
      </c>
      <c r="AV176">
        <v>2414.1999999999998</v>
      </c>
      <c r="AW176">
        <v>0.41</v>
      </c>
      <c r="AX176">
        <v>753.9</v>
      </c>
      <c r="AY176">
        <v>116.3</v>
      </c>
      <c r="AZ176">
        <v>870.2</v>
      </c>
      <c r="BA176">
        <v>176273866.19999999</v>
      </c>
      <c r="BB176">
        <v>13454.3</v>
      </c>
      <c r="BC176">
        <v>1896.6</v>
      </c>
      <c r="BD176">
        <v>12305666.199999999</v>
      </c>
      <c r="BE176">
        <v>602184.5</v>
      </c>
      <c r="BF176">
        <v>98</v>
      </c>
      <c r="BG176">
        <v>177153188.69999999</v>
      </c>
      <c r="BH176">
        <v>29192789.5</v>
      </c>
      <c r="BI176">
        <v>206345978.19999999</v>
      </c>
      <c r="BJ176">
        <v>0</v>
      </c>
      <c r="BK176">
        <v>0</v>
      </c>
      <c r="BL176">
        <v>176273866.19999999</v>
      </c>
      <c r="BM176">
        <v>188579532.40000001</v>
      </c>
      <c r="BN176">
        <v>206345978.19999999</v>
      </c>
      <c r="BO176">
        <v>32.36</v>
      </c>
      <c r="BP176">
        <v>13.57</v>
      </c>
      <c r="BQ176">
        <v>0</v>
      </c>
      <c r="BR176">
        <v>45.94</v>
      </c>
      <c r="BS176">
        <v>34.35</v>
      </c>
      <c r="BT176">
        <v>14.8</v>
      </c>
      <c r="BU176">
        <v>0</v>
      </c>
      <c r="BV176">
        <v>49.16</v>
      </c>
      <c r="BW176">
        <v>458032480</v>
      </c>
      <c r="BX176">
        <v>79475860</v>
      </c>
      <c r="BY176">
        <v>71187540</v>
      </c>
      <c r="BZ176">
        <v>102723740</v>
      </c>
      <c r="CA176">
        <v>0</v>
      </c>
      <c r="CB176">
        <v>176333.1</v>
      </c>
      <c r="CC176">
        <v>190598320</v>
      </c>
      <c r="CD176">
        <v>0</v>
      </c>
      <c r="CE176">
        <v>2123930.2000000002</v>
      </c>
      <c r="CF176">
        <v>4624430.5</v>
      </c>
      <c r="CG176">
        <v>0</v>
      </c>
      <c r="CH176">
        <v>1245270.3999999999</v>
      </c>
      <c r="CI176">
        <v>0</v>
      </c>
      <c r="CJ176">
        <v>28123812</v>
      </c>
      <c r="CK176">
        <v>78345.600000000006</v>
      </c>
      <c r="CL176">
        <v>0</v>
      </c>
      <c r="CM176">
        <v>44225376</v>
      </c>
      <c r="CN176">
        <v>7048326.5</v>
      </c>
      <c r="CO176">
        <v>0</v>
      </c>
      <c r="CP176">
        <v>5877069.5</v>
      </c>
      <c r="CQ176">
        <v>0</v>
      </c>
      <c r="CR176">
        <v>5028.3999999999996</v>
      </c>
      <c r="CS176">
        <v>0</v>
      </c>
      <c r="CT176">
        <v>278.2</v>
      </c>
      <c r="CU176">
        <v>31733.200000000001</v>
      </c>
      <c r="CV176">
        <v>0</v>
      </c>
      <c r="CW176">
        <v>0</v>
      </c>
      <c r="CX176">
        <v>5140.3</v>
      </c>
      <c r="CY176">
        <v>29988.799999999999</v>
      </c>
      <c r="CZ176">
        <v>0</v>
      </c>
      <c r="DA176">
        <v>20498.099999999999</v>
      </c>
      <c r="DB176">
        <v>0</v>
      </c>
      <c r="DC176">
        <v>1178</v>
      </c>
      <c r="DD176">
        <v>8912.5</v>
      </c>
      <c r="DE176">
        <v>1519.9</v>
      </c>
      <c r="DF176">
        <v>0</v>
      </c>
      <c r="DG176">
        <v>20586.599999999999</v>
      </c>
      <c r="DH176">
        <v>21</v>
      </c>
      <c r="DI176">
        <v>9329.5</v>
      </c>
      <c r="DJ176">
        <v>0</v>
      </c>
      <c r="DK176">
        <v>18628.3</v>
      </c>
      <c r="DL176">
        <v>0</v>
      </c>
      <c r="DM176">
        <v>0</v>
      </c>
      <c r="DN176">
        <v>0</v>
      </c>
      <c r="DO176">
        <v>0.06</v>
      </c>
      <c r="DP176">
        <v>0</v>
      </c>
      <c r="DQ176">
        <v>0.02</v>
      </c>
      <c r="DR176">
        <v>0</v>
      </c>
    </row>
    <row r="177" spans="1:122" x14ac:dyDescent="0.3">
      <c r="A177" t="s">
        <v>168</v>
      </c>
      <c r="B177">
        <v>2034</v>
      </c>
      <c r="C177">
        <v>539012801.89999998</v>
      </c>
      <c r="D177">
        <v>527960697.89999998</v>
      </c>
      <c r="E177">
        <v>508979358.39999998</v>
      </c>
      <c r="F177">
        <v>0</v>
      </c>
      <c r="G177">
        <v>6715659</v>
      </c>
      <c r="H177">
        <v>447676155.10000002</v>
      </c>
      <c r="I177">
        <v>6715659</v>
      </c>
      <c r="J177">
        <v>0</v>
      </c>
      <c r="K177">
        <v>4336444.5999999996</v>
      </c>
      <c r="L177">
        <v>3.5900000000000001E-2</v>
      </c>
      <c r="M177">
        <v>5.3999999999999999E-2</v>
      </c>
      <c r="N177">
        <v>0.15</v>
      </c>
      <c r="O177">
        <v>76040.160000000003</v>
      </c>
      <c r="P177">
        <v>117283.6</v>
      </c>
      <c r="Q177">
        <v>377.5</v>
      </c>
      <c r="R177">
        <v>27.8</v>
      </c>
      <c r="S177">
        <v>3.9</v>
      </c>
      <c r="T177">
        <v>27.3</v>
      </c>
      <c r="U177">
        <v>1323.2</v>
      </c>
      <c r="V177">
        <v>0.21</v>
      </c>
      <c r="W177">
        <v>379.4</v>
      </c>
      <c r="X177">
        <v>64.400000000000006</v>
      </c>
      <c r="Y177">
        <v>443.8</v>
      </c>
      <c r="Z177">
        <v>364.4</v>
      </c>
      <c r="AA177">
        <v>26.2</v>
      </c>
      <c r="AB177">
        <v>3.67</v>
      </c>
      <c r="AC177">
        <v>27.2</v>
      </c>
      <c r="AD177">
        <v>1297</v>
      </c>
      <c r="AE177">
        <v>0.21</v>
      </c>
      <c r="AF177">
        <v>366.1</v>
      </c>
      <c r="AG177">
        <v>63.6</v>
      </c>
      <c r="AH177">
        <v>429.7</v>
      </c>
      <c r="AI177">
        <v>334.9</v>
      </c>
      <c r="AJ177">
        <v>6.9</v>
      </c>
      <c r="AK177">
        <v>0.72</v>
      </c>
      <c r="AL177">
        <v>39.1</v>
      </c>
      <c r="AM177">
        <v>1733.5</v>
      </c>
      <c r="AN177">
        <v>0.15</v>
      </c>
      <c r="AO177">
        <v>335.3</v>
      </c>
      <c r="AP177">
        <v>87.7</v>
      </c>
      <c r="AQ177">
        <v>423</v>
      </c>
      <c r="AR177">
        <v>734.6</v>
      </c>
      <c r="AS177">
        <v>57.7</v>
      </c>
      <c r="AT177">
        <v>8.2100000000000009</v>
      </c>
      <c r="AU177">
        <v>47.6</v>
      </c>
      <c r="AV177">
        <v>2405</v>
      </c>
      <c r="AW177">
        <v>0.38</v>
      </c>
      <c r="AX177">
        <v>738.4</v>
      </c>
      <c r="AY177">
        <v>115.1</v>
      </c>
      <c r="AZ177">
        <v>853.5</v>
      </c>
      <c r="BA177">
        <v>174493874.59999999</v>
      </c>
      <c r="BB177">
        <v>12833</v>
      </c>
      <c r="BC177">
        <v>1802.1</v>
      </c>
      <c r="BD177">
        <v>12623303.300000001</v>
      </c>
      <c r="BE177">
        <v>611850.80000000005</v>
      </c>
      <c r="BF177">
        <v>96.6</v>
      </c>
      <c r="BG177">
        <v>175330764.5</v>
      </c>
      <c r="BH177">
        <v>29780711.800000001</v>
      </c>
      <c r="BI177">
        <v>205111476.30000001</v>
      </c>
      <c r="BJ177">
        <v>0</v>
      </c>
      <c r="BK177">
        <v>0</v>
      </c>
      <c r="BL177">
        <v>174493874.59999999</v>
      </c>
      <c r="BM177">
        <v>187117177.90000001</v>
      </c>
      <c r="BN177">
        <v>205111476.30000001</v>
      </c>
      <c r="BO177">
        <v>31.99</v>
      </c>
      <c r="BP177">
        <v>14.56</v>
      </c>
      <c r="BQ177">
        <v>0</v>
      </c>
      <c r="BR177">
        <v>46.54</v>
      </c>
      <c r="BS177">
        <v>33.950000000000003</v>
      </c>
      <c r="BT177">
        <v>15.87</v>
      </c>
      <c r="BU177">
        <v>0</v>
      </c>
      <c r="BV177">
        <v>49.82</v>
      </c>
      <c r="BW177">
        <v>465480640</v>
      </c>
      <c r="BX177">
        <v>80284540</v>
      </c>
      <c r="BY177">
        <v>71187540</v>
      </c>
      <c r="BZ177">
        <v>96703544</v>
      </c>
      <c r="CA177">
        <v>0</v>
      </c>
      <c r="CB177">
        <v>25694.799999999999</v>
      </c>
      <c r="CC177">
        <v>203496020</v>
      </c>
      <c r="CD177">
        <v>0</v>
      </c>
      <c r="CE177">
        <v>2188331.2000000002</v>
      </c>
      <c r="CF177">
        <v>4624568.5</v>
      </c>
      <c r="CG177">
        <v>0</v>
      </c>
      <c r="CH177">
        <v>1244698</v>
      </c>
      <c r="CI177">
        <v>0</v>
      </c>
      <c r="CJ177">
        <v>27647724</v>
      </c>
      <c r="CK177">
        <v>77923.199999999997</v>
      </c>
      <c r="CL177">
        <v>0</v>
      </c>
      <c r="CM177">
        <v>43702930</v>
      </c>
      <c r="CN177">
        <v>8855967</v>
      </c>
      <c r="CO177">
        <v>0</v>
      </c>
      <c r="CP177">
        <v>5725748.5</v>
      </c>
      <c r="CQ177">
        <v>0</v>
      </c>
      <c r="CR177">
        <v>5015.5</v>
      </c>
      <c r="CS177">
        <v>0</v>
      </c>
      <c r="CT177">
        <v>278.2</v>
      </c>
      <c r="CU177">
        <v>31100.9</v>
      </c>
      <c r="CV177">
        <v>0</v>
      </c>
      <c r="CW177">
        <v>0</v>
      </c>
      <c r="CX177">
        <v>6481.9</v>
      </c>
      <c r="CY177">
        <v>32442.9</v>
      </c>
      <c r="CZ177">
        <v>0</v>
      </c>
      <c r="DA177">
        <v>21376.2</v>
      </c>
      <c r="DB177">
        <v>0</v>
      </c>
      <c r="DC177">
        <v>1178</v>
      </c>
      <c r="DD177">
        <v>8912.5</v>
      </c>
      <c r="DE177">
        <v>398.8</v>
      </c>
      <c r="DF177">
        <v>0</v>
      </c>
      <c r="DG177">
        <v>20586.599999999999</v>
      </c>
      <c r="DH177">
        <v>21</v>
      </c>
      <c r="DI177">
        <v>9183.7000000000007</v>
      </c>
      <c r="DJ177">
        <v>0</v>
      </c>
      <c r="DK177">
        <v>18604.5</v>
      </c>
      <c r="DL177">
        <v>0</v>
      </c>
      <c r="DM177">
        <v>0</v>
      </c>
      <c r="DN177">
        <v>0</v>
      </c>
      <c r="DO177">
        <v>0.06</v>
      </c>
      <c r="DP177">
        <v>0</v>
      </c>
      <c r="DQ177">
        <v>0.02</v>
      </c>
      <c r="DR177">
        <v>0</v>
      </c>
    </row>
    <row r="178" spans="1:122" x14ac:dyDescent="0.3">
      <c r="A178" t="s">
        <v>168</v>
      </c>
      <c r="B178">
        <v>2036</v>
      </c>
      <c r="C178">
        <v>546461744.89999998</v>
      </c>
      <c r="D178">
        <v>535112671.89999998</v>
      </c>
      <c r="E178">
        <v>515874200.89999998</v>
      </c>
      <c r="F178">
        <v>0</v>
      </c>
      <c r="G178">
        <v>6810159</v>
      </c>
      <c r="H178">
        <v>452286076.10000002</v>
      </c>
      <c r="I178">
        <v>6810159</v>
      </c>
      <c r="J178">
        <v>0</v>
      </c>
      <c r="K178">
        <v>4538913.5</v>
      </c>
      <c r="L178">
        <v>3.5900000000000001E-2</v>
      </c>
      <c r="M178">
        <v>5.3999999999999999E-2</v>
      </c>
      <c r="N178">
        <v>0.15</v>
      </c>
      <c r="O178">
        <v>78529.94</v>
      </c>
      <c r="P178">
        <v>118863.2</v>
      </c>
      <c r="Q178">
        <v>365.8</v>
      </c>
      <c r="R178">
        <v>25.5</v>
      </c>
      <c r="S178">
        <v>3.56</v>
      </c>
      <c r="T178">
        <v>27.7</v>
      </c>
      <c r="U178">
        <v>1327.6</v>
      </c>
      <c r="V178">
        <v>0.2</v>
      </c>
      <c r="W178">
        <v>367.5</v>
      </c>
      <c r="X178">
        <v>65</v>
      </c>
      <c r="Y178">
        <v>432.5</v>
      </c>
      <c r="Z178">
        <v>353.7</v>
      </c>
      <c r="AA178">
        <v>24.1</v>
      </c>
      <c r="AB178">
        <v>3.36</v>
      </c>
      <c r="AC178">
        <v>27.6</v>
      </c>
      <c r="AD178">
        <v>1300.5</v>
      </c>
      <c r="AE178">
        <v>0.2</v>
      </c>
      <c r="AF178">
        <v>355.3</v>
      </c>
      <c r="AG178">
        <v>64.099999999999994</v>
      </c>
      <c r="AH178">
        <v>419.3</v>
      </c>
      <c r="AI178">
        <v>334.7</v>
      </c>
      <c r="AJ178">
        <v>8</v>
      </c>
      <c r="AK178">
        <v>0.89</v>
      </c>
      <c r="AL178">
        <v>38</v>
      </c>
      <c r="AM178">
        <v>1695.3</v>
      </c>
      <c r="AN178">
        <v>0.15</v>
      </c>
      <c r="AO178">
        <v>335.1</v>
      </c>
      <c r="AP178">
        <v>85.5</v>
      </c>
      <c r="AQ178">
        <v>420.7</v>
      </c>
      <c r="AR178">
        <v>709.6</v>
      </c>
      <c r="AS178">
        <v>54.5</v>
      </c>
      <c r="AT178">
        <v>7.75</v>
      </c>
      <c r="AU178">
        <v>47.2</v>
      </c>
      <c r="AV178">
        <v>2356.1</v>
      </c>
      <c r="AW178">
        <v>0.37</v>
      </c>
      <c r="AX178">
        <v>713.2</v>
      </c>
      <c r="AY178">
        <v>113.2</v>
      </c>
      <c r="AZ178">
        <v>826.4</v>
      </c>
      <c r="BA178">
        <v>175960184.80000001</v>
      </c>
      <c r="BB178">
        <v>12251.5</v>
      </c>
      <c r="BC178">
        <v>1710.9</v>
      </c>
      <c r="BD178">
        <v>13346817.5</v>
      </c>
      <c r="BE178">
        <v>638815</v>
      </c>
      <c r="BF178">
        <v>96.8</v>
      </c>
      <c r="BG178">
        <v>176756605.30000001</v>
      </c>
      <c r="BH178">
        <v>31259286</v>
      </c>
      <c r="BI178">
        <v>208015891.30000001</v>
      </c>
      <c r="BJ178">
        <v>0</v>
      </c>
      <c r="BK178">
        <v>0</v>
      </c>
      <c r="BL178">
        <v>175960184.80000001</v>
      </c>
      <c r="BM178">
        <v>189307002.40000001</v>
      </c>
      <c r="BN178">
        <v>208015891.30000001</v>
      </c>
      <c r="BO178">
        <v>31.29</v>
      </c>
      <c r="BP178">
        <v>15.04</v>
      </c>
      <c r="BQ178">
        <v>0.05</v>
      </c>
      <c r="BR178">
        <v>46.38</v>
      </c>
      <c r="BS178">
        <v>33.200000000000003</v>
      </c>
      <c r="BT178">
        <v>16.399999999999999</v>
      </c>
      <c r="BU178">
        <v>0.06</v>
      </c>
      <c r="BV178">
        <v>49.66</v>
      </c>
      <c r="BW178">
        <v>484351040</v>
      </c>
      <c r="BX178">
        <v>82826590</v>
      </c>
      <c r="BY178">
        <v>71187540</v>
      </c>
      <c r="BZ178">
        <v>90736150</v>
      </c>
      <c r="CA178">
        <v>0</v>
      </c>
      <c r="CB178">
        <v>17898</v>
      </c>
      <c r="CC178">
        <v>225919520</v>
      </c>
      <c r="CD178">
        <v>0</v>
      </c>
      <c r="CE178">
        <v>2013029.6</v>
      </c>
      <c r="CF178">
        <v>4624052.5</v>
      </c>
      <c r="CG178">
        <v>0</v>
      </c>
      <c r="CH178">
        <v>1201228.3999999999</v>
      </c>
      <c r="CI178">
        <v>0</v>
      </c>
      <c r="CJ178">
        <v>27491184</v>
      </c>
      <c r="CK178">
        <v>77502.899999999994</v>
      </c>
      <c r="CL178">
        <v>0</v>
      </c>
      <c r="CM178">
        <v>44355892</v>
      </c>
      <c r="CN178">
        <v>10902019</v>
      </c>
      <c r="CO178">
        <v>0</v>
      </c>
      <c r="CP178">
        <v>5825040.5</v>
      </c>
      <c r="CQ178">
        <v>0</v>
      </c>
      <c r="CR178">
        <v>5102.6000000000004</v>
      </c>
      <c r="CS178">
        <v>0</v>
      </c>
      <c r="CT178">
        <v>269.39999999999998</v>
      </c>
      <c r="CU178">
        <v>30769.8</v>
      </c>
      <c r="CV178">
        <v>0</v>
      </c>
      <c r="CW178">
        <v>0</v>
      </c>
      <c r="CX178">
        <v>8006.7</v>
      </c>
      <c r="CY178">
        <v>35911.300000000003</v>
      </c>
      <c r="CZ178">
        <v>0</v>
      </c>
      <c r="DA178">
        <v>21605.4</v>
      </c>
      <c r="DB178">
        <v>0</v>
      </c>
      <c r="DC178">
        <v>1178</v>
      </c>
      <c r="DD178">
        <v>8912.5</v>
      </c>
      <c r="DE178">
        <v>398.8</v>
      </c>
      <c r="DF178">
        <v>0</v>
      </c>
      <c r="DG178">
        <v>21102.5</v>
      </c>
      <c r="DH178">
        <v>21</v>
      </c>
      <c r="DI178">
        <v>9180.1</v>
      </c>
      <c r="DJ178">
        <v>0</v>
      </c>
      <c r="DK178">
        <v>19010.3</v>
      </c>
      <c r="DL178">
        <v>0</v>
      </c>
      <c r="DM178">
        <v>0</v>
      </c>
      <c r="DN178">
        <v>0.1</v>
      </c>
      <c r="DO178">
        <v>0.06</v>
      </c>
      <c r="DP178">
        <v>0</v>
      </c>
      <c r="DQ178">
        <v>0.03</v>
      </c>
      <c r="DR178">
        <v>0</v>
      </c>
    </row>
    <row r="179" spans="1:122" x14ac:dyDescent="0.3">
      <c r="A179" t="s">
        <v>168</v>
      </c>
      <c r="B179">
        <v>2038</v>
      </c>
      <c r="C179">
        <v>554888623.10000002</v>
      </c>
      <c r="D179">
        <v>543161733.89999998</v>
      </c>
      <c r="E179">
        <v>523633877.89999998</v>
      </c>
      <c r="F179">
        <v>0</v>
      </c>
      <c r="G179">
        <v>7002273.5</v>
      </c>
      <c r="H179">
        <v>459212072.39999998</v>
      </c>
      <c r="I179">
        <v>7002273.5</v>
      </c>
      <c r="J179">
        <v>0</v>
      </c>
      <c r="K179">
        <v>4724615.5</v>
      </c>
      <c r="L179">
        <v>3.5900000000000001E-2</v>
      </c>
      <c r="M179">
        <v>5.3999999999999999E-2</v>
      </c>
      <c r="N179">
        <v>0.15</v>
      </c>
      <c r="O179">
        <v>80239.789999999994</v>
      </c>
      <c r="P179">
        <v>120647.6</v>
      </c>
      <c r="Q179">
        <v>349.4</v>
      </c>
      <c r="R179">
        <v>22.3</v>
      </c>
      <c r="S179">
        <v>3.09</v>
      </c>
      <c r="T179">
        <v>28.3</v>
      </c>
      <c r="U179">
        <v>1331.3</v>
      </c>
      <c r="V179">
        <v>0.19</v>
      </c>
      <c r="W179">
        <v>350.9</v>
      </c>
      <c r="X179">
        <v>65.599999999999994</v>
      </c>
      <c r="Y179">
        <v>416.5</v>
      </c>
      <c r="Z179">
        <v>339.7</v>
      </c>
      <c r="AA179">
        <v>21.3</v>
      </c>
      <c r="AB179">
        <v>2.94</v>
      </c>
      <c r="AC179">
        <v>28.2</v>
      </c>
      <c r="AD179">
        <v>1307.5999999999999</v>
      </c>
      <c r="AE179">
        <v>0.19</v>
      </c>
      <c r="AF179">
        <v>341</v>
      </c>
      <c r="AG179">
        <v>64.8</v>
      </c>
      <c r="AH179">
        <v>405.9</v>
      </c>
      <c r="AI179">
        <v>353.4</v>
      </c>
      <c r="AJ179">
        <v>12.1</v>
      </c>
      <c r="AK179">
        <v>1.5</v>
      </c>
      <c r="AL179">
        <v>36.9</v>
      </c>
      <c r="AM179">
        <v>1675.8</v>
      </c>
      <c r="AN179">
        <v>0.16</v>
      </c>
      <c r="AO179">
        <v>354.1</v>
      </c>
      <c r="AP179">
        <v>83.8</v>
      </c>
      <c r="AQ179">
        <v>438</v>
      </c>
      <c r="AR179">
        <v>691.8</v>
      </c>
      <c r="AS179">
        <v>52.3</v>
      </c>
      <c r="AT179">
        <v>7.42</v>
      </c>
      <c r="AU179">
        <v>46.7</v>
      </c>
      <c r="AV179">
        <v>2329.1</v>
      </c>
      <c r="AW179">
        <v>0.36</v>
      </c>
      <c r="AX179">
        <v>695.2</v>
      </c>
      <c r="AY179">
        <v>112</v>
      </c>
      <c r="AZ179">
        <v>807.2</v>
      </c>
      <c r="BA179">
        <v>174079769.19999999</v>
      </c>
      <c r="BB179">
        <v>11124.3</v>
      </c>
      <c r="BC179">
        <v>1538.8</v>
      </c>
      <c r="BD179">
        <v>14114237.699999999</v>
      </c>
      <c r="BE179">
        <v>663545.4</v>
      </c>
      <c r="BF179">
        <v>95.3</v>
      </c>
      <c r="BG179">
        <v>174799029.30000001</v>
      </c>
      <c r="BH179">
        <v>32718758.399999999</v>
      </c>
      <c r="BI179">
        <v>207517787.69999999</v>
      </c>
      <c r="BJ179">
        <v>0</v>
      </c>
      <c r="BK179">
        <v>0</v>
      </c>
      <c r="BL179">
        <v>174079769.19999999</v>
      </c>
      <c r="BM179">
        <v>188194006.90000001</v>
      </c>
      <c r="BN179">
        <v>207517787.69999999</v>
      </c>
      <c r="BO179">
        <v>30.44</v>
      </c>
      <c r="BP179">
        <v>15.36</v>
      </c>
      <c r="BQ179">
        <v>7.0000000000000007E-2</v>
      </c>
      <c r="BR179">
        <v>45.87</v>
      </c>
      <c r="BS179">
        <v>32.299999999999997</v>
      </c>
      <c r="BT179">
        <v>16.760000000000002</v>
      </c>
      <c r="BU179">
        <v>7.0000000000000007E-2</v>
      </c>
      <c r="BV179">
        <v>49.13</v>
      </c>
      <c r="BW179">
        <v>501653300</v>
      </c>
      <c r="BX179">
        <v>83949660</v>
      </c>
      <c r="BY179">
        <v>71187540</v>
      </c>
      <c r="BZ179">
        <v>79928080</v>
      </c>
      <c r="CA179">
        <v>0</v>
      </c>
      <c r="CB179">
        <v>16933.599999999999</v>
      </c>
      <c r="CC179">
        <v>252904140</v>
      </c>
      <c r="CD179">
        <v>0</v>
      </c>
      <c r="CE179">
        <v>1885904.4</v>
      </c>
      <c r="CF179">
        <v>4624635.5</v>
      </c>
      <c r="CG179">
        <v>0</v>
      </c>
      <c r="CH179">
        <v>1186720.6000000001</v>
      </c>
      <c r="CI179">
        <v>0</v>
      </c>
      <c r="CJ179">
        <v>27130036</v>
      </c>
      <c r="CK179">
        <v>77084.899999999994</v>
      </c>
      <c r="CL179">
        <v>0</v>
      </c>
      <c r="CM179">
        <v>43776536</v>
      </c>
      <c r="CN179">
        <v>12966006</v>
      </c>
      <c r="CO179">
        <v>0</v>
      </c>
      <c r="CP179">
        <v>5969704.5</v>
      </c>
      <c r="CQ179">
        <v>0</v>
      </c>
      <c r="CR179">
        <v>5276.1</v>
      </c>
      <c r="CS179">
        <v>0</v>
      </c>
      <c r="CT179">
        <v>266.5</v>
      </c>
      <c r="CU179">
        <v>30339.9</v>
      </c>
      <c r="CV179">
        <v>0</v>
      </c>
      <c r="CW179">
        <v>0</v>
      </c>
      <c r="CX179">
        <v>9566.5</v>
      </c>
      <c r="CY179">
        <v>39435.1</v>
      </c>
      <c r="CZ179">
        <v>0</v>
      </c>
      <c r="DA179">
        <v>21827.200000000001</v>
      </c>
      <c r="DB179">
        <v>0</v>
      </c>
      <c r="DC179">
        <v>1178</v>
      </c>
      <c r="DD179">
        <v>8912.5</v>
      </c>
      <c r="DE179">
        <v>398.8</v>
      </c>
      <c r="DF179">
        <v>0</v>
      </c>
      <c r="DG179">
        <v>21102.5</v>
      </c>
      <c r="DH179">
        <v>21</v>
      </c>
      <c r="DI179">
        <v>9097.6</v>
      </c>
      <c r="DJ179">
        <v>0</v>
      </c>
      <c r="DK179">
        <v>19752.5</v>
      </c>
      <c r="DL179">
        <v>0</v>
      </c>
      <c r="DM179">
        <v>0</v>
      </c>
      <c r="DN179">
        <v>0.1</v>
      </c>
      <c r="DO179">
        <v>0.06</v>
      </c>
      <c r="DP179">
        <v>0</v>
      </c>
      <c r="DQ179">
        <v>0.03</v>
      </c>
      <c r="DR179">
        <v>0</v>
      </c>
    </row>
    <row r="180" spans="1:122" x14ac:dyDescent="0.3">
      <c r="A180" t="s">
        <v>168</v>
      </c>
      <c r="B180">
        <v>2040</v>
      </c>
      <c r="C180">
        <v>565020003.60000002</v>
      </c>
      <c r="D180">
        <v>550759874.89999998</v>
      </c>
      <c r="E180">
        <v>530958845.30000001</v>
      </c>
      <c r="F180">
        <v>0</v>
      </c>
      <c r="G180">
        <v>9668853</v>
      </c>
      <c r="H180">
        <v>469832757</v>
      </c>
      <c r="I180">
        <v>9668853</v>
      </c>
      <c r="J180">
        <v>0</v>
      </c>
      <c r="K180">
        <v>4591275.8</v>
      </c>
      <c r="L180">
        <v>3.5900000000000001E-2</v>
      </c>
      <c r="M180">
        <v>5.3999999999999999E-2</v>
      </c>
      <c r="N180">
        <v>0.15</v>
      </c>
      <c r="O180">
        <v>81109.929999999993</v>
      </c>
      <c r="P180">
        <v>122326.8</v>
      </c>
      <c r="Q180">
        <v>341.6</v>
      </c>
      <c r="R180">
        <v>20.7</v>
      </c>
      <c r="S180">
        <v>2.84</v>
      </c>
      <c r="T180">
        <v>28.8</v>
      </c>
      <c r="U180">
        <v>1339.2</v>
      </c>
      <c r="V180">
        <v>0.19</v>
      </c>
      <c r="W180">
        <v>342.9</v>
      </c>
      <c r="X180">
        <v>66.3</v>
      </c>
      <c r="Y180">
        <v>409.2</v>
      </c>
      <c r="Z180">
        <v>332.9</v>
      </c>
      <c r="AA180">
        <v>19.8</v>
      </c>
      <c r="AB180">
        <v>2.72</v>
      </c>
      <c r="AC180">
        <v>28.6</v>
      </c>
      <c r="AD180">
        <v>1316</v>
      </c>
      <c r="AE180">
        <v>0.19</v>
      </c>
      <c r="AF180">
        <v>334.2</v>
      </c>
      <c r="AG180">
        <v>65.5</v>
      </c>
      <c r="AH180">
        <v>399.6</v>
      </c>
      <c r="AI180">
        <v>336</v>
      </c>
      <c r="AJ180">
        <v>12.2</v>
      </c>
      <c r="AK180">
        <v>1.54</v>
      </c>
      <c r="AL180">
        <v>34.4</v>
      </c>
      <c r="AM180">
        <v>1569.9</v>
      </c>
      <c r="AN180">
        <v>0.15</v>
      </c>
      <c r="AO180">
        <v>336.7</v>
      </c>
      <c r="AP180">
        <v>78.400000000000006</v>
      </c>
      <c r="AQ180">
        <v>415.1</v>
      </c>
      <c r="AR180">
        <v>682.5</v>
      </c>
      <c r="AS180">
        <v>50.9</v>
      </c>
      <c r="AT180">
        <v>7.22</v>
      </c>
      <c r="AU180">
        <v>46.7</v>
      </c>
      <c r="AV180">
        <v>2318.3000000000002</v>
      </c>
      <c r="AW180">
        <v>0.35</v>
      </c>
      <c r="AX180">
        <v>685.9</v>
      </c>
      <c r="AY180">
        <v>111.7</v>
      </c>
      <c r="AZ180">
        <v>797.6</v>
      </c>
      <c r="BA180">
        <v>173793842.40000001</v>
      </c>
      <c r="BB180">
        <v>10500.5</v>
      </c>
      <c r="BC180">
        <v>1442.8</v>
      </c>
      <c r="BD180">
        <v>14640338.199999999</v>
      </c>
      <c r="BE180">
        <v>681634.3</v>
      </c>
      <c r="BF180">
        <v>94.8</v>
      </c>
      <c r="BG180">
        <v>174470196</v>
      </c>
      <c r="BH180">
        <v>33751208.899999999</v>
      </c>
      <c r="BI180">
        <v>208221404.90000001</v>
      </c>
      <c r="BJ180">
        <v>0</v>
      </c>
      <c r="BK180">
        <v>0</v>
      </c>
      <c r="BL180">
        <v>173793842.40000001</v>
      </c>
      <c r="BM180">
        <v>188434180.59999999</v>
      </c>
      <c r="BN180">
        <v>208221404.90000001</v>
      </c>
      <c r="BO180">
        <v>30.02</v>
      </c>
      <c r="BP180">
        <v>15.43</v>
      </c>
      <c r="BQ180">
        <v>0.19</v>
      </c>
      <c r="BR180">
        <v>45.64</v>
      </c>
      <c r="BS180">
        <v>31.87</v>
      </c>
      <c r="BT180">
        <v>16.899999999999999</v>
      </c>
      <c r="BU180">
        <v>0.2</v>
      </c>
      <c r="BV180">
        <v>48.97</v>
      </c>
      <c r="BW180">
        <v>512210750</v>
      </c>
      <c r="BX180">
        <v>80927120</v>
      </c>
      <c r="BY180">
        <v>71187540</v>
      </c>
      <c r="BZ180">
        <v>73937540</v>
      </c>
      <c r="CA180">
        <v>0</v>
      </c>
      <c r="CB180">
        <v>13047.8</v>
      </c>
      <c r="CC180">
        <v>270262940</v>
      </c>
      <c r="CD180">
        <v>0</v>
      </c>
      <c r="CE180">
        <v>1809549.6</v>
      </c>
      <c r="CF180">
        <v>4624052</v>
      </c>
      <c r="CG180">
        <v>0</v>
      </c>
      <c r="CH180">
        <v>1172339.2</v>
      </c>
      <c r="CI180">
        <v>0</v>
      </c>
      <c r="CJ180">
        <v>21913648</v>
      </c>
      <c r="CK180">
        <v>76645.3</v>
      </c>
      <c r="CL180">
        <v>0</v>
      </c>
      <c r="CM180">
        <v>44058056</v>
      </c>
      <c r="CN180">
        <v>14878770</v>
      </c>
      <c r="CO180">
        <v>0</v>
      </c>
      <c r="CP180">
        <v>8276635</v>
      </c>
      <c r="CQ180">
        <v>0</v>
      </c>
      <c r="CR180">
        <v>7071.4</v>
      </c>
      <c r="CS180">
        <v>0</v>
      </c>
      <c r="CT180">
        <v>263.60000000000002</v>
      </c>
      <c r="CU180">
        <v>29111.200000000001</v>
      </c>
      <c r="CV180">
        <v>0</v>
      </c>
      <c r="CW180">
        <v>0</v>
      </c>
      <c r="CX180">
        <v>11005.7</v>
      </c>
      <c r="CY180">
        <v>41983.3</v>
      </c>
      <c r="CZ180">
        <v>0</v>
      </c>
      <c r="DA180">
        <v>22109.3</v>
      </c>
      <c r="DB180">
        <v>0</v>
      </c>
      <c r="DC180">
        <v>1178</v>
      </c>
      <c r="DD180">
        <v>8912.5</v>
      </c>
      <c r="DE180">
        <v>386.8</v>
      </c>
      <c r="DF180">
        <v>0</v>
      </c>
      <c r="DG180">
        <v>21406.3</v>
      </c>
      <c r="DH180">
        <v>21</v>
      </c>
      <c r="DI180">
        <v>6751.6</v>
      </c>
      <c r="DJ180">
        <v>0</v>
      </c>
      <c r="DK180">
        <v>28921.3</v>
      </c>
      <c r="DL180">
        <v>0</v>
      </c>
      <c r="DM180">
        <v>0</v>
      </c>
      <c r="DN180">
        <v>0.1</v>
      </c>
      <c r="DO180">
        <v>0.06</v>
      </c>
      <c r="DP180">
        <v>0.2</v>
      </c>
      <c r="DQ180">
        <v>0.04</v>
      </c>
      <c r="DR180">
        <v>0</v>
      </c>
    </row>
    <row r="181" spans="1:122" x14ac:dyDescent="0.3">
      <c r="A181" t="s">
        <v>168</v>
      </c>
      <c r="B181">
        <v>2042</v>
      </c>
      <c r="C181">
        <v>578402872.10000002</v>
      </c>
      <c r="D181">
        <v>559807372.70000005</v>
      </c>
      <c r="E181">
        <v>539681063.79999995</v>
      </c>
      <c r="F181">
        <v>0</v>
      </c>
      <c r="G181">
        <v>13987822</v>
      </c>
      <c r="H181">
        <v>474063222.80000001</v>
      </c>
      <c r="I181">
        <v>13987822</v>
      </c>
      <c r="J181">
        <v>0</v>
      </c>
      <c r="K181">
        <v>4607677.8</v>
      </c>
      <c r="L181">
        <v>3.5900000000000001E-2</v>
      </c>
      <c r="M181">
        <v>5.3999999999999999E-2</v>
      </c>
      <c r="N181">
        <v>0.15</v>
      </c>
      <c r="O181">
        <v>80335.44</v>
      </c>
      <c r="P181">
        <v>124323.8</v>
      </c>
      <c r="Q181">
        <v>325.7</v>
      </c>
      <c r="R181">
        <v>18.600000000000001</v>
      </c>
      <c r="S181">
        <v>2.5299999999999998</v>
      </c>
      <c r="T181">
        <v>28.5</v>
      </c>
      <c r="U181">
        <v>1312.9</v>
      </c>
      <c r="V181">
        <v>0.18</v>
      </c>
      <c r="W181">
        <v>326.89999999999998</v>
      </c>
      <c r="X181">
        <v>65.3</v>
      </c>
      <c r="Y181">
        <v>392.1</v>
      </c>
      <c r="Z181">
        <v>322.2</v>
      </c>
      <c r="AA181">
        <v>18.2</v>
      </c>
      <c r="AB181">
        <v>2.48</v>
      </c>
      <c r="AC181">
        <v>28.6</v>
      </c>
      <c r="AD181">
        <v>1304.3</v>
      </c>
      <c r="AE181">
        <v>0.18</v>
      </c>
      <c r="AF181">
        <v>323.39999999999998</v>
      </c>
      <c r="AG181">
        <v>65.099999999999994</v>
      </c>
      <c r="AH181">
        <v>388.5</v>
      </c>
      <c r="AI181">
        <v>333.1</v>
      </c>
      <c r="AJ181">
        <v>12.9</v>
      </c>
      <c r="AK181">
        <v>1.66</v>
      </c>
      <c r="AL181">
        <v>33.299999999999997</v>
      </c>
      <c r="AM181">
        <v>1529.7</v>
      </c>
      <c r="AN181">
        <v>0.15</v>
      </c>
      <c r="AO181">
        <v>333.9</v>
      </c>
      <c r="AP181">
        <v>76.2</v>
      </c>
      <c r="AQ181">
        <v>410.1</v>
      </c>
      <c r="AR181">
        <v>676</v>
      </c>
      <c r="AS181">
        <v>50.3</v>
      </c>
      <c r="AT181">
        <v>7.11</v>
      </c>
      <c r="AU181">
        <v>46.3</v>
      </c>
      <c r="AV181">
        <v>2311.5</v>
      </c>
      <c r="AW181">
        <v>0.34</v>
      </c>
      <c r="AX181">
        <v>679.3</v>
      </c>
      <c r="AY181">
        <v>111.1</v>
      </c>
      <c r="AZ181">
        <v>790.4</v>
      </c>
      <c r="BA181">
        <v>169580511.30000001</v>
      </c>
      <c r="BB181">
        <v>9650.4</v>
      </c>
      <c r="BC181">
        <v>1315.9</v>
      </c>
      <c r="BD181">
        <v>14840585.699999999</v>
      </c>
      <c r="BE181">
        <v>684008.2</v>
      </c>
      <c r="BF181">
        <v>92.4</v>
      </c>
      <c r="BG181">
        <v>170199436.09999999</v>
      </c>
      <c r="BH181">
        <v>34017309.600000001</v>
      </c>
      <c r="BI181">
        <v>204216745.80000001</v>
      </c>
      <c r="BJ181">
        <v>0</v>
      </c>
      <c r="BK181">
        <v>0</v>
      </c>
      <c r="BL181">
        <v>169580511.30000001</v>
      </c>
      <c r="BM181">
        <v>184421097</v>
      </c>
      <c r="BN181">
        <v>204216745.80000001</v>
      </c>
      <c r="BO181">
        <v>29.64</v>
      </c>
      <c r="BP181">
        <v>15.15</v>
      </c>
      <c r="BQ181">
        <v>0.22</v>
      </c>
      <c r="BR181">
        <v>45.01</v>
      </c>
      <c r="BS181">
        <v>31.48</v>
      </c>
      <c r="BT181">
        <v>16.7</v>
      </c>
      <c r="BU181">
        <v>0.24</v>
      </c>
      <c r="BV181">
        <v>48.42</v>
      </c>
      <c r="BW181">
        <v>524311700</v>
      </c>
      <c r="BX181">
        <v>85744150</v>
      </c>
      <c r="BY181">
        <v>71187540</v>
      </c>
      <c r="BZ181">
        <v>66023468</v>
      </c>
      <c r="CA181">
        <v>0</v>
      </c>
      <c r="CB181">
        <v>7707.5</v>
      </c>
      <c r="CC181">
        <v>282149440</v>
      </c>
      <c r="CD181">
        <v>0</v>
      </c>
      <c r="CE181">
        <v>1463062.8</v>
      </c>
      <c r="CF181">
        <v>4624269</v>
      </c>
      <c r="CG181">
        <v>0</v>
      </c>
      <c r="CH181">
        <v>1156649</v>
      </c>
      <c r="CI181">
        <v>0</v>
      </c>
      <c r="CJ181">
        <v>26270482</v>
      </c>
      <c r="CK181">
        <v>76255.8</v>
      </c>
      <c r="CL181">
        <v>0</v>
      </c>
      <c r="CM181">
        <v>43801950</v>
      </c>
      <c r="CN181">
        <v>15595459</v>
      </c>
      <c r="CO181">
        <v>0</v>
      </c>
      <c r="CP181">
        <v>11955442</v>
      </c>
      <c r="CQ181">
        <v>0</v>
      </c>
      <c r="CR181">
        <v>11014.8</v>
      </c>
      <c r="CS181">
        <v>0</v>
      </c>
      <c r="CT181">
        <v>260.39999999999998</v>
      </c>
      <c r="CU181">
        <v>25417.3</v>
      </c>
      <c r="CV181">
        <v>0</v>
      </c>
      <c r="CW181">
        <v>0</v>
      </c>
      <c r="CX181">
        <v>11637.7</v>
      </c>
      <c r="CY181">
        <v>43497.8</v>
      </c>
      <c r="CZ181">
        <v>0</v>
      </c>
      <c r="DA181">
        <v>21678.3</v>
      </c>
      <c r="DB181">
        <v>0</v>
      </c>
      <c r="DC181">
        <v>1178</v>
      </c>
      <c r="DD181">
        <v>8912.5</v>
      </c>
      <c r="DE181">
        <v>386.8</v>
      </c>
      <c r="DF181">
        <v>0</v>
      </c>
      <c r="DG181">
        <v>21525</v>
      </c>
      <c r="DH181">
        <v>21</v>
      </c>
      <c r="DI181">
        <v>7879.6</v>
      </c>
      <c r="DJ181">
        <v>0</v>
      </c>
      <c r="DK181">
        <v>52688.4</v>
      </c>
      <c r="DL181">
        <v>0</v>
      </c>
      <c r="DM181">
        <v>0</v>
      </c>
      <c r="DN181">
        <v>0.1</v>
      </c>
      <c r="DO181">
        <v>7.0000000000000007E-2</v>
      </c>
      <c r="DP181">
        <v>0.2</v>
      </c>
      <c r="DQ181">
        <v>0.04</v>
      </c>
      <c r="DR181">
        <v>0</v>
      </c>
    </row>
    <row r="182" spans="1:122" x14ac:dyDescent="0.3">
      <c r="A182" t="s">
        <v>168</v>
      </c>
      <c r="B182">
        <v>2044</v>
      </c>
      <c r="C182">
        <v>588083330.79999995</v>
      </c>
      <c r="D182">
        <v>569874276.10000002</v>
      </c>
      <c r="E182">
        <v>549386036.39999998</v>
      </c>
      <c r="F182">
        <v>0</v>
      </c>
      <c r="G182">
        <v>13395854</v>
      </c>
      <c r="H182">
        <v>484126767.69999999</v>
      </c>
      <c r="I182">
        <v>13395854</v>
      </c>
      <c r="J182">
        <v>0</v>
      </c>
      <c r="K182">
        <v>4813200.8</v>
      </c>
      <c r="L182">
        <v>3.5900000000000001E-2</v>
      </c>
      <c r="M182">
        <v>5.3999999999999999E-2</v>
      </c>
      <c r="N182">
        <v>0.15</v>
      </c>
      <c r="O182">
        <v>82428.84</v>
      </c>
      <c r="P182">
        <v>126553.9</v>
      </c>
      <c r="Q182">
        <v>322.7</v>
      </c>
      <c r="R182">
        <v>18</v>
      </c>
      <c r="S182">
        <v>2.44</v>
      </c>
      <c r="T182">
        <v>28.6</v>
      </c>
      <c r="U182">
        <v>1313.7</v>
      </c>
      <c r="V182">
        <v>0.18</v>
      </c>
      <c r="W182">
        <v>323.8</v>
      </c>
      <c r="X182">
        <v>65.400000000000006</v>
      </c>
      <c r="Y182">
        <v>389.3</v>
      </c>
      <c r="Z182">
        <v>314.8</v>
      </c>
      <c r="AA182">
        <v>17.399999999999999</v>
      </c>
      <c r="AB182">
        <v>2.36</v>
      </c>
      <c r="AC182">
        <v>28.3</v>
      </c>
      <c r="AD182">
        <v>1287</v>
      </c>
      <c r="AE182">
        <v>0.18</v>
      </c>
      <c r="AF182">
        <v>315.89999999999998</v>
      </c>
      <c r="AG182">
        <v>64.3</v>
      </c>
      <c r="AH182">
        <v>380.3</v>
      </c>
      <c r="AI182">
        <v>343.7</v>
      </c>
      <c r="AJ182">
        <v>15.8</v>
      </c>
      <c r="AK182">
        <v>2.08</v>
      </c>
      <c r="AL182">
        <v>32.200000000000003</v>
      </c>
      <c r="AM182">
        <v>1501.4</v>
      </c>
      <c r="AN182">
        <v>0.16</v>
      </c>
      <c r="AO182">
        <v>344.7</v>
      </c>
      <c r="AP182">
        <v>74.3</v>
      </c>
      <c r="AQ182">
        <v>419</v>
      </c>
      <c r="AR182">
        <v>654.20000000000005</v>
      </c>
      <c r="AS182">
        <v>46.7</v>
      </c>
      <c r="AT182">
        <v>6.58</v>
      </c>
      <c r="AU182">
        <v>46.5</v>
      </c>
      <c r="AV182">
        <v>2301.8000000000002</v>
      </c>
      <c r="AW182">
        <v>0.33</v>
      </c>
      <c r="AX182">
        <v>657.3</v>
      </c>
      <c r="AY182">
        <v>111.1</v>
      </c>
      <c r="AZ182">
        <v>768.4</v>
      </c>
      <c r="BA182">
        <v>169623646</v>
      </c>
      <c r="BB182">
        <v>9440.7999999999993</v>
      </c>
      <c r="BC182">
        <v>1283.5</v>
      </c>
      <c r="BD182">
        <v>15030814.4</v>
      </c>
      <c r="BE182">
        <v>690895.5</v>
      </c>
      <c r="BF182">
        <v>92.3</v>
      </c>
      <c r="BG182">
        <v>170228110.5</v>
      </c>
      <c r="BH182">
        <v>34400344.600000001</v>
      </c>
      <c r="BI182">
        <v>204628455.09999999</v>
      </c>
      <c r="BJ182">
        <v>0</v>
      </c>
      <c r="BK182">
        <v>0</v>
      </c>
      <c r="BL182">
        <v>169623646</v>
      </c>
      <c r="BM182">
        <v>184654460.5</v>
      </c>
      <c r="BN182">
        <v>204628455.09999999</v>
      </c>
      <c r="BO182">
        <v>29.67</v>
      </c>
      <c r="BP182">
        <v>15.55</v>
      </c>
      <c r="BQ182">
        <v>0.15</v>
      </c>
      <c r="BR182">
        <v>45.38</v>
      </c>
      <c r="BS182">
        <v>31.5</v>
      </c>
      <c r="BT182">
        <v>17.13</v>
      </c>
      <c r="BU182">
        <v>0.16</v>
      </c>
      <c r="BV182">
        <v>48.79</v>
      </c>
      <c r="BW182">
        <v>529276740</v>
      </c>
      <c r="BX182">
        <v>85747510</v>
      </c>
      <c r="BY182">
        <v>71187540</v>
      </c>
      <c r="BZ182">
        <v>64504696</v>
      </c>
      <c r="CA182">
        <v>0</v>
      </c>
      <c r="CB182">
        <v>5339</v>
      </c>
      <c r="CC182">
        <v>289222460</v>
      </c>
      <c r="CD182">
        <v>0</v>
      </c>
      <c r="CE182">
        <v>1427202.4</v>
      </c>
      <c r="CF182">
        <v>4623500</v>
      </c>
      <c r="CG182">
        <v>0</v>
      </c>
      <c r="CH182">
        <v>1072932.2</v>
      </c>
      <c r="CI182">
        <v>0</v>
      </c>
      <c r="CJ182">
        <v>26110836</v>
      </c>
      <c r="CK182">
        <v>75844.600000000006</v>
      </c>
      <c r="CL182">
        <v>0</v>
      </c>
      <c r="CM182">
        <v>43236788</v>
      </c>
      <c r="CN182">
        <v>16324042</v>
      </c>
      <c r="CO182">
        <v>0</v>
      </c>
      <c r="CP182">
        <v>11485551</v>
      </c>
      <c r="CQ182">
        <v>0</v>
      </c>
      <c r="CR182">
        <v>10949.6</v>
      </c>
      <c r="CS182">
        <v>0</v>
      </c>
      <c r="CT182">
        <v>246.8</v>
      </c>
      <c r="CU182">
        <v>23768.1</v>
      </c>
      <c r="CV182">
        <v>0</v>
      </c>
      <c r="CW182">
        <v>0</v>
      </c>
      <c r="CX182">
        <v>12301.5</v>
      </c>
      <c r="CY182">
        <v>45878.8</v>
      </c>
      <c r="CZ182">
        <v>0</v>
      </c>
      <c r="DA182">
        <v>21600.9</v>
      </c>
      <c r="DB182">
        <v>0</v>
      </c>
      <c r="DC182">
        <v>1178</v>
      </c>
      <c r="DD182">
        <v>8912.5</v>
      </c>
      <c r="DE182">
        <v>386.8</v>
      </c>
      <c r="DF182">
        <v>0</v>
      </c>
      <c r="DG182">
        <v>21534.799999999999</v>
      </c>
      <c r="DH182">
        <v>21</v>
      </c>
      <c r="DI182">
        <v>7789</v>
      </c>
      <c r="DJ182">
        <v>0</v>
      </c>
      <c r="DK182">
        <v>52636.2</v>
      </c>
      <c r="DL182">
        <v>0</v>
      </c>
      <c r="DM182">
        <v>0</v>
      </c>
      <c r="DN182">
        <v>0</v>
      </c>
      <c r="DO182">
        <v>0.06</v>
      </c>
      <c r="DP182">
        <v>0.2</v>
      </c>
      <c r="DQ182">
        <v>0.04</v>
      </c>
      <c r="DR182">
        <v>0</v>
      </c>
    </row>
    <row r="183" spans="1:122" x14ac:dyDescent="0.3">
      <c r="A183" t="s">
        <v>168</v>
      </c>
      <c r="B183">
        <v>2046</v>
      </c>
      <c r="C183">
        <v>597948517</v>
      </c>
      <c r="D183">
        <v>579757530.89999998</v>
      </c>
      <c r="E183">
        <v>558913961.39999998</v>
      </c>
      <c r="F183">
        <v>0</v>
      </c>
      <c r="G183">
        <v>12850735</v>
      </c>
      <c r="H183">
        <v>486285647</v>
      </c>
      <c r="I183">
        <v>12850735</v>
      </c>
      <c r="J183">
        <v>0</v>
      </c>
      <c r="K183">
        <v>5340250.8</v>
      </c>
      <c r="L183">
        <v>3.5900000000000001E-2</v>
      </c>
      <c r="M183">
        <v>5.3999999999999999E-2</v>
      </c>
      <c r="N183">
        <v>0.15</v>
      </c>
      <c r="O183">
        <v>86125.6</v>
      </c>
      <c r="P183">
        <v>128741.2</v>
      </c>
      <c r="Q183">
        <v>310.5</v>
      </c>
      <c r="R183">
        <v>16</v>
      </c>
      <c r="S183">
        <v>2.16</v>
      </c>
      <c r="T183">
        <v>28.6</v>
      </c>
      <c r="U183">
        <v>1304</v>
      </c>
      <c r="V183">
        <v>0.17</v>
      </c>
      <c r="W183">
        <v>311.5</v>
      </c>
      <c r="X183">
        <v>65.2</v>
      </c>
      <c r="Y183">
        <v>376.7</v>
      </c>
      <c r="Z183">
        <v>302.60000000000002</v>
      </c>
      <c r="AA183">
        <v>15.7</v>
      </c>
      <c r="AB183">
        <v>2.11</v>
      </c>
      <c r="AC183">
        <v>28.1</v>
      </c>
      <c r="AD183">
        <v>1270.5</v>
      </c>
      <c r="AE183">
        <v>0.17</v>
      </c>
      <c r="AF183">
        <v>303.60000000000002</v>
      </c>
      <c r="AG183">
        <v>63.7</v>
      </c>
      <c r="AH183">
        <v>367.3</v>
      </c>
      <c r="AI183">
        <v>362.7</v>
      </c>
      <c r="AJ183">
        <v>18.8</v>
      </c>
      <c r="AK183">
        <v>2.54</v>
      </c>
      <c r="AL183">
        <v>32</v>
      </c>
      <c r="AM183">
        <v>1513.5</v>
      </c>
      <c r="AN183">
        <v>0.17</v>
      </c>
      <c r="AO183">
        <v>363.9</v>
      </c>
      <c r="AP183">
        <v>74.400000000000006</v>
      </c>
      <c r="AQ183">
        <v>438.4</v>
      </c>
      <c r="AR183">
        <v>622.20000000000005</v>
      </c>
      <c r="AS183">
        <v>42.1</v>
      </c>
      <c r="AT183">
        <v>5.89</v>
      </c>
      <c r="AU183">
        <v>46.4</v>
      </c>
      <c r="AV183">
        <v>2266.4</v>
      </c>
      <c r="AW183">
        <v>0.31</v>
      </c>
      <c r="AX183">
        <v>625</v>
      </c>
      <c r="AY183">
        <v>109.9</v>
      </c>
      <c r="AZ183">
        <v>734.9</v>
      </c>
      <c r="BA183">
        <v>170254444.69999999</v>
      </c>
      <c r="BB183">
        <v>8780.7000000000007</v>
      </c>
      <c r="BC183">
        <v>1181</v>
      </c>
      <c r="BD183">
        <v>15713444.9</v>
      </c>
      <c r="BE183">
        <v>715461.3</v>
      </c>
      <c r="BF183">
        <v>92.1</v>
      </c>
      <c r="BG183">
        <v>170813259.59999999</v>
      </c>
      <c r="BH183">
        <v>35770775.5</v>
      </c>
      <c r="BI183">
        <v>206584035</v>
      </c>
      <c r="BJ183">
        <v>0</v>
      </c>
      <c r="BK183">
        <v>0</v>
      </c>
      <c r="BL183">
        <v>170254444.69999999</v>
      </c>
      <c r="BM183">
        <v>185967889.69999999</v>
      </c>
      <c r="BN183">
        <v>206584035</v>
      </c>
      <c r="BO183">
        <v>29.41</v>
      </c>
      <c r="BP183">
        <v>16.2</v>
      </c>
      <c r="BQ183">
        <v>0.23</v>
      </c>
      <c r="BR183">
        <v>45.84</v>
      </c>
      <c r="BS183">
        <v>31.22</v>
      </c>
      <c r="BT183">
        <v>17.8</v>
      </c>
      <c r="BU183">
        <v>0.25</v>
      </c>
      <c r="BV183">
        <v>49.27</v>
      </c>
      <c r="BW183">
        <v>552346430</v>
      </c>
      <c r="BX183">
        <v>93471880</v>
      </c>
      <c r="BY183">
        <v>71187540</v>
      </c>
      <c r="BZ183">
        <v>57873524</v>
      </c>
      <c r="CA183">
        <v>0</v>
      </c>
      <c r="CB183">
        <v>6031.4</v>
      </c>
      <c r="CC183">
        <v>311468580</v>
      </c>
      <c r="CD183">
        <v>0</v>
      </c>
      <c r="CE183">
        <v>1692572.4</v>
      </c>
      <c r="CF183">
        <v>4619834.5</v>
      </c>
      <c r="CG183">
        <v>0</v>
      </c>
      <c r="CH183">
        <v>1045240.7</v>
      </c>
      <c r="CI183">
        <v>0</v>
      </c>
      <c r="CJ183">
        <v>30693350</v>
      </c>
      <c r="CK183">
        <v>75404.7</v>
      </c>
      <c r="CL183">
        <v>0</v>
      </c>
      <c r="CM183">
        <v>45569468</v>
      </c>
      <c r="CN183">
        <v>17133660</v>
      </c>
      <c r="CO183">
        <v>0</v>
      </c>
      <c r="CP183">
        <v>10981250</v>
      </c>
      <c r="CQ183">
        <v>0</v>
      </c>
      <c r="CR183">
        <v>10903.7</v>
      </c>
      <c r="CS183">
        <v>0</v>
      </c>
      <c r="CT183">
        <v>240.2</v>
      </c>
      <c r="CU183">
        <v>19124.2</v>
      </c>
      <c r="CV183">
        <v>0</v>
      </c>
      <c r="CW183">
        <v>0</v>
      </c>
      <c r="CX183">
        <v>13026.2</v>
      </c>
      <c r="CY183">
        <v>50888.3</v>
      </c>
      <c r="CZ183">
        <v>0</v>
      </c>
      <c r="DA183">
        <v>24962.6</v>
      </c>
      <c r="DB183">
        <v>0</v>
      </c>
      <c r="DC183">
        <v>1178</v>
      </c>
      <c r="DD183">
        <v>8912.5</v>
      </c>
      <c r="DE183">
        <v>386.8</v>
      </c>
      <c r="DF183">
        <v>0</v>
      </c>
      <c r="DG183">
        <v>22711.4</v>
      </c>
      <c r="DH183">
        <v>21</v>
      </c>
      <c r="DI183">
        <v>9153.7999999999993</v>
      </c>
      <c r="DJ183">
        <v>0</v>
      </c>
      <c r="DK183">
        <v>53230.9</v>
      </c>
      <c r="DL183">
        <v>0</v>
      </c>
      <c r="DM183">
        <v>0</v>
      </c>
      <c r="DN183">
        <v>0</v>
      </c>
      <c r="DO183">
        <v>0.06</v>
      </c>
      <c r="DP183">
        <v>0.2</v>
      </c>
      <c r="DQ183">
        <v>0.05</v>
      </c>
      <c r="DR183">
        <v>0</v>
      </c>
    </row>
    <row r="184" spans="1:122" x14ac:dyDescent="0.3">
      <c r="A184" t="s">
        <v>168</v>
      </c>
      <c r="B184">
        <v>2048</v>
      </c>
      <c r="C184">
        <v>609527838.5</v>
      </c>
      <c r="D184">
        <v>590310425</v>
      </c>
      <c r="E184">
        <v>569087451.60000002</v>
      </c>
      <c r="F184">
        <v>0</v>
      </c>
      <c r="G184">
        <v>13588621</v>
      </c>
      <c r="H184">
        <v>486317624.69999999</v>
      </c>
      <c r="I184">
        <v>13588621</v>
      </c>
      <c r="J184">
        <v>0</v>
      </c>
      <c r="K184">
        <v>5628793.2000000002</v>
      </c>
      <c r="L184">
        <v>3.5900000000000001E-2</v>
      </c>
      <c r="M184">
        <v>5.3999999999999999E-2</v>
      </c>
      <c r="N184">
        <v>0.15</v>
      </c>
      <c r="O184">
        <v>85732.27</v>
      </c>
      <c r="P184">
        <v>131076.1</v>
      </c>
      <c r="Q184">
        <v>298.89999999999998</v>
      </c>
      <c r="R184">
        <v>14.7</v>
      </c>
      <c r="S184">
        <v>1.97</v>
      </c>
      <c r="T184">
        <v>28.2</v>
      </c>
      <c r="U184">
        <v>1277.9000000000001</v>
      </c>
      <c r="V184">
        <v>0.16</v>
      </c>
      <c r="W184">
        <v>299.89999999999998</v>
      </c>
      <c r="X184">
        <v>64.099999999999994</v>
      </c>
      <c r="Y184">
        <v>363.9</v>
      </c>
      <c r="Z184">
        <v>291.60000000000002</v>
      </c>
      <c r="AA184">
        <v>14.4</v>
      </c>
      <c r="AB184">
        <v>1.93</v>
      </c>
      <c r="AC184">
        <v>27.7</v>
      </c>
      <c r="AD184">
        <v>1245.7</v>
      </c>
      <c r="AE184">
        <v>0.16</v>
      </c>
      <c r="AF184">
        <v>292.5</v>
      </c>
      <c r="AG184">
        <v>62.7</v>
      </c>
      <c r="AH184">
        <v>355.1</v>
      </c>
      <c r="AI184">
        <v>335.6</v>
      </c>
      <c r="AJ184">
        <v>17.8</v>
      </c>
      <c r="AK184">
        <v>2.4</v>
      </c>
      <c r="AL184">
        <v>29.3</v>
      </c>
      <c r="AM184">
        <v>1389.4</v>
      </c>
      <c r="AN184">
        <v>0.16</v>
      </c>
      <c r="AO184">
        <v>336.7</v>
      </c>
      <c r="AP184">
        <v>68.3</v>
      </c>
      <c r="AQ184">
        <v>405</v>
      </c>
      <c r="AR184">
        <v>606.5</v>
      </c>
      <c r="AS184">
        <v>38.799999999999997</v>
      </c>
      <c r="AT184">
        <v>5.39</v>
      </c>
      <c r="AU184">
        <v>47.2</v>
      </c>
      <c r="AV184">
        <v>2285.6</v>
      </c>
      <c r="AW184">
        <v>0.3</v>
      </c>
      <c r="AX184">
        <v>609</v>
      </c>
      <c r="AY184">
        <v>111.2</v>
      </c>
      <c r="AZ184">
        <v>720.3</v>
      </c>
      <c r="BA184">
        <v>167367409.90000001</v>
      </c>
      <c r="BB184">
        <v>8236.5</v>
      </c>
      <c r="BC184">
        <v>1099.9000000000001</v>
      </c>
      <c r="BD184">
        <v>15815846.699999999</v>
      </c>
      <c r="BE184">
        <v>715873</v>
      </c>
      <c r="BF184">
        <v>90.6</v>
      </c>
      <c r="BG184">
        <v>167889511.19999999</v>
      </c>
      <c r="BH184">
        <v>35884288.700000003</v>
      </c>
      <c r="BI184">
        <v>203773799.90000001</v>
      </c>
      <c r="BJ184">
        <v>0</v>
      </c>
      <c r="BK184">
        <v>0</v>
      </c>
      <c r="BL184">
        <v>167367409.90000001</v>
      </c>
      <c r="BM184">
        <v>183183256.59999999</v>
      </c>
      <c r="BN184">
        <v>203773799.90000001</v>
      </c>
      <c r="BO184">
        <v>29.82</v>
      </c>
      <c r="BP184">
        <v>16.13</v>
      </c>
      <c r="BQ184">
        <v>0.26</v>
      </c>
      <c r="BR184">
        <v>46.21</v>
      </c>
      <c r="BS184">
        <v>31.65</v>
      </c>
      <c r="BT184">
        <v>17.77</v>
      </c>
      <c r="BU184">
        <v>0.27</v>
      </c>
      <c r="BV184">
        <v>49.69</v>
      </c>
      <c r="BW184">
        <v>563997300</v>
      </c>
      <c r="BX184">
        <v>103992800</v>
      </c>
      <c r="BY184">
        <v>71187540</v>
      </c>
      <c r="BZ184">
        <v>53055064</v>
      </c>
      <c r="CA184">
        <v>0</v>
      </c>
      <c r="CB184">
        <v>3805.6</v>
      </c>
      <c r="CC184">
        <v>316060220</v>
      </c>
      <c r="CD184">
        <v>0</v>
      </c>
      <c r="CE184">
        <v>2372616.5</v>
      </c>
      <c r="CF184">
        <v>4623579</v>
      </c>
      <c r="CG184">
        <v>0</v>
      </c>
      <c r="CH184">
        <v>1033511.8</v>
      </c>
      <c r="CI184">
        <v>0</v>
      </c>
      <c r="CJ184">
        <v>40506910</v>
      </c>
      <c r="CK184">
        <v>75028.800000000003</v>
      </c>
      <c r="CL184">
        <v>0</v>
      </c>
      <c r="CM184">
        <v>45507028</v>
      </c>
      <c r="CN184">
        <v>17903832</v>
      </c>
      <c r="CO184">
        <v>0</v>
      </c>
      <c r="CP184">
        <v>11668147</v>
      </c>
      <c r="CQ184">
        <v>0</v>
      </c>
      <c r="CR184">
        <v>11375.8</v>
      </c>
      <c r="CS184">
        <v>0</v>
      </c>
      <c r="CT184">
        <v>237.3</v>
      </c>
      <c r="CU184">
        <v>14240.9</v>
      </c>
      <c r="CV184">
        <v>0</v>
      </c>
      <c r="CW184">
        <v>0</v>
      </c>
      <c r="CX184">
        <v>13724.3</v>
      </c>
      <c r="CY184">
        <v>51905</v>
      </c>
      <c r="CZ184">
        <v>0</v>
      </c>
      <c r="DA184">
        <v>29506.3</v>
      </c>
      <c r="DB184">
        <v>0</v>
      </c>
      <c r="DC184">
        <v>1178</v>
      </c>
      <c r="DD184">
        <v>8912.5</v>
      </c>
      <c r="DE184">
        <v>268.10000000000002</v>
      </c>
      <c r="DF184">
        <v>0</v>
      </c>
      <c r="DG184">
        <v>22915.5</v>
      </c>
      <c r="DH184">
        <v>21</v>
      </c>
      <c r="DI184">
        <v>11523.9</v>
      </c>
      <c r="DJ184">
        <v>0</v>
      </c>
      <c r="DK184">
        <v>56823.199999999997</v>
      </c>
      <c r="DL184">
        <v>0</v>
      </c>
      <c r="DM184">
        <v>0</v>
      </c>
      <c r="DN184">
        <v>0</v>
      </c>
      <c r="DO184">
        <v>0.06</v>
      </c>
      <c r="DP184">
        <v>0.3</v>
      </c>
      <c r="DQ184">
        <v>0.05</v>
      </c>
      <c r="DR184">
        <v>0</v>
      </c>
    </row>
    <row r="185" spans="1:122" x14ac:dyDescent="0.3">
      <c r="A185" t="s">
        <v>168</v>
      </c>
      <c r="B185">
        <v>2050</v>
      </c>
      <c r="C185">
        <v>622629644.39999998</v>
      </c>
      <c r="D185">
        <v>602782927.5</v>
      </c>
      <c r="E185">
        <v>581111535.5</v>
      </c>
      <c r="F185">
        <v>0</v>
      </c>
      <c r="G185">
        <v>13830222</v>
      </c>
      <c r="H185">
        <v>480695860.30000001</v>
      </c>
      <c r="I185">
        <v>13830222</v>
      </c>
      <c r="J185">
        <v>0</v>
      </c>
      <c r="K185">
        <v>6016495.2999999998</v>
      </c>
      <c r="L185">
        <v>3.5900000000000001E-2</v>
      </c>
      <c r="M185">
        <v>5.3999999999999999E-2</v>
      </c>
      <c r="N185">
        <v>0.15</v>
      </c>
      <c r="O185">
        <v>85715.95</v>
      </c>
      <c r="P185">
        <v>133829.79999999999</v>
      </c>
      <c r="Q185">
        <v>266.8</v>
      </c>
      <c r="R185">
        <v>10.7</v>
      </c>
      <c r="S185">
        <v>1.38</v>
      </c>
      <c r="T185">
        <v>27.5</v>
      </c>
      <c r="U185">
        <v>1216.9000000000001</v>
      </c>
      <c r="V185">
        <v>0.15</v>
      </c>
      <c r="W185">
        <v>267.39999999999998</v>
      </c>
      <c r="X185">
        <v>61.6</v>
      </c>
      <c r="Y185">
        <v>329</v>
      </c>
      <c r="Z185">
        <v>261.3</v>
      </c>
      <c r="AA185">
        <v>10.4</v>
      </c>
      <c r="AB185">
        <v>1.34</v>
      </c>
      <c r="AC185">
        <v>27.2</v>
      </c>
      <c r="AD185">
        <v>1195.5</v>
      </c>
      <c r="AE185">
        <v>0.15</v>
      </c>
      <c r="AF185">
        <v>261.89999999999998</v>
      </c>
      <c r="AG185">
        <v>60.7</v>
      </c>
      <c r="AH185">
        <v>322.60000000000002</v>
      </c>
      <c r="AI185">
        <v>290.39999999999998</v>
      </c>
      <c r="AJ185">
        <v>12.9</v>
      </c>
      <c r="AK185">
        <v>1.7</v>
      </c>
      <c r="AL185">
        <v>27.6</v>
      </c>
      <c r="AM185">
        <v>1279.8</v>
      </c>
      <c r="AN185">
        <v>0.13</v>
      </c>
      <c r="AO185">
        <v>291.3</v>
      </c>
      <c r="AP185">
        <v>63.5</v>
      </c>
      <c r="AQ185">
        <v>354.7</v>
      </c>
      <c r="AR185">
        <v>584</v>
      </c>
      <c r="AS185">
        <v>34.299999999999997</v>
      </c>
      <c r="AT185">
        <v>4.7300000000000004</v>
      </c>
      <c r="AU185">
        <v>48.3</v>
      </c>
      <c r="AV185">
        <v>2292.6</v>
      </c>
      <c r="AW185">
        <v>0.28999999999999998</v>
      </c>
      <c r="AX185">
        <v>586.20000000000005</v>
      </c>
      <c r="AY185">
        <v>112.6</v>
      </c>
      <c r="AZ185">
        <v>698.7</v>
      </c>
      <c r="BA185">
        <v>151695893.40000001</v>
      </c>
      <c r="BB185">
        <v>6094.2</v>
      </c>
      <c r="BC185">
        <v>785.3</v>
      </c>
      <c r="BD185">
        <v>15636172.1</v>
      </c>
      <c r="BE185">
        <v>692391.5</v>
      </c>
      <c r="BF185">
        <v>82.6</v>
      </c>
      <c r="BG185">
        <v>152074637.90000001</v>
      </c>
      <c r="BH185">
        <v>35045011.799999997</v>
      </c>
      <c r="BI185">
        <v>187119649.69999999</v>
      </c>
      <c r="BJ185">
        <v>0</v>
      </c>
      <c r="BK185">
        <v>0</v>
      </c>
      <c r="BL185">
        <v>151695893.40000001</v>
      </c>
      <c r="BM185">
        <v>167332065.5</v>
      </c>
      <c r="BN185">
        <v>187119649.69999999</v>
      </c>
      <c r="BO185">
        <v>29.76</v>
      </c>
      <c r="BP185">
        <v>16.05</v>
      </c>
      <c r="BQ185">
        <v>0.11</v>
      </c>
      <c r="BR185">
        <v>45.91</v>
      </c>
      <c r="BS185">
        <v>31.59</v>
      </c>
      <c r="BT185">
        <v>17.690000000000001</v>
      </c>
      <c r="BU185">
        <v>0.11</v>
      </c>
      <c r="BV185">
        <v>49.39</v>
      </c>
      <c r="BW185">
        <v>572864300</v>
      </c>
      <c r="BX185">
        <v>122087064</v>
      </c>
      <c r="BY185">
        <v>71187540</v>
      </c>
      <c r="BZ185">
        <v>34210776</v>
      </c>
      <c r="CA185">
        <v>0</v>
      </c>
      <c r="CB185">
        <v>2028.9</v>
      </c>
      <c r="CC185">
        <v>324032480</v>
      </c>
      <c r="CD185">
        <v>0</v>
      </c>
      <c r="CE185">
        <v>3928181.2</v>
      </c>
      <c r="CF185">
        <v>4626593</v>
      </c>
      <c r="CG185">
        <v>0</v>
      </c>
      <c r="CH185">
        <v>959178.4</v>
      </c>
      <c r="CI185">
        <v>0</v>
      </c>
      <c r="CJ185">
        <v>55020972</v>
      </c>
      <c r="CK185">
        <v>74624.2</v>
      </c>
      <c r="CL185">
        <v>0</v>
      </c>
      <c r="CM185">
        <v>48365040</v>
      </c>
      <c r="CN185">
        <v>18626430</v>
      </c>
      <c r="CO185">
        <v>0</v>
      </c>
      <c r="CP185">
        <v>11830480</v>
      </c>
      <c r="CQ185">
        <v>0</v>
      </c>
      <c r="CR185">
        <v>12261.3</v>
      </c>
      <c r="CS185">
        <v>0</v>
      </c>
      <c r="CT185">
        <v>220.7</v>
      </c>
      <c r="CU185">
        <v>10336</v>
      </c>
      <c r="CV185">
        <v>0</v>
      </c>
      <c r="CW185">
        <v>0</v>
      </c>
      <c r="CX185">
        <v>14403.7</v>
      </c>
      <c r="CY185">
        <v>52906.8</v>
      </c>
      <c r="CZ185">
        <v>0</v>
      </c>
      <c r="DA185">
        <v>35515.9</v>
      </c>
      <c r="DB185">
        <v>0</v>
      </c>
      <c r="DC185">
        <v>1178</v>
      </c>
      <c r="DD185">
        <v>8912.5</v>
      </c>
      <c r="DE185">
        <v>173.1</v>
      </c>
      <c r="DF185">
        <v>0</v>
      </c>
      <c r="DG185">
        <v>24156.3</v>
      </c>
      <c r="DH185">
        <v>21</v>
      </c>
      <c r="DI185">
        <v>15029.2</v>
      </c>
      <c r="DJ185">
        <v>0</v>
      </c>
      <c r="DK185">
        <v>62180.4</v>
      </c>
      <c r="DL185">
        <v>0</v>
      </c>
      <c r="DM185">
        <v>0</v>
      </c>
      <c r="DN185">
        <v>0</v>
      </c>
      <c r="DO185">
        <v>0.06</v>
      </c>
      <c r="DP185">
        <v>0.1</v>
      </c>
      <c r="DQ185">
        <v>0.05</v>
      </c>
      <c r="DR185">
        <v>0</v>
      </c>
    </row>
    <row r="186" spans="1:122" x14ac:dyDescent="0.3">
      <c r="A186" t="s">
        <v>169</v>
      </c>
      <c r="B186">
        <v>2022</v>
      </c>
      <c r="C186">
        <v>78086907.5</v>
      </c>
      <c r="D186">
        <v>76987936.900000006</v>
      </c>
      <c r="E186">
        <v>74219293.299999997</v>
      </c>
      <c r="F186">
        <v>0</v>
      </c>
      <c r="G186">
        <v>471848.4</v>
      </c>
      <c r="H186">
        <v>44070761.299999997</v>
      </c>
      <c r="I186">
        <v>221797.1</v>
      </c>
      <c r="J186">
        <v>250051.4</v>
      </c>
      <c r="K186">
        <v>627122.1</v>
      </c>
      <c r="L186">
        <v>3.5999999999999997E-2</v>
      </c>
      <c r="M186">
        <v>5.3999999999999999E-2</v>
      </c>
      <c r="N186">
        <v>0.12529999999999999</v>
      </c>
      <c r="O186">
        <v>41631.64</v>
      </c>
      <c r="P186">
        <v>15169.3</v>
      </c>
      <c r="Q186">
        <v>504.6</v>
      </c>
      <c r="R186">
        <v>54.7</v>
      </c>
      <c r="S186">
        <v>7.92</v>
      </c>
      <c r="T186">
        <v>18.7</v>
      </c>
      <c r="U186">
        <v>1208.2</v>
      </c>
      <c r="V186">
        <v>0.25</v>
      </c>
      <c r="W186">
        <v>508.2</v>
      </c>
      <c r="X186">
        <v>52.6</v>
      </c>
      <c r="Y186">
        <v>560.79999999999995</v>
      </c>
      <c r="Z186">
        <v>522.20000000000005</v>
      </c>
      <c r="AA186">
        <v>56.7</v>
      </c>
      <c r="AB186">
        <v>8.2200000000000006</v>
      </c>
      <c r="AC186">
        <v>19.2</v>
      </c>
      <c r="AD186">
        <v>1246.4000000000001</v>
      </c>
      <c r="AE186">
        <v>0.26</v>
      </c>
      <c r="AF186">
        <v>526</v>
      </c>
      <c r="AG186">
        <v>54.2</v>
      </c>
      <c r="AH186">
        <v>580.20000000000005</v>
      </c>
      <c r="AI186">
        <v>550.6</v>
      </c>
      <c r="AJ186">
        <v>48.9</v>
      </c>
      <c r="AK186">
        <v>6.99</v>
      </c>
      <c r="AL186">
        <v>30.3</v>
      </c>
      <c r="AM186">
        <v>1649.8</v>
      </c>
      <c r="AN186">
        <v>0.27</v>
      </c>
      <c r="AO186">
        <v>553.79999999999995</v>
      </c>
      <c r="AP186">
        <v>76.5</v>
      </c>
      <c r="AQ186">
        <v>630.4</v>
      </c>
      <c r="AR186">
        <v>857.6</v>
      </c>
      <c r="AS186">
        <v>82.3</v>
      </c>
      <c r="AT186">
        <v>11.84</v>
      </c>
      <c r="AU186">
        <v>41.6</v>
      </c>
      <c r="AV186">
        <v>2371.9</v>
      </c>
      <c r="AW186">
        <v>0.43</v>
      </c>
      <c r="AX186">
        <v>863</v>
      </c>
      <c r="AY186">
        <v>108.2</v>
      </c>
      <c r="AZ186">
        <v>971.2</v>
      </c>
      <c r="BA186">
        <v>39862259.700000003</v>
      </c>
      <c r="BB186">
        <v>4321.6000000000004</v>
      </c>
      <c r="BC186">
        <v>626.20000000000005</v>
      </c>
      <c r="BD186">
        <v>1476592.4</v>
      </c>
      <c r="BE186">
        <v>95417.600000000006</v>
      </c>
      <c r="BF186">
        <v>19.600000000000001</v>
      </c>
      <c r="BG186">
        <v>40149211.299999997</v>
      </c>
      <c r="BH186">
        <v>4153486.3</v>
      </c>
      <c r="BI186">
        <v>44302697.600000001</v>
      </c>
      <c r="BJ186">
        <v>0</v>
      </c>
      <c r="BK186">
        <v>0</v>
      </c>
      <c r="BL186">
        <v>39862259.700000003</v>
      </c>
      <c r="BM186">
        <v>41338852</v>
      </c>
      <c r="BN186">
        <v>44302697.600000001</v>
      </c>
      <c r="BO186">
        <v>31.4</v>
      </c>
      <c r="BP186">
        <v>6.94</v>
      </c>
      <c r="BQ186">
        <v>0</v>
      </c>
      <c r="BR186">
        <v>38.340000000000003</v>
      </c>
      <c r="BS186">
        <v>33.25</v>
      </c>
      <c r="BT186">
        <v>7.47</v>
      </c>
      <c r="BU186">
        <v>0</v>
      </c>
      <c r="BV186">
        <v>40.72</v>
      </c>
      <c r="BW186">
        <v>79516460</v>
      </c>
      <c r="BX186">
        <v>32917178</v>
      </c>
      <c r="BY186">
        <v>0</v>
      </c>
      <c r="BZ186">
        <v>36247000</v>
      </c>
      <c r="CA186">
        <v>0</v>
      </c>
      <c r="CB186">
        <v>4381.3</v>
      </c>
      <c r="CC186">
        <v>7427765.5</v>
      </c>
      <c r="CD186">
        <v>0</v>
      </c>
      <c r="CE186">
        <v>13520.5</v>
      </c>
      <c r="CF186">
        <v>2383466.7999999998</v>
      </c>
      <c r="CG186">
        <v>0</v>
      </c>
      <c r="CH186">
        <v>129552.7</v>
      </c>
      <c r="CI186">
        <v>0</v>
      </c>
      <c r="CJ186">
        <v>28017028</v>
      </c>
      <c r="CK186">
        <v>0</v>
      </c>
      <c r="CL186">
        <v>58178.400000000001</v>
      </c>
      <c r="CM186">
        <v>3722722</v>
      </c>
      <c r="CN186">
        <v>1119249.6000000001</v>
      </c>
      <c r="CO186">
        <v>204001.8</v>
      </c>
      <c r="CP186">
        <v>189598.6</v>
      </c>
      <c r="CQ186">
        <v>0</v>
      </c>
      <c r="CR186">
        <v>462</v>
      </c>
      <c r="CS186">
        <v>0</v>
      </c>
      <c r="CT186">
        <v>17.600000000000001</v>
      </c>
      <c r="CU186">
        <v>7198.8</v>
      </c>
      <c r="CV186">
        <v>0</v>
      </c>
      <c r="CW186">
        <v>30</v>
      </c>
      <c r="CX186">
        <v>676.3</v>
      </c>
      <c r="CY186">
        <v>3383.6</v>
      </c>
      <c r="CZ186">
        <v>0</v>
      </c>
      <c r="DA186">
        <v>3060</v>
      </c>
      <c r="DB186">
        <v>0</v>
      </c>
      <c r="DC186">
        <v>948</v>
      </c>
      <c r="DD186">
        <v>0</v>
      </c>
      <c r="DE186">
        <v>665.5</v>
      </c>
      <c r="DF186">
        <v>562.5</v>
      </c>
      <c r="DG186">
        <v>1434.9</v>
      </c>
      <c r="DH186">
        <v>0</v>
      </c>
      <c r="DI186">
        <v>8168.1</v>
      </c>
      <c r="DJ186">
        <v>0</v>
      </c>
      <c r="DK186">
        <v>924</v>
      </c>
      <c r="DL186">
        <v>5625</v>
      </c>
      <c r="DM186">
        <v>0</v>
      </c>
      <c r="DN186">
        <v>0</v>
      </c>
      <c r="DO186">
        <v>0.15</v>
      </c>
      <c r="DP186">
        <v>0</v>
      </c>
      <c r="DQ186">
        <v>0.2</v>
      </c>
      <c r="DR186">
        <v>0</v>
      </c>
    </row>
    <row r="187" spans="1:122" x14ac:dyDescent="0.3">
      <c r="A187" t="s">
        <v>169</v>
      </c>
      <c r="B187">
        <v>2024</v>
      </c>
      <c r="C187">
        <v>80922505.799999997</v>
      </c>
      <c r="D187">
        <v>79783541.299999997</v>
      </c>
      <c r="E187">
        <v>76914362</v>
      </c>
      <c r="F187">
        <v>0</v>
      </c>
      <c r="G187">
        <v>328231.40000000002</v>
      </c>
      <c r="H187">
        <v>42512924.700000003</v>
      </c>
      <c r="I187">
        <v>143735.6</v>
      </c>
      <c r="J187">
        <v>184495.7</v>
      </c>
      <c r="K187">
        <v>810733.1</v>
      </c>
      <c r="L187">
        <v>3.5999999999999997E-2</v>
      </c>
      <c r="M187">
        <v>5.3999999999999999E-2</v>
      </c>
      <c r="N187">
        <v>0.12529999999999999</v>
      </c>
      <c r="O187">
        <v>41631.4</v>
      </c>
      <c r="P187">
        <v>15719.5</v>
      </c>
      <c r="Q187">
        <v>430.3</v>
      </c>
      <c r="R187">
        <v>44.5</v>
      </c>
      <c r="S187">
        <v>6.43</v>
      </c>
      <c r="T187">
        <v>17.899999999999999</v>
      </c>
      <c r="U187">
        <v>1096.5999999999999</v>
      </c>
      <c r="V187">
        <v>0.21</v>
      </c>
      <c r="W187">
        <v>433.3</v>
      </c>
      <c r="X187">
        <v>48.6</v>
      </c>
      <c r="Y187">
        <v>481.9</v>
      </c>
      <c r="Z187">
        <v>423.3</v>
      </c>
      <c r="AA187">
        <v>43.9</v>
      </c>
      <c r="AB187">
        <v>6.35</v>
      </c>
      <c r="AC187">
        <v>17.5</v>
      </c>
      <c r="AD187">
        <v>1075.5</v>
      </c>
      <c r="AE187">
        <v>0.21</v>
      </c>
      <c r="AF187">
        <v>426.3</v>
      </c>
      <c r="AG187">
        <v>47.6</v>
      </c>
      <c r="AH187">
        <v>473.9</v>
      </c>
      <c r="AI187">
        <v>403.9</v>
      </c>
      <c r="AJ187">
        <v>34.4</v>
      </c>
      <c r="AK187">
        <v>4.91</v>
      </c>
      <c r="AL187">
        <v>23.5</v>
      </c>
      <c r="AM187">
        <v>1254.9000000000001</v>
      </c>
      <c r="AN187">
        <v>0.2</v>
      </c>
      <c r="AO187">
        <v>406.2</v>
      </c>
      <c r="AP187">
        <v>58.7</v>
      </c>
      <c r="AQ187">
        <v>464.9</v>
      </c>
      <c r="AR187">
        <v>758</v>
      </c>
      <c r="AS187">
        <v>64.2</v>
      </c>
      <c r="AT187">
        <v>9.16</v>
      </c>
      <c r="AU187">
        <v>44.4</v>
      </c>
      <c r="AV187">
        <v>2367.6</v>
      </c>
      <c r="AW187">
        <v>0.37</v>
      </c>
      <c r="AX187">
        <v>762.2</v>
      </c>
      <c r="AY187">
        <v>110.8</v>
      </c>
      <c r="AZ187">
        <v>873</v>
      </c>
      <c r="BA187">
        <v>34479552.399999999</v>
      </c>
      <c r="BB187">
        <v>3570.3</v>
      </c>
      <c r="BC187">
        <v>515.79999999999995</v>
      </c>
      <c r="BD187">
        <v>1429913.3</v>
      </c>
      <c r="BE187">
        <v>87841.8</v>
      </c>
      <c r="BF187">
        <v>16.899999999999999</v>
      </c>
      <c r="BG187">
        <v>34716198</v>
      </c>
      <c r="BH187">
        <v>3893955.1</v>
      </c>
      <c r="BI187">
        <v>38610153.200000003</v>
      </c>
      <c r="BJ187">
        <v>0</v>
      </c>
      <c r="BK187">
        <v>0</v>
      </c>
      <c r="BL187">
        <v>34479552.399999999</v>
      </c>
      <c r="BM187">
        <v>35909465.700000003</v>
      </c>
      <c r="BN187">
        <v>38610153.200000003</v>
      </c>
      <c r="BO187">
        <v>29.77</v>
      </c>
      <c r="BP187">
        <v>6.95</v>
      </c>
      <c r="BQ187">
        <v>0</v>
      </c>
      <c r="BR187">
        <v>36.72</v>
      </c>
      <c r="BS187">
        <v>31.52</v>
      </c>
      <c r="BT187">
        <v>7.47</v>
      </c>
      <c r="BU187">
        <v>0</v>
      </c>
      <c r="BV187">
        <v>38.99</v>
      </c>
      <c r="BW187">
        <v>80759530</v>
      </c>
      <c r="BX187">
        <v>37270616</v>
      </c>
      <c r="BY187">
        <v>0</v>
      </c>
      <c r="BZ187">
        <v>29934378</v>
      </c>
      <c r="CA187">
        <v>0</v>
      </c>
      <c r="CB187">
        <v>4740</v>
      </c>
      <c r="CC187">
        <v>10744450</v>
      </c>
      <c r="CD187">
        <v>0</v>
      </c>
      <c r="CE187">
        <v>13515</v>
      </c>
      <c r="CF187">
        <v>2385110.2000000002</v>
      </c>
      <c r="CG187">
        <v>0</v>
      </c>
      <c r="CH187">
        <v>129637.5</v>
      </c>
      <c r="CI187">
        <v>0</v>
      </c>
      <c r="CJ187">
        <v>32302716</v>
      </c>
      <c r="CK187">
        <v>0</v>
      </c>
      <c r="CL187">
        <v>58125.5</v>
      </c>
      <c r="CM187">
        <v>3670787.2</v>
      </c>
      <c r="CN187">
        <v>1238986.2</v>
      </c>
      <c r="CO187">
        <v>154222.70000000001</v>
      </c>
      <c r="CP187">
        <v>122857.60000000001</v>
      </c>
      <c r="CQ187">
        <v>0</v>
      </c>
      <c r="CR187">
        <v>462</v>
      </c>
      <c r="CS187">
        <v>0</v>
      </c>
      <c r="CT187">
        <v>17.600000000000001</v>
      </c>
      <c r="CU187">
        <v>6291.6</v>
      </c>
      <c r="CV187">
        <v>0</v>
      </c>
      <c r="CW187">
        <v>30</v>
      </c>
      <c r="CX187">
        <v>755.1</v>
      </c>
      <c r="CY187">
        <v>3383.6</v>
      </c>
      <c r="CZ187">
        <v>0</v>
      </c>
      <c r="DA187">
        <v>3060</v>
      </c>
      <c r="DB187">
        <v>0</v>
      </c>
      <c r="DC187">
        <v>948</v>
      </c>
      <c r="DD187">
        <v>0</v>
      </c>
      <c r="DE187">
        <v>659.2</v>
      </c>
      <c r="DF187">
        <v>562.5</v>
      </c>
      <c r="DG187">
        <v>1434.9</v>
      </c>
      <c r="DH187">
        <v>0</v>
      </c>
      <c r="DI187">
        <v>9168.1</v>
      </c>
      <c r="DJ187">
        <v>0</v>
      </c>
      <c r="DK187">
        <v>924</v>
      </c>
      <c r="DL187">
        <v>5625</v>
      </c>
      <c r="DM187">
        <v>0</v>
      </c>
      <c r="DN187">
        <v>0</v>
      </c>
      <c r="DO187">
        <v>0.16</v>
      </c>
      <c r="DP187">
        <v>0</v>
      </c>
      <c r="DQ187">
        <v>0.24</v>
      </c>
      <c r="DR187">
        <v>0</v>
      </c>
    </row>
    <row r="188" spans="1:122" x14ac:dyDescent="0.3">
      <c r="A188" t="s">
        <v>169</v>
      </c>
      <c r="B188">
        <v>2026</v>
      </c>
      <c r="C188">
        <v>83372207.099999994</v>
      </c>
      <c r="D188">
        <v>82159717</v>
      </c>
      <c r="E188">
        <v>79205085.599999994</v>
      </c>
      <c r="F188">
        <v>0</v>
      </c>
      <c r="G188">
        <v>342603.8</v>
      </c>
      <c r="H188">
        <v>39311651</v>
      </c>
      <c r="I188">
        <v>151371.4</v>
      </c>
      <c r="J188">
        <v>191232.4</v>
      </c>
      <c r="K188">
        <v>869886.3</v>
      </c>
      <c r="L188">
        <v>3.5999999999999997E-2</v>
      </c>
      <c r="M188">
        <v>5.3999999999999999E-2</v>
      </c>
      <c r="N188">
        <v>0.12529999999999999</v>
      </c>
      <c r="O188">
        <v>47638.54</v>
      </c>
      <c r="P188">
        <v>16187.1</v>
      </c>
      <c r="Q188">
        <v>424.3</v>
      </c>
      <c r="R188">
        <v>45.6</v>
      </c>
      <c r="S188">
        <v>6.6</v>
      </c>
      <c r="T188">
        <v>16.100000000000001</v>
      </c>
      <c r="U188">
        <v>1029.5</v>
      </c>
      <c r="V188">
        <v>0.21</v>
      </c>
      <c r="W188">
        <v>427.3</v>
      </c>
      <c r="X188">
        <v>45</v>
      </c>
      <c r="Y188">
        <v>472.3</v>
      </c>
      <c r="Z188">
        <v>423.1</v>
      </c>
      <c r="AA188">
        <v>45.5</v>
      </c>
      <c r="AB188">
        <v>6.58</v>
      </c>
      <c r="AC188">
        <v>16.100000000000001</v>
      </c>
      <c r="AD188">
        <v>1025.5999999999999</v>
      </c>
      <c r="AE188">
        <v>0.21</v>
      </c>
      <c r="AF188">
        <v>426.1</v>
      </c>
      <c r="AG188">
        <v>44.8</v>
      </c>
      <c r="AH188">
        <v>470.9</v>
      </c>
      <c r="AI188">
        <v>244.9</v>
      </c>
      <c r="AJ188">
        <v>18.5</v>
      </c>
      <c r="AK188">
        <v>2.61</v>
      </c>
      <c r="AL188">
        <v>16.5</v>
      </c>
      <c r="AM188">
        <v>835.1</v>
      </c>
      <c r="AN188">
        <v>0.12</v>
      </c>
      <c r="AO188">
        <v>246.1</v>
      </c>
      <c r="AP188">
        <v>39.9</v>
      </c>
      <c r="AQ188">
        <v>286</v>
      </c>
      <c r="AR188">
        <v>757.5</v>
      </c>
      <c r="AS188">
        <v>65.599999999999994</v>
      </c>
      <c r="AT188">
        <v>9.3699999999999992</v>
      </c>
      <c r="AU188">
        <v>43.2</v>
      </c>
      <c r="AV188">
        <v>2318.9</v>
      </c>
      <c r="AW188">
        <v>0.37</v>
      </c>
      <c r="AX188">
        <v>761.8</v>
      </c>
      <c r="AY188">
        <v>108.2</v>
      </c>
      <c r="AZ188">
        <v>870</v>
      </c>
      <c r="BA188">
        <v>36318479.399999999</v>
      </c>
      <c r="BB188">
        <v>3901.7</v>
      </c>
      <c r="BC188">
        <v>565</v>
      </c>
      <c r="BD188">
        <v>1378076.5</v>
      </c>
      <c r="BE188">
        <v>88065.2</v>
      </c>
      <c r="BF188">
        <v>17.899999999999999</v>
      </c>
      <c r="BG188">
        <v>36577463</v>
      </c>
      <c r="BH188">
        <v>3848635</v>
      </c>
      <c r="BI188">
        <v>40426098</v>
      </c>
      <c r="BJ188">
        <v>0</v>
      </c>
      <c r="BK188">
        <v>0</v>
      </c>
      <c r="BL188">
        <v>36318479.399999999</v>
      </c>
      <c r="BM188">
        <v>37696555.899999999</v>
      </c>
      <c r="BN188">
        <v>40426098</v>
      </c>
      <c r="BO188">
        <v>28.02</v>
      </c>
      <c r="BP188">
        <v>7.89</v>
      </c>
      <c r="BQ188">
        <v>0</v>
      </c>
      <c r="BR188">
        <v>35.92</v>
      </c>
      <c r="BS188">
        <v>29.69</v>
      </c>
      <c r="BT188">
        <v>8.48</v>
      </c>
      <c r="BU188">
        <v>0</v>
      </c>
      <c r="BV188">
        <v>38.159999999999997</v>
      </c>
      <c r="BW188">
        <v>86237090</v>
      </c>
      <c r="BX188">
        <v>42848064</v>
      </c>
      <c r="BY188">
        <v>0</v>
      </c>
      <c r="BZ188">
        <v>33016806</v>
      </c>
      <c r="CA188">
        <v>0</v>
      </c>
      <c r="CB188">
        <v>3689.5</v>
      </c>
      <c r="CC188">
        <v>7572283</v>
      </c>
      <c r="CD188">
        <v>0</v>
      </c>
      <c r="CE188">
        <v>10191.299999999999</v>
      </c>
      <c r="CF188">
        <v>2376505.7999999998</v>
      </c>
      <c r="CG188">
        <v>0</v>
      </c>
      <c r="CH188">
        <v>129107.8</v>
      </c>
      <c r="CI188">
        <v>0</v>
      </c>
      <c r="CJ188">
        <v>37737000</v>
      </c>
      <c r="CK188">
        <v>0</v>
      </c>
      <c r="CL188">
        <v>58668.2</v>
      </c>
      <c r="CM188">
        <v>3619575.5</v>
      </c>
      <c r="CN188">
        <v>1432820.9</v>
      </c>
      <c r="CO188">
        <v>151515.79999999999</v>
      </c>
      <c r="CP188">
        <v>128922.3</v>
      </c>
      <c r="CQ188">
        <v>0</v>
      </c>
      <c r="CR188">
        <v>462</v>
      </c>
      <c r="CS188">
        <v>0</v>
      </c>
      <c r="CT188">
        <v>17.600000000000001</v>
      </c>
      <c r="CU188">
        <v>5951.6</v>
      </c>
      <c r="CV188">
        <v>0</v>
      </c>
      <c r="CW188">
        <v>30</v>
      </c>
      <c r="CX188">
        <v>877.9</v>
      </c>
      <c r="CY188">
        <v>3383.6</v>
      </c>
      <c r="CZ188">
        <v>0</v>
      </c>
      <c r="DA188">
        <v>2837.1</v>
      </c>
      <c r="DB188">
        <v>0</v>
      </c>
      <c r="DC188">
        <v>948</v>
      </c>
      <c r="DD188">
        <v>0</v>
      </c>
      <c r="DE188">
        <v>659.2</v>
      </c>
      <c r="DF188">
        <v>562.5</v>
      </c>
      <c r="DG188">
        <v>1434.9</v>
      </c>
      <c r="DH188">
        <v>0</v>
      </c>
      <c r="DI188">
        <v>10518.5</v>
      </c>
      <c r="DJ188">
        <v>0</v>
      </c>
      <c r="DK188">
        <v>924</v>
      </c>
      <c r="DL188">
        <v>5625</v>
      </c>
      <c r="DM188">
        <v>0</v>
      </c>
      <c r="DN188">
        <v>0</v>
      </c>
      <c r="DO188">
        <v>0.16</v>
      </c>
      <c r="DP188">
        <v>0</v>
      </c>
      <c r="DQ188">
        <v>0.28000000000000003</v>
      </c>
      <c r="DR188">
        <v>0</v>
      </c>
    </row>
    <row r="189" spans="1:122" x14ac:dyDescent="0.3">
      <c r="A189" t="s">
        <v>169</v>
      </c>
      <c r="B189">
        <v>2028</v>
      </c>
      <c r="C189">
        <v>85524458.700000003</v>
      </c>
      <c r="D189">
        <v>84147700.299999997</v>
      </c>
      <c r="E189">
        <v>81121576.900000006</v>
      </c>
      <c r="F189">
        <v>0</v>
      </c>
      <c r="G189">
        <v>450201.59999999998</v>
      </c>
      <c r="H189">
        <v>38953530.299999997</v>
      </c>
      <c r="I189">
        <v>197245.7</v>
      </c>
      <c r="J189">
        <v>252955.8</v>
      </c>
      <c r="K189">
        <v>926556.9</v>
      </c>
      <c r="L189">
        <v>3.5999999999999997E-2</v>
      </c>
      <c r="M189">
        <v>5.3999999999999999E-2</v>
      </c>
      <c r="N189">
        <v>0.12529999999999999</v>
      </c>
      <c r="O189">
        <v>58552.21</v>
      </c>
      <c r="P189">
        <v>16578.7</v>
      </c>
      <c r="Q189">
        <v>407.3</v>
      </c>
      <c r="R189">
        <v>44</v>
      </c>
      <c r="S189">
        <v>6.38</v>
      </c>
      <c r="T189">
        <v>15.2</v>
      </c>
      <c r="U189">
        <v>979.6</v>
      </c>
      <c r="V189">
        <v>0.2</v>
      </c>
      <c r="W189">
        <v>410.2</v>
      </c>
      <c r="X189">
        <v>42.7</v>
      </c>
      <c r="Y189">
        <v>452.9</v>
      </c>
      <c r="Z189">
        <v>404.7</v>
      </c>
      <c r="AA189">
        <v>43.8</v>
      </c>
      <c r="AB189">
        <v>6.34</v>
      </c>
      <c r="AC189">
        <v>15.1</v>
      </c>
      <c r="AD189">
        <v>972.3</v>
      </c>
      <c r="AE189">
        <v>0.2</v>
      </c>
      <c r="AF189">
        <v>407.6</v>
      </c>
      <c r="AG189">
        <v>42.4</v>
      </c>
      <c r="AH189">
        <v>450</v>
      </c>
      <c r="AI189">
        <v>202.8</v>
      </c>
      <c r="AJ189">
        <v>12.3</v>
      </c>
      <c r="AK189">
        <v>1.69</v>
      </c>
      <c r="AL189">
        <v>16.3</v>
      </c>
      <c r="AM189">
        <v>788.8</v>
      </c>
      <c r="AN189">
        <v>0.1</v>
      </c>
      <c r="AO189">
        <v>203.6</v>
      </c>
      <c r="AP189">
        <v>38.4</v>
      </c>
      <c r="AQ189">
        <v>242</v>
      </c>
      <c r="AR189">
        <v>726.4</v>
      </c>
      <c r="AS189">
        <v>59.8</v>
      </c>
      <c r="AT189">
        <v>8.51</v>
      </c>
      <c r="AU189">
        <v>44.3</v>
      </c>
      <c r="AV189">
        <v>2318.5</v>
      </c>
      <c r="AW189">
        <v>0.36</v>
      </c>
      <c r="AX189">
        <v>730.3</v>
      </c>
      <c r="AY189">
        <v>109.3</v>
      </c>
      <c r="AZ189">
        <v>839.6</v>
      </c>
      <c r="BA189">
        <v>35140687.600000001</v>
      </c>
      <c r="BB189">
        <v>3799.7</v>
      </c>
      <c r="BC189">
        <v>550.5</v>
      </c>
      <c r="BD189">
        <v>1311174.1000000001</v>
      </c>
      <c r="BE189">
        <v>84443.9</v>
      </c>
      <c r="BF189">
        <v>17.3</v>
      </c>
      <c r="BG189">
        <v>35392954.799999997</v>
      </c>
      <c r="BH189">
        <v>3680185.8</v>
      </c>
      <c r="BI189">
        <v>39073140.600000001</v>
      </c>
      <c r="BJ189">
        <v>0</v>
      </c>
      <c r="BK189">
        <v>0</v>
      </c>
      <c r="BL189">
        <v>35140687.600000001</v>
      </c>
      <c r="BM189">
        <v>36451861.700000003</v>
      </c>
      <c r="BN189">
        <v>39073140.600000001</v>
      </c>
      <c r="BO189">
        <v>29.22</v>
      </c>
      <c r="BP189">
        <v>9.67</v>
      </c>
      <c r="BQ189">
        <v>0</v>
      </c>
      <c r="BR189">
        <v>38.89</v>
      </c>
      <c r="BS189">
        <v>30.98</v>
      </c>
      <c r="BT189">
        <v>10.39</v>
      </c>
      <c r="BU189">
        <v>0</v>
      </c>
      <c r="BV189">
        <v>41.37</v>
      </c>
      <c r="BW189">
        <v>86873410</v>
      </c>
      <c r="BX189">
        <v>45194170</v>
      </c>
      <c r="BY189">
        <v>0</v>
      </c>
      <c r="BZ189">
        <v>32065574</v>
      </c>
      <c r="CA189">
        <v>0</v>
      </c>
      <c r="CB189">
        <v>22.1</v>
      </c>
      <c r="CC189">
        <v>6726579</v>
      </c>
      <c r="CD189">
        <v>0</v>
      </c>
      <c r="CE189">
        <v>18729.599999999999</v>
      </c>
      <c r="CF189">
        <v>2362697.7999999998</v>
      </c>
      <c r="CG189">
        <v>0</v>
      </c>
      <c r="CH189">
        <v>128747.5</v>
      </c>
      <c r="CI189">
        <v>0</v>
      </c>
      <c r="CJ189">
        <v>39850390</v>
      </c>
      <c r="CK189">
        <v>0</v>
      </c>
      <c r="CL189">
        <v>58655.4</v>
      </c>
      <c r="CM189">
        <v>3569078.5</v>
      </c>
      <c r="CN189">
        <v>1716043.8</v>
      </c>
      <c r="CO189">
        <v>207927.6</v>
      </c>
      <c r="CP189">
        <v>168961.9</v>
      </c>
      <c r="CQ189">
        <v>0</v>
      </c>
      <c r="CR189">
        <v>494.9</v>
      </c>
      <c r="CS189">
        <v>0</v>
      </c>
      <c r="CT189">
        <v>17.600000000000001</v>
      </c>
      <c r="CU189">
        <v>5311.1</v>
      </c>
      <c r="CV189">
        <v>0</v>
      </c>
      <c r="CW189">
        <v>30</v>
      </c>
      <c r="CX189">
        <v>1054.4000000000001</v>
      </c>
      <c r="CY189">
        <v>3383.6</v>
      </c>
      <c r="CZ189">
        <v>0</v>
      </c>
      <c r="DA189">
        <v>2786.1</v>
      </c>
      <c r="DB189">
        <v>0</v>
      </c>
      <c r="DC189">
        <v>948</v>
      </c>
      <c r="DD189">
        <v>0</v>
      </c>
      <c r="DE189">
        <v>149.19999999999999</v>
      </c>
      <c r="DF189">
        <v>562.5</v>
      </c>
      <c r="DG189">
        <v>1434.9</v>
      </c>
      <c r="DH189">
        <v>0</v>
      </c>
      <c r="DI189">
        <v>11062.3</v>
      </c>
      <c r="DJ189">
        <v>0</v>
      </c>
      <c r="DK189">
        <v>989.9</v>
      </c>
      <c r="DL189">
        <v>5625</v>
      </c>
      <c r="DM189">
        <v>0</v>
      </c>
      <c r="DN189">
        <v>0</v>
      </c>
      <c r="DO189">
        <v>0.16</v>
      </c>
      <c r="DP189">
        <v>0</v>
      </c>
      <c r="DQ189">
        <v>0.32</v>
      </c>
      <c r="DR189">
        <v>0</v>
      </c>
    </row>
    <row r="190" spans="1:122" x14ac:dyDescent="0.3">
      <c r="A190" t="s">
        <v>169</v>
      </c>
      <c r="B190">
        <v>2030</v>
      </c>
      <c r="C190">
        <v>88045670.099999994</v>
      </c>
      <c r="D190">
        <v>86152145.299999997</v>
      </c>
      <c r="E190">
        <v>83053938</v>
      </c>
      <c r="F190">
        <v>0</v>
      </c>
      <c r="G190">
        <v>932743.4</v>
      </c>
      <c r="H190">
        <v>40163142.299999997</v>
      </c>
      <c r="I190">
        <v>624425.9</v>
      </c>
      <c r="J190">
        <v>308317.59999999998</v>
      </c>
      <c r="K190">
        <v>960781.4</v>
      </c>
      <c r="L190">
        <v>3.5999999999999997E-2</v>
      </c>
      <c r="M190">
        <v>5.3999999999999999E-2</v>
      </c>
      <c r="N190">
        <v>0.12529999999999999</v>
      </c>
      <c r="O190">
        <v>66839.55</v>
      </c>
      <c r="P190">
        <v>16973.3</v>
      </c>
      <c r="Q190">
        <v>366.1</v>
      </c>
      <c r="R190">
        <v>38.700000000000003</v>
      </c>
      <c r="S190">
        <v>5.6</v>
      </c>
      <c r="T190">
        <v>14.5</v>
      </c>
      <c r="U190">
        <v>907.3</v>
      </c>
      <c r="V190">
        <v>0.18</v>
      </c>
      <c r="W190">
        <v>368.7</v>
      </c>
      <c r="X190">
        <v>39.9</v>
      </c>
      <c r="Y190">
        <v>408.6</v>
      </c>
      <c r="Z190">
        <v>357.1</v>
      </c>
      <c r="AA190">
        <v>37.799999999999997</v>
      </c>
      <c r="AB190">
        <v>5.48</v>
      </c>
      <c r="AC190">
        <v>14.1</v>
      </c>
      <c r="AD190">
        <v>882.2</v>
      </c>
      <c r="AE190">
        <v>0.18</v>
      </c>
      <c r="AF190">
        <v>359.6</v>
      </c>
      <c r="AG190">
        <v>38.799999999999997</v>
      </c>
      <c r="AH190">
        <v>398.4</v>
      </c>
      <c r="AI190">
        <v>271.39999999999998</v>
      </c>
      <c r="AJ190">
        <v>14.5</v>
      </c>
      <c r="AK190">
        <v>1.97</v>
      </c>
      <c r="AL190">
        <v>23.6</v>
      </c>
      <c r="AM190">
        <v>1119.3</v>
      </c>
      <c r="AN190">
        <v>0.13</v>
      </c>
      <c r="AO190">
        <v>272.3</v>
      </c>
      <c r="AP190">
        <v>55</v>
      </c>
      <c r="AQ190">
        <v>327.3</v>
      </c>
      <c r="AR190">
        <v>678.2</v>
      </c>
      <c r="AS190">
        <v>53.7</v>
      </c>
      <c r="AT190">
        <v>7.62</v>
      </c>
      <c r="AU190">
        <v>43.4</v>
      </c>
      <c r="AV190">
        <v>2228.1</v>
      </c>
      <c r="AW190">
        <v>0.34</v>
      </c>
      <c r="AX190">
        <v>681.8</v>
      </c>
      <c r="AY190">
        <v>105.9</v>
      </c>
      <c r="AZ190">
        <v>787.6</v>
      </c>
      <c r="BA190">
        <v>30717109</v>
      </c>
      <c r="BB190">
        <v>3250.5</v>
      </c>
      <c r="BC190">
        <v>470.2</v>
      </c>
      <c r="BD190">
        <v>1210893.2</v>
      </c>
      <c r="BE190">
        <v>76057.7</v>
      </c>
      <c r="BF190">
        <v>15.1</v>
      </c>
      <c r="BG190">
        <v>30932737.899999999</v>
      </c>
      <c r="BH190">
        <v>3344502.7</v>
      </c>
      <c r="BI190">
        <v>34277240.700000003</v>
      </c>
      <c r="BJ190">
        <v>0</v>
      </c>
      <c r="BK190">
        <v>0</v>
      </c>
      <c r="BL190">
        <v>30717109</v>
      </c>
      <c r="BM190">
        <v>31928002.199999999</v>
      </c>
      <c r="BN190">
        <v>34277240.700000003</v>
      </c>
      <c r="BO190">
        <v>28.79</v>
      </c>
      <c r="BP190">
        <v>10.92</v>
      </c>
      <c r="BQ190">
        <v>0</v>
      </c>
      <c r="BR190">
        <v>39.71</v>
      </c>
      <c r="BS190">
        <v>30.58</v>
      </c>
      <c r="BT190">
        <v>11.79</v>
      </c>
      <c r="BU190">
        <v>0</v>
      </c>
      <c r="BV190">
        <v>42.37</v>
      </c>
      <c r="BW190">
        <v>84497130</v>
      </c>
      <c r="BX190">
        <v>45989004</v>
      </c>
      <c r="BY190">
        <v>0</v>
      </c>
      <c r="BZ190">
        <v>27510588</v>
      </c>
      <c r="CA190">
        <v>0</v>
      </c>
      <c r="CB190">
        <v>0</v>
      </c>
      <c r="CC190">
        <v>7722145.5</v>
      </c>
      <c r="CD190">
        <v>0</v>
      </c>
      <c r="CE190">
        <v>29291.4</v>
      </c>
      <c r="CF190">
        <v>2340956.5</v>
      </c>
      <c r="CG190">
        <v>0</v>
      </c>
      <c r="CH190">
        <v>127508</v>
      </c>
      <c r="CI190">
        <v>0</v>
      </c>
      <c r="CJ190">
        <v>39420252</v>
      </c>
      <c r="CK190">
        <v>0</v>
      </c>
      <c r="CL190">
        <v>58683.5</v>
      </c>
      <c r="CM190">
        <v>4380308.5</v>
      </c>
      <c r="CN190">
        <v>2129757.5</v>
      </c>
      <c r="CO190">
        <v>244829.4</v>
      </c>
      <c r="CP190">
        <v>532807.80000000005</v>
      </c>
      <c r="CQ190">
        <v>0</v>
      </c>
      <c r="CR190">
        <v>713</v>
      </c>
      <c r="CS190">
        <v>0</v>
      </c>
      <c r="CT190">
        <v>17.600000000000001</v>
      </c>
      <c r="CU190">
        <v>4645.7</v>
      </c>
      <c r="CV190">
        <v>0</v>
      </c>
      <c r="CW190">
        <v>30</v>
      </c>
      <c r="CX190">
        <v>1309.4000000000001</v>
      </c>
      <c r="CY190">
        <v>3383.6</v>
      </c>
      <c r="CZ190">
        <v>0</v>
      </c>
      <c r="DA190">
        <v>2752.1</v>
      </c>
      <c r="DB190">
        <v>0</v>
      </c>
      <c r="DC190">
        <v>948</v>
      </c>
      <c r="DD190">
        <v>0</v>
      </c>
      <c r="DE190">
        <v>22</v>
      </c>
      <c r="DF190">
        <v>562.5</v>
      </c>
      <c r="DG190">
        <v>1860.3</v>
      </c>
      <c r="DH190">
        <v>0</v>
      </c>
      <c r="DI190">
        <v>10995.7</v>
      </c>
      <c r="DJ190">
        <v>0</v>
      </c>
      <c r="DK190">
        <v>2712.7</v>
      </c>
      <c r="DL190">
        <v>5625</v>
      </c>
      <c r="DM190">
        <v>0</v>
      </c>
      <c r="DN190">
        <v>0</v>
      </c>
      <c r="DO190">
        <v>0.16</v>
      </c>
      <c r="DP190">
        <v>0</v>
      </c>
      <c r="DQ190">
        <v>0.36</v>
      </c>
      <c r="DR190">
        <v>0</v>
      </c>
    </row>
    <row r="191" spans="1:122" x14ac:dyDescent="0.3">
      <c r="A191" t="s">
        <v>169</v>
      </c>
      <c r="B191">
        <v>2032</v>
      </c>
      <c r="C191">
        <v>90204680.400000006</v>
      </c>
      <c r="D191">
        <v>88236386.700000003</v>
      </c>
      <c r="E191">
        <v>85063225.700000003</v>
      </c>
      <c r="F191">
        <v>0</v>
      </c>
      <c r="G191">
        <v>1003266.4</v>
      </c>
      <c r="H191">
        <v>42111219.200000003</v>
      </c>
      <c r="I191">
        <v>693982.6</v>
      </c>
      <c r="J191">
        <v>309283.8</v>
      </c>
      <c r="K191">
        <v>965027.3</v>
      </c>
      <c r="L191">
        <v>3.5999999999999997E-2</v>
      </c>
      <c r="M191">
        <v>5.3999999999999999E-2</v>
      </c>
      <c r="N191">
        <v>0.12529999999999999</v>
      </c>
      <c r="O191">
        <v>73090.559999999998</v>
      </c>
      <c r="P191">
        <v>17383.2</v>
      </c>
      <c r="Q191">
        <v>374.8</v>
      </c>
      <c r="R191">
        <v>39.6</v>
      </c>
      <c r="S191">
        <v>5.73</v>
      </c>
      <c r="T191">
        <v>14.8</v>
      </c>
      <c r="U191">
        <v>928.8</v>
      </c>
      <c r="V191">
        <v>0.18</v>
      </c>
      <c r="W191">
        <v>377.5</v>
      </c>
      <c r="X191">
        <v>40.799999999999997</v>
      </c>
      <c r="Y191">
        <v>418.3</v>
      </c>
      <c r="Z191">
        <v>366.9</v>
      </c>
      <c r="AA191">
        <v>38.9</v>
      </c>
      <c r="AB191">
        <v>5.63</v>
      </c>
      <c r="AC191">
        <v>14.4</v>
      </c>
      <c r="AD191">
        <v>906</v>
      </c>
      <c r="AE191">
        <v>0.18</v>
      </c>
      <c r="AF191">
        <v>369.5</v>
      </c>
      <c r="AG191">
        <v>39.9</v>
      </c>
      <c r="AH191">
        <v>409.3</v>
      </c>
      <c r="AI191">
        <v>261.89999999999998</v>
      </c>
      <c r="AJ191">
        <v>13</v>
      </c>
      <c r="AK191">
        <v>1.74</v>
      </c>
      <c r="AL191">
        <v>23.7</v>
      </c>
      <c r="AM191">
        <v>1112.5</v>
      </c>
      <c r="AN191">
        <v>0.12</v>
      </c>
      <c r="AO191">
        <v>262.7</v>
      </c>
      <c r="AP191">
        <v>54.9</v>
      </c>
      <c r="AQ191">
        <v>317.60000000000002</v>
      </c>
      <c r="AR191">
        <v>661.7</v>
      </c>
      <c r="AS191">
        <v>50.4</v>
      </c>
      <c r="AT191">
        <v>7.12</v>
      </c>
      <c r="AU191">
        <v>44.1</v>
      </c>
      <c r="AV191">
        <v>2239.5</v>
      </c>
      <c r="AW191">
        <v>0.33</v>
      </c>
      <c r="AX191">
        <v>665</v>
      </c>
      <c r="AY191">
        <v>106.9</v>
      </c>
      <c r="AZ191">
        <v>771.9</v>
      </c>
      <c r="BA191">
        <v>32077535.199999999</v>
      </c>
      <c r="BB191">
        <v>3394.5</v>
      </c>
      <c r="BC191">
        <v>491.1</v>
      </c>
      <c r="BD191">
        <v>1264242.8</v>
      </c>
      <c r="BE191">
        <v>79423.100000000006</v>
      </c>
      <c r="BF191">
        <v>15.7</v>
      </c>
      <c r="BG191">
        <v>32302720.300000001</v>
      </c>
      <c r="BH191">
        <v>3492261.5</v>
      </c>
      <c r="BI191">
        <v>35794981.799999997</v>
      </c>
      <c r="BJ191">
        <v>0</v>
      </c>
      <c r="BK191">
        <v>0</v>
      </c>
      <c r="BL191">
        <v>32077535.199999999</v>
      </c>
      <c r="BM191">
        <v>33341778</v>
      </c>
      <c r="BN191">
        <v>35794981.799999997</v>
      </c>
      <c r="BO191">
        <v>29.01</v>
      </c>
      <c r="BP191">
        <v>11.95</v>
      </c>
      <c r="BQ191">
        <v>0</v>
      </c>
      <c r="BR191">
        <v>40.96</v>
      </c>
      <c r="BS191">
        <v>30.81</v>
      </c>
      <c r="BT191">
        <v>12.9</v>
      </c>
      <c r="BU191">
        <v>0</v>
      </c>
      <c r="BV191">
        <v>43.71</v>
      </c>
      <c r="BW191">
        <v>86184296</v>
      </c>
      <c r="BX191">
        <v>46125170</v>
      </c>
      <c r="BY191">
        <v>0</v>
      </c>
      <c r="BZ191">
        <v>28681190</v>
      </c>
      <c r="CA191">
        <v>0</v>
      </c>
      <c r="CB191">
        <v>0</v>
      </c>
      <c r="CC191">
        <v>8024861</v>
      </c>
      <c r="CD191">
        <v>0</v>
      </c>
      <c r="CE191">
        <v>28815.200000000001</v>
      </c>
      <c r="CF191">
        <v>2349108.5</v>
      </c>
      <c r="CG191">
        <v>0</v>
      </c>
      <c r="CH191">
        <v>127815.2</v>
      </c>
      <c r="CI191">
        <v>0</v>
      </c>
      <c r="CJ191">
        <v>39214290</v>
      </c>
      <c r="CK191">
        <v>0</v>
      </c>
      <c r="CL191">
        <v>58551.8</v>
      </c>
      <c r="CM191">
        <v>4319524</v>
      </c>
      <c r="CN191">
        <v>2532803</v>
      </c>
      <c r="CO191">
        <v>251009.2</v>
      </c>
      <c r="CP191">
        <v>596327</v>
      </c>
      <c r="CQ191">
        <v>0</v>
      </c>
      <c r="CR191">
        <v>781.9</v>
      </c>
      <c r="CS191">
        <v>0</v>
      </c>
      <c r="CT191">
        <v>17.600000000000001</v>
      </c>
      <c r="CU191">
        <v>4645.7</v>
      </c>
      <c r="CV191">
        <v>0</v>
      </c>
      <c r="CW191">
        <v>30</v>
      </c>
      <c r="CX191">
        <v>1561.7</v>
      </c>
      <c r="CY191">
        <v>3383.6</v>
      </c>
      <c r="CZ191">
        <v>0</v>
      </c>
      <c r="DA191">
        <v>2752.1</v>
      </c>
      <c r="DB191">
        <v>0</v>
      </c>
      <c r="DC191">
        <v>948</v>
      </c>
      <c r="DD191">
        <v>0</v>
      </c>
      <c r="DE191">
        <v>22</v>
      </c>
      <c r="DF191">
        <v>562.5</v>
      </c>
      <c r="DG191">
        <v>1854.3</v>
      </c>
      <c r="DH191">
        <v>0</v>
      </c>
      <c r="DI191">
        <v>10962.5</v>
      </c>
      <c r="DJ191">
        <v>0</v>
      </c>
      <c r="DK191">
        <v>3001</v>
      </c>
      <c r="DL191">
        <v>5625</v>
      </c>
      <c r="DM191">
        <v>0</v>
      </c>
      <c r="DN191">
        <v>0</v>
      </c>
      <c r="DO191">
        <v>0.16</v>
      </c>
      <c r="DP191">
        <v>0</v>
      </c>
      <c r="DQ191">
        <v>0.37</v>
      </c>
      <c r="DR191">
        <v>0</v>
      </c>
    </row>
    <row r="192" spans="1:122" x14ac:dyDescent="0.3">
      <c r="A192" t="s">
        <v>169</v>
      </c>
      <c r="B192">
        <v>2034</v>
      </c>
      <c r="C192">
        <v>92878849.200000003</v>
      </c>
      <c r="D192">
        <v>90465353.200000003</v>
      </c>
      <c r="E192">
        <v>87212034</v>
      </c>
      <c r="F192">
        <v>0</v>
      </c>
      <c r="G192">
        <v>1411913.8</v>
      </c>
      <c r="H192">
        <v>38384673.299999997</v>
      </c>
      <c r="I192">
        <v>983425.7</v>
      </c>
      <c r="J192">
        <v>428488</v>
      </c>
      <c r="K192">
        <v>1001582.4</v>
      </c>
      <c r="L192">
        <v>3.5999999999999997E-2</v>
      </c>
      <c r="M192">
        <v>5.3999999999999999E-2</v>
      </c>
      <c r="N192">
        <v>0.12529999999999999</v>
      </c>
      <c r="O192">
        <v>74693.429999999993</v>
      </c>
      <c r="P192">
        <v>17821.5</v>
      </c>
      <c r="Q192">
        <v>350.5</v>
      </c>
      <c r="R192">
        <v>37.6</v>
      </c>
      <c r="S192">
        <v>5.45</v>
      </c>
      <c r="T192">
        <v>13.3</v>
      </c>
      <c r="U192">
        <v>850.4</v>
      </c>
      <c r="V192">
        <v>0.17</v>
      </c>
      <c r="W192">
        <v>353</v>
      </c>
      <c r="X192">
        <v>37.200000000000003</v>
      </c>
      <c r="Y192">
        <v>390.1</v>
      </c>
      <c r="Z192">
        <v>344.8</v>
      </c>
      <c r="AA192">
        <v>37.1</v>
      </c>
      <c r="AB192">
        <v>5.37</v>
      </c>
      <c r="AC192">
        <v>13.1</v>
      </c>
      <c r="AD192">
        <v>836</v>
      </c>
      <c r="AE192">
        <v>0.17</v>
      </c>
      <c r="AF192">
        <v>347.3</v>
      </c>
      <c r="AG192">
        <v>36.6</v>
      </c>
      <c r="AH192">
        <v>383.9</v>
      </c>
      <c r="AI192">
        <v>225.9</v>
      </c>
      <c r="AJ192">
        <v>8.8000000000000007</v>
      </c>
      <c r="AK192">
        <v>1.1299999999999999</v>
      </c>
      <c r="AL192">
        <v>22.7</v>
      </c>
      <c r="AM192">
        <v>1036.9000000000001</v>
      </c>
      <c r="AN192">
        <v>0.1</v>
      </c>
      <c r="AO192">
        <v>226.5</v>
      </c>
      <c r="AP192">
        <v>51.7</v>
      </c>
      <c r="AQ192">
        <v>278.2</v>
      </c>
      <c r="AR192">
        <v>681.7</v>
      </c>
      <c r="AS192">
        <v>54.8</v>
      </c>
      <c r="AT192">
        <v>7.77</v>
      </c>
      <c r="AU192">
        <v>42.7</v>
      </c>
      <c r="AV192">
        <v>2225.1</v>
      </c>
      <c r="AW192">
        <v>0.33</v>
      </c>
      <c r="AX192">
        <v>685.3</v>
      </c>
      <c r="AY192">
        <v>105.1</v>
      </c>
      <c r="AZ192">
        <v>790.4</v>
      </c>
      <c r="BA192">
        <v>31692028.899999999</v>
      </c>
      <c r="BB192">
        <v>3405.5</v>
      </c>
      <c r="BC192">
        <v>493.2</v>
      </c>
      <c r="BD192">
        <v>1202189.6000000001</v>
      </c>
      <c r="BE192">
        <v>76830</v>
      </c>
      <c r="BF192">
        <v>15.6</v>
      </c>
      <c r="BG192">
        <v>31918074.600000001</v>
      </c>
      <c r="BH192">
        <v>3357560</v>
      </c>
      <c r="BI192">
        <v>35275634.5</v>
      </c>
      <c r="BJ192">
        <v>0</v>
      </c>
      <c r="BK192">
        <v>0</v>
      </c>
      <c r="BL192">
        <v>31692028.899999999</v>
      </c>
      <c r="BM192">
        <v>32894218.399999999</v>
      </c>
      <c r="BN192">
        <v>35275634.5</v>
      </c>
      <c r="BO192">
        <v>28.37</v>
      </c>
      <c r="BP192">
        <v>11.95</v>
      </c>
      <c r="BQ192">
        <v>0</v>
      </c>
      <c r="BR192">
        <v>40.32</v>
      </c>
      <c r="BS192">
        <v>30.17</v>
      </c>
      <c r="BT192">
        <v>12.96</v>
      </c>
      <c r="BU192">
        <v>0</v>
      </c>
      <c r="BV192">
        <v>43.13</v>
      </c>
      <c r="BW192">
        <v>91074184</v>
      </c>
      <c r="BX192">
        <v>52080680</v>
      </c>
      <c r="BY192">
        <v>0</v>
      </c>
      <c r="BZ192">
        <v>28748294</v>
      </c>
      <c r="CA192">
        <v>0</v>
      </c>
      <c r="CB192">
        <v>0</v>
      </c>
      <c r="CC192">
        <v>6576780.5</v>
      </c>
      <c r="CD192">
        <v>0</v>
      </c>
      <c r="CE192">
        <v>26005.4</v>
      </c>
      <c r="CF192">
        <v>2333532.7999999998</v>
      </c>
      <c r="CG192">
        <v>0</v>
      </c>
      <c r="CH192">
        <v>127243.1</v>
      </c>
      <c r="CI192">
        <v>0</v>
      </c>
      <c r="CJ192">
        <v>44174412</v>
      </c>
      <c r="CK192">
        <v>0</v>
      </c>
      <c r="CL192">
        <v>58219.8</v>
      </c>
      <c r="CM192">
        <v>4922812.5</v>
      </c>
      <c r="CN192">
        <v>2925237</v>
      </c>
      <c r="CO192">
        <v>341530.6</v>
      </c>
      <c r="CP192">
        <v>840117</v>
      </c>
      <c r="CQ192">
        <v>0</v>
      </c>
      <c r="CR192">
        <v>942.4</v>
      </c>
      <c r="CS192">
        <v>0</v>
      </c>
      <c r="CT192">
        <v>17.600000000000001</v>
      </c>
      <c r="CU192">
        <v>4645.7</v>
      </c>
      <c r="CV192">
        <v>0</v>
      </c>
      <c r="CW192">
        <v>30</v>
      </c>
      <c r="CX192">
        <v>1811.4</v>
      </c>
      <c r="CY192">
        <v>3383.6</v>
      </c>
      <c r="CZ192">
        <v>0</v>
      </c>
      <c r="DA192">
        <v>2774.2</v>
      </c>
      <c r="DB192">
        <v>0</v>
      </c>
      <c r="DC192">
        <v>948</v>
      </c>
      <c r="DD192">
        <v>0</v>
      </c>
      <c r="DE192">
        <v>22</v>
      </c>
      <c r="DF192">
        <v>643.6</v>
      </c>
      <c r="DG192">
        <v>2078.9</v>
      </c>
      <c r="DH192">
        <v>0</v>
      </c>
      <c r="DI192">
        <v>12186.1</v>
      </c>
      <c r="DJ192">
        <v>0</v>
      </c>
      <c r="DK192">
        <v>4026.7</v>
      </c>
      <c r="DL192">
        <v>6436.2</v>
      </c>
      <c r="DM192">
        <v>0</v>
      </c>
      <c r="DN192">
        <v>0</v>
      </c>
      <c r="DO192">
        <v>0.16</v>
      </c>
      <c r="DP192">
        <v>0</v>
      </c>
      <c r="DQ192">
        <v>0.38</v>
      </c>
      <c r="DR192">
        <v>0</v>
      </c>
    </row>
    <row r="193" spans="1:122" x14ac:dyDescent="0.3">
      <c r="A193" t="s">
        <v>169</v>
      </c>
      <c r="B193">
        <v>2036</v>
      </c>
      <c r="C193">
        <v>96063222.700000003</v>
      </c>
      <c r="D193">
        <v>92760750.200000003</v>
      </c>
      <c r="E193">
        <v>89424883.900000006</v>
      </c>
      <c r="F193">
        <v>0</v>
      </c>
      <c r="G193">
        <v>2267612</v>
      </c>
      <c r="H193">
        <v>38937034.399999999</v>
      </c>
      <c r="I193">
        <v>1862836.2</v>
      </c>
      <c r="J193">
        <v>404776</v>
      </c>
      <c r="K193">
        <v>1034860.4</v>
      </c>
      <c r="L193">
        <v>3.5999999999999997E-2</v>
      </c>
      <c r="M193">
        <v>5.3999999999999999E-2</v>
      </c>
      <c r="N193">
        <v>0.12529999999999999</v>
      </c>
      <c r="O193">
        <v>75010.47</v>
      </c>
      <c r="P193">
        <v>18274</v>
      </c>
      <c r="Q193">
        <v>336.5</v>
      </c>
      <c r="R193">
        <v>36.200000000000003</v>
      </c>
      <c r="S193">
        <v>5.24</v>
      </c>
      <c r="T193">
        <v>12.7</v>
      </c>
      <c r="U193">
        <v>814.4</v>
      </c>
      <c r="V193">
        <v>0.17</v>
      </c>
      <c r="W193">
        <v>338.9</v>
      </c>
      <c r="X193">
        <v>35.6</v>
      </c>
      <c r="Y193">
        <v>374.5</v>
      </c>
      <c r="Z193">
        <v>330.1</v>
      </c>
      <c r="AA193">
        <v>35.5</v>
      </c>
      <c r="AB193">
        <v>5.15</v>
      </c>
      <c r="AC193">
        <v>12.5</v>
      </c>
      <c r="AD193">
        <v>797.7</v>
      </c>
      <c r="AE193">
        <v>0.16</v>
      </c>
      <c r="AF193">
        <v>332.4</v>
      </c>
      <c r="AG193">
        <v>34.9</v>
      </c>
      <c r="AH193">
        <v>367.3</v>
      </c>
      <c r="AI193">
        <v>157.4</v>
      </c>
      <c r="AJ193">
        <v>5.6</v>
      </c>
      <c r="AK193">
        <v>0.71</v>
      </c>
      <c r="AL193">
        <v>16.3</v>
      </c>
      <c r="AM193">
        <v>738.9</v>
      </c>
      <c r="AN193">
        <v>7.0000000000000007E-2</v>
      </c>
      <c r="AO193">
        <v>157.80000000000001</v>
      </c>
      <c r="AP193">
        <v>37</v>
      </c>
      <c r="AQ193">
        <v>194.8</v>
      </c>
      <c r="AR193">
        <v>637.79999999999995</v>
      </c>
      <c r="AS193">
        <v>47.7</v>
      </c>
      <c r="AT193">
        <v>6.73</v>
      </c>
      <c r="AU193">
        <v>43.2</v>
      </c>
      <c r="AV193">
        <v>2191.1</v>
      </c>
      <c r="AW193">
        <v>0.31</v>
      </c>
      <c r="AX193">
        <v>640.9</v>
      </c>
      <c r="AY193">
        <v>104.6</v>
      </c>
      <c r="AZ193">
        <v>745.6</v>
      </c>
      <c r="BA193">
        <v>31038791.399999999</v>
      </c>
      <c r="BB193">
        <v>3341.5</v>
      </c>
      <c r="BC193">
        <v>484</v>
      </c>
      <c r="BD193">
        <v>1170403.3</v>
      </c>
      <c r="BE193">
        <v>75048.100000000006</v>
      </c>
      <c r="BF193">
        <v>15.3</v>
      </c>
      <c r="BG193">
        <v>31260605.899999999</v>
      </c>
      <c r="BH193">
        <v>3275794.1</v>
      </c>
      <c r="BI193">
        <v>34536400.100000001</v>
      </c>
      <c r="BJ193">
        <v>0</v>
      </c>
      <c r="BK193">
        <v>0</v>
      </c>
      <c r="BL193">
        <v>31038791.399999999</v>
      </c>
      <c r="BM193">
        <v>32209194.699999999</v>
      </c>
      <c r="BN193">
        <v>34536400.100000001</v>
      </c>
      <c r="BO193">
        <v>28.76</v>
      </c>
      <c r="BP193">
        <v>11.78</v>
      </c>
      <c r="BQ193">
        <v>0</v>
      </c>
      <c r="BR193">
        <v>40.549999999999997</v>
      </c>
      <c r="BS193">
        <v>30.65</v>
      </c>
      <c r="BT193">
        <v>12.88</v>
      </c>
      <c r="BU193">
        <v>0</v>
      </c>
      <c r="BV193">
        <v>43.53</v>
      </c>
      <c r="BW193">
        <v>92888920</v>
      </c>
      <c r="BX193">
        <v>53823720</v>
      </c>
      <c r="BY193">
        <v>0</v>
      </c>
      <c r="BZ193">
        <v>28376092</v>
      </c>
      <c r="CA193">
        <v>0</v>
      </c>
      <c r="CB193">
        <v>0</v>
      </c>
      <c r="CC193">
        <v>6306521.5</v>
      </c>
      <c r="CD193">
        <v>0</v>
      </c>
      <c r="CE193">
        <v>26948.9</v>
      </c>
      <c r="CF193">
        <v>2337536.5</v>
      </c>
      <c r="CG193">
        <v>0</v>
      </c>
      <c r="CH193">
        <v>90848.7</v>
      </c>
      <c r="CI193">
        <v>0</v>
      </c>
      <c r="CJ193">
        <v>43922916</v>
      </c>
      <c r="CK193">
        <v>0</v>
      </c>
      <c r="CL193">
        <v>58266.6</v>
      </c>
      <c r="CM193">
        <v>6551454</v>
      </c>
      <c r="CN193">
        <v>3291080.2</v>
      </c>
      <c r="CO193">
        <v>330652.5</v>
      </c>
      <c r="CP193">
        <v>1596603.9</v>
      </c>
      <c r="CQ193">
        <v>0</v>
      </c>
      <c r="CR193">
        <v>1451.4</v>
      </c>
      <c r="CS193">
        <v>0</v>
      </c>
      <c r="CT193">
        <v>12.6</v>
      </c>
      <c r="CU193">
        <v>4450.7</v>
      </c>
      <c r="CV193">
        <v>0</v>
      </c>
      <c r="CW193">
        <v>30</v>
      </c>
      <c r="CX193">
        <v>2048.6999999999998</v>
      </c>
      <c r="CY193">
        <v>3383.6</v>
      </c>
      <c r="CZ193">
        <v>0</v>
      </c>
      <c r="DA193">
        <v>2797.2</v>
      </c>
      <c r="DB193">
        <v>0</v>
      </c>
      <c r="DC193">
        <v>948</v>
      </c>
      <c r="DD193">
        <v>0</v>
      </c>
      <c r="DE193">
        <v>22</v>
      </c>
      <c r="DF193">
        <v>643.6</v>
      </c>
      <c r="DG193">
        <v>2955.8</v>
      </c>
      <c r="DH193">
        <v>0</v>
      </c>
      <c r="DI193">
        <v>12180.6</v>
      </c>
      <c r="DJ193">
        <v>0</v>
      </c>
      <c r="DK193">
        <v>7704.4</v>
      </c>
      <c r="DL193">
        <v>6436.2</v>
      </c>
      <c r="DM193">
        <v>0</v>
      </c>
      <c r="DN193">
        <v>0</v>
      </c>
      <c r="DO193">
        <v>0.16</v>
      </c>
      <c r="DP193">
        <v>0</v>
      </c>
      <c r="DQ193">
        <v>0.38</v>
      </c>
      <c r="DR193">
        <v>0</v>
      </c>
    </row>
    <row r="194" spans="1:122" x14ac:dyDescent="0.3">
      <c r="A194" t="s">
        <v>169</v>
      </c>
      <c r="B194">
        <v>2038</v>
      </c>
      <c r="C194">
        <v>99074031.200000003</v>
      </c>
      <c r="D194">
        <v>95233888.299999997</v>
      </c>
      <c r="E194">
        <v>91809082.799999997</v>
      </c>
      <c r="F194">
        <v>0</v>
      </c>
      <c r="G194">
        <v>2742453.2</v>
      </c>
      <c r="H194">
        <v>36089013.100000001</v>
      </c>
      <c r="I194">
        <v>2328183.7999999998</v>
      </c>
      <c r="J194">
        <v>414269.5</v>
      </c>
      <c r="K194">
        <v>1097689.6000000001</v>
      </c>
      <c r="L194">
        <v>3.5999999999999997E-2</v>
      </c>
      <c r="M194">
        <v>5.3999999999999999E-2</v>
      </c>
      <c r="N194">
        <v>0.12529999999999999</v>
      </c>
      <c r="O194">
        <v>75137.09</v>
      </c>
      <c r="P194">
        <v>18760.099999999999</v>
      </c>
      <c r="Q194">
        <v>311.39999999999998</v>
      </c>
      <c r="R194">
        <v>33.5</v>
      </c>
      <c r="S194">
        <v>4.8600000000000003</v>
      </c>
      <c r="T194">
        <v>11.7</v>
      </c>
      <c r="U194">
        <v>752.5</v>
      </c>
      <c r="V194">
        <v>0.15</v>
      </c>
      <c r="W194">
        <v>313.7</v>
      </c>
      <c r="X194">
        <v>32.799999999999997</v>
      </c>
      <c r="Y194">
        <v>346.5</v>
      </c>
      <c r="Z194">
        <v>295.2</v>
      </c>
      <c r="AA194">
        <v>31.7</v>
      </c>
      <c r="AB194">
        <v>4.59</v>
      </c>
      <c r="AC194">
        <v>11.2</v>
      </c>
      <c r="AD194">
        <v>715.9</v>
      </c>
      <c r="AE194">
        <v>0.15</v>
      </c>
      <c r="AF194">
        <v>297.3</v>
      </c>
      <c r="AG194">
        <v>31.3</v>
      </c>
      <c r="AH194">
        <v>328.6</v>
      </c>
      <c r="AI194">
        <v>161.5</v>
      </c>
      <c r="AJ194">
        <v>5.4</v>
      </c>
      <c r="AK194">
        <v>0.67</v>
      </c>
      <c r="AL194">
        <v>17</v>
      </c>
      <c r="AM194">
        <v>768.2</v>
      </c>
      <c r="AN194">
        <v>7.0000000000000007E-2</v>
      </c>
      <c r="AO194">
        <v>161.80000000000001</v>
      </c>
      <c r="AP194">
        <v>38.5</v>
      </c>
      <c r="AQ194">
        <v>200.3</v>
      </c>
      <c r="AR194">
        <v>636.79999999999995</v>
      </c>
      <c r="AS194">
        <v>47.9</v>
      </c>
      <c r="AT194">
        <v>6.77</v>
      </c>
      <c r="AU194">
        <v>43</v>
      </c>
      <c r="AV194">
        <v>2173.9</v>
      </c>
      <c r="AW194">
        <v>0.31</v>
      </c>
      <c r="AX194">
        <v>639.9</v>
      </c>
      <c r="AY194">
        <v>103.9</v>
      </c>
      <c r="AZ194">
        <v>743.9</v>
      </c>
      <c r="BA194">
        <v>30122236.800000001</v>
      </c>
      <c r="BB194">
        <v>3246.9</v>
      </c>
      <c r="BC194">
        <v>470.3</v>
      </c>
      <c r="BD194">
        <v>1132292.3</v>
      </c>
      <c r="BE194">
        <v>72703.199999999997</v>
      </c>
      <c r="BF194">
        <v>14.8</v>
      </c>
      <c r="BG194">
        <v>30337782</v>
      </c>
      <c r="BH194">
        <v>3171906.3</v>
      </c>
      <c r="BI194">
        <v>33509688.300000001</v>
      </c>
      <c r="BJ194">
        <v>0</v>
      </c>
      <c r="BK194">
        <v>0</v>
      </c>
      <c r="BL194">
        <v>30122236.800000001</v>
      </c>
      <c r="BM194">
        <v>31254529.100000001</v>
      </c>
      <c r="BN194">
        <v>33509688.300000001</v>
      </c>
      <c r="BO194">
        <v>27.98</v>
      </c>
      <c r="BP194">
        <v>11.62</v>
      </c>
      <c r="BQ194">
        <v>0</v>
      </c>
      <c r="BR194">
        <v>39.61</v>
      </c>
      <c r="BS194">
        <v>29.84</v>
      </c>
      <c r="BT194">
        <v>12.77</v>
      </c>
      <c r="BU194">
        <v>0</v>
      </c>
      <c r="BV194">
        <v>42.61</v>
      </c>
      <c r="BW194">
        <v>97416750</v>
      </c>
      <c r="BX194">
        <v>59144876</v>
      </c>
      <c r="BY194">
        <v>0</v>
      </c>
      <c r="BZ194">
        <v>27500298</v>
      </c>
      <c r="CA194">
        <v>0</v>
      </c>
      <c r="CB194">
        <v>0</v>
      </c>
      <c r="CC194">
        <v>6001128</v>
      </c>
      <c r="CD194">
        <v>0</v>
      </c>
      <c r="CE194">
        <v>20499.099999999999</v>
      </c>
      <c r="CF194">
        <v>2336146.7999999998</v>
      </c>
      <c r="CG194">
        <v>0</v>
      </c>
      <c r="CH194">
        <v>91155.9</v>
      </c>
      <c r="CI194">
        <v>0</v>
      </c>
      <c r="CJ194">
        <v>48392644</v>
      </c>
      <c r="CK194">
        <v>0</v>
      </c>
      <c r="CL194">
        <v>58678.400000000001</v>
      </c>
      <c r="CM194">
        <v>7089111</v>
      </c>
      <c r="CN194">
        <v>3604443.2</v>
      </c>
      <c r="CO194">
        <v>329699.8</v>
      </c>
      <c r="CP194">
        <v>1992951.2</v>
      </c>
      <c r="CQ194">
        <v>0</v>
      </c>
      <c r="CR194">
        <v>1806.1</v>
      </c>
      <c r="CS194">
        <v>0</v>
      </c>
      <c r="CT194">
        <v>12.6</v>
      </c>
      <c r="CU194">
        <v>4450.7</v>
      </c>
      <c r="CV194">
        <v>0</v>
      </c>
      <c r="CW194">
        <v>30</v>
      </c>
      <c r="CX194">
        <v>2258.6999999999998</v>
      </c>
      <c r="CY194">
        <v>3383.6</v>
      </c>
      <c r="CZ194">
        <v>0</v>
      </c>
      <c r="DA194">
        <v>2797.2</v>
      </c>
      <c r="DB194">
        <v>0</v>
      </c>
      <c r="DC194">
        <v>948</v>
      </c>
      <c r="DD194">
        <v>0</v>
      </c>
      <c r="DE194">
        <v>22</v>
      </c>
      <c r="DF194">
        <v>684.5</v>
      </c>
      <c r="DG194">
        <v>3165.6</v>
      </c>
      <c r="DH194">
        <v>0</v>
      </c>
      <c r="DI194">
        <v>13066.2</v>
      </c>
      <c r="DJ194">
        <v>0</v>
      </c>
      <c r="DK194">
        <v>10858</v>
      </c>
      <c r="DL194">
        <v>6844.5</v>
      </c>
      <c r="DM194">
        <v>0</v>
      </c>
      <c r="DN194">
        <v>0</v>
      </c>
      <c r="DO194">
        <v>0.16</v>
      </c>
      <c r="DP194">
        <v>0</v>
      </c>
      <c r="DQ194">
        <v>0.39</v>
      </c>
      <c r="DR194">
        <v>0</v>
      </c>
    </row>
    <row r="195" spans="1:122" x14ac:dyDescent="0.3">
      <c r="A195" t="s">
        <v>169</v>
      </c>
      <c r="B195">
        <v>2040</v>
      </c>
      <c r="C195">
        <v>102076334.3</v>
      </c>
      <c r="D195">
        <v>97834400.200000003</v>
      </c>
      <c r="E195">
        <v>94316074.900000006</v>
      </c>
      <c r="F195">
        <v>0</v>
      </c>
      <c r="G195">
        <v>2873849.5</v>
      </c>
      <c r="H195">
        <v>30492300.199999999</v>
      </c>
      <c r="I195">
        <v>2421957.5</v>
      </c>
      <c r="J195">
        <v>451892.2</v>
      </c>
      <c r="K195">
        <v>1368084.7</v>
      </c>
      <c r="L195">
        <v>3.5999999999999997E-2</v>
      </c>
      <c r="M195">
        <v>5.3999999999999999E-2</v>
      </c>
      <c r="N195">
        <v>0.12529999999999999</v>
      </c>
      <c r="O195">
        <v>76083.12</v>
      </c>
      <c r="P195">
        <v>19272.599999999999</v>
      </c>
      <c r="Q195">
        <v>266</v>
      </c>
      <c r="R195">
        <v>28.5</v>
      </c>
      <c r="S195">
        <v>4.13</v>
      </c>
      <c r="T195">
        <v>10.1</v>
      </c>
      <c r="U195">
        <v>645.9</v>
      </c>
      <c r="V195">
        <v>0.13</v>
      </c>
      <c r="W195">
        <v>267.89999999999998</v>
      </c>
      <c r="X195">
        <v>28.2</v>
      </c>
      <c r="Y195">
        <v>296.10000000000002</v>
      </c>
      <c r="Z195">
        <v>256</v>
      </c>
      <c r="AA195">
        <v>27.4</v>
      </c>
      <c r="AB195">
        <v>3.96</v>
      </c>
      <c r="AC195">
        <v>9.9</v>
      </c>
      <c r="AD195">
        <v>625.5</v>
      </c>
      <c r="AE195">
        <v>0.13</v>
      </c>
      <c r="AF195">
        <v>257.8</v>
      </c>
      <c r="AG195">
        <v>27.4</v>
      </c>
      <c r="AH195">
        <v>285.3</v>
      </c>
      <c r="AI195">
        <v>107.6</v>
      </c>
      <c r="AJ195">
        <v>3.1</v>
      </c>
      <c r="AK195">
        <v>0.37</v>
      </c>
      <c r="AL195">
        <v>11.8</v>
      </c>
      <c r="AM195">
        <v>528.1</v>
      </c>
      <c r="AN195">
        <v>0.05</v>
      </c>
      <c r="AO195">
        <v>107.8</v>
      </c>
      <c r="AP195">
        <v>26.6</v>
      </c>
      <c r="AQ195">
        <v>134.4</v>
      </c>
      <c r="AR195">
        <v>648.29999999999995</v>
      </c>
      <c r="AS195">
        <v>50.3</v>
      </c>
      <c r="AT195">
        <v>7.11</v>
      </c>
      <c r="AU195">
        <v>42.3</v>
      </c>
      <c r="AV195">
        <v>2171.1</v>
      </c>
      <c r="AW195">
        <v>0.32</v>
      </c>
      <c r="AX195">
        <v>651.6</v>
      </c>
      <c r="AY195">
        <v>103.2</v>
      </c>
      <c r="AZ195">
        <v>754.8</v>
      </c>
      <c r="BA195">
        <v>27098116.600000001</v>
      </c>
      <c r="BB195">
        <v>2910.6</v>
      </c>
      <c r="BC195">
        <v>421.5</v>
      </c>
      <c r="BD195">
        <v>1028172.4</v>
      </c>
      <c r="BE195">
        <v>65731.100000000006</v>
      </c>
      <c r="BF195">
        <v>13.3</v>
      </c>
      <c r="BG195">
        <v>27291311</v>
      </c>
      <c r="BH195">
        <v>2872173.2</v>
      </c>
      <c r="BI195">
        <v>30163484.199999999</v>
      </c>
      <c r="BJ195">
        <v>0</v>
      </c>
      <c r="BK195">
        <v>0</v>
      </c>
      <c r="BL195">
        <v>27098116.600000001</v>
      </c>
      <c r="BM195">
        <v>28126289</v>
      </c>
      <c r="BN195">
        <v>30163484.199999999</v>
      </c>
      <c r="BO195">
        <v>27.38</v>
      </c>
      <c r="BP195">
        <v>11.55</v>
      </c>
      <c r="BQ195">
        <v>0</v>
      </c>
      <c r="BR195">
        <v>38.94</v>
      </c>
      <c r="BS195">
        <v>29.21</v>
      </c>
      <c r="BT195">
        <v>12.71</v>
      </c>
      <c r="BU195">
        <v>0</v>
      </c>
      <c r="BV195">
        <v>41.93</v>
      </c>
      <c r="BW195">
        <v>102644240</v>
      </c>
      <c r="BX195">
        <v>67342100</v>
      </c>
      <c r="BY195">
        <v>0</v>
      </c>
      <c r="BZ195">
        <v>24688630</v>
      </c>
      <c r="CA195">
        <v>0</v>
      </c>
      <c r="CB195">
        <v>0</v>
      </c>
      <c r="CC195">
        <v>5730070</v>
      </c>
      <c r="CD195">
        <v>0</v>
      </c>
      <c r="CE195">
        <v>20527.599999999999</v>
      </c>
      <c r="CF195">
        <v>2319940.5</v>
      </c>
      <c r="CG195">
        <v>0</v>
      </c>
      <c r="CH195">
        <v>90403.7</v>
      </c>
      <c r="CI195">
        <v>0</v>
      </c>
      <c r="CJ195">
        <v>56057504</v>
      </c>
      <c r="CK195">
        <v>0</v>
      </c>
      <c r="CL195">
        <v>58475.5</v>
      </c>
      <c r="CM195">
        <v>7324665.5</v>
      </c>
      <c r="CN195">
        <v>3901455.2</v>
      </c>
      <c r="CO195">
        <v>370184</v>
      </c>
      <c r="CP195">
        <v>2082381.8</v>
      </c>
      <c r="CQ195">
        <v>0</v>
      </c>
      <c r="CR195">
        <v>1999</v>
      </c>
      <c r="CS195">
        <v>0</v>
      </c>
      <c r="CT195">
        <v>12.6</v>
      </c>
      <c r="CU195">
        <v>4130.3999999999996</v>
      </c>
      <c r="CV195">
        <v>0</v>
      </c>
      <c r="CW195">
        <v>30</v>
      </c>
      <c r="CX195">
        <v>2462</v>
      </c>
      <c r="CY195">
        <v>3383.6</v>
      </c>
      <c r="CZ195">
        <v>0</v>
      </c>
      <c r="DA195">
        <v>2797.2</v>
      </c>
      <c r="DB195">
        <v>0</v>
      </c>
      <c r="DC195">
        <v>948</v>
      </c>
      <c r="DD195">
        <v>0</v>
      </c>
      <c r="DE195">
        <v>22</v>
      </c>
      <c r="DF195">
        <v>716</v>
      </c>
      <c r="DG195">
        <v>3262.3</v>
      </c>
      <c r="DH195">
        <v>0</v>
      </c>
      <c r="DI195">
        <v>14581.4</v>
      </c>
      <c r="DJ195">
        <v>0</v>
      </c>
      <c r="DK195">
        <v>11631.2</v>
      </c>
      <c r="DL195">
        <v>7160.1</v>
      </c>
      <c r="DM195">
        <v>0</v>
      </c>
      <c r="DN195">
        <v>0</v>
      </c>
      <c r="DO195">
        <v>0.16</v>
      </c>
      <c r="DP195">
        <v>0</v>
      </c>
      <c r="DQ195">
        <v>0.4</v>
      </c>
      <c r="DR195">
        <v>0</v>
      </c>
    </row>
    <row r="196" spans="1:122" x14ac:dyDescent="0.3">
      <c r="A196" t="s">
        <v>169</v>
      </c>
      <c r="B196">
        <v>2042</v>
      </c>
      <c r="C196">
        <v>104982238</v>
      </c>
      <c r="D196">
        <v>100734539.8</v>
      </c>
      <c r="E196">
        <v>97111919.599999994</v>
      </c>
      <c r="F196">
        <v>0</v>
      </c>
      <c r="G196">
        <v>2893456</v>
      </c>
      <c r="H196">
        <v>27045695.5</v>
      </c>
      <c r="I196">
        <v>2417116</v>
      </c>
      <c r="J196">
        <v>476339.8</v>
      </c>
      <c r="K196">
        <v>1354242.2</v>
      </c>
      <c r="L196">
        <v>3.5999999999999997E-2</v>
      </c>
      <c r="M196">
        <v>5.3999999999999999E-2</v>
      </c>
      <c r="N196">
        <v>0.12529999999999999</v>
      </c>
      <c r="O196">
        <v>77266.990000000005</v>
      </c>
      <c r="P196">
        <v>19842.3</v>
      </c>
      <c r="Q196">
        <v>245.7</v>
      </c>
      <c r="R196">
        <v>26.4</v>
      </c>
      <c r="S196">
        <v>3.83</v>
      </c>
      <c r="T196">
        <v>9.3000000000000007</v>
      </c>
      <c r="U196">
        <v>594.70000000000005</v>
      </c>
      <c r="V196">
        <v>0.12</v>
      </c>
      <c r="W196">
        <v>247.5</v>
      </c>
      <c r="X196">
        <v>26</v>
      </c>
      <c r="Y196">
        <v>273.39999999999998</v>
      </c>
      <c r="Z196">
        <v>238.4</v>
      </c>
      <c r="AA196">
        <v>25.5</v>
      </c>
      <c r="AB196">
        <v>3.69</v>
      </c>
      <c r="AC196">
        <v>9.1999999999999993</v>
      </c>
      <c r="AD196">
        <v>581.4</v>
      </c>
      <c r="AE196">
        <v>0.12</v>
      </c>
      <c r="AF196">
        <v>240.1</v>
      </c>
      <c r="AG196">
        <v>25.5</v>
      </c>
      <c r="AH196">
        <v>265.60000000000002</v>
      </c>
      <c r="AI196">
        <v>110.5</v>
      </c>
      <c r="AJ196">
        <v>3.7</v>
      </c>
      <c r="AK196">
        <v>0.46</v>
      </c>
      <c r="AL196">
        <v>11.6</v>
      </c>
      <c r="AM196">
        <v>527</v>
      </c>
      <c r="AN196">
        <v>0.05</v>
      </c>
      <c r="AO196">
        <v>110.8</v>
      </c>
      <c r="AP196">
        <v>26.4</v>
      </c>
      <c r="AQ196">
        <v>137.19999999999999</v>
      </c>
      <c r="AR196">
        <v>647.29999999999995</v>
      </c>
      <c r="AS196">
        <v>51</v>
      </c>
      <c r="AT196">
        <v>7.23</v>
      </c>
      <c r="AU196">
        <v>41.5</v>
      </c>
      <c r="AV196">
        <v>2139.1999999999998</v>
      </c>
      <c r="AW196">
        <v>0.32</v>
      </c>
      <c r="AX196">
        <v>650.70000000000005</v>
      </c>
      <c r="AY196">
        <v>101.5</v>
      </c>
      <c r="AZ196">
        <v>752.2</v>
      </c>
      <c r="BA196">
        <v>26370205.600000001</v>
      </c>
      <c r="BB196">
        <v>2839.1</v>
      </c>
      <c r="BC196">
        <v>411.2</v>
      </c>
      <c r="BD196">
        <v>994627.3</v>
      </c>
      <c r="BE196">
        <v>63755.4</v>
      </c>
      <c r="BF196">
        <v>13</v>
      </c>
      <c r="BG196">
        <v>26558667.800000001</v>
      </c>
      <c r="BH196">
        <v>2783215.5</v>
      </c>
      <c r="BI196">
        <v>29341883.300000001</v>
      </c>
      <c r="BJ196">
        <v>0</v>
      </c>
      <c r="BK196">
        <v>0</v>
      </c>
      <c r="BL196">
        <v>26370205.600000001</v>
      </c>
      <c r="BM196">
        <v>27364832.899999999</v>
      </c>
      <c r="BN196">
        <v>29341883.300000001</v>
      </c>
      <c r="BO196">
        <v>26.85</v>
      </c>
      <c r="BP196">
        <v>11.66</v>
      </c>
      <c r="BQ196">
        <v>0</v>
      </c>
      <c r="BR196">
        <v>38.51</v>
      </c>
      <c r="BS196">
        <v>28.66</v>
      </c>
      <c r="BT196">
        <v>12.81</v>
      </c>
      <c r="BU196">
        <v>0</v>
      </c>
      <c r="BV196">
        <v>41.48</v>
      </c>
      <c r="BW196">
        <v>108154024</v>
      </c>
      <c r="BX196">
        <v>73688850</v>
      </c>
      <c r="BY196">
        <v>0</v>
      </c>
      <c r="BZ196">
        <v>24157726</v>
      </c>
      <c r="CA196">
        <v>0</v>
      </c>
      <c r="CB196">
        <v>0</v>
      </c>
      <c r="CC196">
        <v>5446687</v>
      </c>
      <c r="CD196">
        <v>0</v>
      </c>
      <c r="CE196">
        <v>12782.7</v>
      </c>
      <c r="CF196">
        <v>2303576.5</v>
      </c>
      <c r="CG196">
        <v>0</v>
      </c>
      <c r="CH196">
        <v>89164.2</v>
      </c>
      <c r="CI196">
        <v>0</v>
      </c>
      <c r="CJ196">
        <v>62013096</v>
      </c>
      <c r="CK196">
        <v>0</v>
      </c>
      <c r="CL196">
        <v>0</v>
      </c>
      <c r="CM196">
        <v>7522867</v>
      </c>
      <c r="CN196">
        <v>4152886.5</v>
      </c>
      <c r="CO196">
        <v>383834.1</v>
      </c>
      <c r="CP196">
        <v>2071407.2</v>
      </c>
      <c r="CQ196">
        <v>0</v>
      </c>
      <c r="CR196">
        <v>2114.5</v>
      </c>
      <c r="CS196">
        <v>0</v>
      </c>
      <c r="CT196">
        <v>12.6</v>
      </c>
      <c r="CU196">
        <v>4130.3999999999996</v>
      </c>
      <c r="CV196">
        <v>0</v>
      </c>
      <c r="CW196">
        <v>0</v>
      </c>
      <c r="CX196">
        <v>2641.5</v>
      </c>
      <c r="CY196">
        <v>3383.6</v>
      </c>
      <c r="CZ196">
        <v>0</v>
      </c>
      <c r="DA196">
        <v>2834.3</v>
      </c>
      <c r="DB196">
        <v>0</v>
      </c>
      <c r="DC196">
        <v>948</v>
      </c>
      <c r="DD196">
        <v>0</v>
      </c>
      <c r="DE196">
        <v>22</v>
      </c>
      <c r="DF196">
        <v>716</v>
      </c>
      <c r="DG196">
        <v>3405</v>
      </c>
      <c r="DH196">
        <v>0</v>
      </c>
      <c r="DI196">
        <v>15843.5</v>
      </c>
      <c r="DJ196">
        <v>0</v>
      </c>
      <c r="DK196">
        <v>12491.9</v>
      </c>
      <c r="DL196">
        <v>7160.1</v>
      </c>
      <c r="DM196">
        <v>0</v>
      </c>
      <c r="DN196">
        <v>0</v>
      </c>
      <c r="DO196">
        <v>0.16</v>
      </c>
      <c r="DP196">
        <v>0</v>
      </c>
      <c r="DQ196">
        <v>0.41</v>
      </c>
      <c r="DR196">
        <v>0</v>
      </c>
    </row>
    <row r="197" spans="1:122" x14ac:dyDescent="0.3">
      <c r="A197" t="s">
        <v>169</v>
      </c>
      <c r="B197">
        <v>2044</v>
      </c>
      <c r="C197">
        <v>108497137.5</v>
      </c>
      <c r="D197">
        <v>103898899.7</v>
      </c>
      <c r="E197">
        <v>100162482.59999999</v>
      </c>
      <c r="F197">
        <v>0</v>
      </c>
      <c r="G197">
        <v>3225671.8</v>
      </c>
      <c r="H197">
        <v>26949143.199999999</v>
      </c>
      <c r="I197">
        <v>2576655.2000000002</v>
      </c>
      <c r="J197">
        <v>649016.5</v>
      </c>
      <c r="K197">
        <v>1372566</v>
      </c>
      <c r="L197">
        <v>3.5999999999999997E-2</v>
      </c>
      <c r="M197">
        <v>5.3999999999999999E-2</v>
      </c>
      <c r="N197">
        <v>0.12529999999999999</v>
      </c>
      <c r="O197">
        <v>81963.19</v>
      </c>
      <c r="P197">
        <v>20465.2</v>
      </c>
      <c r="Q197">
        <v>235.6</v>
      </c>
      <c r="R197">
        <v>25.4</v>
      </c>
      <c r="S197">
        <v>3.69</v>
      </c>
      <c r="T197">
        <v>8.8000000000000007</v>
      </c>
      <c r="U197">
        <v>566.9</v>
      </c>
      <c r="V197">
        <v>0.12</v>
      </c>
      <c r="W197">
        <v>237.3</v>
      </c>
      <c r="X197">
        <v>24.7</v>
      </c>
      <c r="Y197">
        <v>262</v>
      </c>
      <c r="Z197">
        <v>227.6</v>
      </c>
      <c r="AA197">
        <v>24.4</v>
      </c>
      <c r="AB197">
        <v>3.54</v>
      </c>
      <c r="AC197">
        <v>8.6999999999999993</v>
      </c>
      <c r="AD197">
        <v>552.79999999999995</v>
      </c>
      <c r="AE197">
        <v>0.11</v>
      </c>
      <c r="AF197">
        <v>229.3</v>
      </c>
      <c r="AG197">
        <v>24.2</v>
      </c>
      <c r="AH197">
        <v>253.5</v>
      </c>
      <c r="AI197">
        <v>119.3</v>
      </c>
      <c r="AJ197">
        <v>4.5999999999999996</v>
      </c>
      <c r="AK197">
        <v>0.57999999999999996</v>
      </c>
      <c r="AL197">
        <v>12</v>
      </c>
      <c r="AM197">
        <v>549.70000000000005</v>
      </c>
      <c r="AN197">
        <v>0.05</v>
      </c>
      <c r="AO197">
        <v>119.5</v>
      </c>
      <c r="AP197">
        <v>27.4</v>
      </c>
      <c r="AQ197">
        <v>146.9</v>
      </c>
      <c r="AR197">
        <v>642.9</v>
      </c>
      <c r="AS197">
        <v>50.6</v>
      </c>
      <c r="AT197">
        <v>7.17</v>
      </c>
      <c r="AU197">
        <v>41.3</v>
      </c>
      <c r="AV197">
        <v>2128.6999999999998</v>
      </c>
      <c r="AW197">
        <v>0.32</v>
      </c>
      <c r="AX197">
        <v>646.20000000000005</v>
      </c>
      <c r="AY197">
        <v>101</v>
      </c>
      <c r="AZ197">
        <v>747.2</v>
      </c>
      <c r="BA197">
        <v>25934797.300000001</v>
      </c>
      <c r="BB197">
        <v>2803.9</v>
      </c>
      <c r="BC197">
        <v>406.2</v>
      </c>
      <c r="BD197">
        <v>967572.8</v>
      </c>
      <c r="BE197">
        <v>62331.7</v>
      </c>
      <c r="BF197">
        <v>12.8</v>
      </c>
      <c r="BG197">
        <v>26120955.300000001</v>
      </c>
      <c r="BH197">
        <v>2716241.3</v>
      </c>
      <c r="BI197">
        <v>28837196.5</v>
      </c>
      <c r="BJ197">
        <v>0</v>
      </c>
      <c r="BK197">
        <v>0</v>
      </c>
      <c r="BL197">
        <v>25934797.300000001</v>
      </c>
      <c r="BM197">
        <v>26902370.100000001</v>
      </c>
      <c r="BN197">
        <v>28837196.5</v>
      </c>
      <c r="BO197">
        <v>26.97</v>
      </c>
      <c r="BP197">
        <v>12.17</v>
      </c>
      <c r="BQ197">
        <v>0</v>
      </c>
      <c r="BR197">
        <v>39.14</v>
      </c>
      <c r="BS197">
        <v>28.81</v>
      </c>
      <c r="BT197">
        <v>13.39</v>
      </c>
      <c r="BU197">
        <v>0</v>
      </c>
      <c r="BV197">
        <v>42.2</v>
      </c>
      <c r="BW197">
        <v>110957590</v>
      </c>
      <c r="BX197">
        <v>76949760</v>
      </c>
      <c r="BY197">
        <v>0</v>
      </c>
      <c r="BZ197">
        <v>23896794</v>
      </c>
      <c r="CA197">
        <v>0</v>
      </c>
      <c r="CB197">
        <v>0</v>
      </c>
      <c r="CC197">
        <v>4979948</v>
      </c>
      <c r="CD197">
        <v>0</v>
      </c>
      <c r="CE197">
        <v>6309.8</v>
      </c>
      <c r="CF197">
        <v>2288731.5</v>
      </c>
      <c r="CG197">
        <v>0</v>
      </c>
      <c r="CH197">
        <v>88486.1</v>
      </c>
      <c r="CI197">
        <v>0</v>
      </c>
      <c r="CJ197">
        <v>63428470</v>
      </c>
      <c r="CK197">
        <v>0</v>
      </c>
      <c r="CL197">
        <v>0</v>
      </c>
      <c r="CM197">
        <v>9193148</v>
      </c>
      <c r="CN197">
        <v>4328134</v>
      </c>
      <c r="CO197">
        <v>533654.6</v>
      </c>
      <c r="CP197">
        <v>2213912.5</v>
      </c>
      <c r="CQ197">
        <v>0</v>
      </c>
      <c r="CR197">
        <v>2135.5</v>
      </c>
      <c r="CS197">
        <v>0</v>
      </c>
      <c r="CT197">
        <v>12.6</v>
      </c>
      <c r="CU197">
        <v>4130.3999999999996</v>
      </c>
      <c r="CV197">
        <v>0</v>
      </c>
      <c r="CW197">
        <v>0</v>
      </c>
      <c r="CX197">
        <v>2777.8</v>
      </c>
      <c r="CY197">
        <v>3383.6</v>
      </c>
      <c r="CZ197">
        <v>0</v>
      </c>
      <c r="DA197">
        <v>2899.6</v>
      </c>
      <c r="DB197">
        <v>0</v>
      </c>
      <c r="DC197">
        <v>948</v>
      </c>
      <c r="DD197">
        <v>0</v>
      </c>
      <c r="DE197">
        <v>22</v>
      </c>
      <c r="DF197">
        <v>973.8</v>
      </c>
      <c r="DG197">
        <v>3980.3</v>
      </c>
      <c r="DH197">
        <v>0</v>
      </c>
      <c r="DI197">
        <v>16173.8</v>
      </c>
      <c r="DJ197">
        <v>0</v>
      </c>
      <c r="DK197">
        <v>12761.9</v>
      </c>
      <c r="DL197">
        <v>9737.9</v>
      </c>
      <c r="DM197">
        <v>0</v>
      </c>
      <c r="DN197">
        <v>0</v>
      </c>
      <c r="DO197">
        <v>0.16</v>
      </c>
      <c r="DP197">
        <v>0</v>
      </c>
      <c r="DQ197">
        <v>0.42</v>
      </c>
      <c r="DR197">
        <v>0</v>
      </c>
    </row>
    <row r="198" spans="1:122" x14ac:dyDescent="0.3">
      <c r="A198" t="s">
        <v>169</v>
      </c>
      <c r="B198">
        <v>2046</v>
      </c>
      <c r="C198">
        <v>112061630.90000001</v>
      </c>
      <c r="D198">
        <v>107109043.7</v>
      </c>
      <c r="E198">
        <v>103257183.2</v>
      </c>
      <c r="F198">
        <v>0</v>
      </c>
      <c r="G198">
        <v>3585299.5</v>
      </c>
      <c r="H198">
        <v>28658474.699999999</v>
      </c>
      <c r="I198">
        <v>2916052</v>
      </c>
      <c r="J198">
        <v>669247.80000000005</v>
      </c>
      <c r="K198">
        <v>1367287.4</v>
      </c>
      <c r="L198">
        <v>3.5999999999999997E-2</v>
      </c>
      <c r="M198">
        <v>5.3999999999999999E-2</v>
      </c>
      <c r="N198">
        <v>0.12529999999999999</v>
      </c>
      <c r="O198">
        <v>84739.4</v>
      </c>
      <c r="P198">
        <v>21097.4</v>
      </c>
      <c r="Q198">
        <v>210.4</v>
      </c>
      <c r="R198">
        <v>22.5</v>
      </c>
      <c r="S198">
        <v>3.26</v>
      </c>
      <c r="T198">
        <v>8.1</v>
      </c>
      <c r="U198">
        <v>513.79999999999995</v>
      </c>
      <c r="V198">
        <v>0.1</v>
      </c>
      <c r="W198">
        <v>211.9</v>
      </c>
      <c r="X198">
        <v>22.5</v>
      </c>
      <c r="Y198">
        <v>234.4</v>
      </c>
      <c r="Z198">
        <v>203</v>
      </c>
      <c r="AA198">
        <v>21.5</v>
      </c>
      <c r="AB198">
        <v>3.12</v>
      </c>
      <c r="AC198">
        <v>8</v>
      </c>
      <c r="AD198">
        <v>501.1</v>
      </c>
      <c r="AE198">
        <v>0.1</v>
      </c>
      <c r="AF198">
        <v>204.5</v>
      </c>
      <c r="AG198">
        <v>22</v>
      </c>
      <c r="AH198">
        <v>226.5</v>
      </c>
      <c r="AI198">
        <v>148.69999999999999</v>
      </c>
      <c r="AJ198">
        <v>6.3</v>
      </c>
      <c r="AK198">
        <v>0.83</v>
      </c>
      <c r="AL198">
        <v>14.4</v>
      </c>
      <c r="AM198">
        <v>665.8</v>
      </c>
      <c r="AN198">
        <v>7.0000000000000007E-2</v>
      </c>
      <c r="AO198">
        <v>149.1</v>
      </c>
      <c r="AP198">
        <v>33</v>
      </c>
      <c r="AQ198">
        <v>182.2</v>
      </c>
      <c r="AR198">
        <v>609.79999999999995</v>
      </c>
      <c r="AS198">
        <v>44.9</v>
      </c>
      <c r="AT198">
        <v>6.32</v>
      </c>
      <c r="AU198">
        <v>41.9</v>
      </c>
      <c r="AV198">
        <v>2120</v>
      </c>
      <c r="AW198">
        <v>0.28999999999999998</v>
      </c>
      <c r="AX198">
        <v>612.70000000000005</v>
      </c>
      <c r="AY198">
        <v>101.4</v>
      </c>
      <c r="AZ198">
        <v>714.1</v>
      </c>
      <c r="BA198">
        <v>22931691.100000001</v>
      </c>
      <c r="BB198">
        <v>2453.9</v>
      </c>
      <c r="BC198">
        <v>355.3</v>
      </c>
      <c r="BD198">
        <v>878884.4</v>
      </c>
      <c r="BE198">
        <v>55917.2</v>
      </c>
      <c r="BF198">
        <v>11.3</v>
      </c>
      <c r="BG198">
        <v>23094545.800000001</v>
      </c>
      <c r="BH198">
        <v>2447552</v>
      </c>
      <c r="BI198">
        <v>25542097.699999999</v>
      </c>
      <c r="BJ198">
        <v>0</v>
      </c>
      <c r="BK198">
        <v>0</v>
      </c>
      <c r="BL198">
        <v>22931691.100000001</v>
      </c>
      <c r="BM198">
        <v>23810575.5</v>
      </c>
      <c r="BN198">
        <v>25542097.699999999</v>
      </c>
      <c r="BO198">
        <v>27.73</v>
      </c>
      <c r="BP198">
        <v>12.6</v>
      </c>
      <c r="BQ198">
        <v>0</v>
      </c>
      <c r="BR198">
        <v>40.33</v>
      </c>
      <c r="BS198">
        <v>29.64</v>
      </c>
      <c r="BT198">
        <v>13.89</v>
      </c>
      <c r="BU198">
        <v>0</v>
      </c>
      <c r="BV198">
        <v>43.52</v>
      </c>
      <c r="BW198">
        <v>109855340</v>
      </c>
      <c r="BX198">
        <v>78450570</v>
      </c>
      <c r="BY198">
        <v>0</v>
      </c>
      <c r="BZ198">
        <v>20899926</v>
      </c>
      <c r="CA198">
        <v>0</v>
      </c>
      <c r="CB198">
        <v>0</v>
      </c>
      <c r="CC198">
        <v>5089597.5</v>
      </c>
      <c r="CD198">
        <v>0</v>
      </c>
      <c r="CE198">
        <v>7203.9</v>
      </c>
      <c r="CF198">
        <v>2285932.5</v>
      </c>
      <c r="CG198">
        <v>0</v>
      </c>
      <c r="CH198">
        <v>87988.2</v>
      </c>
      <c r="CI198">
        <v>0</v>
      </c>
      <c r="CJ198">
        <v>64499930</v>
      </c>
      <c r="CK198">
        <v>0</v>
      </c>
      <c r="CL198">
        <v>0</v>
      </c>
      <c r="CM198">
        <v>9464265</v>
      </c>
      <c r="CN198">
        <v>4486375</v>
      </c>
      <c r="CO198">
        <v>540726.19999999995</v>
      </c>
      <c r="CP198">
        <v>2493411.2000000002</v>
      </c>
      <c r="CQ198">
        <v>0</v>
      </c>
      <c r="CR198">
        <v>2427.5</v>
      </c>
      <c r="CS198">
        <v>0</v>
      </c>
      <c r="CT198">
        <v>12.6</v>
      </c>
      <c r="CU198">
        <v>3560.4</v>
      </c>
      <c r="CV198">
        <v>0</v>
      </c>
      <c r="CW198">
        <v>0</v>
      </c>
      <c r="CX198">
        <v>2906.1</v>
      </c>
      <c r="CY198">
        <v>3383.6</v>
      </c>
      <c r="CZ198">
        <v>0</v>
      </c>
      <c r="DA198">
        <v>2989.8</v>
      </c>
      <c r="DB198">
        <v>0</v>
      </c>
      <c r="DC198">
        <v>948</v>
      </c>
      <c r="DD198">
        <v>0</v>
      </c>
      <c r="DE198">
        <v>22</v>
      </c>
      <c r="DF198">
        <v>1024.2</v>
      </c>
      <c r="DG198">
        <v>4130.1000000000004</v>
      </c>
      <c r="DH198">
        <v>0</v>
      </c>
      <c r="DI198">
        <v>16369.6</v>
      </c>
      <c r="DJ198">
        <v>0</v>
      </c>
      <c r="DK198">
        <v>14803.9</v>
      </c>
      <c r="DL198">
        <v>10241.700000000001</v>
      </c>
      <c r="DM198">
        <v>0</v>
      </c>
      <c r="DN198">
        <v>0</v>
      </c>
      <c r="DO198">
        <v>0.16</v>
      </c>
      <c r="DP198">
        <v>0</v>
      </c>
      <c r="DQ198">
        <v>0.43</v>
      </c>
      <c r="DR198">
        <v>0</v>
      </c>
    </row>
    <row r="199" spans="1:122" x14ac:dyDescent="0.3">
      <c r="A199" t="s">
        <v>169</v>
      </c>
      <c r="B199">
        <v>2048</v>
      </c>
      <c r="C199">
        <v>115745601.90000001</v>
      </c>
      <c r="D199">
        <v>110455237</v>
      </c>
      <c r="E199">
        <v>106483040.59999999</v>
      </c>
      <c r="F199">
        <v>0</v>
      </c>
      <c r="G199">
        <v>3914410.8</v>
      </c>
      <c r="H199">
        <v>31951229.800000001</v>
      </c>
      <c r="I199">
        <v>3229235.8</v>
      </c>
      <c r="J199">
        <v>685175</v>
      </c>
      <c r="K199">
        <v>1375954.2</v>
      </c>
      <c r="L199">
        <v>3.5999999999999997E-2</v>
      </c>
      <c r="M199">
        <v>5.3999999999999999E-2</v>
      </c>
      <c r="N199">
        <v>0.12529999999999999</v>
      </c>
      <c r="O199">
        <v>86611.41</v>
      </c>
      <c r="P199">
        <v>21756.3</v>
      </c>
      <c r="Q199">
        <v>212</v>
      </c>
      <c r="R199">
        <v>22.5</v>
      </c>
      <c r="S199">
        <v>3.25</v>
      </c>
      <c r="T199">
        <v>8.3000000000000007</v>
      </c>
      <c r="U199">
        <v>524.4</v>
      </c>
      <c r="V199">
        <v>0.1</v>
      </c>
      <c r="W199">
        <v>213.5</v>
      </c>
      <c r="X199">
        <v>23</v>
      </c>
      <c r="Y199">
        <v>236.5</v>
      </c>
      <c r="Z199">
        <v>203.9</v>
      </c>
      <c r="AA199">
        <v>21.4</v>
      </c>
      <c r="AB199">
        <v>3.1</v>
      </c>
      <c r="AC199">
        <v>8.1999999999999993</v>
      </c>
      <c r="AD199">
        <v>509.8</v>
      </c>
      <c r="AE199">
        <v>0.1</v>
      </c>
      <c r="AF199">
        <v>205.3</v>
      </c>
      <c r="AG199">
        <v>22.5</v>
      </c>
      <c r="AH199">
        <v>227.8</v>
      </c>
      <c r="AI199">
        <v>171.6</v>
      </c>
      <c r="AJ199">
        <v>8.3000000000000007</v>
      </c>
      <c r="AK199">
        <v>1.1000000000000001</v>
      </c>
      <c r="AL199">
        <v>15.7</v>
      </c>
      <c r="AM199">
        <v>737.5</v>
      </c>
      <c r="AN199">
        <v>0.08</v>
      </c>
      <c r="AO199">
        <v>172.1</v>
      </c>
      <c r="AP199">
        <v>36.4</v>
      </c>
      <c r="AQ199">
        <v>208.5</v>
      </c>
      <c r="AR199">
        <v>590</v>
      </c>
      <c r="AS199">
        <v>41</v>
      </c>
      <c r="AT199">
        <v>5.73</v>
      </c>
      <c r="AU199">
        <v>42.8</v>
      </c>
      <c r="AV199">
        <v>2134.3000000000002</v>
      </c>
      <c r="AW199">
        <v>0.28000000000000003</v>
      </c>
      <c r="AX199">
        <v>592.70000000000005</v>
      </c>
      <c r="AY199">
        <v>102.7</v>
      </c>
      <c r="AZ199">
        <v>695.3</v>
      </c>
      <c r="BA199">
        <v>23378478.100000001</v>
      </c>
      <c r="BB199">
        <v>2478.1999999999998</v>
      </c>
      <c r="BC199">
        <v>358.6</v>
      </c>
      <c r="BD199">
        <v>917187.5</v>
      </c>
      <c r="BE199">
        <v>57749.8</v>
      </c>
      <c r="BF199">
        <v>11.5</v>
      </c>
      <c r="BG199">
        <v>23542887.899999999</v>
      </c>
      <c r="BH199">
        <v>2537221.2000000002</v>
      </c>
      <c r="BI199">
        <v>26080109.100000001</v>
      </c>
      <c r="BJ199">
        <v>0</v>
      </c>
      <c r="BK199">
        <v>0</v>
      </c>
      <c r="BL199">
        <v>23378478.100000001</v>
      </c>
      <c r="BM199">
        <v>24295665.600000001</v>
      </c>
      <c r="BN199">
        <v>26080109.100000001</v>
      </c>
      <c r="BO199">
        <v>28.42</v>
      </c>
      <c r="BP199">
        <v>12.89</v>
      </c>
      <c r="BQ199">
        <v>0</v>
      </c>
      <c r="BR199">
        <v>41.31</v>
      </c>
      <c r="BS199">
        <v>30.37</v>
      </c>
      <c r="BT199">
        <v>14.24</v>
      </c>
      <c r="BU199">
        <v>0</v>
      </c>
      <c r="BV199">
        <v>44.61</v>
      </c>
      <c r="BW199">
        <v>111138344</v>
      </c>
      <c r="BX199">
        <v>78504010</v>
      </c>
      <c r="BY199">
        <v>0</v>
      </c>
      <c r="BZ199">
        <v>21130746</v>
      </c>
      <c r="CA199">
        <v>0</v>
      </c>
      <c r="CB199">
        <v>0</v>
      </c>
      <c r="CC199">
        <v>5787259</v>
      </c>
      <c r="CD199">
        <v>0</v>
      </c>
      <c r="CE199">
        <v>8753.2999999999993</v>
      </c>
      <c r="CF199">
        <v>2287345</v>
      </c>
      <c r="CG199">
        <v>0</v>
      </c>
      <c r="CH199">
        <v>88072.9</v>
      </c>
      <c r="CI199">
        <v>0</v>
      </c>
      <c r="CJ199">
        <v>64070850</v>
      </c>
      <c r="CK199">
        <v>0</v>
      </c>
      <c r="CL199">
        <v>0</v>
      </c>
      <c r="CM199">
        <v>9757576</v>
      </c>
      <c r="CN199">
        <v>4675581.5</v>
      </c>
      <c r="CO199">
        <v>555562.5</v>
      </c>
      <c r="CP199">
        <v>2776601.5</v>
      </c>
      <c r="CQ199">
        <v>0</v>
      </c>
      <c r="CR199">
        <v>2640.1</v>
      </c>
      <c r="CS199">
        <v>0</v>
      </c>
      <c r="CT199">
        <v>12.6</v>
      </c>
      <c r="CU199">
        <v>3560.4</v>
      </c>
      <c r="CV199">
        <v>0</v>
      </c>
      <c r="CW199">
        <v>0</v>
      </c>
      <c r="CX199">
        <v>3054.3</v>
      </c>
      <c r="CY199">
        <v>3383.6</v>
      </c>
      <c r="CZ199">
        <v>0</v>
      </c>
      <c r="DA199">
        <v>3152.8</v>
      </c>
      <c r="DB199">
        <v>0</v>
      </c>
      <c r="DC199">
        <v>948</v>
      </c>
      <c r="DD199">
        <v>0</v>
      </c>
      <c r="DE199">
        <v>22</v>
      </c>
      <c r="DF199">
        <v>1121</v>
      </c>
      <c r="DG199">
        <v>4276.1000000000004</v>
      </c>
      <c r="DH199">
        <v>0</v>
      </c>
      <c r="DI199">
        <v>16218.4</v>
      </c>
      <c r="DJ199">
        <v>0</v>
      </c>
      <c r="DK199">
        <v>16760.099999999999</v>
      </c>
      <c r="DL199">
        <v>11210</v>
      </c>
      <c r="DM199">
        <v>0</v>
      </c>
      <c r="DN199">
        <v>0</v>
      </c>
      <c r="DO199">
        <v>0.16</v>
      </c>
      <c r="DP199">
        <v>0</v>
      </c>
      <c r="DQ199">
        <v>0.44</v>
      </c>
      <c r="DR199">
        <v>0</v>
      </c>
    </row>
    <row r="200" spans="1:122" x14ac:dyDescent="0.3">
      <c r="A200" t="s">
        <v>169</v>
      </c>
      <c r="B200">
        <v>2050</v>
      </c>
      <c r="C200">
        <v>119977941.5</v>
      </c>
      <c r="D200">
        <v>114029339.7</v>
      </c>
      <c r="E200">
        <v>109928611.2</v>
      </c>
      <c r="F200">
        <v>0</v>
      </c>
      <c r="G200">
        <v>4555777</v>
      </c>
      <c r="H200">
        <v>31811881.399999999</v>
      </c>
      <c r="I200">
        <v>3511181.2</v>
      </c>
      <c r="J200">
        <v>1044595.6</v>
      </c>
      <c r="K200">
        <v>1392825</v>
      </c>
      <c r="L200">
        <v>3.5999999999999997E-2</v>
      </c>
      <c r="M200">
        <v>5.3999999999999999E-2</v>
      </c>
      <c r="N200">
        <v>0.12529999999999999</v>
      </c>
      <c r="O200">
        <v>88649.99</v>
      </c>
      <c r="P200">
        <v>22459.599999999999</v>
      </c>
      <c r="Q200">
        <v>195.7</v>
      </c>
      <c r="R200">
        <v>20.9</v>
      </c>
      <c r="S200">
        <v>3.03</v>
      </c>
      <c r="T200">
        <v>7.5</v>
      </c>
      <c r="U200">
        <v>478.3</v>
      </c>
      <c r="V200">
        <v>0.1</v>
      </c>
      <c r="W200">
        <v>197.1</v>
      </c>
      <c r="X200">
        <v>20.9</v>
      </c>
      <c r="Y200">
        <v>218</v>
      </c>
      <c r="Z200">
        <v>181.6</v>
      </c>
      <c r="AA200">
        <v>19.2</v>
      </c>
      <c r="AB200">
        <v>2.78</v>
      </c>
      <c r="AC200">
        <v>7.2</v>
      </c>
      <c r="AD200">
        <v>449.5</v>
      </c>
      <c r="AE200">
        <v>0.09</v>
      </c>
      <c r="AF200">
        <v>182.9</v>
      </c>
      <c r="AG200">
        <v>19.8</v>
      </c>
      <c r="AH200">
        <v>202.7</v>
      </c>
      <c r="AI200">
        <v>177.6</v>
      </c>
      <c r="AJ200">
        <v>9.1999999999999993</v>
      </c>
      <c r="AK200">
        <v>1.24</v>
      </c>
      <c r="AL200">
        <v>15.7</v>
      </c>
      <c r="AM200">
        <v>743.9</v>
      </c>
      <c r="AN200">
        <v>0.08</v>
      </c>
      <c r="AO200">
        <v>178.2</v>
      </c>
      <c r="AP200">
        <v>36.5</v>
      </c>
      <c r="AQ200">
        <v>214.7</v>
      </c>
      <c r="AR200">
        <v>585.29999999999995</v>
      </c>
      <c r="AS200">
        <v>42.5</v>
      </c>
      <c r="AT200">
        <v>5.97</v>
      </c>
      <c r="AU200">
        <v>41</v>
      </c>
      <c r="AV200">
        <v>2060</v>
      </c>
      <c r="AW200">
        <v>0.28000000000000003</v>
      </c>
      <c r="AX200">
        <v>588</v>
      </c>
      <c r="AY200">
        <v>98.7</v>
      </c>
      <c r="AZ200">
        <v>686.8</v>
      </c>
      <c r="BA200">
        <v>22021936.800000001</v>
      </c>
      <c r="BB200">
        <v>2355.3000000000002</v>
      </c>
      <c r="BC200">
        <v>341</v>
      </c>
      <c r="BD200">
        <v>845237.2</v>
      </c>
      <c r="BE200">
        <v>53739.5</v>
      </c>
      <c r="BF200">
        <v>10.8</v>
      </c>
      <c r="BG200">
        <v>22178242.199999999</v>
      </c>
      <c r="BH200">
        <v>2352811.1</v>
      </c>
      <c r="BI200">
        <v>24531053.300000001</v>
      </c>
      <c r="BJ200">
        <v>0</v>
      </c>
      <c r="BK200">
        <v>0</v>
      </c>
      <c r="BL200">
        <v>22021936.800000001</v>
      </c>
      <c r="BM200">
        <v>22867174</v>
      </c>
      <c r="BN200">
        <v>24531053.300000001</v>
      </c>
      <c r="BO200">
        <v>27.71</v>
      </c>
      <c r="BP200">
        <v>12.91</v>
      </c>
      <c r="BQ200">
        <v>0</v>
      </c>
      <c r="BR200">
        <v>40.619999999999997</v>
      </c>
      <c r="BS200">
        <v>29.68</v>
      </c>
      <c r="BT200">
        <v>14.31</v>
      </c>
      <c r="BU200">
        <v>0</v>
      </c>
      <c r="BV200">
        <v>43.99</v>
      </c>
      <c r="BW200">
        <v>113461656</v>
      </c>
      <c r="BX200">
        <v>82217460</v>
      </c>
      <c r="BY200">
        <v>0</v>
      </c>
      <c r="BZ200">
        <v>20105356</v>
      </c>
      <c r="CA200">
        <v>0</v>
      </c>
      <c r="CB200">
        <v>0</v>
      </c>
      <c r="CC200">
        <v>4957117.5</v>
      </c>
      <c r="CD200">
        <v>0</v>
      </c>
      <c r="CE200">
        <v>7159.6</v>
      </c>
      <c r="CF200">
        <v>2241072.2000000002</v>
      </c>
      <c r="CG200">
        <v>0</v>
      </c>
      <c r="CH200">
        <v>86112.9</v>
      </c>
      <c r="CI200">
        <v>0</v>
      </c>
      <c r="CJ200">
        <v>65676904</v>
      </c>
      <c r="CK200">
        <v>0</v>
      </c>
      <c r="CL200">
        <v>0</v>
      </c>
      <c r="CM200">
        <v>11692492</v>
      </c>
      <c r="CN200">
        <v>4848066.5</v>
      </c>
      <c r="CO200">
        <v>837190.3</v>
      </c>
      <c r="CP200">
        <v>3010184.8</v>
      </c>
      <c r="CQ200">
        <v>0</v>
      </c>
      <c r="CR200">
        <v>2757.6</v>
      </c>
      <c r="CS200">
        <v>0</v>
      </c>
      <c r="CT200">
        <v>12.6</v>
      </c>
      <c r="CU200">
        <v>3560.4</v>
      </c>
      <c r="CV200">
        <v>0</v>
      </c>
      <c r="CW200">
        <v>0</v>
      </c>
      <c r="CX200">
        <v>3195.1</v>
      </c>
      <c r="CY200">
        <v>3383.6</v>
      </c>
      <c r="CZ200">
        <v>0</v>
      </c>
      <c r="DA200">
        <v>3469.5</v>
      </c>
      <c r="DB200">
        <v>0</v>
      </c>
      <c r="DC200">
        <v>948</v>
      </c>
      <c r="DD200">
        <v>0</v>
      </c>
      <c r="DE200">
        <v>7</v>
      </c>
      <c r="DF200">
        <v>1538.5</v>
      </c>
      <c r="DG200">
        <v>5020.3</v>
      </c>
      <c r="DH200">
        <v>0</v>
      </c>
      <c r="DI200">
        <v>16611.400000000001</v>
      </c>
      <c r="DJ200">
        <v>0</v>
      </c>
      <c r="DK200">
        <v>17744.5</v>
      </c>
      <c r="DL200">
        <v>15384.9</v>
      </c>
      <c r="DM200">
        <v>0</v>
      </c>
      <c r="DN200">
        <v>0</v>
      </c>
      <c r="DO200">
        <v>0.16</v>
      </c>
      <c r="DP200">
        <v>0</v>
      </c>
      <c r="DQ200">
        <v>0.45</v>
      </c>
      <c r="DR200">
        <v>0</v>
      </c>
    </row>
    <row r="201" spans="1:122" x14ac:dyDescent="0.3">
      <c r="A201" t="s">
        <v>170</v>
      </c>
      <c r="B201">
        <v>2022</v>
      </c>
      <c r="C201">
        <v>81040786.400000006</v>
      </c>
      <c r="D201">
        <v>79735545.400000006</v>
      </c>
      <c r="E201">
        <v>76869028.799999997</v>
      </c>
      <c r="F201">
        <v>0</v>
      </c>
      <c r="G201">
        <v>239036</v>
      </c>
      <c r="H201">
        <v>47574817.600000001</v>
      </c>
      <c r="I201">
        <v>7284.3</v>
      </c>
      <c r="J201">
        <v>231751.6</v>
      </c>
      <c r="K201">
        <v>1066205</v>
      </c>
      <c r="L201">
        <v>3.5900000000000001E-2</v>
      </c>
      <c r="M201">
        <v>5.3900000000000003E-2</v>
      </c>
      <c r="N201">
        <v>0.1404</v>
      </c>
      <c r="O201">
        <v>42787.4</v>
      </c>
      <c r="P201">
        <v>19862.900000000001</v>
      </c>
      <c r="Q201">
        <v>493.9</v>
      </c>
      <c r="R201">
        <v>55</v>
      </c>
      <c r="S201">
        <v>7.99</v>
      </c>
      <c r="T201">
        <v>17.899999999999999</v>
      </c>
      <c r="U201">
        <v>1135.2</v>
      </c>
      <c r="V201">
        <v>0.27</v>
      </c>
      <c r="W201">
        <v>497.6</v>
      </c>
      <c r="X201">
        <v>49.8</v>
      </c>
      <c r="Y201">
        <v>547.4</v>
      </c>
      <c r="Z201">
        <v>502.7</v>
      </c>
      <c r="AA201">
        <v>55.9</v>
      </c>
      <c r="AB201">
        <v>8.1199999999999992</v>
      </c>
      <c r="AC201">
        <v>18.600000000000001</v>
      </c>
      <c r="AD201">
        <v>1157.2</v>
      </c>
      <c r="AE201">
        <v>0.28000000000000003</v>
      </c>
      <c r="AF201">
        <v>506.4</v>
      </c>
      <c r="AG201">
        <v>51</v>
      </c>
      <c r="AH201">
        <v>557.4</v>
      </c>
      <c r="AI201">
        <v>649.1</v>
      </c>
      <c r="AJ201">
        <v>56.9</v>
      </c>
      <c r="AK201">
        <v>8.2100000000000009</v>
      </c>
      <c r="AL201">
        <v>37.200000000000003</v>
      </c>
      <c r="AM201">
        <v>1903.9</v>
      </c>
      <c r="AN201">
        <v>0.36</v>
      </c>
      <c r="AO201">
        <v>652.79999999999995</v>
      </c>
      <c r="AP201">
        <v>90.6</v>
      </c>
      <c r="AQ201">
        <v>743.4</v>
      </c>
      <c r="AR201">
        <v>801.3</v>
      </c>
      <c r="AS201">
        <v>73.400000000000006</v>
      </c>
      <c r="AT201">
        <v>10.63</v>
      </c>
      <c r="AU201">
        <v>43.2</v>
      </c>
      <c r="AV201">
        <v>2239</v>
      </c>
      <c r="AW201">
        <v>0.46</v>
      </c>
      <c r="AX201">
        <v>806.2</v>
      </c>
      <c r="AY201">
        <v>106</v>
      </c>
      <c r="AZ201">
        <v>912.3</v>
      </c>
      <c r="BA201">
        <v>41265923.5</v>
      </c>
      <c r="BB201">
        <v>4599.6000000000004</v>
      </c>
      <c r="BC201">
        <v>667.9</v>
      </c>
      <c r="BD201">
        <v>1497081.8</v>
      </c>
      <c r="BE201">
        <v>94806.5</v>
      </c>
      <c r="BF201">
        <v>22.4</v>
      </c>
      <c r="BG201">
        <v>41571709.399999999</v>
      </c>
      <c r="BH201">
        <v>4157613.1</v>
      </c>
      <c r="BI201">
        <v>45729322.5</v>
      </c>
      <c r="BJ201">
        <v>0</v>
      </c>
      <c r="BK201">
        <v>0</v>
      </c>
      <c r="BL201">
        <v>41265923.5</v>
      </c>
      <c r="BM201">
        <v>42763005.299999997</v>
      </c>
      <c r="BN201">
        <v>45729322.5</v>
      </c>
      <c r="BO201">
        <v>30.29</v>
      </c>
      <c r="BP201">
        <v>9.51</v>
      </c>
      <c r="BQ201">
        <v>0</v>
      </c>
      <c r="BR201">
        <v>39.799999999999997</v>
      </c>
      <c r="BS201">
        <v>32.22</v>
      </c>
      <c r="BT201">
        <v>10.38</v>
      </c>
      <c r="BU201">
        <v>0</v>
      </c>
      <c r="BV201">
        <v>42.6</v>
      </c>
      <c r="BW201">
        <v>84173280</v>
      </c>
      <c r="BX201">
        <v>32160730</v>
      </c>
      <c r="BY201">
        <v>9784525</v>
      </c>
      <c r="BZ201">
        <v>37738330</v>
      </c>
      <c r="CA201">
        <v>0</v>
      </c>
      <c r="CB201">
        <v>82151.199999999997</v>
      </c>
      <c r="CC201">
        <v>3544404.5</v>
      </c>
      <c r="CD201">
        <v>0</v>
      </c>
      <c r="CE201">
        <v>102070.2</v>
      </c>
      <c r="CF201">
        <v>531134.1</v>
      </c>
      <c r="CG201">
        <v>0</v>
      </c>
      <c r="CH201">
        <v>36110.5</v>
      </c>
      <c r="CI201">
        <v>0</v>
      </c>
      <c r="CJ201">
        <v>31713338</v>
      </c>
      <c r="CK201">
        <v>0</v>
      </c>
      <c r="CL201">
        <v>0</v>
      </c>
      <c r="CM201">
        <v>218215.7</v>
      </c>
      <c r="CN201">
        <v>229175.8</v>
      </c>
      <c r="CO201">
        <v>187613.6</v>
      </c>
      <c r="CP201">
        <v>6218.2</v>
      </c>
      <c r="CQ201">
        <v>0</v>
      </c>
      <c r="CR201">
        <v>11</v>
      </c>
      <c r="CS201">
        <v>0</v>
      </c>
      <c r="CT201">
        <v>9</v>
      </c>
      <c r="CU201">
        <v>7495.3</v>
      </c>
      <c r="CV201">
        <v>0</v>
      </c>
      <c r="CW201">
        <v>0</v>
      </c>
      <c r="CX201">
        <v>150.30000000000001</v>
      </c>
      <c r="CY201">
        <v>1607.9</v>
      </c>
      <c r="CZ201">
        <v>0</v>
      </c>
      <c r="DA201">
        <v>5326</v>
      </c>
      <c r="DB201">
        <v>0</v>
      </c>
      <c r="DC201">
        <v>300</v>
      </c>
      <c r="DD201">
        <v>1225</v>
      </c>
      <c r="DE201">
        <v>1936</v>
      </c>
      <c r="DF201">
        <v>186</v>
      </c>
      <c r="DG201">
        <v>93.4</v>
      </c>
      <c r="DH201">
        <v>0</v>
      </c>
      <c r="DI201">
        <v>8856.5</v>
      </c>
      <c r="DJ201">
        <v>0</v>
      </c>
      <c r="DK201">
        <v>22</v>
      </c>
      <c r="DL201">
        <v>1860</v>
      </c>
      <c r="DM201">
        <v>0</v>
      </c>
      <c r="DN201">
        <v>0</v>
      </c>
      <c r="DO201">
        <v>0.05</v>
      </c>
      <c r="DP201">
        <v>0</v>
      </c>
      <c r="DQ201">
        <v>0</v>
      </c>
      <c r="DR201">
        <v>0</v>
      </c>
    </row>
    <row r="202" spans="1:122" x14ac:dyDescent="0.3">
      <c r="A202" t="s">
        <v>170</v>
      </c>
      <c r="B202">
        <v>2024</v>
      </c>
      <c r="C202">
        <v>82663552</v>
      </c>
      <c r="D202">
        <v>81403916.5</v>
      </c>
      <c r="E202">
        <v>78477421.5</v>
      </c>
      <c r="F202">
        <v>0</v>
      </c>
      <c r="G202">
        <v>232236</v>
      </c>
      <c r="H202">
        <v>49289470.200000003</v>
      </c>
      <c r="I202">
        <v>7353.3</v>
      </c>
      <c r="J202">
        <v>224882.7</v>
      </c>
      <c r="K202">
        <v>1027399.4</v>
      </c>
      <c r="L202">
        <v>3.5900000000000001E-2</v>
      </c>
      <c r="M202">
        <v>5.3900000000000003E-2</v>
      </c>
      <c r="N202">
        <v>0.1404</v>
      </c>
      <c r="O202">
        <v>42787.4</v>
      </c>
      <c r="P202">
        <v>20278.8</v>
      </c>
      <c r="Q202">
        <v>464.9</v>
      </c>
      <c r="R202">
        <v>50.8</v>
      </c>
      <c r="S202">
        <v>7.37</v>
      </c>
      <c r="T202">
        <v>17.899999999999999</v>
      </c>
      <c r="U202">
        <v>1100.2</v>
      </c>
      <c r="V202">
        <v>0.25</v>
      </c>
      <c r="W202">
        <v>468.2</v>
      </c>
      <c r="X202">
        <v>48.8</v>
      </c>
      <c r="Y202">
        <v>517</v>
      </c>
      <c r="Z202">
        <v>462</v>
      </c>
      <c r="AA202">
        <v>50.5</v>
      </c>
      <c r="AB202">
        <v>7.32</v>
      </c>
      <c r="AC202">
        <v>18</v>
      </c>
      <c r="AD202">
        <v>1093.3</v>
      </c>
      <c r="AE202">
        <v>0.26</v>
      </c>
      <c r="AF202">
        <v>465.4</v>
      </c>
      <c r="AG202">
        <v>48.7</v>
      </c>
      <c r="AH202">
        <v>514.1</v>
      </c>
      <c r="AI202">
        <v>550.9</v>
      </c>
      <c r="AJ202">
        <v>46.4</v>
      </c>
      <c r="AK202">
        <v>6.67</v>
      </c>
      <c r="AL202">
        <v>33.200000000000003</v>
      </c>
      <c r="AM202">
        <v>1677.9</v>
      </c>
      <c r="AN202">
        <v>0.31</v>
      </c>
      <c r="AO202">
        <v>553.9</v>
      </c>
      <c r="AP202">
        <v>80.2</v>
      </c>
      <c r="AQ202">
        <v>634.20000000000005</v>
      </c>
      <c r="AR202">
        <v>797.4</v>
      </c>
      <c r="AS202">
        <v>71.400000000000006</v>
      </c>
      <c r="AT202">
        <v>10.32</v>
      </c>
      <c r="AU202">
        <v>44.4</v>
      </c>
      <c r="AV202">
        <v>2286.9</v>
      </c>
      <c r="AW202">
        <v>0.45</v>
      </c>
      <c r="AX202">
        <v>802.2</v>
      </c>
      <c r="AY202">
        <v>108.5</v>
      </c>
      <c r="AZ202">
        <v>910.7</v>
      </c>
      <c r="BA202">
        <v>37818400.5</v>
      </c>
      <c r="BB202">
        <v>4132.1000000000004</v>
      </c>
      <c r="BC202">
        <v>599.29999999999995</v>
      </c>
      <c r="BD202">
        <v>1455367.6</v>
      </c>
      <c r="BE202">
        <v>89479.9</v>
      </c>
      <c r="BF202">
        <v>20.7</v>
      </c>
      <c r="BG202">
        <v>38092921.399999999</v>
      </c>
      <c r="BH202">
        <v>3966295.5</v>
      </c>
      <c r="BI202">
        <v>42059216.899999999</v>
      </c>
      <c r="BJ202">
        <v>0</v>
      </c>
      <c r="BK202">
        <v>0</v>
      </c>
      <c r="BL202">
        <v>37818400.5</v>
      </c>
      <c r="BM202">
        <v>39273768.100000001</v>
      </c>
      <c r="BN202">
        <v>42059216.899999999</v>
      </c>
      <c r="BO202">
        <v>28.49</v>
      </c>
      <c r="BP202">
        <v>9.51</v>
      </c>
      <c r="BQ202">
        <v>0</v>
      </c>
      <c r="BR202">
        <v>38.01</v>
      </c>
      <c r="BS202">
        <v>30.3</v>
      </c>
      <c r="BT202">
        <v>10.37</v>
      </c>
      <c r="BU202">
        <v>0</v>
      </c>
      <c r="BV202">
        <v>40.67</v>
      </c>
      <c r="BW202">
        <v>81992824</v>
      </c>
      <c r="BX202">
        <v>32114444</v>
      </c>
      <c r="BY202">
        <v>9784525</v>
      </c>
      <c r="BZ202">
        <v>33920100</v>
      </c>
      <c r="CA202">
        <v>0</v>
      </c>
      <c r="CB202">
        <v>100040.5</v>
      </c>
      <c r="CC202">
        <v>5151200</v>
      </c>
      <c r="CD202">
        <v>0</v>
      </c>
      <c r="CE202">
        <v>166744.70000000001</v>
      </c>
      <c r="CF202">
        <v>530102</v>
      </c>
      <c r="CG202">
        <v>0</v>
      </c>
      <c r="CH202">
        <v>36830</v>
      </c>
      <c r="CI202">
        <v>0</v>
      </c>
      <c r="CJ202">
        <v>31646396</v>
      </c>
      <c r="CK202">
        <v>0</v>
      </c>
      <c r="CL202">
        <v>0</v>
      </c>
      <c r="CM202">
        <v>215026.8</v>
      </c>
      <c r="CN202">
        <v>253024.3</v>
      </c>
      <c r="CO202">
        <v>182556.1</v>
      </c>
      <c r="CP202">
        <v>6275.9</v>
      </c>
      <c r="CQ202">
        <v>0</v>
      </c>
      <c r="CR202">
        <v>11</v>
      </c>
      <c r="CS202">
        <v>0</v>
      </c>
      <c r="CT202">
        <v>9</v>
      </c>
      <c r="CU202">
        <v>7242.3</v>
      </c>
      <c r="CV202">
        <v>0</v>
      </c>
      <c r="CW202">
        <v>0</v>
      </c>
      <c r="CX202">
        <v>167.3</v>
      </c>
      <c r="CY202">
        <v>1607.9</v>
      </c>
      <c r="CZ202">
        <v>0</v>
      </c>
      <c r="DA202">
        <v>4551.6000000000004</v>
      </c>
      <c r="DB202">
        <v>0</v>
      </c>
      <c r="DC202">
        <v>300</v>
      </c>
      <c r="DD202">
        <v>1225</v>
      </c>
      <c r="DE202">
        <v>1233.4000000000001</v>
      </c>
      <c r="DF202">
        <v>186</v>
      </c>
      <c r="DG202">
        <v>93.4</v>
      </c>
      <c r="DH202">
        <v>0</v>
      </c>
      <c r="DI202">
        <v>8856.5</v>
      </c>
      <c r="DJ202">
        <v>0</v>
      </c>
      <c r="DK202">
        <v>22</v>
      </c>
      <c r="DL202">
        <v>1860</v>
      </c>
      <c r="DM202">
        <v>0</v>
      </c>
      <c r="DN202">
        <v>0</v>
      </c>
      <c r="DO202">
        <v>0.05</v>
      </c>
      <c r="DP202">
        <v>0</v>
      </c>
      <c r="DQ202">
        <v>0</v>
      </c>
      <c r="DR202">
        <v>0</v>
      </c>
    </row>
    <row r="203" spans="1:122" x14ac:dyDescent="0.3">
      <c r="A203" t="s">
        <v>170</v>
      </c>
      <c r="B203">
        <v>2026</v>
      </c>
      <c r="C203">
        <v>84533590.5</v>
      </c>
      <c r="D203">
        <v>83135245</v>
      </c>
      <c r="E203">
        <v>80146508.200000003</v>
      </c>
      <c r="F203">
        <v>0</v>
      </c>
      <c r="G203">
        <v>176249.60000000001</v>
      </c>
      <c r="H203">
        <v>47674813.799999997</v>
      </c>
      <c r="I203">
        <v>7088.3</v>
      </c>
      <c r="J203">
        <v>169161.3</v>
      </c>
      <c r="K203">
        <v>1222096</v>
      </c>
      <c r="L203">
        <v>3.5900000000000001E-2</v>
      </c>
      <c r="M203">
        <v>5.3900000000000003E-2</v>
      </c>
      <c r="N203">
        <v>0.1404</v>
      </c>
      <c r="O203">
        <v>40035.370000000003</v>
      </c>
      <c r="P203">
        <v>20709.400000000001</v>
      </c>
      <c r="Q203">
        <v>453.4</v>
      </c>
      <c r="R203">
        <v>49.6</v>
      </c>
      <c r="S203">
        <v>7.2</v>
      </c>
      <c r="T203">
        <v>17.3</v>
      </c>
      <c r="U203">
        <v>1070.5</v>
      </c>
      <c r="V203">
        <v>0.25</v>
      </c>
      <c r="W203">
        <v>456.7</v>
      </c>
      <c r="X203">
        <v>47.4</v>
      </c>
      <c r="Y203">
        <v>504.1</v>
      </c>
      <c r="Z203">
        <v>419</v>
      </c>
      <c r="AA203">
        <v>45.9</v>
      </c>
      <c r="AB203">
        <v>6.66</v>
      </c>
      <c r="AC203">
        <v>16.2</v>
      </c>
      <c r="AD203">
        <v>987.4</v>
      </c>
      <c r="AE203">
        <v>0.23</v>
      </c>
      <c r="AF203">
        <v>422.1</v>
      </c>
      <c r="AG203">
        <v>43.9</v>
      </c>
      <c r="AH203">
        <v>465.9</v>
      </c>
      <c r="AI203">
        <v>399.1</v>
      </c>
      <c r="AJ203">
        <v>31.9</v>
      </c>
      <c r="AK203">
        <v>4.55</v>
      </c>
      <c r="AL203">
        <v>25.4</v>
      </c>
      <c r="AM203">
        <v>1286.2</v>
      </c>
      <c r="AN203">
        <v>0.21</v>
      </c>
      <c r="AO203">
        <v>401.2</v>
      </c>
      <c r="AP203">
        <v>61.5</v>
      </c>
      <c r="AQ203">
        <v>462.7</v>
      </c>
      <c r="AR203">
        <v>750.1</v>
      </c>
      <c r="AS203">
        <v>67</v>
      </c>
      <c r="AT203">
        <v>9.66</v>
      </c>
      <c r="AU203">
        <v>41.8</v>
      </c>
      <c r="AV203">
        <v>2171.3000000000002</v>
      </c>
      <c r="AW203">
        <v>0.42</v>
      </c>
      <c r="AX203">
        <v>754.6</v>
      </c>
      <c r="AY203">
        <v>102.7</v>
      </c>
      <c r="AZ203">
        <v>857.2</v>
      </c>
      <c r="BA203">
        <v>38727715.799999997</v>
      </c>
      <c r="BB203">
        <v>4240.1000000000004</v>
      </c>
      <c r="BC203">
        <v>615</v>
      </c>
      <c r="BD203">
        <v>1479755.1</v>
      </c>
      <c r="BE203">
        <v>91404.800000000003</v>
      </c>
      <c r="BF203">
        <v>21.1</v>
      </c>
      <c r="BG203">
        <v>39009418.5</v>
      </c>
      <c r="BH203">
        <v>4044692.1</v>
      </c>
      <c r="BI203">
        <v>43054110.600000001</v>
      </c>
      <c r="BJ203">
        <v>0</v>
      </c>
      <c r="BK203">
        <v>0</v>
      </c>
      <c r="BL203">
        <v>38727715.799999997</v>
      </c>
      <c r="BM203">
        <v>40207470.899999999</v>
      </c>
      <c r="BN203">
        <v>43054110.600000001</v>
      </c>
      <c r="BO203">
        <v>27.15</v>
      </c>
      <c r="BP203">
        <v>7.6</v>
      </c>
      <c r="BQ203">
        <v>0</v>
      </c>
      <c r="BR203">
        <v>34.75</v>
      </c>
      <c r="BS203">
        <v>28.85</v>
      </c>
      <c r="BT203">
        <v>8.24</v>
      </c>
      <c r="BU203">
        <v>0</v>
      </c>
      <c r="BV203">
        <v>37.090000000000003</v>
      </c>
      <c r="BW203">
        <v>86074640</v>
      </c>
      <c r="BX203">
        <v>35460430</v>
      </c>
      <c r="BY203">
        <v>9784525</v>
      </c>
      <c r="BZ203">
        <v>34835028</v>
      </c>
      <c r="CA203">
        <v>0</v>
      </c>
      <c r="CB203">
        <v>80609.399999999994</v>
      </c>
      <c r="CC203">
        <v>4976596</v>
      </c>
      <c r="CD203">
        <v>0</v>
      </c>
      <c r="CE203">
        <v>232188.7</v>
      </c>
      <c r="CF203">
        <v>526329</v>
      </c>
      <c r="CG203">
        <v>0</v>
      </c>
      <c r="CH203">
        <v>36529</v>
      </c>
      <c r="CI203">
        <v>0</v>
      </c>
      <c r="CJ203">
        <v>31412428</v>
      </c>
      <c r="CK203">
        <v>0</v>
      </c>
      <c r="CL203">
        <v>0</v>
      </c>
      <c r="CM203">
        <v>3751426.8</v>
      </c>
      <c r="CN203">
        <v>296575.90000000002</v>
      </c>
      <c r="CO203">
        <v>136386.79999999999</v>
      </c>
      <c r="CP203">
        <v>6016.2</v>
      </c>
      <c r="CQ203">
        <v>0</v>
      </c>
      <c r="CR203">
        <v>11</v>
      </c>
      <c r="CS203">
        <v>0</v>
      </c>
      <c r="CT203">
        <v>9</v>
      </c>
      <c r="CU203">
        <v>7242.3</v>
      </c>
      <c r="CV203">
        <v>0</v>
      </c>
      <c r="CW203">
        <v>0</v>
      </c>
      <c r="CX203">
        <v>198.7</v>
      </c>
      <c r="CY203">
        <v>1607.9</v>
      </c>
      <c r="CZ203">
        <v>0</v>
      </c>
      <c r="DA203">
        <v>4453.8</v>
      </c>
      <c r="DB203">
        <v>0</v>
      </c>
      <c r="DC203">
        <v>300</v>
      </c>
      <c r="DD203">
        <v>1225</v>
      </c>
      <c r="DE203">
        <v>1124.5999999999999</v>
      </c>
      <c r="DF203">
        <v>186</v>
      </c>
      <c r="DG203">
        <v>1441.4</v>
      </c>
      <c r="DH203">
        <v>0</v>
      </c>
      <c r="DI203">
        <v>8856.5</v>
      </c>
      <c r="DJ203">
        <v>0</v>
      </c>
      <c r="DK203">
        <v>22</v>
      </c>
      <c r="DL203">
        <v>1860</v>
      </c>
      <c r="DM203">
        <v>0</v>
      </c>
      <c r="DN203">
        <v>0</v>
      </c>
      <c r="DO203">
        <v>0.05</v>
      </c>
      <c r="DP203">
        <v>0</v>
      </c>
      <c r="DQ203">
        <v>0</v>
      </c>
      <c r="DR203">
        <v>0</v>
      </c>
    </row>
    <row r="204" spans="1:122" x14ac:dyDescent="0.3">
      <c r="A204" t="s">
        <v>170</v>
      </c>
      <c r="B204">
        <v>2028</v>
      </c>
      <c r="C204">
        <v>85732521.5</v>
      </c>
      <c r="D204">
        <v>84315696.200000003</v>
      </c>
      <c r="E204">
        <v>81284521.799999997</v>
      </c>
      <c r="F204">
        <v>0</v>
      </c>
      <c r="G204">
        <v>164222.6</v>
      </c>
      <c r="H204">
        <v>48926726</v>
      </c>
      <c r="I204">
        <v>6467.6</v>
      </c>
      <c r="J204">
        <v>157755</v>
      </c>
      <c r="K204">
        <v>1252602.7</v>
      </c>
      <c r="L204">
        <v>3.5900000000000001E-2</v>
      </c>
      <c r="M204">
        <v>5.3900000000000003E-2</v>
      </c>
      <c r="N204">
        <v>0.1404</v>
      </c>
      <c r="O204">
        <v>43268.86</v>
      </c>
      <c r="P204">
        <v>21004.1</v>
      </c>
      <c r="Q204">
        <v>472</v>
      </c>
      <c r="R204">
        <v>52.4</v>
      </c>
      <c r="S204">
        <v>7.61</v>
      </c>
      <c r="T204">
        <v>17.3</v>
      </c>
      <c r="U204">
        <v>1092.5</v>
      </c>
      <c r="V204">
        <v>0.26</v>
      </c>
      <c r="W204">
        <v>475.5</v>
      </c>
      <c r="X204">
        <v>48</v>
      </c>
      <c r="Y204">
        <v>523.5</v>
      </c>
      <c r="Z204">
        <v>430.8</v>
      </c>
      <c r="AA204">
        <v>47.8</v>
      </c>
      <c r="AB204">
        <v>6.94</v>
      </c>
      <c r="AC204">
        <v>16</v>
      </c>
      <c r="AD204">
        <v>997.4</v>
      </c>
      <c r="AE204">
        <v>0.24</v>
      </c>
      <c r="AF204">
        <v>434</v>
      </c>
      <c r="AG204">
        <v>44</v>
      </c>
      <c r="AH204">
        <v>478</v>
      </c>
      <c r="AI204">
        <v>305.39999999999998</v>
      </c>
      <c r="AJ204">
        <v>23.3</v>
      </c>
      <c r="AK204">
        <v>3.31</v>
      </c>
      <c r="AL204">
        <v>20.5</v>
      </c>
      <c r="AM204">
        <v>1018.6</v>
      </c>
      <c r="AN204">
        <v>0.16</v>
      </c>
      <c r="AO204">
        <v>306.89999999999998</v>
      </c>
      <c r="AP204">
        <v>49</v>
      </c>
      <c r="AQ204">
        <v>355.9</v>
      </c>
      <c r="AR204">
        <v>765.8</v>
      </c>
      <c r="AS204">
        <v>68.400000000000006</v>
      </c>
      <c r="AT204">
        <v>9.8699999999999992</v>
      </c>
      <c r="AU204">
        <v>42.5</v>
      </c>
      <c r="AV204">
        <v>2216.8000000000002</v>
      </c>
      <c r="AW204">
        <v>0.42</v>
      </c>
      <c r="AX204">
        <v>770.3</v>
      </c>
      <c r="AY204">
        <v>104.7</v>
      </c>
      <c r="AZ204">
        <v>875</v>
      </c>
      <c r="BA204">
        <v>41012448.899999999</v>
      </c>
      <c r="BB204">
        <v>4553.8999999999996</v>
      </c>
      <c r="BC204">
        <v>661</v>
      </c>
      <c r="BD204">
        <v>1502836.5</v>
      </c>
      <c r="BE204">
        <v>94888.4</v>
      </c>
      <c r="BF204">
        <v>22.2</v>
      </c>
      <c r="BG204">
        <v>41315121.600000001</v>
      </c>
      <c r="BH204">
        <v>4165602</v>
      </c>
      <c r="BI204">
        <v>45480723.600000001</v>
      </c>
      <c r="BJ204">
        <v>0</v>
      </c>
      <c r="BK204">
        <v>0</v>
      </c>
      <c r="BL204">
        <v>41012448.899999999</v>
      </c>
      <c r="BM204">
        <v>42515285.399999999</v>
      </c>
      <c r="BN204">
        <v>45480723.600000001</v>
      </c>
      <c r="BO204">
        <v>28.55</v>
      </c>
      <c r="BP204">
        <v>8.33</v>
      </c>
      <c r="BQ204">
        <v>0</v>
      </c>
      <c r="BR204">
        <v>36.869999999999997</v>
      </c>
      <c r="BS204">
        <v>30.32</v>
      </c>
      <c r="BT204">
        <v>9.0299999999999994</v>
      </c>
      <c r="BU204">
        <v>0</v>
      </c>
      <c r="BV204">
        <v>39.340000000000003</v>
      </c>
      <c r="BW204">
        <v>87545500</v>
      </c>
      <c r="BX204">
        <v>35388972</v>
      </c>
      <c r="BY204">
        <v>9784525</v>
      </c>
      <c r="BZ204">
        <v>37487708</v>
      </c>
      <c r="CA204">
        <v>0</v>
      </c>
      <c r="CB204">
        <v>37056</v>
      </c>
      <c r="CC204">
        <v>4041710.5</v>
      </c>
      <c r="CD204">
        <v>0</v>
      </c>
      <c r="CE204">
        <v>93422.9</v>
      </c>
      <c r="CF204">
        <v>539017</v>
      </c>
      <c r="CG204">
        <v>0</v>
      </c>
      <c r="CH204">
        <v>38316</v>
      </c>
      <c r="CI204">
        <v>0</v>
      </c>
      <c r="CJ204">
        <v>31300074</v>
      </c>
      <c r="CK204">
        <v>0</v>
      </c>
      <c r="CL204">
        <v>0</v>
      </c>
      <c r="CM204">
        <v>3714859.2</v>
      </c>
      <c r="CN204">
        <v>374037.3</v>
      </c>
      <c r="CO204">
        <v>129258.9</v>
      </c>
      <c r="CP204">
        <v>5520.8</v>
      </c>
      <c r="CQ204">
        <v>0</v>
      </c>
      <c r="CR204">
        <v>11.4</v>
      </c>
      <c r="CS204">
        <v>0</v>
      </c>
      <c r="CT204">
        <v>9</v>
      </c>
      <c r="CU204">
        <v>7242.3</v>
      </c>
      <c r="CV204">
        <v>0</v>
      </c>
      <c r="CW204">
        <v>0</v>
      </c>
      <c r="CX204">
        <v>250.7</v>
      </c>
      <c r="CY204">
        <v>1607.9</v>
      </c>
      <c r="CZ204">
        <v>0</v>
      </c>
      <c r="DA204">
        <v>4453.8</v>
      </c>
      <c r="DB204">
        <v>0</v>
      </c>
      <c r="DC204">
        <v>300</v>
      </c>
      <c r="DD204">
        <v>1225</v>
      </c>
      <c r="DE204">
        <v>835.9</v>
      </c>
      <c r="DF204">
        <v>186</v>
      </c>
      <c r="DG204">
        <v>1441.4</v>
      </c>
      <c r="DH204">
        <v>0</v>
      </c>
      <c r="DI204">
        <v>8856.5</v>
      </c>
      <c r="DJ204">
        <v>0</v>
      </c>
      <c r="DK204">
        <v>22.8</v>
      </c>
      <c r="DL204">
        <v>1860</v>
      </c>
      <c r="DM204">
        <v>0</v>
      </c>
      <c r="DN204">
        <v>0</v>
      </c>
      <c r="DO204">
        <v>0.05</v>
      </c>
      <c r="DP204">
        <v>0</v>
      </c>
      <c r="DQ204">
        <v>0</v>
      </c>
      <c r="DR204">
        <v>0</v>
      </c>
    </row>
    <row r="205" spans="1:122" x14ac:dyDescent="0.3">
      <c r="A205" t="s">
        <v>170</v>
      </c>
      <c r="B205">
        <v>2030</v>
      </c>
      <c r="C205">
        <v>86931813.400000006</v>
      </c>
      <c r="D205">
        <v>85354493.299999997</v>
      </c>
      <c r="E205">
        <v>82285973.799999997</v>
      </c>
      <c r="F205">
        <v>0</v>
      </c>
      <c r="G205">
        <v>213417.2</v>
      </c>
      <c r="H205">
        <v>45532136.200000003</v>
      </c>
      <c r="I205">
        <v>15719.5</v>
      </c>
      <c r="J205">
        <v>197697.7</v>
      </c>
      <c r="K205">
        <v>1363902.9</v>
      </c>
      <c r="L205">
        <v>3.5900000000000001E-2</v>
      </c>
      <c r="M205">
        <v>5.3900000000000003E-2</v>
      </c>
      <c r="N205">
        <v>0.1404</v>
      </c>
      <c r="O205">
        <v>57941.84</v>
      </c>
      <c r="P205">
        <v>21263.200000000001</v>
      </c>
      <c r="Q205">
        <v>420.9</v>
      </c>
      <c r="R205">
        <v>47.1</v>
      </c>
      <c r="S205">
        <v>6.83</v>
      </c>
      <c r="T205">
        <v>15.2</v>
      </c>
      <c r="U205">
        <v>964.8</v>
      </c>
      <c r="V205">
        <v>0.23</v>
      </c>
      <c r="W205">
        <v>424.1</v>
      </c>
      <c r="X205">
        <v>42.3</v>
      </c>
      <c r="Y205">
        <v>466.4</v>
      </c>
      <c r="Z205">
        <v>375.3</v>
      </c>
      <c r="AA205">
        <v>41.9</v>
      </c>
      <c r="AB205">
        <v>6.09</v>
      </c>
      <c r="AC205">
        <v>13.8</v>
      </c>
      <c r="AD205">
        <v>862.1</v>
      </c>
      <c r="AE205">
        <v>0.21</v>
      </c>
      <c r="AF205">
        <v>378.1</v>
      </c>
      <c r="AG205">
        <v>38</v>
      </c>
      <c r="AH205">
        <v>416.1</v>
      </c>
      <c r="AI205">
        <v>286.39999999999998</v>
      </c>
      <c r="AJ205">
        <v>17.899999999999999</v>
      </c>
      <c r="AK205">
        <v>2.48</v>
      </c>
      <c r="AL205">
        <v>22.7</v>
      </c>
      <c r="AM205">
        <v>1090</v>
      </c>
      <c r="AN205">
        <v>0.14000000000000001</v>
      </c>
      <c r="AO205">
        <v>287.60000000000002</v>
      </c>
      <c r="AP205">
        <v>53.3</v>
      </c>
      <c r="AQ205">
        <v>340.9</v>
      </c>
      <c r="AR205">
        <v>747.9</v>
      </c>
      <c r="AS205">
        <v>67.599999999999994</v>
      </c>
      <c r="AT205">
        <v>9.7799999999999994</v>
      </c>
      <c r="AU205">
        <v>41</v>
      </c>
      <c r="AV205">
        <v>2124.6999999999998</v>
      </c>
      <c r="AW205">
        <v>0.42</v>
      </c>
      <c r="AX205">
        <v>752.4</v>
      </c>
      <c r="AY205">
        <v>100.6</v>
      </c>
      <c r="AZ205">
        <v>853</v>
      </c>
      <c r="BA205">
        <v>36341431</v>
      </c>
      <c r="BB205">
        <v>4064.3</v>
      </c>
      <c r="BC205">
        <v>590.1</v>
      </c>
      <c r="BD205">
        <v>1313960.6000000001</v>
      </c>
      <c r="BE205">
        <v>83259.600000000006</v>
      </c>
      <c r="BF205">
        <v>19.899999999999999</v>
      </c>
      <c r="BG205">
        <v>36611610.899999999</v>
      </c>
      <c r="BH205">
        <v>3650498</v>
      </c>
      <c r="BI205">
        <v>40262108.899999999</v>
      </c>
      <c r="BJ205">
        <v>0</v>
      </c>
      <c r="BK205">
        <v>0</v>
      </c>
      <c r="BL205">
        <v>36341431</v>
      </c>
      <c r="BM205">
        <v>37655391.600000001</v>
      </c>
      <c r="BN205">
        <v>40262108.899999999</v>
      </c>
      <c r="BO205">
        <v>26.91</v>
      </c>
      <c r="BP205">
        <v>11.29</v>
      </c>
      <c r="BQ205">
        <v>0</v>
      </c>
      <c r="BR205">
        <v>38.200000000000003</v>
      </c>
      <c r="BS205">
        <v>28.57</v>
      </c>
      <c r="BT205">
        <v>12.26</v>
      </c>
      <c r="BU205">
        <v>0</v>
      </c>
      <c r="BV205">
        <v>40.83</v>
      </c>
      <c r="BW205">
        <v>87101490</v>
      </c>
      <c r="BX205">
        <v>39822356</v>
      </c>
      <c r="BY205">
        <v>9784525</v>
      </c>
      <c r="BZ205">
        <v>33682136</v>
      </c>
      <c r="CA205">
        <v>0</v>
      </c>
      <c r="CB205">
        <v>2913.6</v>
      </c>
      <c r="CC205">
        <v>3036334.5</v>
      </c>
      <c r="CD205">
        <v>0</v>
      </c>
      <c r="CE205">
        <v>26552.7</v>
      </c>
      <c r="CF205">
        <v>537814.30000000005</v>
      </c>
      <c r="CG205">
        <v>0</v>
      </c>
      <c r="CH205">
        <v>35786</v>
      </c>
      <c r="CI205">
        <v>0</v>
      </c>
      <c r="CJ205">
        <v>35609896</v>
      </c>
      <c r="CK205">
        <v>0</v>
      </c>
      <c r="CL205">
        <v>0</v>
      </c>
      <c r="CM205">
        <v>3671024.8</v>
      </c>
      <c r="CN205">
        <v>541437.6</v>
      </c>
      <c r="CO205">
        <v>159727.4</v>
      </c>
      <c r="CP205">
        <v>13344.1</v>
      </c>
      <c r="CQ205">
        <v>0</v>
      </c>
      <c r="CR205">
        <v>17.7</v>
      </c>
      <c r="CS205">
        <v>0</v>
      </c>
      <c r="CT205">
        <v>9</v>
      </c>
      <c r="CU205">
        <v>7242.3</v>
      </c>
      <c r="CV205">
        <v>0</v>
      </c>
      <c r="CW205">
        <v>0</v>
      </c>
      <c r="CX205">
        <v>359.9</v>
      </c>
      <c r="CY205">
        <v>1607.9</v>
      </c>
      <c r="CZ205">
        <v>0</v>
      </c>
      <c r="DA205">
        <v>3816.6</v>
      </c>
      <c r="DB205">
        <v>0</v>
      </c>
      <c r="DC205">
        <v>300</v>
      </c>
      <c r="DD205">
        <v>1225</v>
      </c>
      <c r="DE205">
        <v>387.7</v>
      </c>
      <c r="DF205">
        <v>186</v>
      </c>
      <c r="DG205">
        <v>1441.4</v>
      </c>
      <c r="DH205">
        <v>0</v>
      </c>
      <c r="DI205">
        <v>9882.1</v>
      </c>
      <c r="DJ205">
        <v>0</v>
      </c>
      <c r="DK205">
        <v>48</v>
      </c>
      <c r="DL205">
        <v>1860</v>
      </c>
      <c r="DM205">
        <v>0</v>
      </c>
      <c r="DN205">
        <v>0</v>
      </c>
      <c r="DO205">
        <v>0.05</v>
      </c>
      <c r="DP205">
        <v>0</v>
      </c>
      <c r="DQ205">
        <v>0</v>
      </c>
      <c r="DR205">
        <v>0</v>
      </c>
    </row>
    <row r="206" spans="1:122" x14ac:dyDescent="0.3">
      <c r="A206" t="s">
        <v>170</v>
      </c>
      <c r="B206">
        <v>2032</v>
      </c>
      <c r="C206">
        <v>87918117.099999994</v>
      </c>
      <c r="D206">
        <v>86377551</v>
      </c>
      <c r="E206">
        <v>83272252.299999997</v>
      </c>
      <c r="F206">
        <v>0</v>
      </c>
      <c r="G206">
        <v>196130.6</v>
      </c>
      <c r="H206">
        <v>46989701.600000001</v>
      </c>
      <c r="I206">
        <v>13996.4</v>
      </c>
      <c r="J206">
        <v>182134.2</v>
      </c>
      <c r="K206">
        <v>1344435.5</v>
      </c>
      <c r="L206">
        <v>3.5900000000000001E-2</v>
      </c>
      <c r="M206">
        <v>5.3900000000000003E-2</v>
      </c>
      <c r="N206">
        <v>0.1404</v>
      </c>
      <c r="O206">
        <v>67691.460000000006</v>
      </c>
      <c r="P206">
        <v>21518.2</v>
      </c>
      <c r="Q206">
        <v>429.7</v>
      </c>
      <c r="R206">
        <v>48.2</v>
      </c>
      <c r="S206">
        <v>7</v>
      </c>
      <c r="T206">
        <v>15.4</v>
      </c>
      <c r="U206">
        <v>979.3</v>
      </c>
      <c r="V206">
        <v>0.23</v>
      </c>
      <c r="W206">
        <v>432.9</v>
      </c>
      <c r="X206">
        <v>42.8</v>
      </c>
      <c r="Y206">
        <v>475.8</v>
      </c>
      <c r="Z206">
        <v>383.7</v>
      </c>
      <c r="AA206">
        <v>43</v>
      </c>
      <c r="AB206">
        <v>6.24</v>
      </c>
      <c r="AC206">
        <v>13.9</v>
      </c>
      <c r="AD206">
        <v>876.5</v>
      </c>
      <c r="AE206">
        <v>0.21</v>
      </c>
      <c r="AF206">
        <v>386.5</v>
      </c>
      <c r="AG206">
        <v>38.5</v>
      </c>
      <c r="AH206">
        <v>425</v>
      </c>
      <c r="AI206">
        <v>200.6</v>
      </c>
      <c r="AJ206">
        <v>8.3000000000000007</v>
      </c>
      <c r="AK206">
        <v>1.0900000000000001</v>
      </c>
      <c r="AL206">
        <v>19.7</v>
      </c>
      <c r="AM206">
        <v>900.4</v>
      </c>
      <c r="AN206">
        <v>0.09</v>
      </c>
      <c r="AO206">
        <v>201.1</v>
      </c>
      <c r="AP206">
        <v>44.9</v>
      </c>
      <c r="AQ206">
        <v>246.1</v>
      </c>
      <c r="AR206">
        <v>749.8</v>
      </c>
      <c r="AS206">
        <v>67.400000000000006</v>
      </c>
      <c r="AT206">
        <v>9.74</v>
      </c>
      <c r="AU206">
        <v>41.5</v>
      </c>
      <c r="AV206">
        <v>2144.6999999999998</v>
      </c>
      <c r="AW206">
        <v>0.42</v>
      </c>
      <c r="AX206">
        <v>754.3</v>
      </c>
      <c r="AY206">
        <v>101.6</v>
      </c>
      <c r="AZ206">
        <v>855.9</v>
      </c>
      <c r="BA206">
        <v>37224193.299999997</v>
      </c>
      <c r="BB206">
        <v>4178.7</v>
      </c>
      <c r="BC206">
        <v>606.79999999999995</v>
      </c>
      <c r="BD206">
        <v>1329633</v>
      </c>
      <c r="BE206">
        <v>84786.6</v>
      </c>
      <c r="BF206">
        <v>20.3</v>
      </c>
      <c r="BG206">
        <v>37502010.700000003</v>
      </c>
      <c r="BH206">
        <v>3709045.8</v>
      </c>
      <c r="BI206">
        <v>41211056.5</v>
      </c>
      <c r="BJ206">
        <v>0</v>
      </c>
      <c r="BK206">
        <v>0</v>
      </c>
      <c r="BL206">
        <v>37224193.299999997</v>
      </c>
      <c r="BM206">
        <v>38553826.299999997</v>
      </c>
      <c r="BN206">
        <v>41211056.5</v>
      </c>
      <c r="BO206">
        <v>26.85</v>
      </c>
      <c r="BP206">
        <v>13.23</v>
      </c>
      <c r="BQ206">
        <v>0</v>
      </c>
      <c r="BR206">
        <v>40.08</v>
      </c>
      <c r="BS206">
        <v>28.5</v>
      </c>
      <c r="BT206">
        <v>14.36</v>
      </c>
      <c r="BU206">
        <v>0</v>
      </c>
      <c r="BV206">
        <v>42.86</v>
      </c>
      <c r="BW206">
        <v>87373020</v>
      </c>
      <c r="BX206">
        <v>39387850</v>
      </c>
      <c r="BY206">
        <v>9784525</v>
      </c>
      <c r="BZ206">
        <v>34714492</v>
      </c>
      <c r="CA206">
        <v>0</v>
      </c>
      <c r="CB206">
        <v>1389</v>
      </c>
      <c r="CC206">
        <v>2737711.2</v>
      </c>
      <c r="CD206">
        <v>0</v>
      </c>
      <c r="CE206">
        <v>16167.7</v>
      </c>
      <c r="CF206">
        <v>533773.69999999995</v>
      </c>
      <c r="CG206">
        <v>0</v>
      </c>
      <c r="CH206">
        <v>36872.300000000003</v>
      </c>
      <c r="CI206">
        <v>0</v>
      </c>
      <c r="CJ206">
        <v>35070380</v>
      </c>
      <c r="CK206">
        <v>0</v>
      </c>
      <c r="CL206">
        <v>0</v>
      </c>
      <c r="CM206">
        <v>3629618.8</v>
      </c>
      <c r="CN206">
        <v>687850.4</v>
      </c>
      <c r="CO206">
        <v>148310.1</v>
      </c>
      <c r="CP206">
        <v>11928.7</v>
      </c>
      <c r="CQ206">
        <v>0</v>
      </c>
      <c r="CR206">
        <v>17.7</v>
      </c>
      <c r="CS206">
        <v>0</v>
      </c>
      <c r="CT206">
        <v>9</v>
      </c>
      <c r="CU206">
        <v>7242.3</v>
      </c>
      <c r="CV206">
        <v>0</v>
      </c>
      <c r="CW206">
        <v>0</v>
      </c>
      <c r="CX206">
        <v>457.3</v>
      </c>
      <c r="CY206">
        <v>1607.9</v>
      </c>
      <c r="CZ206">
        <v>0</v>
      </c>
      <c r="DA206">
        <v>3816.6</v>
      </c>
      <c r="DB206">
        <v>0</v>
      </c>
      <c r="DC206">
        <v>300</v>
      </c>
      <c r="DD206">
        <v>1225</v>
      </c>
      <c r="DE206">
        <v>387.7</v>
      </c>
      <c r="DF206">
        <v>186</v>
      </c>
      <c r="DG206">
        <v>1442.5</v>
      </c>
      <c r="DH206">
        <v>0</v>
      </c>
      <c r="DI206">
        <v>9770.1</v>
      </c>
      <c r="DJ206">
        <v>0</v>
      </c>
      <c r="DK206">
        <v>48</v>
      </c>
      <c r="DL206">
        <v>1860</v>
      </c>
      <c r="DM206">
        <v>0</v>
      </c>
      <c r="DN206">
        <v>0</v>
      </c>
      <c r="DO206">
        <v>0.05</v>
      </c>
      <c r="DP206">
        <v>0</v>
      </c>
      <c r="DQ206">
        <v>0</v>
      </c>
      <c r="DR206">
        <v>0</v>
      </c>
    </row>
    <row r="207" spans="1:122" x14ac:dyDescent="0.3">
      <c r="A207" t="s">
        <v>170</v>
      </c>
      <c r="B207">
        <v>2034</v>
      </c>
      <c r="C207">
        <v>89288361.5</v>
      </c>
      <c r="D207">
        <v>87573741.599999994</v>
      </c>
      <c r="E207">
        <v>84425439.5</v>
      </c>
      <c r="F207">
        <v>0</v>
      </c>
      <c r="G207">
        <v>204266.2</v>
      </c>
      <c r="H207">
        <v>27889110.199999999</v>
      </c>
      <c r="I207">
        <v>13802.5</v>
      </c>
      <c r="J207">
        <v>190463.7</v>
      </c>
      <c r="K207">
        <v>1510353.7</v>
      </c>
      <c r="L207">
        <v>3.5900000000000001E-2</v>
      </c>
      <c r="M207">
        <v>5.3900000000000003E-2</v>
      </c>
      <c r="N207">
        <v>0.1404</v>
      </c>
      <c r="O207">
        <v>69267.100000000006</v>
      </c>
      <c r="P207">
        <v>21815.1</v>
      </c>
      <c r="Q207">
        <v>307.89999999999998</v>
      </c>
      <c r="R207">
        <v>34.5</v>
      </c>
      <c r="S207">
        <v>5.01</v>
      </c>
      <c r="T207">
        <v>11.2</v>
      </c>
      <c r="U207">
        <v>702.6</v>
      </c>
      <c r="V207">
        <v>0.17</v>
      </c>
      <c r="W207">
        <v>310.2</v>
      </c>
      <c r="X207">
        <v>30.9</v>
      </c>
      <c r="Y207">
        <v>341.1</v>
      </c>
      <c r="Z207">
        <v>296.39999999999998</v>
      </c>
      <c r="AA207">
        <v>33.200000000000003</v>
      </c>
      <c r="AB207">
        <v>4.82</v>
      </c>
      <c r="AC207">
        <v>10.9</v>
      </c>
      <c r="AD207">
        <v>677.8</v>
      </c>
      <c r="AE207">
        <v>0.17</v>
      </c>
      <c r="AF207">
        <v>298.60000000000002</v>
      </c>
      <c r="AG207">
        <v>29.9</v>
      </c>
      <c r="AH207">
        <v>328.5</v>
      </c>
      <c r="AI207">
        <v>203.5</v>
      </c>
      <c r="AJ207">
        <v>7.1</v>
      </c>
      <c r="AK207">
        <v>0.9</v>
      </c>
      <c r="AL207">
        <v>21.1</v>
      </c>
      <c r="AM207">
        <v>956.8</v>
      </c>
      <c r="AN207">
        <v>0.09</v>
      </c>
      <c r="AO207">
        <v>203.9</v>
      </c>
      <c r="AP207">
        <v>48</v>
      </c>
      <c r="AQ207">
        <v>251.9</v>
      </c>
      <c r="AR207">
        <v>669.2</v>
      </c>
      <c r="AS207">
        <v>61.5</v>
      </c>
      <c r="AT207">
        <v>8.85</v>
      </c>
      <c r="AU207">
        <v>35.200000000000003</v>
      </c>
      <c r="AV207">
        <v>1913.5</v>
      </c>
      <c r="AW207">
        <v>0.35</v>
      </c>
      <c r="AX207">
        <v>673.3</v>
      </c>
      <c r="AY207">
        <v>88.9</v>
      </c>
      <c r="AZ207">
        <v>762.2</v>
      </c>
      <c r="BA207">
        <v>30953539.399999999</v>
      </c>
      <c r="BB207">
        <v>3472.8</v>
      </c>
      <c r="BC207">
        <v>504.3</v>
      </c>
      <c r="BD207">
        <v>1121641.8</v>
      </c>
      <c r="BE207">
        <v>70597.8</v>
      </c>
      <c r="BF207">
        <v>17.2</v>
      </c>
      <c r="BG207">
        <v>31184423.5</v>
      </c>
      <c r="BH207">
        <v>3102947.4</v>
      </c>
      <c r="BI207">
        <v>34287370.899999999</v>
      </c>
      <c r="BJ207">
        <v>0</v>
      </c>
      <c r="BK207">
        <v>0</v>
      </c>
      <c r="BL207">
        <v>30953539.399999999</v>
      </c>
      <c r="BM207">
        <v>32075181.100000001</v>
      </c>
      <c r="BN207">
        <v>34287370.899999999</v>
      </c>
      <c r="BO207">
        <v>23.73</v>
      </c>
      <c r="BP207">
        <v>11.98</v>
      </c>
      <c r="BQ207">
        <v>0</v>
      </c>
      <c r="BR207">
        <v>35.71</v>
      </c>
      <c r="BS207">
        <v>25.2</v>
      </c>
      <c r="BT207">
        <v>12.94</v>
      </c>
      <c r="BU207">
        <v>0</v>
      </c>
      <c r="BV207">
        <v>38.14</v>
      </c>
      <c r="BW207">
        <v>101538390</v>
      </c>
      <c r="BX207">
        <v>59684630</v>
      </c>
      <c r="BY207">
        <v>9784525</v>
      </c>
      <c r="BZ207">
        <v>29030054</v>
      </c>
      <c r="CA207">
        <v>0</v>
      </c>
      <c r="CB207">
        <v>2106</v>
      </c>
      <c r="CC207">
        <v>2307031.7999999998</v>
      </c>
      <c r="CD207">
        <v>0</v>
      </c>
      <c r="CE207">
        <v>33252</v>
      </c>
      <c r="CF207">
        <v>499353.8</v>
      </c>
      <c r="CG207">
        <v>0</v>
      </c>
      <c r="CH207">
        <v>31807.7</v>
      </c>
      <c r="CI207">
        <v>0</v>
      </c>
      <c r="CJ207">
        <v>53867404</v>
      </c>
      <c r="CK207">
        <v>0</v>
      </c>
      <c r="CL207">
        <v>0</v>
      </c>
      <c r="CM207">
        <v>5006142.5</v>
      </c>
      <c r="CN207">
        <v>811084.2</v>
      </c>
      <c r="CO207">
        <v>153883.79999999999</v>
      </c>
      <c r="CP207">
        <v>11741.1</v>
      </c>
      <c r="CQ207">
        <v>0</v>
      </c>
      <c r="CR207">
        <v>17.7</v>
      </c>
      <c r="CS207">
        <v>0</v>
      </c>
      <c r="CT207">
        <v>9</v>
      </c>
      <c r="CU207">
        <v>7242.3</v>
      </c>
      <c r="CV207">
        <v>0</v>
      </c>
      <c r="CW207">
        <v>0</v>
      </c>
      <c r="CX207">
        <v>567.6</v>
      </c>
      <c r="CY207">
        <v>1607.9</v>
      </c>
      <c r="CZ207">
        <v>0</v>
      </c>
      <c r="DA207">
        <v>3816.6</v>
      </c>
      <c r="DB207">
        <v>0</v>
      </c>
      <c r="DC207">
        <v>300</v>
      </c>
      <c r="DD207">
        <v>1225</v>
      </c>
      <c r="DE207">
        <v>387.7</v>
      </c>
      <c r="DF207">
        <v>186</v>
      </c>
      <c r="DG207">
        <v>2029.7</v>
      </c>
      <c r="DH207">
        <v>0</v>
      </c>
      <c r="DI207">
        <v>14709.3</v>
      </c>
      <c r="DJ207">
        <v>0</v>
      </c>
      <c r="DK207">
        <v>48</v>
      </c>
      <c r="DL207">
        <v>1860</v>
      </c>
      <c r="DM207">
        <v>0</v>
      </c>
      <c r="DN207">
        <v>0</v>
      </c>
      <c r="DO207">
        <v>0.05</v>
      </c>
      <c r="DP207">
        <v>0</v>
      </c>
      <c r="DQ207">
        <v>0</v>
      </c>
      <c r="DR207">
        <v>0</v>
      </c>
    </row>
    <row r="208" spans="1:122" x14ac:dyDescent="0.3">
      <c r="A208" t="s">
        <v>170</v>
      </c>
      <c r="B208">
        <v>2036</v>
      </c>
      <c r="C208">
        <v>90665372.200000003</v>
      </c>
      <c r="D208">
        <v>88754192.799999997</v>
      </c>
      <c r="E208">
        <v>85563453.200000003</v>
      </c>
      <c r="F208">
        <v>0</v>
      </c>
      <c r="G208">
        <v>356771.4</v>
      </c>
      <c r="H208">
        <v>26072675</v>
      </c>
      <c r="I208">
        <v>147819.5</v>
      </c>
      <c r="J208">
        <v>208952</v>
      </c>
      <c r="K208">
        <v>1554407.9</v>
      </c>
      <c r="L208">
        <v>3.5900000000000001E-2</v>
      </c>
      <c r="M208">
        <v>5.3900000000000003E-2</v>
      </c>
      <c r="N208">
        <v>0.1404</v>
      </c>
      <c r="O208">
        <v>70844.19</v>
      </c>
      <c r="P208">
        <v>22109.200000000001</v>
      </c>
      <c r="Q208">
        <v>301</v>
      </c>
      <c r="R208">
        <v>33.9</v>
      </c>
      <c r="S208">
        <v>4.92</v>
      </c>
      <c r="T208">
        <v>10.8</v>
      </c>
      <c r="U208">
        <v>683.2</v>
      </c>
      <c r="V208">
        <v>0.17</v>
      </c>
      <c r="W208">
        <v>303.3</v>
      </c>
      <c r="X208">
        <v>30</v>
      </c>
      <c r="Y208">
        <v>333.2</v>
      </c>
      <c r="Z208">
        <v>296.60000000000002</v>
      </c>
      <c r="AA208">
        <v>33.299999999999997</v>
      </c>
      <c r="AB208">
        <v>4.84</v>
      </c>
      <c r="AC208">
        <v>10.8</v>
      </c>
      <c r="AD208">
        <v>674.9</v>
      </c>
      <c r="AE208">
        <v>0.17</v>
      </c>
      <c r="AF208">
        <v>298.8</v>
      </c>
      <c r="AG208">
        <v>29.8</v>
      </c>
      <c r="AH208">
        <v>328.6</v>
      </c>
      <c r="AI208">
        <v>182.4</v>
      </c>
      <c r="AJ208">
        <v>8</v>
      </c>
      <c r="AK208">
        <v>1.04</v>
      </c>
      <c r="AL208">
        <v>17.600000000000001</v>
      </c>
      <c r="AM208">
        <v>808.9</v>
      </c>
      <c r="AN208">
        <v>0.08</v>
      </c>
      <c r="AO208">
        <v>182.9</v>
      </c>
      <c r="AP208">
        <v>40.200000000000003</v>
      </c>
      <c r="AQ208">
        <v>223.1</v>
      </c>
      <c r="AR208">
        <v>682.7</v>
      </c>
      <c r="AS208">
        <v>62.4</v>
      </c>
      <c r="AT208">
        <v>8.9700000000000006</v>
      </c>
      <c r="AU208">
        <v>36.299999999999997</v>
      </c>
      <c r="AV208">
        <v>1962</v>
      </c>
      <c r="AW208">
        <v>0.36</v>
      </c>
      <c r="AX208">
        <v>686.8</v>
      </c>
      <c r="AY208">
        <v>91.3</v>
      </c>
      <c r="AZ208">
        <v>778.2</v>
      </c>
      <c r="BA208">
        <v>31174303.199999999</v>
      </c>
      <c r="BB208">
        <v>3510.2</v>
      </c>
      <c r="BC208">
        <v>509.9</v>
      </c>
      <c r="BD208">
        <v>1117565.8</v>
      </c>
      <c r="BE208">
        <v>70705.8</v>
      </c>
      <c r="BF208">
        <v>17.3</v>
      </c>
      <c r="BG208">
        <v>31407700.899999999</v>
      </c>
      <c r="BH208">
        <v>3101925.7</v>
      </c>
      <c r="BI208">
        <v>34509626.600000001</v>
      </c>
      <c r="BJ208">
        <v>0</v>
      </c>
      <c r="BK208">
        <v>0</v>
      </c>
      <c r="BL208">
        <v>31174303.199999999</v>
      </c>
      <c r="BM208">
        <v>32291869</v>
      </c>
      <c r="BN208">
        <v>34509626.600000001</v>
      </c>
      <c r="BO208">
        <v>24.16</v>
      </c>
      <c r="BP208">
        <v>12.42</v>
      </c>
      <c r="BQ208">
        <v>0</v>
      </c>
      <c r="BR208">
        <v>36.58</v>
      </c>
      <c r="BS208">
        <v>25.68</v>
      </c>
      <c r="BT208">
        <v>13.44</v>
      </c>
      <c r="BU208">
        <v>0</v>
      </c>
      <c r="BV208">
        <v>39.119999999999997</v>
      </c>
      <c r="BW208">
        <v>104622620</v>
      </c>
      <c r="BX208">
        <v>62681516</v>
      </c>
      <c r="BY208">
        <v>9784525</v>
      </c>
      <c r="BZ208">
        <v>29267226</v>
      </c>
      <c r="CA208">
        <v>0</v>
      </c>
      <c r="CB208">
        <v>290.39999999999998</v>
      </c>
      <c r="CC208">
        <v>2054970.8</v>
      </c>
      <c r="CD208">
        <v>0</v>
      </c>
      <c r="CE208">
        <v>4779.7</v>
      </c>
      <c r="CF208">
        <v>499283.5</v>
      </c>
      <c r="CG208">
        <v>0</v>
      </c>
      <c r="CH208">
        <v>33528.800000000003</v>
      </c>
      <c r="CI208">
        <v>0</v>
      </c>
      <c r="CJ208">
        <v>56723468</v>
      </c>
      <c r="CK208">
        <v>0</v>
      </c>
      <c r="CL208">
        <v>0</v>
      </c>
      <c r="CM208">
        <v>4961438</v>
      </c>
      <c r="CN208">
        <v>996612.6</v>
      </c>
      <c r="CO208">
        <v>171107.6</v>
      </c>
      <c r="CP208">
        <v>125390.6</v>
      </c>
      <c r="CQ208">
        <v>0</v>
      </c>
      <c r="CR208">
        <v>136.4</v>
      </c>
      <c r="CS208">
        <v>0</v>
      </c>
      <c r="CT208">
        <v>9</v>
      </c>
      <c r="CU208">
        <v>7242.3</v>
      </c>
      <c r="CV208">
        <v>0</v>
      </c>
      <c r="CW208">
        <v>0</v>
      </c>
      <c r="CX208">
        <v>689.6</v>
      </c>
      <c r="CY208">
        <v>1607.9</v>
      </c>
      <c r="CZ208">
        <v>0</v>
      </c>
      <c r="DA208">
        <v>3760.8</v>
      </c>
      <c r="DB208">
        <v>0</v>
      </c>
      <c r="DC208">
        <v>300</v>
      </c>
      <c r="DD208">
        <v>1225</v>
      </c>
      <c r="DE208">
        <v>387.7</v>
      </c>
      <c r="DF208">
        <v>186</v>
      </c>
      <c r="DG208">
        <v>2029.7</v>
      </c>
      <c r="DH208">
        <v>0</v>
      </c>
      <c r="DI208">
        <v>15258.5</v>
      </c>
      <c r="DJ208">
        <v>0</v>
      </c>
      <c r="DK208">
        <v>472</v>
      </c>
      <c r="DL208">
        <v>1860</v>
      </c>
      <c r="DM208">
        <v>0</v>
      </c>
      <c r="DN208">
        <v>0</v>
      </c>
      <c r="DO208">
        <v>0.05</v>
      </c>
      <c r="DP208">
        <v>0</v>
      </c>
      <c r="DQ208">
        <v>0</v>
      </c>
      <c r="DR208">
        <v>0</v>
      </c>
    </row>
    <row r="209" spans="1:122" x14ac:dyDescent="0.3">
      <c r="A209" t="s">
        <v>170</v>
      </c>
      <c r="B209">
        <v>2038</v>
      </c>
      <c r="C209">
        <v>92348368.799999997</v>
      </c>
      <c r="D209">
        <v>90092037.5</v>
      </c>
      <c r="E209">
        <v>86853201.900000006</v>
      </c>
      <c r="F209">
        <v>0</v>
      </c>
      <c r="G209">
        <v>662837</v>
      </c>
      <c r="H209">
        <v>23697305</v>
      </c>
      <c r="I209">
        <v>454512.8</v>
      </c>
      <c r="J209">
        <v>208324.3</v>
      </c>
      <c r="K209">
        <v>1593494.2</v>
      </c>
      <c r="L209">
        <v>3.5900000000000001E-2</v>
      </c>
      <c r="M209">
        <v>5.3900000000000003E-2</v>
      </c>
      <c r="N209">
        <v>0.14030000000000001</v>
      </c>
      <c r="O209">
        <v>74013.11</v>
      </c>
      <c r="P209">
        <v>22442.1</v>
      </c>
      <c r="Q209">
        <v>277.8</v>
      </c>
      <c r="R209">
        <v>31.2</v>
      </c>
      <c r="S209">
        <v>4.53</v>
      </c>
      <c r="T209">
        <v>10.1</v>
      </c>
      <c r="U209">
        <v>633.6</v>
      </c>
      <c r="V209">
        <v>0.16</v>
      </c>
      <c r="W209">
        <v>279.89999999999998</v>
      </c>
      <c r="X209">
        <v>27.9</v>
      </c>
      <c r="Y209">
        <v>307.8</v>
      </c>
      <c r="Z209">
        <v>277.5</v>
      </c>
      <c r="AA209">
        <v>31.1</v>
      </c>
      <c r="AB209">
        <v>4.51</v>
      </c>
      <c r="AC209">
        <v>10.3</v>
      </c>
      <c r="AD209">
        <v>634.70000000000005</v>
      </c>
      <c r="AE209">
        <v>0.16</v>
      </c>
      <c r="AF209">
        <v>279.60000000000002</v>
      </c>
      <c r="AG209">
        <v>28.1</v>
      </c>
      <c r="AH209">
        <v>307.60000000000002</v>
      </c>
      <c r="AI209">
        <v>213.1</v>
      </c>
      <c r="AJ209">
        <v>10.3</v>
      </c>
      <c r="AK209">
        <v>1.38</v>
      </c>
      <c r="AL209">
        <v>19.5</v>
      </c>
      <c r="AM209">
        <v>912.5</v>
      </c>
      <c r="AN209">
        <v>0.1</v>
      </c>
      <c r="AO209">
        <v>213.8</v>
      </c>
      <c r="AP209">
        <v>45.1</v>
      </c>
      <c r="AQ209">
        <v>258.8</v>
      </c>
      <c r="AR209">
        <v>666.3</v>
      </c>
      <c r="AS209">
        <v>60</v>
      </c>
      <c r="AT209">
        <v>8.6199999999999992</v>
      </c>
      <c r="AU209">
        <v>36.200000000000003</v>
      </c>
      <c r="AV209">
        <v>1946.6</v>
      </c>
      <c r="AW209">
        <v>0.35</v>
      </c>
      <c r="AX209">
        <v>670.3</v>
      </c>
      <c r="AY209">
        <v>90.8</v>
      </c>
      <c r="AZ209">
        <v>761</v>
      </c>
      <c r="BA209">
        <v>29409158.899999999</v>
      </c>
      <c r="BB209">
        <v>3301.3</v>
      </c>
      <c r="BC209">
        <v>479.4</v>
      </c>
      <c r="BD209">
        <v>1068282</v>
      </c>
      <c r="BE209">
        <v>67035.8</v>
      </c>
      <c r="BF209">
        <v>16.5</v>
      </c>
      <c r="BG209">
        <v>29628642.600000001</v>
      </c>
      <c r="BH209">
        <v>2949648.4</v>
      </c>
      <c r="BI209">
        <v>32578291</v>
      </c>
      <c r="BJ209">
        <v>0</v>
      </c>
      <c r="BK209">
        <v>0</v>
      </c>
      <c r="BL209">
        <v>29409158.899999999</v>
      </c>
      <c r="BM209">
        <v>30477440.800000001</v>
      </c>
      <c r="BN209">
        <v>32578291</v>
      </c>
      <c r="BO209">
        <v>23.58</v>
      </c>
      <c r="BP209">
        <v>13.21</v>
      </c>
      <c r="BQ209">
        <v>0</v>
      </c>
      <c r="BR209">
        <v>36.799999999999997</v>
      </c>
      <c r="BS209">
        <v>25.1</v>
      </c>
      <c r="BT209">
        <v>14.36</v>
      </c>
      <c r="BU209">
        <v>0</v>
      </c>
      <c r="BV209">
        <v>39.46</v>
      </c>
      <c r="BW209">
        <v>107014584</v>
      </c>
      <c r="BX209">
        <v>66394732</v>
      </c>
      <c r="BY209">
        <v>9784525</v>
      </c>
      <c r="BZ209">
        <v>27546260</v>
      </c>
      <c r="CA209">
        <v>0</v>
      </c>
      <c r="CB209">
        <v>7.8</v>
      </c>
      <c r="CC209">
        <v>2214057.5</v>
      </c>
      <c r="CD209">
        <v>0</v>
      </c>
      <c r="CE209">
        <v>3380.8</v>
      </c>
      <c r="CF209">
        <v>483217</v>
      </c>
      <c r="CG209">
        <v>0</v>
      </c>
      <c r="CH209">
        <v>33632.300000000003</v>
      </c>
      <c r="CI209">
        <v>0</v>
      </c>
      <c r="CJ209">
        <v>60305324</v>
      </c>
      <c r="CK209">
        <v>0</v>
      </c>
      <c r="CL209">
        <v>0</v>
      </c>
      <c r="CM209">
        <v>4892557.5</v>
      </c>
      <c r="CN209">
        <v>1196852.3999999999</v>
      </c>
      <c r="CO209">
        <v>168337.1</v>
      </c>
      <c r="CP209">
        <v>386437.7</v>
      </c>
      <c r="CQ209">
        <v>0</v>
      </c>
      <c r="CR209">
        <v>360.4</v>
      </c>
      <c r="CS209">
        <v>0</v>
      </c>
      <c r="CT209">
        <v>9</v>
      </c>
      <c r="CU209">
        <v>7242.3</v>
      </c>
      <c r="CV209">
        <v>0</v>
      </c>
      <c r="CW209">
        <v>0</v>
      </c>
      <c r="CX209">
        <v>823.5</v>
      </c>
      <c r="CY209">
        <v>1607.9</v>
      </c>
      <c r="CZ209">
        <v>0</v>
      </c>
      <c r="DA209">
        <v>3760.8</v>
      </c>
      <c r="DB209">
        <v>0</v>
      </c>
      <c r="DC209">
        <v>300</v>
      </c>
      <c r="DD209">
        <v>1225</v>
      </c>
      <c r="DE209">
        <v>387.7</v>
      </c>
      <c r="DF209">
        <v>186</v>
      </c>
      <c r="DG209">
        <v>2029.7</v>
      </c>
      <c r="DH209">
        <v>0</v>
      </c>
      <c r="DI209">
        <v>16119.6</v>
      </c>
      <c r="DJ209">
        <v>0</v>
      </c>
      <c r="DK209">
        <v>1509.2</v>
      </c>
      <c r="DL209">
        <v>1860</v>
      </c>
      <c r="DM209">
        <v>0</v>
      </c>
      <c r="DN209">
        <v>0</v>
      </c>
      <c r="DO209">
        <v>0.05</v>
      </c>
      <c r="DP209">
        <v>0</v>
      </c>
      <c r="DQ209">
        <v>0</v>
      </c>
      <c r="DR209">
        <v>0</v>
      </c>
    </row>
    <row r="210" spans="1:122" x14ac:dyDescent="0.3">
      <c r="A210" t="s">
        <v>170</v>
      </c>
      <c r="B210">
        <v>2040</v>
      </c>
      <c r="C210">
        <v>93729379.5</v>
      </c>
      <c r="D210">
        <v>91445621.5</v>
      </c>
      <c r="E210">
        <v>88158124.200000003</v>
      </c>
      <c r="F210">
        <v>0</v>
      </c>
      <c r="G210">
        <v>719961.9</v>
      </c>
      <c r="H210">
        <v>22187084.699999999</v>
      </c>
      <c r="I210">
        <v>517381.6</v>
      </c>
      <c r="J210">
        <v>202580.2</v>
      </c>
      <c r="K210">
        <v>1563796.1</v>
      </c>
      <c r="L210">
        <v>3.5900000000000001E-2</v>
      </c>
      <c r="M210">
        <v>5.3900000000000003E-2</v>
      </c>
      <c r="N210">
        <v>0.14030000000000001</v>
      </c>
      <c r="O210">
        <v>75194.960000000006</v>
      </c>
      <c r="P210">
        <v>22779.599999999999</v>
      </c>
      <c r="Q210">
        <v>267.89999999999998</v>
      </c>
      <c r="R210">
        <v>30.1</v>
      </c>
      <c r="S210">
        <v>4.37</v>
      </c>
      <c r="T210">
        <v>9.6999999999999993</v>
      </c>
      <c r="U210">
        <v>610.6</v>
      </c>
      <c r="V210">
        <v>0.15</v>
      </c>
      <c r="W210">
        <v>269.89999999999998</v>
      </c>
      <c r="X210">
        <v>26.9</v>
      </c>
      <c r="Y210">
        <v>296.8</v>
      </c>
      <c r="Z210">
        <v>272.5</v>
      </c>
      <c r="AA210">
        <v>30.6</v>
      </c>
      <c r="AB210">
        <v>4.4400000000000004</v>
      </c>
      <c r="AC210">
        <v>10.1</v>
      </c>
      <c r="AD210">
        <v>622.5</v>
      </c>
      <c r="AE210">
        <v>0.16</v>
      </c>
      <c r="AF210">
        <v>274.60000000000002</v>
      </c>
      <c r="AG210">
        <v>27.5</v>
      </c>
      <c r="AH210">
        <v>302.10000000000002</v>
      </c>
      <c r="AI210">
        <v>189.6</v>
      </c>
      <c r="AJ210">
        <v>9.6</v>
      </c>
      <c r="AK210">
        <v>1.29</v>
      </c>
      <c r="AL210">
        <v>17</v>
      </c>
      <c r="AM210">
        <v>799.6</v>
      </c>
      <c r="AN210">
        <v>0.09</v>
      </c>
      <c r="AO210">
        <v>190.2</v>
      </c>
      <c r="AP210">
        <v>39.4</v>
      </c>
      <c r="AQ210">
        <v>229.6</v>
      </c>
      <c r="AR210">
        <v>662.6</v>
      </c>
      <c r="AS210">
        <v>58.7</v>
      </c>
      <c r="AT210">
        <v>8.42</v>
      </c>
      <c r="AU210">
        <v>36.799999999999997</v>
      </c>
      <c r="AV210">
        <v>1970.6</v>
      </c>
      <c r="AW210">
        <v>0.34</v>
      </c>
      <c r="AX210">
        <v>666.5</v>
      </c>
      <c r="AY210">
        <v>92</v>
      </c>
      <c r="AZ210">
        <v>758.5</v>
      </c>
      <c r="BA210">
        <v>28999001.800000001</v>
      </c>
      <c r="BB210">
        <v>3256.9</v>
      </c>
      <c r="BC210">
        <v>473</v>
      </c>
      <c r="BD210">
        <v>1053041.7</v>
      </c>
      <c r="BE210">
        <v>66050</v>
      </c>
      <c r="BF210">
        <v>16.3</v>
      </c>
      <c r="BG210">
        <v>29215541.399999999</v>
      </c>
      <c r="BH210">
        <v>2906752</v>
      </c>
      <c r="BI210">
        <v>32122293.300000001</v>
      </c>
      <c r="BJ210">
        <v>0</v>
      </c>
      <c r="BK210">
        <v>0</v>
      </c>
      <c r="BL210">
        <v>28999001.800000001</v>
      </c>
      <c r="BM210">
        <v>30052043.5</v>
      </c>
      <c r="BN210">
        <v>32122293.300000001</v>
      </c>
      <c r="BO210">
        <v>23.93</v>
      </c>
      <c r="BP210">
        <v>13.64</v>
      </c>
      <c r="BQ210">
        <v>0</v>
      </c>
      <c r="BR210">
        <v>37.57</v>
      </c>
      <c r="BS210">
        <v>25.46</v>
      </c>
      <c r="BT210">
        <v>14.85</v>
      </c>
      <c r="BU210">
        <v>0</v>
      </c>
      <c r="BV210">
        <v>40.31</v>
      </c>
      <c r="BW210">
        <v>109441200</v>
      </c>
      <c r="BX210">
        <v>69258536</v>
      </c>
      <c r="BY210">
        <v>9784525</v>
      </c>
      <c r="BZ210">
        <v>27139162</v>
      </c>
      <c r="CA210">
        <v>0</v>
      </c>
      <c r="CB210">
        <v>86.3</v>
      </c>
      <c r="CC210">
        <v>2138801.2000000002</v>
      </c>
      <c r="CD210">
        <v>0</v>
      </c>
      <c r="CE210">
        <v>2653.4</v>
      </c>
      <c r="CF210">
        <v>479252.3</v>
      </c>
      <c r="CG210">
        <v>0</v>
      </c>
      <c r="CH210">
        <v>34826.699999999997</v>
      </c>
      <c r="CI210">
        <v>0</v>
      </c>
      <c r="CJ210">
        <v>63011596</v>
      </c>
      <c r="CK210">
        <v>0</v>
      </c>
      <c r="CL210">
        <v>0</v>
      </c>
      <c r="CM210">
        <v>4845488</v>
      </c>
      <c r="CN210">
        <v>1401452.9</v>
      </c>
      <c r="CO210">
        <v>163659.6</v>
      </c>
      <c r="CP210">
        <v>439697.8</v>
      </c>
      <c r="CQ210">
        <v>0</v>
      </c>
      <c r="CR210">
        <v>417.6</v>
      </c>
      <c r="CS210">
        <v>0</v>
      </c>
      <c r="CT210">
        <v>9</v>
      </c>
      <c r="CU210">
        <v>7242.3</v>
      </c>
      <c r="CV210">
        <v>0</v>
      </c>
      <c r="CW210">
        <v>0</v>
      </c>
      <c r="CX210">
        <v>961.6</v>
      </c>
      <c r="CY210">
        <v>1607.9</v>
      </c>
      <c r="CZ210">
        <v>0</v>
      </c>
      <c r="DA210">
        <v>2881.2</v>
      </c>
      <c r="DB210">
        <v>0</v>
      </c>
      <c r="DC210">
        <v>300</v>
      </c>
      <c r="DD210">
        <v>1225</v>
      </c>
      <c r="DE210">
        <v>332.7</v>
      </c>
      <c r="DF210">
        <v>186</v>
      </c>
      <c r="DG210">
        <v>2029.7</v>
      </c>
      <c r="DH210">
        <v>0</v>
      </c>
      <c r="DI210">
        <v>16363.6</v>
      </c>
      <c r="DJ210">
        <v>0</v>
      </c>
      <c r="DK210">
        <v>1854.7</v>
      </c>
      <c r="DL210">
        <v>1860</v>
      </c>
      <c r="DM210">
        <v>0</v>
      </c>
      <c r="DN210">
        <v>0</v>
      </c>
      <c r="DO210">
        <v>0.05</v>
      </c>
      <c r="DP210">
        <v>0</v>
      </c>
      <c r="DQ210">
        <v>0</v>
      </c>
      <c r="DR210">
        <v>0</v>
      </c>
    </row>
    <row r="211" spans="1:122" x14ac:dyDescent="0.3">
      <c r="A211" t="s">
        <v>170</v>
      </c>
      <c r="B211">
        <v>2042</v>
      </c>
      <c r="C211">
        <v>95510899.299999997</v>
      </c>
      <c r="D211">
        <v>93019556.599999994</v>
      </c>
      <c r="E211">
        <v>89675475.799999997</v>
      </c>
      <c r="F211">
        <v>0</v>
      </c>
      <c r="G211">
        <v>927646.1</v>
      </c>
      <c r="H211">
        <v>18142471.199999999</v>
      </c>
      <c r="I211">
        <v>736015.3</v>
      </c>
      <c r="J211">
        <v>191630.8</v>
      </c>
      <c r="K211">
        <v>1563696.7</v>
      </c>
      <c r="L211">
        <v>3.5900000000000001E-2</v>
      </c>
      <c r="M211">
        <v>5.3900000000000003E-2</v>
      </c>
      <c r="N211">
        <v>0.14030000000000001</v>
      </c>
      <c r="O211">
        <v>77221.42</v>
      </c>
      <c r="P211">
        <v>23171.7</v>
      </c>
      <c r="Q211">
        <v>248.6</v>
      </c>
      <c r="R211">
        <v>27.9</v>
      </c>
      <c r="S211">
        <v>4.05</v>
      </c>
      <c r="T211">
        <v>9.1</v>
      </c>
      <c r="U211">
        <v>567.4</v>
      </c>
      <c r="V211">
        <v>0.14000000000000001</v>
      </c>
      <c r="W211">
        <v>250.4</v>
      </c>
      <c r="X211">
        <v>25</v>
      </c>
      <c r="Y211">
        <v>275.39999999999998</v>
      </c>
      <c r="Z211">
        <v>254.4</v>
      </c>
      <c r="AA211">
        <v>28.5</v>
      </c>
      <c r="AB211">
        <v>4.1399999999999997</v>
      </c>
      <c r="AC211">
        <v>9.5</v>
      </c>
      <c r="AD211">
        <v>582.70000000000005</v>
      </c>
      <c r="AE211">
        <v>0.15</v>
      </c>
      <c r="AF211">
        <v>256.3</v>
      </c>
      <c r="AG211">
        <v>25.8</v>
      </c>
      <c r="AH211">
        <v>282.10000000000002</v>
      </c>
      <c r="AI211">
        <v>175.1</v>
      </c>
      <c r="AJ211">
        <v>9.5</v>
      </c>
      <c r="AK211">
        <v>1.29</v>
      </c>
      <c r="AL211">
        <v>15.1</v>
      </c>
      <c r="AM211">
        <v>717.7</v>
      </c>
      <c r="AN211">
        <v>0.08</v>
      </c>
      <c r="AO211">
        <v>175.7</v>
      </c>
      <c r="AP211">
        <v>35.200000000000003</v>
      </c>
      <c r="AQ211">
        <v>210.9</v>
      </c>
      <c r="AR211">
        <v>661.5</v>
      </c>
      <c r="AS211">
        <v>58.7</v>
      </c>
      <c r="AT211">
        <v>8.41</v>
      </c>
      <c r="AU211">
        <v>36.700000000000003</v>
      </c>
      <c r="AV211">
        <v>1967.4</v>
      </c>
      <c r="AW211">
        <v>0.34</v>
      </c>
      <c r="AX211">
        <v>665.4</v>
      </c>
      <c r="AY211">
        <v>91.9</v>
      </c>
      <c r="AZ211">
        <v>757.3</v>
      </c>
      <c r="BA211">
        <v>28097219.5</v>
      </c>
      <c r="BB211">
        <v>3152.8</v>
      </c>
      <c r="BC211">
        <v>457.9</v>
      </c>
      <c r="BD211">
        <v>1025484.7</v>
      </c>
      <c r="BE211">
        <v>64091.8</v>
      </c>
      <c r="BF211">
        <v>15.8</v>
      </c>
      <c r="BG211">
        <v>28306831.399999999</v>
      </c>
      <c r="BH211">
        <v>2824247</v>
      </c>
      <c r="BI211">
        <v>31131078.399999999</v>
      </c>
      <c r="BJ211">
        <v>0</v>
      </c>
      <c r="BK211">
        <v>0</v>
      </c>
      <c r="BL211">
        <v>28097219.5</v>
      </c>
      <c r="BM211">
        <v>29122704.199999999</v>
      </c>
      <c r="BN211">
        <v>31131078.399999999</v>
      </c>
      <c r="BO211">
        <v>23.72</v>
      </c>
      <c r="BP211">
        <v>14.54</v>
      </c>
      <c r="BQ211">
        <v>0</v>
      </c>
      <c r="BR211">
        <v>38.25</v>
      </c>
      <c r="BS211">
        <v>25.25</v>
      </c>
      <c r="BT211">
        <v>15.88</v>
      </c>
      <c r="BU211">
        <v>0</v>
      </c>
      <c r="BV211">
        <v>41.13</v>
      </c>
      <c r="BW211">
        <v>114329496</v>
      </c>
      <c r="BX211">
        <v>74877090</v>
      </c>
      <c r="BY211">
        <v>9784525</v>
      </c>
      <c r="BZ211">
        <v>26218782</v>
      </c>
      <c r="CA211">
        <v>0</v>
      </c>
      <c r="CB211">
        <v>31.4</v>
      </c>
      <c r="CC211">
        <v>2154757</v>
      </c>
      <c r="CD211">
        <v>0</v>
      </c>
      <c r="CE211">
        <v>2196.4</v>
      </c>
      <c r="CF211">
        <v>474411.6</v>
      </c>
      <c r="CG211">
        <v>0</v>
      </c>
      <c r="CH211">
        <v>34850.199999999997</v>
      </c>
      <c r="CI211">
        <v>0</v>
      </c>
      <c r="CJ211">
        <v>68464370</v>
      </c>
      <c r="CK211">
        <v>0</v>
      </c>
      <c r="CL211">
        <v>0</v>
      </c>
      <c r="CM211">
        <v>4795378</v>
      </c>
      <c r="CN211">
        <v>1617335.2</v>
      </c>
      <c r="CO211">
        <v>155554.6</v>
      </c>
      <c r="CP211">
        <v>627300.69999999995</v>
      </c>
      <c r="CQ211">
        <v>0</v>
      </c>
      <c r="CR211">
        <v>600.4</v>
      </c>
      <c r="CS211">
        <v>0</v>
      </c>
      <c r="CT211">
        <v>9</v>
      </c>
      <c r="CU211">
        <v>7242.3</v>
      </c>
      <c r="CV211">
        <v>0</v>
      </c>
      <c r="CW211">
        <v>0</v>
      </c>
      <c r="CX211">
        <v>1109.5</v>
      </c>
      <c r="CY211">
        <v>1607.9</v>
      </c>
      <c r="CZ211">
        <v>0</v>
      </c>
      <c r="DA211">
        <v>2881.2</v>
      </c>
      <c r="DB211">
        <v>0</v>
      </c>
      <c r="DC211">
        <v>300</v>
      </c>
      <c r="DD211">
        <v>1225</v>
      </c>
      <c r="DE211">
        <v>332.7</v>
      </c>
      <c r="DF211">
        <v>186</v>
      </c>
      <c r="DG211">
        <v>2029.7</v>
      </c>
      <c r="DH211">
        <v>0</v>
      </c>
      <c r="DI211">
        <v>17356.7</v>
      </c>
      <c r="DJ211">
        <v>0</v>
      </c>
      <c r="DK211">
        <v>2757.4</v>
      </c>
      <c r="DL211">
        <v>1860</v>
      </c>
      <c r="DM211">
        <v>0</v>
      </c>
      <c r="DN211">
        <v>0</v>
      </c>
      <c r="DO211">
        <v>0.05</v>
      </c>
      <c r="DP211">
        <v>0</v>
      </c>
      <c r="DQ211">
        <v>0</v>
      </c>
      <c r="DR211">
        <v>0</v>
      </c>
    </row>
    <row r="212" spans="1:122" x14ac:dyDescent="0.3">
      <c r="A212" t="s">
        <v>170</v>
      </c>
      <c r="B212">
        <v>2044</v>
      </c>
      <c r="C212">
        <v>97274597.400000006</v>
      </c>
      <c r="D212">
        <v>94735145.599999994</v>
      </c>
      <c r="E212">
        <v>91329388.900000006</v>
      </c>
      <c r="F212">
        <v>0</v>
      </c>
      <c r="G212">
        <v>1000788</v>
      </c>
      <c r="H212">
        <v>19339713.699999999</v>
      </c>
      <c r="I212">
        <v>821157.4</v>
      </c>
      <c r="J212">
        <v>179630.6</v>
      </c>
      <c r="K212">
        <v>1538663.8</v>
      </c>
      <c r="L212">
        <v>3.5900000000000001E-2</v>
      </c>
      <c r="M212">
        <v>5.3900000000000003E-2</v>
      </c>
      <c r="N212">
        <v>0.14030000000000001</v>
      </c>
      <c r="O212">
        <v>82110.710000000006</v>
      </c>
      <c r="P212">
        <v>23600.5</v>
      </c>
      <c r="Q212">
        <v>225.5</v>
      </c>
      <c r="R212">
        <v>25.2</v>
      </c>
      <c r="S212">
        <v>3.66</v>
      </c>
      <c r="T212">
        <v>8.4</v>
      </c>
      <c r="U212">
        <v>517.20000000000005</v>
      </c>
      <c r="V212">
        <v>0.13</v>
      </c>
      <c r="W212">
        <v>227.2</v>
      </c>
      <c r="X212">
        <v>22.9</v>
      </c>
      <c r="Y212">
        <v>250.1</v>
      </c>
      <c r="Z212">
        <v>230.5</v>
      </c>
      <c r="AA212">
        <v>25.7</v>
      </c>
      <c r="AB212">
        <v>3.73</v>
      </c>
      <c r="AC212">
        <v>8.8000000000000007</v>
      </c>
      <c r="AD212">
        <v>531.20000000000005</v>
      </c>
      <c r="AE212">
        <v>0.14000000000000001</v>
      </c>
      <c r="AF212">
        <v>232.2</v>
      </c>
      <c r="AG212">
        <v>23.7</v>
      </c>
      <c r="AH212">
        <v>255.9</v>
      </c>
      <c r="AI212">
        <v>178.6</v>
      </c>
      <c r="AJ212">
        <v>11.2</v>
      </c>
      <c r="AK212">
        <v>1.54</v>
      </c>
      <c r="AL212">
        <v>14.1</v>
      </c>
      <c r="AM212">
        <v>686.1</v>
      </c>
      <c r="AN212">
        <v>0.08</v>
      </c>
      <c r="AO212">
        <v>179.3</v>
      </c>
      <c r="AP212">
        <v>33.299999999999997</v>
      </c>
      <c r="AQ212">
        <v>212.6</v>
      </c>
      <c r="AR212">
        <v>645</v>
      </c>
      <c r="AS212">
        <v>55.6</v>
      </c>
      <c r="AT212">
        <v>7.96</v>
      </c>
      <c r="AU212">
        <v>37.200000000000003</v>
      </c>
      <c r="AV212">
        <v>1969.5</v>
      </c>
      <c r="AW212">
        <v>0.33</v>
      </c>
      <c r="AX212">
        <v>648.70000000000005</v>
      </c>
      <c r="AY212">
        <v>92.4</v>
      </c>
      <c r="AZ212">
        <v>741.1</v>
      </c>
      <c r="BA212">
        <v>24878706.5</v>
      </c>
      <c r="BB212">
        <v>2783.9</v>
      </c>
      <c r="BC212">
        <v>404.2</v>
      </c>
      <c r="BD212">
        <v>924761.4</v>
      </c>
      <c r="BE212">
        <v>57019.3</v>
      </c>
      <c r="BF212">
        <v>14.2</v>
      </c>
      <c r="BG212">
        <v>25063773.899999999</v>
      </c>
      <c r="BH212">
        <v>2525070.2999999998</v>
      </c>
      <c r="BI212">
        <v>27588844.199999999</v>
      </c>
      <c r="BJ212">
        <v>0</v>
      </c>
      <c r="BK212">
        <v>0</v>
      </c>
      <c r="BL212">
        <v>24878706.5</v>
      </c>
      <c r="BM212">
        <v>25803467.899999999</v>
      </c>
      <c r="BN212">
        <v>27588844.199999999</v>
      </c>
      <c r="BO212">
        <v>23.99</v>
      </c>
      <c r="BP212">
        <v>15.69</v>
      </c>
      <c r="BQ212">
        <v>0</v>
      </c>
      <c r="BR212">
        <v>39.68</v>
      </c>
      <c r="BS212">
        <v>25.54</v>
      </c>
      <c r="BT212">
        <v>17.16</v>
      </c>
      <c r="BU212">
        <v>0</v>
      </c>
      <c r="BV212">
        <v>42.7</v>
      </c>
      <c r="BW212">
        <v>111631920</v>
      </c>
      <c r="BX212">
        <v>75395430</v>
      </c>
      <c r="BY212">
        <v>9784525</v>
      </c>
      <c r="BZ212">
        <v>22980550</v>
      </c>
      <c r="CA212">
        <v>0</v>
      </c>
      <c r="CB212">
        <v>132.30000000000001</v>
      </c>
      <c r="CC212">
        <v>2108774.5</v>
      </c>
      <c r="CD212">
        <v>0</v>
      </c>
      <c r="CE212">
        <v>2048.9</v>
      </c>
      <c r="CF212">
        <v>478687.8</v>
      </c>
      <c r="CG212">
        <v>0</v>
      </c>
      <c r="CH212">
        <v>34873.699999999997</v>
      </c>
      <c r="CI212">
        <v>0</v>
      </c>
      <c r="CJ212">
        <v>68761160</v>
      </c>
      <c r="CK212">
        <v>0</v>
      </c>
      <c r="CL212">
        <v>0</v>
      </c>
      <c r="CM212">
        <v>4770466</v>
      </c>
      <c r="CN212">
        <v>1863802</v>
      </c>
      <c r="CO212">
        <v>147707.29999999999</v>
      </c>
      <c r="CP212">
        <v>699199.3</v>
      </c>
      <c r="CQ212">
        <v>0</v>
      </c>
      <c r="CR212">
        <v>683</v>
      </c>
      <c r="CS212">
        <v>0</v>
      </c>
      <c r="CT212">
        <v>9</v>
      </c>
      <c r="CU212">
        <v>6541.9</v>
      </c>
      <c r="CV212">
        <v>0</v>
      </c>
      <c r="CW212">
        <v>0</v>
      </c>
      <c r="CX212">
        <v>1279.8</v>
      </c>
      <c r="CY212">
        <v>1607.9</v>
      </c>
      <c r="CZ212">
        <v>0</v>
      </c>
      <c r="DA212">
        <v>2881.2</v>
      </c>
      <c r="DB212">
        <v>0</v>
      </c>
      <c r="DC212">
        <v>300</v>
      </c>
      <c r="DD212">
        <v>1225</v>
      </c>
      <c r="DE212">
        <v>169.4</v>
      </c>
      <c r="DF212">
        <v>186</v>
      </c>
      <c r="DG212">
        <v>2034.8</v>
      </c>
      <c r="DH212">
        <v>0</v>
      </c>
      <c r="DI212">
        <v>17430.3</v>
      </c>
      <c r="DJ212">
        <v>0</v>
      </c>
      <c r="DK212">
        <v>3244.9</v>
      </c>
      <c r="DL212">
        <v>1860</v>
      </c>
      <c r="DM212">
        <v>0</v>
      </c>
      <c r="DN212">
        <v>0</v>
      </c>
      <c r="DO212">
        <v>0.05</v>
      </c>
      <c r="DP212">
        <v>0</v>
      </c>
      <c r="DQ212">
        <v>0</v>
      </c>
      <c r="DR212">
        <v>0</v>
      </c>
    </row>
    <row r="213" spans="1:122" x14ac:dyDescent="0.3">
      <c r="A213" t="s">
        <v>170</v>
      </c>
      <c r="B213">
        <v>2046</v>
      </c>
      <c r="C213">
        <v>99811184.400000006</v>
      </c>
      <c r="D213">
        <v>96411386.400000006</v>
      </c>
      <c r="E213">
        <v>92945368.400000006</v>
      </c>
      <c r="F213">
        <v>0</v>
      </c>
      <c r="G213">
        <v>1743597.6</v>
      </c>
      <c r="H213">
        <v>14503498.6</v>
      </c>
      <c r="I213">
        <v>1572359.5</v>
      </c>
      <c r="J213">
        <v>171238</v>
      </c>
      <c r="K213">
        <v>1656200.5</v>
      </c>
      <c r="L213">
        <v>3.5900000000000001E-2</v>
      </c>
      <c r="M213">
        <v>5.3900000000000003E-2</v>
      </c>
      <c r="N213">
        <v>0.14030000000000001</v>
      </c>
      <c r="O213">
        <v>84047.79</v>
      </c>
      <c r="P213">
        <v>24016.6</v>
      </c>
      <c r="Q213">
        <v>188.1</v>
      </c>
      <c r="R213">
        <v>21</v>
      </c>
      <c r="S213">
        <v>3.05</v>
      </c>
      <c r="T213">
        <v>7.1</v>
      </c>
      <c r="U213">
        <v>432.6</v>
      </c>
      <c r="V213">
        <v>0.11</v>
      </c>
      <c r="W213">
        <v>189.5</v>
      </c>
      <c r="X213">
        <v>19.3</v>
      </c>
      <c r="Y213">
        <v>208.8</v>
      </c>
      <c r="Z213">
        <v>197.4</v>
      </c>
      <c r="AA213">
        <v>22</v>
      </c>
      <c r="AB213">
        <v>3.19</v>
      </c>
      <c r="AC213">
        <v>7.7</v>
      </c>
      <c r="AD213">
        <v>457.3</v>
      </c>
      <c r="AE213">
        <v>0.12</v>
      </c>
      <c r="AF213">
        <v>198.9</v>
      </c>
      <c r="AG213">
        <v>20.5</v>
      </c>
      <c r="AH213">
        <v>219.4</v>
      </c>
      <c r="AI213">
        <v>194.7</v>
      </c>
      <c r="AJ213">
        <v>13.4</v>
      </c>
      <c r="AK213">
        <v>1.87</v>
      </c>
      <c r="AL213">
        <v>14.2</v>
      </c>
      <c r="AM213">
        <v>709.6</v>
      </c>
      <c r="AN213">
        <v>0.09</v>
      </c>
      <c r="AO213">
        <v>195.6</v>
      </c>
      <c r="AP213">
        <v>34.1</v>
      </c>
      <c r="AQ213">
        <v>229.7</v>
      </c>
      <c r="AR213">
        <v>595</v>
      </c>
      <c r="AS213">
        <v>49.8</v>
      </c>
      <c r="AT213">
        <v>7.1</v>
      </c>
      <c r="AU213">
        <v>35.6</v>
      </c>
      <c r="AV213">
        <v>1871.9</v>
      </c>
      <c r="AW213">
        <v>0.3</v>
      </c>
      <c r="AX213">
        <v>598.29999999999995</v>
      </c>
      <c r="AY213">
        <v>88</v>
      </c>
      <c r="AZ213">
        <v>686.3</v>
      </c>
      <c r="BA213">
        <v>21451307.600000001</v>
      </c>
      <c r="BB213">
        <v>2397.6999999999998</v>
      </c>
      <c r="BC213">
        <v>348.1</v>
      </c>
      <c r="BD213">
        <v>811494.5</v>
      </c>
      <c r="BE213">
        <v>49279.199999999997</v>
      </c>
      <c r="BF213">
        <v>12.5</v>
      </c>
      <c r="BG213">
        <v>21610691.600000001</v>
      </c>
      <c r="BH213">
        <v>2194631.7000000002</v>
      </c>
      <c r="BI213">
        <v>23805323.300000001</v>
      </c>
      <c r="BJ213">
        <v>0</v>
      </c>
      <c r="BK213">
        <v>0</v>
      </c>
      <c r="BL213">
        <v>21451307.600000001</v>
      </c>
      <c r="BM213">
        <v>22262802.100000001</v>
      </c>
      <c r="BN213">
        <v>23805323.300000001</v>
      </c>
      <c r="BO213">
        <v>22.86</v>
      </c>
      <c r="BP213">
        <v>15.04</v>
      </c>
      <c r="BQ213">
        <v>0</v>
      </c>
      <c r="BR213">
        <v>37.89</v>
      </c>
      <c r="BS213">
        <v>24.42</v>
      </c>
      <c r="BT213">
        <v>16.52</v>
      </c>
      <c r="BU213">
        <v>0</v>
      </c>
      <c r="BV213">
        <v>40.94</v>
      </c>
      <c r="BW213">
        <v>115439060</v>
      </c>
      <c r="BX213">
        <v>81907890</v>
      </c>
      <c r="BY213">
        <v>9784525</v>
      </c>
      <c r="BZ213">
        <v>19867194</v>
      </c>
      <c r="CA213">
        <v>0</v>
      </c>
      <c r="CB213">
        <v>181.7</v>
      </c>
      <c r="CC213">
        <v>1898973.8</v>
      </c>
      <c r="CD213">
        <v>0</v>
      </c>
      <c r="CE213">
        <v>1889.2</v>
      </c>
      <c r="CF213">
        <v>460636</v>
      </c>
      <c r="CG213">
        <v>0</v>
      </c>
      <c r="CH213">
        <v>33425.4</v>
      </c>
      <c r="CI213">
        <v>0</v>
      </c>
      <c r="CJ213">
        <v>74748850</v>
      </c>
      <c r="CK213">
        <v>0</v>
      </c>
      <c r="CL213">
        <v>0</v>
      </c>
      <c r="CM213">
        <v>5060484.5</v>
      </c>
      <c r="CN213">
        <v>2098552.5</v>
      </c>
      <c r="CO213">
        <v>140139.5</v>
      </c>
      <c r="CP213">
        <v>1344202.1</v>
      </c>
      <c r="CQ213">
        <v>0</v>
      </c>
      <c r="CR213">
        <v>1335.3</v>
      </c>
      <c r="CS213">
        <v>0</v>
      </c>
      <c r="CT213">
        <v>9</v>
      </c>
      <c r="CU213">
        <v>5879.9</v>
      </c>
      <c r="CV213">
        <v>0</v>
      </c>
      <c r="CW213">
        <v>0</v>
      </c>
      <c r="CX213">
        <v>1459.3</v>
      </c>
      <c r="CY213">
        <v>1607.9</v>
      </c>
      <c r="CZ213">
        <v>0</v>
      </c>
      <c r="DA213">
        <v>2825.5</v>
      </c>
      <c r="DB213">
        <v>0</v>
      </c>
      <c r="DC213">
        <v>300</v>
      </c>
      <c r="DD213">
        <v>1225</v>
      </c>
      <c r="DE213">
        <v>169.4</v>
      </c>
      <c r="DF213">
        <v>186</v>
      </c>
      <c r="DG213">
        <v>2217.6</v>
      </c>
      <c r="DH213">
        <v>0</v>
      </c>
      <c r="DI213">
        <v>18716.5</v>
      </c>
      <c r="DJ213">
        <v>0</v>
      </c>
      <c r="DK213">
        <v>7469.2</v>
      </c>
      <c r="DL213">
        <v>1860</v>
      </c>
      <c r="DM213">
        <v>0</v>
      </c>
      <c r="DN213">
        <v>0</v>
      </c>
      <c r="DO213">
        <v>0.05</v>
      </c>
      <c r="DP213">
        <v>0</v>
      </c>
      <c r="DQ213">
        <v>0</v>
      </c>
      <c r="DR213">
        <v>0</v>
      </c>
    </row>
    <row r="214" spans="1:122" x14ac:dyDescent="0.3">
      <c r="A214" t="s">
        <v>170</v>
      </c>
      <c r="B214">
        <v>2048</v>
      </c>
      <c r="C214">
        <v>101928427.7</v>
      </c>
      <c r="D214">
        <v>98182063.200000003</v>
      </c>
      <c r="E214">
        <v>94652388.799999997</v>
      </c>
      <c r="F214">
        <v>0</v>
      </c>
      <c r="G214">
        <v>2049338.4</v>
      </c>
      <c r="H214">
        <v>17558739.199999999</v>
      </c>
      <c r="I214">
        <v>1879642.2</v>
      </c>
      <c r="J214">
        <v>169696.2</v>
      </c>
      <c r="K214">
        <v>1697026</v>
      </c>
      <c r="L214">
        <v>3.5900000000000001E-2</v>
      </c>
      <c r="M214">
        <v>5.3900000000000003E-2</v>
      </c>
      <c r="N214">
        <v>0.14030000000000001</v>
      </c>
      <c r="O214">
        <v>85207.86</v>
      </c>
      <c r="P214">
        <v>24458.5</v>
      </c>
      <c r="Q214">
        <v>178.3</v>
      </c>
      <c r="R214">
        <v>19.7</v>
      </c>
      <c r="S214">
        <v>2.86</v>
      </c>
      <c r="T214">
        <v>7</v>
      </c>
      <c r="U214">
        <v>416.1</v>
      </c>
      <c r="V214">
        <v>0.11</v>
      </c>
      <c r="W214">
        <v>179.6</v>
      </c>
      <c r="X214">
        <v>18.7</v>
      </c>
      <c r="Y214">
        <v>198.2</v>
      </c>
      <c r="Z214">
        <v>186.3</v>
      </c>
      <c r="AA214">
        <v>20.5</v>
      </c>
      <c r="AB214">
        <v>2.97</v>
      </c>
      <c r="AC214">
        <v>7.5</v>
      </c>
      <c r="AD214">
        <v>438.9</v>
      </c>
      <c r="AE214">
        <v>0.11</v>
      </c>
      <c r="AF214">
        <v>187.7</v>
      </c>
      <c r="AG214">
        <v>19.899999999999999</v>
      </c>
      <c r="AH214">
        <v>207.5</v>
      </c>
      <c r="AI214">
        <v>173.2</v>
      </c>
      <c r="AJ214">
        <v>12.2</v>
      </c>
      <c r="AK214">
        <v>1.7</v>
      </c>
      <c r="AL214">
        <v>12.4</v>
      </c>
      <c r="AM214">
        <v>622.79999999999995</v>
      </c>
      <c r="AN214">
        <v>0.08</v>
      </c>
      <c r="AO214">
        <v>174</v>
      </c>
      <c r="AP214">
        <v>29.8</v>
      </c>
      <c r="AQ214">
        <v>203.9</v>
      </c>
      <c r="AR214">
        <v>590.6</v>
      </c>
      <c r="AS214">
        <v>47.3</v>
      </c>
      <c r="AT214">
        <v>6.7</v>
      </c>
      <c r="AU214">
        <v>37.200000000000003</v>
      </c>
      <c r="AV214">
        <v>1932.4</v>
      </c>
      <c r="AW214">
        <v>0.28999999999999998</v>
      </c>
      <c r="AX214">
        <v>593.70000000000005</v>
      </c>
      <c r="AY214">
        <v>91.4</v>
      </c>
      <c r="AZ214">
        <v>685</v>
      </c>
      <c r="BA214">
        <v>19965332.5</v>
      </c>
      <c r="BB214">
        <v>2210.1</v>
      </c>
      <c r="BC214">
        <v>320.7</v>
      </c>
      <c r="BD214">
        <v>780674.5</v>
      </c>
      <c r="BE214">
        <v>46562.3</v>
      </c>
      <c r="BF214">
        <v>11.8</v>
      </c>
      <c r="BG214">
        <v>20112191.399999999</v>
      </c>
      <c r="BH214">
        <v>2087539.7</v>
      </c>
      <c r="BI214">
        <v>22199731.100000001</v>
      </c>
      <c r="BJ214">
        <v>0</v>
      </c>
      <c r="BK214">
        <v>0</v>
      </c>
      <c r="BL214">
        <v>19965332.5</v>
      </c>
      <c r="BM214">
        <v>20746007</v>
      </c>
      <c r="BN214">
        <v>22199731.100000001</v>
      </c>
      <c r="BO214">
        <v>23.95</v>
      </c>
      <c r="BP214">
        <v>15.23</v>
      </c>
      <c r="BQ214">
        <v>0</v>
      </c>
      <c r="BR214">
        <v>39.18</v>
      </c>
      <c r="BS214">
        <v>25.6</v>
      </c>
      <c r="BT214">
        <v>16.78</v>
      </c>
      <c r="BU214">
        <v>0</v>
      </c>
      <c r="BV214">
        <v>42.38</v>
      </c>
      <c r="BW214">
        <v>113264296</v>
      </c>
      <c r="BX214">
        <v>80623330</v>
      </c>
      <c r="BY214">
        <v>9784525</v>
      </c>
      <c r="BZ214">
        <v>18313986</v>
      </c>
      <c r="CA214">
        <v>0</v>
      </c>
      <c r="CB214">
        <v>39.200000000000003</v>
      </c>
      <c r="CC214">
        <v>2300654.5</v>
      </c>
      <c r="CD214">
        <v>0</v>
      </c>
      <c r="CE214">
        <v>1096.5999999999999</v>
      </c>
      <c r="CF214">
        <v>467823.7</v>
      </c>
      <c r="CG214">
        <v>0</v>
      </c>
      <c r="CH214">
        <v>33669.9</v>
      </c>
      <c r="CI214">
        <v>0</v>
      </c>
      <c r="CJ214">
        <v>73203040</v>
      </c>
      <c r="CK214">
        <v>0</v>
      </c>
      <c r="CL214">
        <v>0</v>
      </c>
      <c r="CM214">
        <v>5070917.5</v>
      </c>
      <c r="CN214">
        <v>2349367.5</v>
      </c>
      <c r="CO214">
        <v>138246.9</v>
      </c>
      <c r="CP214">
        <v>1600931.9</v>
      </c>
      <c r="CQ214">
        <v>0</v>
      </c>
      <c r="CR214">
        <v>1543.5</v>
      </c>
      <c r="CS214">
        <v>0</v>
      </c>
      <c r="CT214">
        <v>9</v>
      </c>
      <c r="CU214">
        <v>4902.7</v>
      </c>
      <c r="CV214">
        <v>0</v>
      </c>
      <c r="CW214">
        <v>0</v>
      </c>
      <c r="CX214">
        <v>1626.9</v>
      </c>
      <c r="CY214">
        <v>1607.9</v>
      </c>
      <c r="CZ214">
        <v>0</v>
      </c>
      <c r="DA214">
        <v>2812.7</v>
      </c>
      <c r="DB214">
        <v>0</v>
      </c>
      <c r="DC214">
        <v>300</v>
      </c>
      <c r="DD214">
        <v>1225</v>
      </c>
      <c r="DE214">
        <v>169.4</v>
      </c>
      <c r="DF214">
        <v>186</v>
      </c>
      <c r="DG214">
        <v>2225.4</v>
      </c>
      <c r="DH214">
        <v>0</v>
      </c>
      <c r="DI214">
        <v>17969.599999999999</v>
      </c>
      <c r="DJ214">
        <v>0</v>
      </c>
      <c r="DK214">
        <v>8377.2999999999993</v>
      </c>
      <c r="DL214">
        <v>1860</v>
      </c>
      <c r="DM214">
        <v>0</v>
      </c>
      <c r="DN214">
        <v>0</v>
      </c>
      <c r="DO214">
        <v>0.05</v>
      </c>
      <c r="DP214">
        <v>0</v>
      </c>
      <c r="DQ214">
        <v>0</v>
      </c>
      <c r="DR214">
        <v>0</v>
      </c>
    </row>
    <row r="215" spans="1:122" x14ac:dyDescent="0.3">
      <c r="A215" t="s">
        <v>170</v>
      </c>
      <c r="B215">
        <v>2050</v>
      </c>
      <c r="C215">
        <v>104123429.40000001</v>
      </c>
      <c r="D215">
        <v>100243918.09999999</v>
      </c>
      <c r="E215">
        <v>96640119.400000006</v>
      </c>
      <c r="F215">
        <v>0</v>
      </c>
      <c r="G215">
        <v>2013283.2</v>
      </c>
      <c r="H215">
        <v>4526472.5999999996</v>
      </c>
      <c r="I215">
        <v>1842943.4</v>
      </c>
      <c r="J215">
        <v>170339.8</v>
      </c>
      <c r="K215">
        <v>1866228.1</v>
      </c>
      <c r="L215">
        <v>3.5900000000000001E-2</v>
      </c>
      <c r="M215">
        <v>5.3900000000000003E-2</v>
      </c>
      <c r="N215">
        <v>0.14030000000000001</v>
      </c>
      <c r="O215">
        <v>85245.25</v>
      </c>
      <c r="P215">
        <v>24970.9</v>
      </c>
      <c r="Q215">
        <v>144.6</v>
      </c>
      <c r="R215">
        <v>16</v>
      </c>
      <c r="S215">
        <v>2.3199999999999998</v>
      </c>
      <c r="T215">
        <v>5.7</v>
      </c>
      <c r="U215">
        <v>337.1</v>
      </c>
      <c r="V215">
        <v>0.09</v>
      </c>
      <c r="W215">
        <v>145.69999999999999</v>
      </c>
      <c r="X215">
        <v>15.2</v>
      </c>
      <c r="Y215">
        <v>160.80000000000001</v>
      </c>
      <c r="Z215">
        <v>161.5</v>
      </c>
      <c r="AA215">
        <v>17.7</v>
      </c>
      <c r="AB215">
        <v>2.57</v>
      </c>
      <c r="AC215">
        <v>6.6</v>
      </c>
      <c r="AD215">
        <v>381.6</v>
      </c>
      <c r="AE215">
        <v>0.1</v>
      </c>
      <c r="AF215">
        <v>162.6</v>
      </c>
      <c r="AG215">
        <v>17.3</v>
      </c>
      <c r="AH215">
        <v>180</v>
      </c>
      <c r="AI215">
        <v>151.5</v>
      </c>
      <c r="AJ215">
        <v>10.199999999999999</v>
      </c>
      <c r="AK215">
        <v>1.42</v>
      </c>
      <c r="AL215">
        <v>11.2</v>
      </c>
      <c r="AM215">
        <v>559.20000000000005</v>
      </c>
      <c r="AN215">
        <v>7.0000000000000007E-2</v>
      </c>
      <c r="AO215">
        <v>152.1</v>
      </c>
      <c r="AP215">
        <v>26.9</v>
      </c>
      <c r="AQ215">
        <v>179.1</v>
      </c>
      <c r="AR215">
        <v>550.5</v>
      </c>
      <c r="AS215">
        <v>43.3</v>
      </c>
      <c r="AT215">
        <v>6.13</v>
      </c>
      <c r="AU215">
        <v>35.299999999999997</v>
      </c>
      <c r="AV215">
        <v>1826.3</v>
      </c>
      <c r="AW215">
        <v>0.27</v>
      </c>
      <c r="AX215">
        <v>553.29999999999995</v>
      </c>
      <c r="AY215">
        <v>86.6</v>
      </c>
      <c r="AZ215">
        <v>639.9</v>
      </c>
      <c r="BA215">
        <v>18034336.199999999</v>
      </c>
      <c r="BB215">
        <v>1998.8</v>
      </c>
      <c r="BC215">
        <v>290</v>
      </c>
      <c r="BD215">
        <v>711092.6</v>
      </c>
      <c r="BE215">
        <v>42000.9</v>
      </c>
      <c r="BF215">
        <v>10.8</v>
      </c>
      <c r="BG215">
        <v>18167162</v>
      </c>
      <c r="BH215">
        <v>1889986.4</v>
      </c>
      <c r="BI215">
        <v>20057148.300000001</v>
      </c>
      <c r="BJ215">
        <v>0</v>
      </c>
      <c r="BK215">
        <v>0</v>
      </c>
      <c r="BL215">
        <v>18034336.199999999</v>
      </c>
      <c r="BM215">
        <v>18745428.800000001</v>
      </c>
      <c r="BN215">
        <v>20057148.300000001</v>
      </c>
      <c r="BO215">
        <v>22.72</v>
      </c>
      <c r="BP215">
        <v>15.47</v>
      </c>
      <c r="BQ215">
        <v>0</v>
      </c>
      <c r="BR215">
        <v>38.19</v>
      </c>
      <c r="BS215">
        <v>24.31</v>
      </c>
      <c r="BT215">
        <v>17.05</v>
      </c>
      <c r="BU215">
        <v>0</v>
      </c>
      <c r="BV215">
        <v>41.36</v>
      </c>
      <c r="BW215">
        <v>126284180</v>
      </c>
      <c r="BX215">
        <v>95717450</v>
      </c>
      <c r="BY215">
        <v>9784525</v>
      </c>
      <c r="BZ215">
        <v>16560645</v>
      </c>
      <c r="CA215">
        <v>0</v>
      </c>
      <c r="CB215">
        <v>23.5</v>
      </c>
      <c r="CC215">
        <v>2025787.2</v>
      </c>
      <c r="CD215">
        <v>0</v>
      </c>
      <c r="CE215">
        <v>860.9</v>
      </c>
      <c r="CF215">
        <v>447149.8</v>
      </c>
      <c r="CG215">
        <v>0</v>
      </c>
      <c r="CH215">
        <v>31906.5</v>
      </c>
      <c r="CI215">
        <v>0</v>
      </c>
      <c r="CJ215">
        <v>88305110</v>
      </c>
      <c r="CK215">
        <v>0</v>
      </c>
      <c r="CL215">
        <v>0</v>
      </c>
      <c r="CM215">
        <v>4851075.5</v>
      </c>
      <c r="CN215">
        <v>2561255</v>
      </c>
      <c r="CO215">
        <v>137947.79999999999</v>
      </c>
      <c r="CP215">
        <v>1577875.5</v>
      </c>
      <c r="CQ215">
        <v>0</v>
      </c>
      <c r="CR215">
        <v>1543.1</v>
      </c>
      <c r="CS215">
        <v>0</v>
      </c>
      <c r="CT215">
        <v>9</v>
      </c>
      <c r="CU215">
        <v>4902.7</v>
      </c>
      <c r="CV215">
        <v>0</v>
      </c>
      <c r="CW215">
        <v>0</v>
      </c>
      <c r="CX215">
        <v>1792.9</v>
      </c>
      <c r="CY215">
        <v>1607.9</v>
      </c>
      <c r="CZ215">
        <v>0</v>
      </c>
      <c r="DA215">
        <v>2758.8</v>
      </c>
      <c r="DB215">
        <v>0</v>
      </c>
      <c r="DC215">
        <v>300</v>
      </c>
      <c r="DD215">
        <v>1225</v>
      </c>
      <c r="DE215">
        <v>125.4</v>
      </c>
      <c r="DF215">
        <v>186</v>
      </c>
      <c r="DG215">
        <v>2198.9</v>
      </c>
      <c r="DH215">
        <v>0</v>
      </c>
      <c r="DI215">
        <v>21469.4</v>
      </c>
      <c r="DJ215">
        <v>0</v>
      </c>
      <c r="DK215">
        <v>8372.5</v>
      </c>
      <c r="DL215">
        <v>1860</v>
      </c>
      <c r="DM215">
        <v>0</v>
      </c>
      <c r="DN215">
        <v>0</v>
      </c>
      <c r="DO215">
        <v>0.05</v>
      </c>
      <c r="DP215">
        <v>0</v>
      </c>
      <c r="DQ215">
        <v>0</v>
      </c>
      <c r="DR215">
        <v>0</v>
      </c>
    </row>
    <row r="216" spans="1:122" x14ac:dyDescent="0.3">
      <c r="A216" t="s">
        <v>171</v>
      </c>
      <c r="B216">
        <v>2022</v>
      </c>
      <c r="C216">
        <v>132893094.40000001</v>
      </c>
      <c r="D216">
        <v>130448426.7</v>
      </c>
      <c r="E216">
        <v>125758574</v>
      </c>
      <c r="F216">
        <v>0</v>
      </c>
      <c r="G216">
        <v>457354.3</v>
      </c>
      <c r="H216">
        <v>47088260</v>
      </c>
      <c r="I216">
        <v>15972.3</v>
      </c>
      <c r="J216">
        <v>441382</v>
      </c>
      <c r="K216">
        <v>1987313.3</v>
      </c>
      <c r="L216">
        <v>3.5900000000000001E-2</v>
      </c>
      <c r="M216">
        <v>5.3999999999999999E-2</v>
      </c>
      <c r="N216">
        <v>0.13600000000000001</v>
      </c>
      <c r="O216">
        <v>35818.22</v>
      </c>
      <c r="P216">
        <v>30398.2</v>
      </c>
      <c r="Q216">
        <v>302.89999999999998</v>
      </c>
      <c r="R216">
        <v>26.5</v>
      </c>
      <c r="S216">
        <v>3.8</v>
      </c>
      <c r="T216">
        <v>17.3</v>
      </c>
      <c r="U216">
        <v>902.1</v>
      </c>
      <c r="V216">
        <v>0.16</v>
      </c>
      <c r="W216">
        <v>304.7</v>
      </c>
      <c r="X216">
        <v>42.6</v>
      </c>
      <c r="Y216">
        <v>347.3</v>
      </c>
      <c r="Z216">
        <v>314.3</v>
      </c>
      <c r="AA216">
        <v>27.3</v>
      </c>
      <c r="AB216">
        <v>3.92</v>
      </c>
      <c r="AC216">
        <v>18.2</v>
      </c>
      <c r="AD216">
        <v>943.3</v>
      </c>
      <c r="AE216">
        <v>0.17</v>
      </c>
      <c r="AF216">
        <v>316.10000000000002</v>
      </c>
      <c r="AG216">
        <v>44.7</v>
      </c>
      <c r="AH216">
        <v>360.8</v>
      </c>
      <c r="AI216">
        <v>496.6</v>
      </c>
      <c r="AJ216">
        <v>26.4</v>
      </c>
      <c r="AK216">
        <v>3.71</v>
      </c>
      <c r="AL216">
        <v>44.8</v>
      </c>
      <c r="AM216">
        <v>1934.3</v>
      </c>
      <c r="AN216">
        <v>0.31</v>
      </c>
      <c r="AO216">
        <v>498.3</v>
      </c>
      <c r="AP216">
        <v>99.1</v>
      </c>
      <c r="AQ216">
        <v>597.4</v>
      </c>
      <c r="AR216">
        <v>661.3</v>
      </c>
      <c r="AS216">
        <v>52</v>
      </c>
      <c r="AT216">
        <v>7.54</v>
      </c>
      <c r="AU216">
        <v>44.4</v>
      </c>
      <c r="AV216">
        <v>2043.9</v>
      </c>
      <c r="AW216">
        <v>0.43</v>
      </c>
      <c r="AX216">
        <v>664.8</v>
      </c>
      <c r="AY216">
        <v>101.7</v>
      </c>
      <c r="AZ216">
        <v>766.5</v>
      </c>
      <c r="BA216">
        <v>42988507.399999999</v>
      </c>
      <c r="BB216">
        <v>3758.2</v>
      </c>
      <c r="BC216">
        <v>540</v>
      </c>
      <c r="BD216">
        <v>2451668.4</v>
      </c>
      <c r="BE216">
        <v>127934.2</v>
      </c>
      <c r="BF216">
        <v>23.1</v>
      </c>
      <c r="BG216">
        <v>43236851.299999997</v>
      </c>
      <c r="BH216">
        <v>6039937</v>
      </c>
      <c r="BI216">
        <v>49276788.399999999</v>
      </c>
      <c r="BJ216">
        <v>0</v>
      </c>
      <c r="BK216">
        <v>0</v>
      </c>
      <c r="BL216">
        <v>42988507.399999999</v>
      </c>
      <c r="BM216">
        <v>45440175.799999997</v>
      </c>
      <c r="BN216">
        <v>49276788.399999999</v>
      </c>
      <c r="BO216">
        <v>29.87</v>
      </c>
      <c r="BP216">
        <v>7.76</v>
      </c>
      <c r="BQ216">
        <v>0</v>
      </c>
      <c r="BR216">
        <v>37.630000000000003</v>
      </c>
      <c r="BS216">
        <v>31.8</v>
      </c>
      <c r="BT216">
        <v>8.5</v>
      </c>
      <c r="BU216">
        <v>0</v>
      </c>
      <c r="BV216">
        <v>40.299999999999997</v>
      </c>
      <c r="BW216">
        <v>142799940</v>
      </c>
      <c r="BX216">
        <v>83360170</v>
      </c>
      <c r="BY216">
        <v>0</v>
      </c>
      <c r="BZ216">
        <v>27708588</v>
      </c>
      <c r="CA216">
        <v>0</v>
      </c>
      <c r="CB216">
        <v>1362325.4</v>
      </c>
      <c r="CC216">
        <v>24925030</v>
      </c>
      <c r="CD216">
        <v>0</v>
      </c>
      <c r="CE216">
        <v>1683569.8</v>
      </c>
      <c r="CF216">
        <v>3392639.2</v>
      </c>
      <c r="CG216">
        <v>0</v>
      </c>
      <c r="CH216">
        <v>0</v>
      </c>
      <c r="CI216">
        <v>0</v>
      </c>
      <c r="CJ216">
        <v>81884450</v>
      </c>
      <c r="CK216">
        <v>0</v>
      </c>
      <c r="CL216">
        <v>0</v>
      </c>
      <c r="CM216">
        <v>1238633</v>
      </c>
      <c r="CN216">
        <v>237087.2</v>
      </c>
      <c r="CO216">
        <v>354085.2</v>
      </c>
      <c r="CP216">
        <v>13537.7</v>
      </c>
      <c r="CQ216">
        <v>0</v>
      </c>
      <c r="CR216">
        <v>20.8</v>
      </c>
      <c r="CS216">
        <v>0</v>
      </c>
      <c r="CT216">
        <v>0</v>
      </c>
      <c r="CU216">
        <v>7668.2</v>
      </c>
      <c r="CV216">
        <v>0</v>
      </c>
      <c r="CW216">
        <v>0</v>
      </c>
      <c r="CX216">
        <v>150.30000000000001</v>
      </c>
      <c r="CY216">
        <v>9507.7000000000007</v>
      </c>
      <c r="CZ216">
        <v>0</v>
      </c>
      <c r="DA216">
        <v>4375.2</v>
      </c>
      <c r="DB216">
        <v>0</v>
      </c>
      <c r="DC216">
        <v>1647</v>
      </c>
      <c r="DD216">
        <v>0</v>
      </c>
      <c r="DE216">
        <v>8335</v>
      </c>
      <c r="DF216">
        <v>258</v>
      </c>
      <c r="DG216">
        <v>491.4</v>
      </c>
      <c r="DH216">
        <v>0</v>
      </c>
      <c r="DI216">
        <v>22368.5</v>
      </c>
      <c r="DJ216">
        <v>0</v>
      </c>
      <c r="DK216">
        <v>41.5</v>
      </c>
      <c r="DL216">
        <v>2580</v>
      </c>
      <c r="DM216">
        <v>0</v>
      </c>
      <c r="DN216">
        <v>0</v>
      </c>
      <c r="DO216">
        <v>0.02</v>
      </c>
      <c r="DP216">
        <v>0</v>
      </c>
      <c r="DQ216">
        <v>0</v>
      </c>
      <c r="DR216">
        <v>0</v>
      </c>
    </row>
    <row r="217" spans="1:122" x14ac:dyDescent="0.3">
      <c r="A217" t="s">
        <v>171</v>
      </c>
      <c r="B217">
        <v>2024</v>
      </c>
      <c r="C217">
        <v>136985528.5</v>
      </c>
      <c r="D217">
        <v>134467594.09999999</v>
      </c>
      <c r="E217">
        <v>129633245.2</v>
      </c>
      <c r="F217">
        <v>0</v>
      </c>
      <c r="G217">
        <v>497891.8</v>
      </c>
      <c r="H217">
        <v>44846269.5</v>
      </c>
      <c r="I217">
        <v>17143.5</v>
      </c>
      <c r="J217">
        <v>480748.2</v>
      </c>
      <c r="K217">
        <v>2020042.7</v>
      </c>
      <c r="L217">
        <v>3.5900000000000001E-2</v>
      </c>
      <c r="M217">
        <v>5.3999999999999999E-2</v>
      </c>
      <c r="N217">
        <v>0.13600000000000001</v>
      </c>
      <c r="O217">
        <v>35818.22</v>
      </c>
      <c r="P217">
        <v>31334.2</v>
      </c>
      <c r="Q217">
        <v>271.39999999999998</v>
      </c>
      <c r="R217">
        <v>21.3</v>
      </c>
      <c r="S217">
        <v>3.06</v>
      </c>
      <c r="T217">
        <v>17.899999999999999</v>
      </c>
      <c r="U217">
        <v>864.1</v>
      </c>
      <c r="V217">
        <v>0.16</v>
      </c>
      <c r="W217">
        <v>272.8</v>
      </c>
      <c r="X217">
        <v>42.1</v>
      </c>
      <c r="Y217">
        <v>314.89999999999998</v>
      </c>
      <c r="Z217">
        <v>278.7</v>
      </c>
      <c r="AA217">
        <v>21.5</v>
      </c>
      <c r="AB217">
        <v>3.08</v>
      </c>
      <c r="AC217">
        <v>18.8</v>
      </c>
      <c r="AD217">
        <v>903.4</v>
      </c>
      <c r="AE217">
        <v>0.16</v>
      </c>
      <c r="AF217">
        <v>280.10000000000002</v>
      </c>
      <c r="AG217">
        <v>44.2</v>
      </c>
      <c r="AH217">
        <v>324.3</v>
      </c>
      <c r="AI217">
        <v>402.9</v>
      </c>
      <c r="AJ217">
        <v>20.5</v>
      </c>
      <c r="AK217">
        <v>2.87</v>
      </c>
      <c r="AL217">
        <v>37.299999999999997</v>
      </c>
      <c r="AM217">
        <v>1594.1</v>
      </c>
      <c r="AN217">
        <v>0.26</v>
      </c>
      <c r="AO217">
        <v>404.2</v>
      </c>
      <c r="AP217">
        <v>82</v>
      </c>
      <c r="AQ217">
        <v>486.2</v>
      </c>
      <c r="AR217">
        <v>621.5</v>
      </c>
      <c r="AS217">
        <v>46.8</v>
      </c>
      <c r="AT217">
        <v>6.8</v>
      </c>
      <c r="AU217">
        <v>44</v>
      </c>
      <c r="AV217">
        <v>1951.2</v>
      </c>
      <c r="AW217">
        <v>0.42</v>
      </c>
      <c r="AX217">
        <v>624.6</v>
      </c>
      <c r="AY217">
        <v>98.8</v>
      </c>
      <c r="AZ217">
        <v>723.3</v>
      </c>
      <c r="BA217">
        <v>40217609.799999997</v>
      </c>
      <c r="BB217">
        <v>3163.7</v>
      </c>
      <c r="BC217">
        <v>454.1</v>
      </c>
      <c r="BD217">
        <v>2650893.2000000002</v>
      </c>
      <c r="BE217">
        <v>127954.6</v>
      </c>
      <c r="BF217">
        <v>23.4</v>
      </c>
      <c r="BG217">
        <v>40426535.700000003</v>
      </c>
      <c r="BH217">
        <v>6239821.7999999998</v>
      </c>
      <c r="BI217">
        <v>46666357.5</v>
      </c>
      <c r="BJ217">
        <v>0</v>
      </c>
      <c r="BK217">
        <v>0</v>
      </c>
      <c r="BL217">
        <v>40217609.799999997</v>
      </c>
      <c r="BM217">
        <v>42868503.100000001</v>
      </c>
      <c r="BN217">
        <v>46666357.5</v>
      </c>
      <c r="BO217">
        <v>25.72</v>
      </c>
      <c r="BP217">
        <v>7.75</v>
      </c>
      <c r="BQ217">
        <v>0</v>
      </c>
      <c r="BR217">
        <v>33.46</v>
      </c>
      <c r="BS217">
        <v>27.39</v>
      </c>
      <c r="BT217">
        <v>8.49</v>
      </c>
      <c r="BU217">
        <v>0</v>
      </c>
      <c r="BV217">
        <v>35.880000000000003</v>
      </c>
      <c r="BW217">
        <v>149139090</v>
      </c>
      <c r="BX217">
        <v>89621330</v>
      </c>
      <c r="BY217">
        <v>0</v>
      </c>
      <c r="BZ217">
        <v>22400080</v>
      </c>
      <c r="CA217">
        <v>0</v>
      </c>
      <c r="CB217">
        <v>2389762.5</v>
      </c>
      <c r="CC217">
        <v>28689978</v>
      </c>
      <c r="CD217">
        <v>0</v>
      </c>
      <c r="CE217">
        <v>2355706.5</v>
      </c>
      <c r="CF217">
        <v>3284785.5</v>
      </c>
      <c r="CG217">
        <v>0</v>
      </c>
      <c r="CH217">
        <v>0</v>
      </c>
      <c r="CI217">
        <v>0</v>
      </c>
      <c r="CJ217">
        <v>87446910</v>
      </c>
      <c r="CK217">
        <v>0</v>
      </c>
      <c r="CL217">
        <v>0</v>
      </c>
      <c r="CM217">
        <v>1846598.2</v>
      </c>
      <c r="CN217">
        <v>327813.5</v>
      </c>
      <c r="CO217">
        <v>382929.9</v>
      </c>
      <c r="CP217">
        <v>14517.1</v>
      </c>
      <c r="CQ217">
        <v>0</v>
      </c>
      <c r="CR217">
        <v>20.8</v>
      </c>
      <c r="CS217">
        <v>0</v>
      </c>
      <c r="CT217">
        <v>0</v>
      </c>
      <c r="CU217">
        <v>7668.2</v>
      </c>
      <c r="CV217">
        <v>0</v>
      </c>
      <c r="CW217">
        <v>0</v>
      </c>
      <c r="CX217">
        <v>207.6</v>
      </c>
      <c r="CY217">
        <v>9507.7000000000007</v>
      </c>
      <c r="CZ217">
        <v>0</v>
      </c>
      <c r="DA217">
        <v>4375.2</v>
      </c>
      <c r="DB217">
        <v>0</v>
      </c>
      <c r="DC217">
        <v>1647</v>
      </c>
      <c r="DD217">
        <v>0</v>
      </c>
      <c r="DE217">
        <v>8007.7</v>
      </c>
      <c r="DF217">
        <v>258</v>
      </c>
      <c r="DG217">
        <v>750.1</v>
      </c>
      <c r="DH217">
        <v>0</v>
      </c>
      <c r="DI217">
        <v>23777.7</v>
      </c>
      <c r="DJ217">
        <v>0</v>
      </c>
      <c r="DK217">
        <v>41.5</v>
      </c>
      <c r="DL217">
        <v>2580</v>
      </c>
      <c r="DM217">
        <v>0</v>
      </c>
      <c r="DN217">
        <v>0</v>
      </c>
      <c r="DO217">
        <v>0.02</v>
      </c>
      <c r="DP217">
        <v>0</v>
      </c>
      <c r="DQ217">
        <v>0</v>
      </c>
      <c r="DR217">
        <v>0</v>
      </c>
    </row>
    <row r="218" spans="1:122" x14ac:dyDescent="0.3">
      <c r="A218" t="s">
        <v>171</v>
      </c>
      <c r="B218">
        <v>2026</v>
      </c>
      <c r="C218">
        <v>140763445.09999999</v>
      </c>
      <c r="D218">
        <v>137935110.40000001</v>
      </c>
      <c r="E218">
        <v>132976098.09999999</v>
      </c>
      <c r="F218">
        <v>0</v>
      </c>
      <c r="G218">
        <v>470391</v>
      </c>
      <c r="H218">
        <v>8016030.7000000002</v>
      </c>
      <c r="I218">
        <v>17694.400000000001</v>
      </c>
      <c r="J218">
        <v>452696.6</v>
      </c>
      <c r="K218">
        <v>2357943.7000000002</v>
      </c>
      <c r="L218">
        <v>3.5900000000000001E-2</v>
      </c>
      <c r="M218">
        <v>5.3999999999999999E-2</v>
      </c>
      <c r="N218">
        <v>0.13600000000000001</v>
      </c>
      <c r="O218">
        <v>33731.269999999997</v>
      </c>
      <c r="P218">
        <v>32142.7</v>
      </c>
      <c r="Q218">
        <v>159.5</v>
      </c>
      <c r="R218">
        <v>12.6</v>
      </c>
      <c r="S218">
        <v>1.82</v>
      </c>
      <c r="T218">
        <v>10.5</v>
      </c>
      <c r="U218">
        <v>498.9</v>
      </c>
      <c r="V218">
        <v>0.1</v>
      </c>
      <c r="W218">
        <v>160.30000000000001</v>
      </c>
      <c r="X218">
        <v>24.5</v>
      </c>
      <c r="Y218">
        <v>184.8</v>
      </c>
      <c r="Z218">
        <v>169.3</v>
      </c>
      <c r="AA218">
        <v>13.5</v>
      </c>
      <c r="AB218">
        <v>1.93</v>
      </c>
      <c r="AC218">
        <v>11.1</v>
      </c>
      <c r="AD218">
        <v>537.20000000000005</v>
      </c>
      <c r="AE218">
        <v>0.1</v>
      </c>
      <c r="AF218">
        <v>170.2</v>
      </c>
      <c r="AG218">
        <v>26.1</v>
      </c>
      <c r="AH218">
        <v>196.4</v>
      </c>
      <c r="AI218">
        <v>303.7</v>
      </c>
      <c r="AJ218">
        <v>13.6</v>
      </c>
      <c r="AK218">
        <v>1.84</v>
      </c>
      <c r="AL218">
        <v>29.4</v>
      </c>
      <c r="AM218">
        <v>1288.2</v>
      </c>
      <c r="AN218">
        <v>0.17</v>
      </c>
      <c r="AO218">
        <v>304.5</v>
      </c>
      <c r="AP218">
        <v>65.599999999999994</v>
      </c>
      <c r="AQ218">
        <v>370.1</v>
      </c>
      <c r="AR218">
        <v>522.1</v>
      </c>
      <c r="AS218">
        <v>41.5</v>
      </c>
      <c r="AT218">
        <v>5.96</v>
      </c>
      <c r="AU218">
        <v>34</v>
      </c>
      <c r="AV218">
        <v>1647.9</v>
      </c>
      <c r="AW218">
        <v>0.3</v>
      </c>
      <c r="AX218">
        <v>524.79999999999995</v>
      </c>
      <c r="AY218">
        <v>80.2</v>
      </c>
      <c r="AZ218">
        <v>605</v>
      </c>
      <c r="BA218">
        <v>26956035</v>
      </c>
      <c r="BB218">
        <v>2138.1999999999998</v>
      </c>
      <c r="BC218">
        <v>308.2</v>
      </c>
      <c r="BD218">
        <v>1772684.9</v>
      </c>
      <c r="BE218">
        <v>84285.2</v>
      </c>
      <c r="BF218">
        <v>16.3</v>
      </c>
      <c r="BG218">
        <v>27097565.399999999</v>
      </c>
      <c r="BH218">
        <v>4137000.4</v>
      </c>
      <c r="BI218">
        <v>31234565.800000001</v>
      </c>
      <c r="BJ218">
        <v>0</v>
      </c>
      <c r="BK218">
        <v>0</v>
      </c>
      <c r="BL218">
        <v>26956035</v>
      </c>
      <c r="BM218">
        <v>28728719.899999999</v>
      </c>
      <c r="BN218">
        <v>31234565.800000001</v>
      </c>
      <c r="BO218">
        <v>21.26</v>
      </c>
      <c r="BP218">
        <v>6.19</v>
      </c>
      <c r="BQ218">
        <v>0</v>
      </c>
      <c r="BR218">
        <v>27.46</v>
      </c>
      <c r="BS218">
        <v>22.64</v>
      </c>
      <c r="BT218">
        <v>6.71</v>
      </c>
      <c r="BU218">
        <v>0</v>
      </c>
      <c r="BV218">
        <v>29.35</v>
      </c>
      <c r="BW218">
        <v>170303020</v>
      </c>
      <c r="BX218">
        <v>129919080</v>
      </c>
      <c r="BY218">
        <v>0</v>
      </c>
      <c r="BZ218">
        <v>15224035</v>
      </c>
      <c r="CA218">
        <v>0</v>
      </c>
      <c r="CB218">
        <v>1927240</v>
      </c>
      <c r="CC218">
        <v>18629592</v>
      </c>
      <c r="CD218">
        <v>0</v>
      </c>
      <c r="CE218">
        <v>1265487.8999999999</v>
      </c>
      <c r="CF218">
        <v>2964012.5</v>
      </c>
      <c r="CG218">
        <v>0</v>
      </c>
      <c r="CH218">
        <v>0</v>
      </c>
      <c r="CI218">
        <v>0</v>
      </c>
      <c r="CJ218">
        <v>104864700</v>
      </c>
      <c r="CK218">
        <v>0</v>
      </c>
      <c r="CL218">
        <v>0</v>
      </c>
      <c r="CM218">
        <v>24594896</v>
      </c>
      <c r="CN218">
        <v>459478.4</v>
      </c>
      <c r="CO218">
        <v>358600.9</v>
      </c>
      <c r="CP218">
        <v>14975.5</v>
      </c>
      <c r="CQ218">
        <v>0</v>
      </c>
      <c r="CR218">
        <v>20.8</v>
      </c>
      <c r="CS218">
        <v>0</v>
      </c>
      <c r="CT218">
        <v>0</v>
      </c>
      <c r="CU218">
        <v>6660.2</v>
      </c>
      <c r="CV218">
        <v>0</v>
      </c>
      <c r="CW218">
        <v>0</v>
      </c>
      <c r="CX218">
        <v>320.60000000000002</v>
      </c>
      <c r="CY218">
        <v>9507.7000000000007</v>
      </c>
      <c r="CZ218">
        <v>0</v>
      </c>
      <c r="DA218">
        <v>3914.9</v>
      </c>
      <c r="DB218">
        <v>0</v>
      </c>
      <c r="DC218">
        <v>1647</v>
      </c>
      <c r="DD218">
        <v>0</v>
      </c>
      <c r="DE218">
        <v>7641.7</v>
      </c>
      <c r="DF218">
        <v>258</v>
      </c>
      <c r="DG218">
        <v>9444.2999999999993</v>
      </c>
      <c r="DH218">
        <v>0</v>
      </c>
      <c r="DI218">
        <v>28782.1</v>
      </c>
      <c r="DJ218">
        <v>0</v>
      </c>
      <c r="DK218">
        <v>41.5</v>
      </c>
      <c r="DL218">
        <v>2580</v>
      </c>
      <c r="DM218">
        <v>0</v>
      </c>
      <c r="DN218">
        <v>0</v>
      </c>
      <c r="DO218">
        <v>0.03</v>
      </c>
      <c r="DP218">
        <v>0</v>
      </c>
      <c r="DQ218">
        <v>0</v>
      </c>
      <c r="DR218">
        <v>0</v>
      </c>
    </row>
    <row r="219" spans="1:122" x14ac:dyDescent="0.3">
      <c r="A219" t="s">
        <v>171</v>
      </c>
      <c r="B219">
        <v>2028</v>
      </c>
      <c r="C219">
        <v>143277079.5</v>
      </c>
      <c r="D219">
        <v>140085421.09999999</v>
      </c>
      <c r="E219">
        <v>135049101.30000001</v>
      </c>
      <c r="F219">
        <v>0</v>
      </c>
      <c r="G219">
        <v>710985.4</v>
      </c>
      <c r="H219">
        <v>3843740.1</v>
      </c>
      <c r="I219">
        <v>292330</v>
      </c>
      <c r="J219">
        <v>418655.4</v>
      </c>
      <c r="K219">
        <v>2480673.1</v>
      </c>
      <c r="L219">
        <v>3.5900000000000001E-2</v>
      </c>
      <c r="M219">
        <v>5.3999999999999999E-2</v>
      </c>
      <c r="N219">
        <v>0.13600000000000001</v>
      </c>
      <c r="O219">
        <v>42406.75</v>
      </c>
      <c r="P219">
        <v>32644.5</v>
      </c>
      <c r="Q219">
        <v>168.5</v>
      </c>
      <c r="R219">
        <v>14.7</v>
      </c>
      <c r="S219">
        <v>2.12</v>
      </c>
      <c r="T219">
        <v>9.6</v>
      </c>
      <c r="U219">
        <v>499</v>
      </c>
      <c r="V219">
        <v>0.09</v>
      </c>
      <c r="W219">
        <v>169.5</v>
      </c>
      <c r="X219">
        <v>23.6</v>
      </c>
      <c r="Y219">
        <v>193.1</v>
      </c>
      <c r="Z219">
        <v>190</v>
      </c>
      <c r="AA219">
        <v>16.7</v>
      </c>
      <c r="AB219">
        <v>2.4</v>
      </c>
      <c r="AC219">
        <v>10.8</v>
      </c>
      <c r="AD219">
        <v>564.20000000000005</v>
      </c>
      <c r="AE219">
        <v>0.1</v>
      </c>
      <c r="AF219">
        <v>191.1</v>
      </c>
      <c r="AG219">
        <v>26.6</v>
      </c>
      <c r="AH219">
        <v>217.7</v>
      </c>
      <c r="AI219">
        <v>266.5</v>
      </c>
      <c r="AJ219">
        <v>12</v>
      </c>
      <c r="AK219">
        <v>1.64</v>
      </c>
      <c r="AL219">
        <v>25.7</v>
      </c>
      <c r="AM219">
        <v>1125.2</v>
      </c>
      <c r="AN219">
        <v>0.15</v>
      </c>
      <c r="AO219">
        <v>267.3</v>
      </c>
      <c r="AP219">
        <v>57.3</v>
      </c>
      <c r="AQ219">
        <v>324.60000000000002</v>
      </c>
      <c r="AR219">
        <v>576.20000000000005</v>
      </c>
      <c r="AS219">
        <v>46.7</v>
      </c>
      <c r="AT219">
        <v>6.69</v>
      </c>
      <c r="AU219">
        <v>36.5</v>
      </c>
      <c r="AV219">
        <v>1814.9</v>
      </c>
      <c r="AW219">
        <v>0.32</v>
      </c>
      <c r="AX219">
        <v>579.20000000000005</v>
      </c>
      <c r="AY219">
        <v>87.4</v>
      </c>
      <c r="AZ219">
        <v>666.6</v>
      </c>
      <c r="BA219">
        <v>29887889.899999999</v>
      </c>
      <c r="BB219">
        <v>2615.4</v>
      </c>
      <c r="BC219">
        <v>376.4</v>
      </c>
      <c r="BD219">
        <v>1708251.8</v>
      </c>
      <c r="BE219">
        <v>88417.2</v>
      </c>
      <c r="BF219">
        <v>16.399999999999999</v>
      </c>
      <c r="BG219">
        <v>30060855.100000001</v>
      </c>
      <c r="BH219">
        <v>4188266.7</v>
      </c>
      <c r="BI219">
        <v>34249121.899999999</v>
      </c>
      <c r="BJ219">
        <v>0</v>
      </c>
      <c r="BK219">
        <v>0</v>
      </c>
      <c r="BL219">
        <v>29887889.899999999</v>
      </c>
      <c r="BM219">
        <v>31596141.699999999</v>
      </c>
      <c r="BN219">
        <v>34249121.899999999</v>
      </c>
      <c r="BO219">
        <v>23.94</v>
      </c>
      <c r="BP219">
        <v>7.88</v>
      </c>
      <c r="BQ219">
        <v>0</v>
      </c>
      <c r="BR219">
        <v>31.82</v>
      </c>
      <c r="BS219">
        <v>25.5</v>
      </c>
      <c r="BT219">
        <v>8.56</v>
      </c>
      <c r="BU219">
        <v>0</v>
      </c>
      <c r="BV219">
        <v>34.07</v>
      </c>
      <c r="BW219">
        <v>178824020</v>
      </c>
      <c r="BX219">
        <v>136241680</v>
      </c>
      <c r="BY219">
        <v>0</v>
      </c>
      <c r="BZ219">
        <v>19404530</v>
      </c>
      <c r="CA219">
        <v>0</v>
      </c>
      <c r="CB219">
        <v>1104997.2</v>
      </c>
      <c r="CC219">
        <v>17509906</v>
      </c>
      <c r="CD219">
        <v>0</v>
      </c>
      <c r="CE219">
        <v>850533.9</v>
      </c>
      <c r="CF219">
        <v>3129741.5</v>
      </c>
      <c r="CG219">
        <v>0</v>
      </c>
      <c r="CH219">
        <v>0</v>
      </c>
      <c r="CI219">
        <v>0</v>
      </c>
      <c r="CJ219">
        <v>110632810</v>
      </c>
      <c r="CK219">
        <v>0</v>
      </c>
      <c r="CL219">
        <v>0</v>
      </c>
      <c r="CM219">
        <v>24808964</v>
      </c>
      <c r="CN219">
        <v>799913.4</v>
      </c>
      <c r="CO219">
        <v>335231.5</v>
      </c>
      <c r="CP219">
        <v>247394.5</v>
      </c>
      <c r="CQ219">
        <v>0</v>
      </c>
      <c r="CR219">
        <v>359.1</v>
      </c>
      <c r="CS219">
        <v>0</v>
      </c>
      <c r="CT219">
        <v>0</v>
      </c>
      <c r="CU219">
        <v>6660.2</v>
      </c>
      <c r="CV219">
        <v>0</v>
      </c>
      <c r="CW219">
        <v>0</v>
      </c>
      <c r="CX219">
        <v>531.70000000000005</v>
      </c>
      <c r="CY219">
        <v>9507.7000000000007</v>
      </c>
      <c r="CZ219">
        <v>0</v>
      </c>
      <c r="DA219">
        <v>3914.9</v>
      </c>
      <c r="DB219">
        <v>0</v>
      </c>
      <c r="DC219">
        <v>1647</v>
      </c>
      <c r="DD219">
        <v>0</v>
      </c>
      <c r="DE219">
        <v>7372.4</v>
      </c>
      <c r="DF219">
        <v>258</v>
      </c>
      <c r="DG219">
        <v>9444.2999999999993</v>
      </c>
      <c r="DH219">
        <v>0</v>
      </c>
      <c r="DI219">
        <v>29235.5</v>
      </c>
      <c r="DJ219">
        <v>0</v>
      </c>
      <c r="DK219">
        <v>718.3</v>
      </c>
      <c r="DL219">
        <v>2580</v>
      </c>
      <c r="DM219">
        <v>0</v>
      </c>
      <c r="DN219">
        <v>0</v>
      </c>
      <c r="DO219">
        <v>0.03</v>
      </c>
      <c r="DP219">
        <v>0</v>
      </c>
      <c r="DQ219">
        <v>0</v>
      </c>
      <c r="DR219">
        <v>0</v>
      </c>
    </row>
    <row r="220" spans="1:122" x14ac:dyDescent="0.3">
      <c r="A220" t="s">
        <v>171</v>
      </c>
      <c r="B220">
        <v>2030</v>
      </c>
      <c r="C220">
        <v>146756544.19999999</v>
      </c>
      <c r="D220">
        <v>142348313.40000001</v>
      </c>
      <c r="E220">
        <v>137230638.69999999</v>
      </c>
      <c r="F220">
        <v>0</v>
      </c>
      <c r="G220">
        <v>1859044.2</v>
      </c>
      <c r="H220">
        <v>-1736579.9</v>
      </c>
      <c r="I220">
        <v>1466979.4</v>
      </c>
      <c r="J220">
        <v>392064.9</v>
      </c>
      <c r="K220">
        <v>2549186.5</v>
      </c>
      <c r="L220">
        <v>3.5900000000000001E-2</v>
      </c>
      <c r="M220">
        <v>5.3999999999999999E-2</v>
      </c>
      <c r="N220">
        <v>0.13600000000000001</v>
      </c>
      <c r="O220">
        <v>56534.84</v>
      </c>
      <c r="P220">
        <v>33169.599999999999</v>
      </c>
      <c r="Q220">
        <v>149.30000000000001</v>
      </c>
      <c r="R220">
        <v>13.9</v>
      </c>
      <c r="S220">
        <v>1.99</v>
      </c>
      <c r="T220">
        <v>7.7</v>
      </c>
      <c r="U220">
        <v>424.2</v>
      </c>
      <c r="V220">
        <v>0.08</v>
      </c>
      <c r="W220">
        <v>150.19999999999999</v>
      </c>
      <c r="X220">
        <v>19.600000000000001</v>
      </c>
      <c r="Y220">
        <v>169.8</v>
      </c>
      <c r="Z220">
        <v>174.5</v>
      </c>
      <c r="AA220">
        <v>16.3</v>
      </c>
      <c r="AB220">
        <v>2.35</v>
      </c>
      <c r="AC220">
        <v>9</v>
      </c>
      <c r="AD220">
        <v>493.8</v>
      </c>
      <c r="AE220">
        <v>0.09</v>
      </c>
      <c r="AF220">
        <v>175.5</v>
      </c>
      <c r="AG220">
        <v>22.8</v>
      </c>
      <c r="AH220">
        <v>198.4</v>
      </c>
      <c r="AI220">
        <v>297.8</v>
      </c>
      <c r="AJ220">
        <v>12</v>
      </c>
      <c r="AK220">
        <v>1.58</v>
      </c>
      <c r="AL220">
        <v>29.8</v>
      </c>
      <c r="AM220">
        <v>1326.5</v>
      </c>
      <c r="AN220">
        <v>0.15</v>
      </c>
      <c r="AO220">
        <v>298.5</v>
      </c>
      <c r="AP220">
        <v>66.900000000000006</v>
      </c>
      <c r="AQ220">
        <v>365.4</v>
      </c>
      <c r="AR220">
        <v>622.29999999999995</v>
      </c>
      <c r="AS220">
        <v>53.1</v>
      </c>
      <c r="AT220">
        <v>7.64</v>
      </c>
      <c r="AU220">
        <v>37</v>
      </c>
      <c r="AV220">
        <v>1869</v>
      </c>
      <c r="AW220">
        <v>0.35</v>
      </c>
      <c r="AX220">
        <v>625.79999999999995</v>
      </c>
      <c r="AY220">
        <v>89.5</v>
      </c>
      <c r="AZ220">
        <v>715.2</v>
      </c>
      <c r="BA220">
        <v>27045594.899999999</v>
      </c>
      <c r="BB220">
        <v>2512.6999999999998</v>
      </c>
      <c r="BC220">
        <v>361.5</v>
      </c>
      <c r="BD220">
        <v>1394897.3</v>
      </c>
      <c r="BE220">
        <v>76791.199999999997</v>
      </c>
      <c r="BF220">
        <v>13.9</v>
      </c>
      <c r="BG220">
        <v>27211756.199999999</v>
      </c>
      <c r="BH220">
        <v>3548735.3</v>
      </c>
      <c r="BI220">
        <v>30760491.5</v>
      </c>
      <c r="BJ220">
        <v>0</v>
      </c>
      <c r="BK220">
        <v>0</v>
      </c>
      <c r="BL220">
        <v>27045594.899999999</v>
      </c>
      <c r="BM220">
        <v>28440492.199999999</v>
      </c>
      <c r="BN220">
        <v>30760491.5</v>
      </c>
      <c r="BO220">
        <v>23.93</v>
      </c>
      <c r="BP220">
        <v>10.58</v>
      </c>
      <c r="BQ220">
        <v>0</v>
      </c>
      <c r="BR220">
        <v>34.51</v>
      </c>
      <c r="BS220">
        <v>25.58</v>
      </c>
      <c r="BT220">
        <v>11.58</v>
      </c>
      <c r="BU220">
        <v>0</v>
      </c>
      <c r="BV220">
        <v>37.159999999999997</v>
      </c>
      <c r="BW220">
        <v>182741550</v>
      </c>
      <c r="BX220">
        <v>144084900</v>
      </c>
      <c r="BY220">
        <v>0</v>
      </c>
      <c r="BZ220">
        <v>19094064</v>
      </c>
      <c r="CA220">
        <v>0</v>
      </c>
      <c r="CB220">
        <v>465717</v>
      </c>
      <c r="CC220">
        <v>13967629</v>
      </c>
      <c r="CD220">
        <v>0</v>
      </c>
      <c r="CE220">
        <v>350241.5</v>
      </c>
      <c r="CF220">
        <v>3222907.5</v>
      </c>
      <c r="CG220">
        <v>0</v>
      </c>
      <c r="CH220">
        <v>0</v>
      </c>
      <c r="CI220">
        <v>0</v>
      </c>
      <c r="CJ220">
        <v>117434260</v>
      </c>
      <c r="CK220">
        <v>0</v>
      </c>
      <c r="CL220">
        <v>0</v>
      </c>
      <c r="CM220">
        <v>25263206</v>
      </c>
      <c r="CN220">
        <v>1387442.1</v>
      </c>
      <c r="CO220">
        <v>312889.59999999998</v>
      </c>
      <c r="CP220">
        <v>1243205.2</v>
      </c>
      <c r="CQ220">
        <v>0</v>
      </c>
      <c r="CR220">
        <v>1130.5</v>
      </c>
      <c r="CS220">
        <v>0</v>
      </c>
      <c r="CT220">
        <v>0</v>
      </c>
      <c r="CU220">
        <v>6660.2</v>
      </c>
      <c r="CV220">
        <v>0</v>
      </c>
      <c r="CW220">
        <v>0</v>
      </c>
      <c r="CX220">
        <v>909.9</v>
      </c>
      <c r="CY220">
        <v>9507.7000000000007</v>
      </c>
      <c r="CZ220">
        <v>0</v>
      </c>
      <c r="DA220">
        <v>3914.9</v>
      </c>
      <c r="DB220">
        <v>0</v>
      </c>
      <c r="DC220">
        <v>1647</v>
      </c>
      <c r="DD220">
        <v>0</v>
      </c>
      <c r="DE220">
        <v>6780</v>
      </c>
      <c r="DF220">
        <v>258</v>
      </c>
      <c r="DG220">
        <v>9928.5</v>
      </c>
      <c r="DH220">
        <v>0</v>
      </c>
      <c r="DI220">
        <v>30694.799999999999</v>
      </c>
      <c r="DJ220">
        <v>0</v>
      </c>
      <c r="DK220">
        <v>4771.8999999999996</v>
      </c>
      <c r="DL220">
        <v>2580</v>
      </c>
      <c r="DM220">
        <v>0</v>
      </c>
      <c r="DN220">
        <v>0</v>
      </c>
      <c r="DO220">
        <v>0.04</v>
      </c>
      <c r="DP220">
        <v>0</v>
      </c>
      <c r="DQ220">
        <v>0.03</v>
      </c>
      <c r="DR220">
        <v>0</v>
      </c>
    </row>
    <row r="221" spans="1:122" x14ac:dyDescent="0.3">
      <c r="A221" t="s">
        <v>171</v>
      </c>
      <c r="B221">
        <v>2032</v>
      </c>
      <c r="C221">
        <v>149108164.80000001</v>
      </c>
      <c r="D221">
        <v>144802594.69999999</v>
      </c>
      <c r="E221">
        <v>139596684.09999999</v>
      </c>
      <c r="F221">
        <v>0</v>
      </c>
      <c r="G221">
        <v>1776220.2</v>
      </c>
      <c r="H221">
        <v>-571856</v>
      </c>
      <c r="I221">
        <v>1417991.2</v>
      </c>
      <c r="J221">
        <v>358229</v>
      </c>
      <c r="K221">
        <v>2529349.9</v>
      </c>
      <c r="L221">
        <v>3.5900000000000001E-2</v>
      </c>
      <c r="M221">
        <v>5.3999999999999999E-2</v>
      </c>
      <c r="N221">
        <v>0.13600000000000001</v>
      </c>
      <c r="O221">
        <v>65498.48</v>
      </c>
      <c r="P221">
        <v>33742.800000000003</v>
      </c>
      <c r="Q221">
        <v>151</v>
      </c>
      <c r="R221">
        <v>14.3</v>
      </c>
      <c r="S221">
        <v>2.0499999999999998</v>
      </c>
      <c r="T221">
        <v>7.5</v>
      </c>
      <c r="U221">
        <v>423.1</v>
      </c>
      <c r="V221">
        <v>0.08</v>
      </c>
      <c r="W221">
        <v>152</v>
      </c>
      <c r="X221">
        <v>19.399999999999999</v>
      </c>
      <c r="Y221">
        <v>171.4</v>
      </c>
      <c r="Z221">
        <v>176</v>
      </c>
      <c r="AA221">
        <v>16.600000000000001</v>
      </c>
      <c r="AB221">
        <v>2.39</v>
      </c>
      <c r="AC221">
        <v>8.9</v>
      </c>
      <c r="AD221">
        <v>496.3</v>
      </c>
      <c r="AE221">
        <v>0.09</v>
      </c>
      <c r="AF221">
        <v>177.1</v>
      </c>
      <c r="AG221">
        <v>22.9</v>
      </c>
      <c r="AH221">
        <v>200</v>
      </c>
      <c r="AI221">
        <v>250.4</v>
      </c>
      <c r="AJ221">
        <v>8.8000000000000007</v>
      </c>
      <c r="AK221">
        <v>1.1299999999999999</v>
      </c>
      <c r="AL221">
        <v>26.3</v>
      </c>
      <c r="AM221">
        <v>1153.3</v>
      </c>
      <c r="AN221">
        <v>0.13</v>
      </c>
      <c r="AO221">
        <v>250.9</v>
      </c>
      <c r="AP221">
        <v>58.6</v>
      </c>
      <c r="AQ221">
        <v>309.5</v>
      </c>
      <c r="AR221">
        <v>644.20000000000005</v>
      </c>
      <c r="AS221">
        <v>54.6</v>
      </c>
      <c r="AT221">
        <v>7.85</v>
      </c>
      <c r="AU221">
        <v>38.5</v>
      </c>
      <c r="AV221">
        <v>1956.4</v>
      </c>
      <c r="AW221">
        <v>0.35</v>
      </c>
      <c r="AX221">
        <v>647.79999999999995</v>
      </c>
      <c r="AY221">
        <v>93.3</v>
      </c>
      <c r="AZ221">
        <v>741.1</v>
      </c>
      <c r="BA221">
        <v>27553570</v>
      </c>
      <c r="BB221">
        <v>2604.1999999999998</v>
      </c>
      <c r="BC221">
        <v>374.8</v>
      </c>
      <c r="BD221">
        <v>1376734.5</v>
      </c>
      <c r="BE221">
        <v>77158.3</v>
      </c>
      <c r="BF221">
        <v>14</v>
      </c>
      <c r="BG221">
        <v>27725802.5</v>
      </c>
      <c r="BH221">
        <v>3540866.2</v>
      </c>
      <c r="BI221">
        <v>31266668.800000001</v>
      </c>
      <c r="BJ221">
        <v>0</v>
      </c>
      <c r="BK221">
        <v>0</v>
      </c>
      <c r="BL221">
        <v>27553570</v>
      </c>
      <c r="BM221">
        <v>28930304.5</v>
      </c>
      <c r="BN221">
        <v>31266668.800000001</v>
      </c>
      <c r="BO221">
        <v>24.78</v>
      </c>
      <c r="BP221">
        <v>12.29</v>
      </c>
      <c r="BQ221">
        <v>0</v>
      </c>
      <c r="BR221">
        <v>37.08</v>
      </c>
      <c r="BS221">
        <v>26.47</v>
      </c>
      <c r="BT221">
        <v>13.45</v>
      </c>
      <c r="BU221">
        <v>0</v>
      </c>
      <c r="BV221">
        <v>39.909999999999997</v>
      </c>
      <c r="BW221">
        <v>184083890</v>
      </c>
      <c r="BX221">
        <v>145374450</v>
      </c>
      <c r="BY221">
        <v>0</v>
      </c>
      <c r="BZ221">
        <v>19912736</v>
      </c>
      <c r="CA221">
        <v>0</v>
      </c>
      <c r="CB221">
        <v>350586.2</v>
      </c>
      <c r="CC221">
        <v>13336016</v>
      </c>
      <c r="CD221">
        <v>0</v>
      </c>
      <c r="CE221">
        <v>322281.59999999998</v>
      </c>
      <c r="CF221">
        <v>3302207</v>
      </c>
      <c r="CG221">
        <v>0</v>
      </c>
      <c r="CH221">
        <v>0</v>
      </c>
      <c r="CI221">
        <v>0</v>
      </c>
      <c r="CJ221">
        <v>117718616</v>
      </c>
      <c r="CK221">
        <v>0</v>
      </c>
      <c r="CL221">
        <v>0</v>
      </c>
      <c r="CM221">
        <v>25830196</v>
      </c>
      <c r="CN221">
        <v>1825638.8</v>
      </c>
      <c r="CO221">
        <v>286829.09999999998</v>
      </c>
      <c r="CP221">
        <v>1198789.5</v>
      </c>
      <c r="CQ221">
        <v>0</v>
      </c>
      <c r="CR221">
        <v>1127.0999999999999</v>
      </c>
      <c r="CS221">
        <v>0</v>
      </c>
      <c r="CT221">
        <v>0</v>
      </c>
      <c r="CU221">
        <v>6660.2</v>
      </c>
      <c r="CV221">
        <v>0</v>
      </c>
      <c r="CW221">
        <v>0</v>
      </c>
      <c r="CX221">
        <v>1186.9000000000001</v>
      </c>
      <c r="CY221">
        <v>9507.7000000000007</v>
      </c>
      <c r="CZ221">
        <v>0</v>
      </c>
      <c r="DA221">
        <v>3914.9</v>
      </c>
      <c r="DB221">
        <v>0</v>
      </c>
      <c r="DC221">
        <v>1647</v>
      </c>
      <c r="DD221">
        <v>0</v>
      </c>
      <c r="DE221">
        <v>6404.9</v>
      </c>
      <c r="DF221">
        <v>258</v>
      </c>
      <c r="DG221">
        <v>10228.299999999999</v>
      </c>
      <c r="DH221">
        <v>0</v>
      </c>
      <c r="DI221">
        <v>30614.799999999999</v>
      </c>
      <c r="DJ221">
        <v>0</v>
      </c>
      <c r="DK221">
        <v>4744.8</v>
      </c>
      <c r="DL221">
        <v>2580</v>
      </c>
      <c r="DM221">
        <v>0</v>
      </c>
      <c r="DN221">
        <v>0</v>
      </c>
      <c r="DO221">
        <v>0.04</v>
      </c>
      <c r="DP221">
        <v>0</v>
      </c>
      <c r="DQ221">
        <v>0.03</v>
      </c>
      <c r="DR221">
        <v>0</v>
      </c>
    </row>
    <row r="222" spans="1:122" x14ac:dyDescent="0.3">
      <c r="A222" t="s">
        <v>171</v>
      </c>
      <c r="B222">
        <v>2034</v>
      </c>
      <c r="C222">
        <v>151607083.40000001</v>
      </c>
      <c r="D222">
        <v>147425748.5</v>
      </c>
      <c r="E222">
        <v>142125530.90000001</v>
      </c>
      <c r="F222">
        <v>0</v>
      </c>
      <c r="G222">
        <v>1681178.4</v>
      </c>
      <c r="H222">
        <v>-9652257.3000000007</v>
      </c>
      <c r="I222">
        <v>1324210</v>
      </c>
      <c r="J222">
        <v>356968.5</v>
      </c>
      <c r="K222">
        <v>2500156.5</v>
      </c>
      <c r="L222">
        <v>3.5900000000000001E-2</v>
      </c>
      <c r="M222">
        <v>5.3999999999999999E-2</v>
      </c>
      <c r="N222">
        <v>0.13600000000000001</v>
      </c>
      <c r="O222">
        <v>67212.69</v>
      </c>
      <c r="P222">
        <v>34353.800000000003</v>
      </c>
      <c r="Q222">
        <v>126.6</v>
      </c>
      <c r="R222">
        <v>12.1</v>
      </c>
      <c r="S222">
        <v>1.74</v>
      </c>
      <c r="T222">
        <v>6.3</v>
      </c>
      <c r="U222">
        <v>347.2</v>
      </c>
      <c r="V222">
        <v>7.0000000000000007E-2</v>
      </c>
      <c r="W222">
        <v>127.4</v>
      </c>
      <c r="X222">
        <v>16</v>
      </c>
      <c r="Y222">
        <v>143.4</v>
      </c>
      <c r="Z222">
        <v>141.80000000000001</v>
      </c>
      <c r="AA222">
        <v>13.6</v>
      </c>
      <c r="AB222">
        <v>1.95</v>
      </c>
      <c r="AC222">
        <v>7.1</v>
      </c>
      <c r="AD222">
        <v>391.5</v>
      </c>
      <c r="AE222">
        <v>0.08</v>
      </c>
      <c r="AF222">
        <v>142.69999999999999</v>
      </c>
      <c r="AG222">
        <v>18.100000000000001</v>
      </c>
      <c r="AH222">
        <v>160.80000000000001</v>
      </c>
      <c r="AI222">
        <v>250.4</v>
      </c>
      <c r="AJ222">
        <v>8.3000000000000007</v>
      </c>
      <c r="AK222">
        <v>1.05</v>
      </c>
      <c r="AL222">
        <v>26.6</v>
      </c>
      <c r="AM222">
        <v>1175.9000000000001</v>
      </c>
      <c r="AN222">
        <v>0.13</v>
      </c>
      <c r="AO222">
        <v>250.9</v>
      </c>
      <c r="AP222">
        <v>59.6</v>
      </c>
      <c r="AQ222">
        <v>310.5</v>
      </c>
      <c r="AR222">
        <v>595.4</v>
      </c>
      <c r="AS222">
        <v>52.1</v>
      </c>
      <c r="AT222">
        <v>7.46</v>
      </c>
      <c r="AU222">
        <v>33.799999999999997</v>
      </c>
      <c r="AV222">
        <v>1787</v>
      </c>
      <c r="AW222">
        <v>0.31</v>
      </c>
      <c r="AX222">
        <v>598.79999999999995</v>
      </c>
      <c r="AY222">
        <v>83.9</v>
      </c>
      <c r="AZ222">
        <v>682.7</v>
      </c>
      <c r="BA222">
        <v>23873264.600000001</v>
      </c>
      <c r="BB222">
        <v>2278.6999999999998</v>
      </c>
      <c r="BC222">
        <v>328.9</v>
      </c>
      <c r="BD222">
        <v>1181562.3</v>
      </c>
      <c r="BE222">
        <v>65461</v>
      </c>
      <c r="BF222">
        <v>12.6</v>
      </c>
      <c r="BG222">
        <v>24024236.399999999</v>
      </c>
      <c r="BH222">
        <v>3017807</v>
      </c>
      <c r="BI222">
        <v>27042043.300000001</v>
      </c>
      <c r="BJ222">
        <v>0</v>
      </c>
      <c r="BK222">
        <v>0</v>
      </c>
      <c r="BL222">
        <v>23873264.600000001</v>
      </c>
      <c r="BM222">
        <v>25054826.800000001</v>
      </c>
      <c r="BN222">
        <v>27042043.300000001</v>
      </c>
      <c r="BO222">
        <v>22.4</v>
      </c>
      <c r="BP222">
        <v>11.23</v>
      </c>
      <c r="BQ222">
        <v>0</v>
      </c>
      <c r="BR222">
        <v>33.630000000000003</v>
      </c>
      <c r="BS222">
        <v>23.9</v>
      </c>
      <c r="BT222">
        <v>12.2</v>
      </c>
      <c r="BU222">
        <v>0</v>
      </c>
      <c r="BV222">
        <v>36.1</v>
      </c>
      <c r="BW222">
        <v>190343520</v>
      </c>
      <c r="BX222">
        <v>157078000</v>
      </c>
      <c r="BY222">
        <v>0</v>
      </c>
      <c r="BZ222">
        <v>17452354</v>
      </c>
      <c r="CA222">
        <v>0</v>
      </c>
      <c r="CB222">
        <v>562330</v>
      </c>
      <c r="CC222">
        <v>10269885</v>
      </c>
      <c r="CD222">
        <v>0</v>
      </c>
      <c r="CE222">
        <v>431564</v>
      </c>
      <c r="CF222">
        <v>3141501</v>
      </c>
      <c r="CG222">
        <v>0</v>
      </c>
      <c r="CH222">
        <v>0</v>
      </c>
      <c r="CI222">
        <v>0</v>
      </c>
      <c r="CJ222">
        <v>114321450</v>
      </c>
      <c r="CK222">
        <v>0</v>
      </c>
      <c r="CL222">
        <v>0</v>
      </c>
      <c r="CM222">
        <v>40560970</v>
      </c>
      <c r="CN222">
        <v>2195585</v>
      </c>
      <c r="CO222">
        <v>286484.2</v>
      </c>
      <c r="CP222">
        <v>1121398.3999999999</v>
      </c>
      <c r="CQ222">
        <v>0</v>
      </c>
      <c r="CR222">
        <v>1123.8</v>
      </c>
      <c r="CS222">
        <v>0</v>
      </c>
      <c r="CT222">
        <v>0</v>
      </c>
      <c r="CU222">
        <v>6660.2</v>
      </c>
      <c r="CV222">
        <v>0</v>
      </c>
      <c r="CW222">
        <v>0</v>
      </c>
      <c r="CX222">
        <v>1501.2</v>
      </c>
      <c r="CY222">
        <v>9177.2999999999993</v>
      </c>
      <c r="CZ222">
        <v>0</v>
      </c>
      <c r="DA222">
        <v>3914.9</v>
      </c>
      <c r="DB222">
        <v>0</v>
      </c>
      <c r="DC222">
        <v>1647</v>
      </c>
      <c r="DD222">
        <v>0</v>
      </c>
      <c r="DE222">
        <v>5975.9</v>
      </c>
      <c r="DF222">
        <v>258</v>
      </c>
      <c r="DG222">
        <v>16254.2</v>
      </c>
      <c r="DH222">
        <v>0</v>
      </c>
      <c r="DI222">
        <v>30432.6</v>
      </c>
      <c r="DJ222">
        <v>0</v>
      </c>
      <c r="DK222">
        <v>4718.3</v>
      </c>
      <c r="DL222">
        <v>2580</v>
      </c>
      <c r="DM222">
        <v>0</v>
      </c>
      <c r="DN222">
        <v>0</v>
      </c>
      <c r="DO222">
        <v>0.04</v>
      </c>
      <c r="DP222">
        <v>0</v>
      </c>
      <c r="DQ222">
        <v>0.03</v>
      </c>
      <c r="DR222">
        <v>0</v>
      </c>
    </row>
    <row r="223" spans="1:122" x14ac:dyDescent="0.3">
      <c r="A223" t="s">
        <v>171</v>
      </c>
      <c r="B223">
        <v>2036</v>
      </c>
      <c r="C223">
        <v>155622590.5</v>
      </c>
      <c r="D223">
        <v>150217774.90000001</v>
      </c>
      <c r="E223">
        <v>144817179</v>
      </c>
      <c r="F223">
        <v>0</v>
      </c>
      <c r="G223">
        <v>2829645</v>
      </c>
      <c r="H223">
        <v>-7973971.4000000004</v>
      </c>
      <c r="I223">
        <v>2488210.2000000002</v>
      </c>
      <c r="J223">
        <v>341434.7</v>
      </c>
      <c r="K223">
        <v>2575170.6</v>
      </c>
      <c r="L223">
        <v>3.5900000000000001E-2</v>
      </c>
      <c r="M223">
        <v>5.3999999999999999E-2</v>
      </c>
      <c r="N223">
        <v>0.13600000000000001</v>
      </c>
      <c r="O223">
        <v>68377.11</v>
      </c>
      <c r="P223">
        <v>35003.4</v>
      </c>
      <c r="Q223">
        <v>124.1</v>
      </c>
      <c r="R223">
        <v>12.1</v>
      </c>
      <c r="S223">
        <v>1.75</v>
      </c>
      <c r="T223">
        <v>5.8</v>
      </c>
      <c r="U223">
        <v>336.7</v>
      </c>
      <c r="V223">
        <v>0.06</v>
      </c>
      <c r="W223">
        <v>124.9</v>
      </c>
      <c r="X223">
        <v>15.3</v>
      </c>
      <c r="Y223">
        <v>140.19999999999999</v>
      </c>
      <c r="Z223">
        <v>145.4</v>
      </c>
      <c r="AA223">
        <v>14.2</v>
      </c>
      <c r="AB223">
        <v>2.0499999999999998</v>
      </c>
      <c r="AC223">
        <v>6.9</v>
      </c>
      <c r="AD223">
        <v>395.6</v>
      </c>
      <c r="AE223">
        <v>7.0000000000000007E-2</v>
      </c>
      <c r="AF223">
        <v>146.30000000000001</v>
      </c>
      <c r="AG223">
        <v>18</v>
      </c>
      <c r="AH223">
        <v>164.4</v>
      </c>
      <c r="AI223">
        <v>227.4</v>
      </c>
      <c r="AJ223">
        <v>8.4</v>
      </c>
      <c r="AK223">
        <v>1.0900000000000001</v>
      </c>
      <c r="AL223">
        <v>23.4</v>
      </c>
      <c r="AM223">
        <v>1040.9000000000001</v>
      </c>
      <c r="AN223">
        <v>0.11</v>
      </c>
      <c r="AO223">
        <v>227.9</v>
      </c>
      <c r="AP223">
        <v>52.6</v>
      </c>
      <c r="AQ223">
        <v>280.39999999999998</v>
      </c>
      <c r="AR223">
        <v>628.20000000000005</v>
      </c>
      <c r="AS223">
        <v>54.6</v>
      </c>
      <c r="AT223">
        <v>7.83</v>
      </c>
      <c r="AU223">
        <v>36</v>
      </c>
      <c r="AV223">
        <v>1892.6</v>
      </c>
      <c r="AW223">
        <v>0.33</v>
      </c>
      <c r="AX223">
        <v>631.79999999999995</v>
      </c>
      <c r="AY223">
        <v>89</v>
      </c>
      <c r="AZ223">
        <v>720.8</v>
      </c>
      <c r="BA223">
        <v>23599654.5</v>
      </c>
      <c r="BB223">
        <v>2306.3000000000002</v>
      </c>
      <c r="BC223">
        <v>332.3</v>
      </c>
      <c r="BD223">
        <v>1106158.6000000001</v>
      </c>
      <c r="BE223">
        <v>64014.6</v>
      </c>
      <c r="BF223">
        <v>11.8</v>
      </c>
      <c r="BG223">
        <v>23752296.100000001</v>
      </c>
      <c r="BH223">
        <v>2901687.3</v>
      </c>
      <c r="BI223">
        <v>26653983.399999999</v>
      </c>
      <c r="BJ223">
        <v>0</v>
      </c>
      <c r="BK223">
        <v>0</v>
      </c>
      <c r="BL223">
        <v>23599654.5</v>
      </c>
      <c r="BM223">
        <v>24705813.100000001</v>
      </c>
      <c r="BN223">
        <v>26653983.399999999</v>
      </c>
      <c r="BO223">
        <v>23.68</v>
      </c>
      <c r="BP223">
        <v>11.49</v>
      </c>
      <c r="BQ223">
        <v>0</v>
      </c>
      <c r="BR223">
        <v>35.17</v>
      </c>
      <c r="BS223">
        <v>25.32</v>
      </c>
      <c r="BT223">
        <v>12.59</v>
      </c>
      <c r="BU223">
        <v>0</v>
      </c>
      <c r="BV223">
        <v>37.909999999999997</v>
      </c>
      <c r="BW223">
        <v>191975790</v>
      </c>
      <c r="BX223">
        <v>158191740</v>
      </c>
      <c r="BY223">
        <v>0</v>
      </c>
      <c r="BZ223">
        <v>17838866</v>
      </c>
      <c r="CA223">
        <v>0</v>
      </c>
      <c r="CB223">
        <v>175614.4</v>
      </c>
      <c r="CC223">
        <v>9934451</v>
      </c>
      <c r="CD223">
        <v>0</v>
      </c>
      <c r="CE223">
        <v>217056.8</v>
      </c>
      <c r="CF223">
        <v>3240942</v>
      </c>
      <c r="CG223">
        <v>0</v>
      </c>
      <c r="CH223">
        <v>0</v>
      </c>
      <c r="CI223">
        <v>0</v>
      </c>
      <c r="CJ223">
        <v>115028250</v>
      </c>
      <c r="CK223">
        <v>0</v>
      </c>
      <c r="CL223">
        <v>0</v>
      </c>
      <c r="CM223">
        <v>40453676</v>
      </c>
      <c r="CN223">
        <v>2709811.5</v>
      </c>
      <c r="CO223">
        <v>272520.2</v>
      </c>
      <c r="CP223">
        <v>2104602.2000000002</v>
      </c>
      <c r="CQ223">
        <v>0</v>
      </c>
      <c r="CR223">
        <v>2278</v>
      </c>
      <c r="CS223">
        <v>0</v>
      </c>
      <c r="CT223">
        <v>0</v>
      </c>
      <c r="CU223">
        <v>6312.7</v>
      </c>
      <c r="CV223">
        <v>0</v>
      </c>
      <c r="CW223">
        <v>0</v>
      </c>
      <c r="CX223">
        <v>1811.4</v>
      </c>
      <c r="CY223">
        <v>9177.2999999999993</v>
      </c>
      <c r="CZ223">
        <v>0</v>
      </c>
      <c r="DA223">
        <v>3914.9</v>
      </c>
      <c r="DB223">
        <v>0</v>
      </c>
      <c r="DC223">
        <v>1647</v>
      </c>
      <c r="DD223">
        <v>0</v>
      </c>
      <c r="DE223">
        <v>5975.9</v>
      </c>
      <c r="DF223">
        <v>258</v>
      </c>
      <c r="DG223">
        <v>16247.6</v>
      </c>
      <c r="DH223">
        <v>0</v>
      </c>
      <c r="DI223">
        <v>30130.9</v>
      </c>
      <c r="DJ223">
        <v>0</v>
      </c>
      <c r="DK223">
        <v>8484.7999999999993</v>
      </c>
      <c r="DL223">
        <v>2580</v>
      </c>
      <c r="DM223">
        <v>0</v>
      </c>
      <c r="DN223">
        <v>0</v>
      </c>
      <c r="DO223">
        <v>0.04</v>
      </c>
      <c r="DP223">
        <v>0</v>
      </c>
      <c r="DQ223">
        <v>0.04</v>
      </c>
      <c r="DR223">
        <v>0</v>
      </c>
    </row>
    <row r="224" spans="1:122" x14ac:dyDescent="0.3">
      <c r="A224" t="s">
        <v>171</v>
      </c>
      <c r="B224">
        <v>2038</v>
      </c>
      <c r="C224">
        <v>159859298.5</v>
      </c>
      <c r="D224">
        <v>153246222.80000001</v>
      </c>
      <c r="E224">
        <v>147736748.90000001</v>
      </c>
      <c r="F224">
        <v>0</v>
      </c>
      <c r="G224">
        <v>4022764.8</v>
      </c>
      <c r="H224">
        <v>-5954313</v>
      </c>
      <c r="I224">
        <v>3710371.5</v>
      </c>
      <c r="J224">
        <v>312393</v>
      </c>
      <c r="K224">
        <v>2590311</v>
      </c>
      <c r="L224">
        <v>3.5900000000000001E-2</v>
      </c>
      <c r="M224">
        <v>5.3999999999999999E-2</v>
      </c>
      <c r="N224">
        <v>0.13600000000000001</v>
      </c>
      <c r="O224">
        <v>71649.86</v>
      </c>
      <c r="P224">
        <v>35710.199999999997</v>
      </c>
      <c r="Q224">
        <v>113.2</v>
      </c>
      <c r="R224">
        <v>10.8</v>
      </c>
      <c r="S224">
        <v>1.55</v>
      </c>
      <c r="T224">
        <v>5.6</v>
      </c>
      <c r="U224">
        <v>316.89999999999998</v>
      </c>
      <c r="V224">
        <v>0.06</v>
      </c>
      <c r="W224">
        <v>113.9</v>
      </c>
      <c r="X224">
        <v>14.5</v>
      </c>
      <c r="Y224">
        <v>128.4</v>
      </c>
      <c r="Z224">
        <v>136</v>
      </c>
      <c r="AA224">
        <v>13</v>
      </c>
      <c r="AB224">
        <v>1.86</v>
      </c>
      <c r="AC224">
        <v>6.8</v>
      </c>
      <c r="AD224">
        <v>381</v>
      </c>
      <c r="AE224">
        <v>7.0000000000000007E-2</v>
      </c>
      <c r="AF224">
        <v>136.9</v>
      </c>
      <c r="AG224">
        <v>17.5</v>
      </c>
      <c r="AH224">
        <v>154.4</v>
      </c>
      <c r="AI224">
        <v>238.6</v>
      </c>
      <c r="AJ224">
        <v>8.8000000000000007</v>
      </c>
      <c r="AK224">
        <v>1.1200000000000001</v>
      </c>
      <c r="AL224">
        <v>24.4</v>
      </c>
      <c r="AM224">
        <v>1105.4000000000001</v>
      </c>
      <c r="AN224">
        <v>0.11</v>
      </c>
      <c r="AO224">
        <v>239.1</v>
      </c>
      <c r="AP224">
        <v>55.3</v>
      </c>
      <c r="AQ224">
        <v>294.5</v>
      </c>
      <c r="AR224">
        <v>619.29999999999995</v>
      </c>
      <c r="AS224">
        <v>52.4</v>
      </c>
      <c r="AT224">
        <v>7.49</v>
      </c>
      <c r="AU224">
        <v>36.700000000000003</v>
      </c>
      <c r="AV224">
        <v>1915.4</v>
      </c>
      <c r="AW224">
        <v>0.32</v>
      </c>
      <c r="AX224">
        <v>622.79999999999995</v>
      </c>
      <c r="AY224">
        <v>90.5</v>
      </c>
      <c r="AZ224">
        <v>713.2</v>
      </c>
      <c r="BA224">
        <v>21575458.699999999</v>
      </c>
      <c r="BB224">
        <v>2051.6</v>
      </c>
      <c r="BC224">
        <v>294.89999999999998</v>
      </c>
      <c r="BD224">
        <v>1061706.6000000001</v>
      </c>
      <c r="BE224">
        <v>60414.5</v>
      </c>
      <c r="BF224">
        <v>10.7</v>
      </c>
      <c r="BG224">
        <v>21711060</v>
      </c>
      <c r="BH224">
        <v>2756139.9</v>
      </c>
      <c r="BI224">
        <v>24467199.800000001</v>
      </c>
      <c r="BJ224">
        <v>0</v>
      </c>
      <c r="BK224">
        <v>0</v>
      </c>
      <c r="BL224">
        <v>21575458.699999999</v>
      </c>
      <c r="BM224">
        <v>22637165.300000001</v>
      </c>
      <c r="BN224">
        <v>24467199.800000001</v>
      </c>
      <c r="BO224">
        <v>23.66</v>
      </c>
      <c r="BP224">
        <v>12.18</v>
      </c>
      <c r="BQ224">
        <v>0.01</v>
      </c>
      <c r="BR224">
        <v>35.86</v>
      </c>
      <c r="BS224">
        <v>25.36</v>
      </c>
      <c r="BT224">
        <v>13.46</v>
      </c>
      <c r="BU224">
        <v>0.01</v>
      </c>
      <c r="BV224">
        <v>38.840000000000003</v>
      </c>
      <c r="BW224">
        <v>192486300</v>
      </c>
      <c r="BX224">
        <v>159200530</v>
      </c>
      <c r="BY224">
        <v>0</v>
      </c>
      <c r="BZ224">
        <v>15751418</v>
      </c>
      <c r="CA224">
        <v>0</v>
      </c>
      <c r="CB224">
        <v>126613.3</v>
      </c>
      <c r="CC224">
        <v>10515552</v>
      </c>
      <c r="CD224">
        <v>0</v>
      </c>
      <c r="CE224">
        <v>221423.5</v>
      </c>
      <c r="CF224">
        <v>3271472.2</v>
      </c>
      <c r="CG224">
        <v>0</v>
      </c>
      <c r="CH224">
        <v>0</v>
      </c>
      <c r="CI224">
        <v>0</v>
      </c>
      <c r="CJ224">
        <v>115977470</v>
      </c>
      <c r="CK224">
        <v>0</v>
      </c>
      <c r="CL224">
        <v>0</v>
      </c>
      <c r="CM224">
        <v>40041056</v>
      </c>
      <c r="CN224">
        <v>3182010.2</v>
      </c>
      <c r="CO224">
        <v>250083.20000000001</v>
      </c>
      <c r="CP224">
        <v>3149212.2</v>
      </c>
      <c r="CQ224">
        <v>0</v>
      </c>
      <c r="CR224">
        <v>3177.8</v>
      </c>
      <c r="CS224">
        <v>0</v>
      </c>
      <c r="CT224">
        <v>0</v>
      </c>
      <c r="CU224">
        <v>4922.7</v>
      </c>
      <c r="CV224">
        <v>0</v>
      </c>
      <c r="CW224">
        <v>0</v>
      </c>
      <c r="CX224">
        <v>2098.9</v>
      </c>
      <c r="CY224">
        <v>8846.9</v>
      </c>
      <c r="CZ224">
        <v>0</v>
      </c>
      <c r="DA224">
        <v>3914.9</v>
      </c>
      <c r="DB224">
        <v>0</v>
      </c>
      <c r="DC224">
        <v>1647</v>
      </c>
      <c r="DD224">
        <v>0</v>
      </c>
      <c r="DE224">
        <v>5760.5</v>
      </c>
      <c r="DF224">
        <v>258</v>
      </c>
      <c r="DG224">
        <v>16244</v>
      </c>
      <c r="DH224">
        <v>0</v>
      </c>
      <c r="DI224">
        <v>30101.599999999999</v>
      </c>
      <c r="DJ224">
        <v>0</v>
      </c>
      <c r="DK224">
        <v>13387.8</v>
      </c>
      <c r="DL224">
        <v>2580</v>
      </c>
      <c r="DM224">
        <v>0</v>
      </c>
      <c r="DN224">
        <v>0</v>
      </c>
      <c r="DO224">
        <v>0.04</v>
      </c>
      <c r="DP224">
        <v>0</v>
      </c>
      <c r="DQ224">
        <v>0.04</v>
      </c>
      <c r="DR224">
        <v>0</v>
      </c>
    </row>
    <row r="225" spans="1:122" x14ac:dyDescent="0.3">
      <c r="A225" t="s">
        <v>171</v>
      </c>
      <c r="B225">
        <v>2040</v>
      </c>
      <c r="C225">
        <v>163232033.19999999</v>
      </c>
      <c r="D225">
        <v>156319703.59999999</v>
      </c>
      <c r="E225">
        <v>150699732.5</v>
      </c>
      <c r="F225">
        <v>0</v>
      </c>
      <c r="G225">
        <v>4302034</v>
      </c>
      <c r="H225">
        <v>-6172085</v>
      </c>
      <c r="I225">
        <v>4015222</v>
      </c>
      <c r="J225">
        <v>286812</v>
      </c>
      <c r="K225">
        <v>2610295.7000000002</v>
      </c>
      <c r="L225">
        <v>3.5900000000000001E-2</v>
      </c>
      <c r="M225">
        <v>5.3999999999999999E-2</v>
      </c>
      <c r="N225">
        <v>0.13600000000000001</v>
      </c>
      <c r="O225">
        <v>73411.78</v>
      </c>
      <c r="P225">
        <v>36427</v>
      </c>
      <c r="Q225">
        <v>108.5</v>
      </c>
      <c r="R225">
        <v>10.3</v>
      </c>
      <c r="S225">
        <v>1.47</v>
      </c>
      <c r="T225">
        <v>5.4</v>
      </c>
      <c r="U225">
        <v>305.5</v>
      </c>
      <c r="V225">
        <v>0.05</v>
      </c>
      <c r="W225">
        <v>109.1</v>
      </c>
      <c r="X225">
        <v>13.9</v>
      </c>
      <c r="Y225">
        <v>123.1</v>
      </c>
      <c r="Z225">
        <v>132.30000000000001</v>
      </c>
      <c r="AA225">
        <v>12.5</v>
      </c>
      <c r="AB225">
        <v>1.8</v>
      </c>
      <c r="AC225">
        <v>6.7</v>
      </c>
      <c r="AD225">
        <v>372.9</v>
      </c>
      <c r="AE225">
        <v>7.0000000000000007E-2</v>
      </c>
      <c r="AF225">
        <v>133.1</v>
      </c>
      <c r="AG225">
        <v>17.100000000000001</v>
      </c>
      <c r="AH225">
        <v>150.30000000000001</v>
      </c>
      <c r="AI225">
        <v>218.3</v>
      </c>
      <c r="AJ225">
        <v>8.3000000000000007</v>
      </c>
      <c r="AK225">
        <v>1.06</v>
      </c>
      <c r="AL225">
        <v>22.1</v>
      </c>
      <c r="AM225">
        <v>1005.9</v>
      </c>
      <c r="AN225">
        <v>0.1</v>
      </c>
      <c r="AO225">
        <v>218.8</v>
      </c>
      <c r="AP225">
        <v>50.3</v>
      </c>
      <c r="AQ225">
        <v>269</v>
      </c>
      <c r="AR225">
        <v>625.70000000000005</v>
      </c>
      <c r="AS225">
        <v>52.4</v>
      </c>
      <c r="AT225">
        <v>7.49</v>
      </c>
      <c r="AU225">
        <v>37.5</v>
      </c>
      <c r="AV225">
        <v>1953</v>
      </c>
      <c r="AW225">
        <v>0.32</v>
      </c>
      <c r="AX225">
        <v>629.20000000000005</v>
      </c>
      <c r="AY225">
        <v>92.3</v>
      </c>
      <c r="AZ225">
        <v>721.5</v>
      </c>
      <c r="BA225">
        <v>20999728.600000001</v>
      </c>
      <c r="BB225">
        <v>1987.1</v>
      </c>
      <c r="BC225">
        <v>285.5</v>
      </c>
      <c r="BD225">
        <v>1041388.4</v>
      </c>
      <c r="BE225">
        <v>59168.2</v>
      </c>
      <c r="BF225">
        <v>10.3</v>
      </c>
      <c r="BG225">
        <v>21131026</v>
      </c>
      <c r="BH225">
        <v>2700836.4</v>
      </c>
      <c r="BI225">
        <v>23831862.399999999</v>
      </c>
      <c r="BJ225">
        <v>0</v>
      </c>
      <c r="BK225">
        <v>0</v>
      </c>
      <c r="BL225">
        <v>20999728.600000001</v>
      </c>
      <c r="BM225">
        <v>22041117.100000001</v>
      </c>
      <c r="BN225">
        <v>23831862.399999999</v>
      </c>
      <c r="BO225">
        <v>24.06</v>
      </c>
      <c r="BP225">
        <v>12.68</v>
      </c>
      <c r="BQ225">
        <v>0.12</v>
      </c>
      <c r="BR225">
        <v>36.85</v>
      </c>
      <c r="BS225">
        <v>25.78</v>
      </c>
      <c r="BT225">
        <v>14.03</v>
      </c>
      <c r="BU225">
        <v>0.12</v>
      </c>
      <c r="BV225">
        <v>39.93</v>
      </c>
      <c r="BW225">
        <v>195577520</v>
      </c>
      <c r="BX225">
        <v>162491790</v>
      </c>
      <c r="BY225">
        <v>0</v>
      </c>
      <c r="BZ225">
        <v>15249315</v>
      </c>
      <c r="CA225">
        <v>0</v>
      </c>
      <c r="CB225">
        <v>100943.9</v>
      </c>
      <c r="CC225">
        <v>10538725</v>
      </c>
      <c r="CD225">
        <v>0</v>
      </c>
      <c r="CE225">
        <v>247993.60000000001</v>
      </c>
      <c r="CF225">
        <v>3315911.2</v>
      </c>
      <c r="CG225">
        <v>0</v>
      </c>
      <c r="CH225">
        <v>0</v>
      </c>
      <c r="CI225">
        <v>0</v>
      </c>
      <c r="CJ225">
        <v>118797900</v>
      </c>
      <c r="CK225">
        <v>0</v>
      </c>
      <c r="CL225">
        <v>0</v>
      </c>
      <c r="CM225">
        <v>40144788</v>
      </c>
      <c r="CN225">
        <v>3549095.5</v>
      </c>
      <c r="CO225">
        <v>230798.1</v>
      </c>
      <c r="CP225">
        <v>3402046</v>
      </c>
      <c r="CQ225">
        <v>0</v>
      </c>
      <c r="CR225">
        <v>3506</v>
      </c>
      <c r="CS225">
        <v>0</v>
      </c>
      <c r="CT225">
        <v>0</v>
      </c>
      <c r="CU225">
        <v>4575.2</v>
      </c>
      <c r="CV225">
        <v>0</v>
      </c>
      <c r="CW225">
        <v>0</v>
      </c>
      <c r="CX225">
        <v>2352.5</v>
      </c>
      <c r="CY225">
        <v>8846.9</v>
      </c>
      <c r="CZ225">
        <v>0</v>
      </c>
      <c r="DA225">
        <v>3730.9</v>
      </c>
      <c r="DB225">
        <v>0</v>
      </c>
      <c r="DC225">
        <v>1647</v>
      </c>
      <c r="DD225">
        <v>0</v>
      </c>
      <c r="DE225">
        <v>5600.7</v>
      </c>
      <c r="DF225">
        <v>258</v>
      </c>
      <c r="DG225">
        <v>16427.8</v>
      </c>
      <c r="DH225">
        <v>0</v>
      </c>
      <c r="DI225">
        <v>30410.7</v>
      </c>
      <c r="DJ225">
        <v>0</v>
      </c>
      <c r="DK225">
        <v>15408.6</v>
      </c>
      <c r="DL225">
        <v>2580</v>
      </c>
      <c r="DM225">
        <v>0</v>
      </c>
      <c r="DN225">
        <v>0</v>
      </c>
      <c r="DO225">
        <v>0.05</v>
      </c>
      <c r="DP225">
        <v>0.2</v>
      </c>
      <c r="DQ225">
        <v>0.05</v>
      </c>
      <c r="DR225">
        <v>0</v>
      </c>
    </row>
    <row r="226" spans="1:122" x14ac:dyDescent="0.3">
      <c r="A226" t="s">
        <v>171</v>
      </c>
      <c r="B226">
        <v>2042</v>
      </c>
      <c r="C226">
        <v>166732747.59999999</v>
      </c>
      <c r="D226">
        <v>159809736.5</v>
      </c>
      <c r="E226">
        <v>154064292.59999999</v>
      </c>
      <c r="F226">
        <v>0</v>
      </c>
      <c r="G226">
        <v>4167486</v>
      </c>
      <c r="H226">
        <v>-13882008.4</v>
      </c>
      <c r="I226">
        <v>3894091.5</v>
      </c>
      <c r="J226">
        <v>273394.40000000002</v>
      </c>
      <c r="K226">
        <v>2755525.1</v>
      </c>
      <c r="L226">
        <v>3.5900000000000001E-2</v>
      </c>
      <c r="M226">
        <v>5.3999999999999999E-2</v>
      </c>
      <c r="N226">
        <v>0.13600000000000001</v>
      </c>
      <c r="O226">
        <v>74922.28</v>
      </c>
      <c r="P226">
        <v>37240.9</v>
      </c>
      <c r="Q226">
        <v>102.8</v>
      </c>
      <c r="R226">
        <v>9.6999999999999993</v>
      </c>
      <c r="S226">
        <v>1.4</v>
      </c>
      <c r="T226">
        <v>5.0999999999999996</v>
      </c>
      <c r="U226">
        <v>289.8</v>
      </c>
      <c r="V226">
        <v>0.05</v>
      </c>
      <c r="W226">
        <v>103.4</v>
      </c>
      <c r="X226">
        <v>13.2</v>
      </c>
      <c r="Y226">
        <v>116.7</v>
      </c>
      <c r="Z226">
        <v>127.7</v>
      </c>
      <c r="AA226">
        <v>12.1</v>
      </c>
      <c r="AB226">
        <v>1.73</v>
      </c>
      <c r="AC226">
        <v>6.5</v>
      </c>
      <c r="AD226">
        <v>361.3</v>
      </c>
      <c r="AE226">
        <v>7.0000000000000007E-2</v>
      </c>
      <c r="AF226">
        <v>128.5</v>
      </c>
      <c r="AG226">
        <v>16.600000000000001</v>
      </c>
      <c r="AH226">
        <v>145.1</v>
      </c>
      <c r="AI226">
        <v>223.6</v>
      </c>
      <c r="AJ226">
        <v>8.9</v>
      </c>
      <c r="AK226">
        <v>1.1499999999999999</v>
      </c>
      <c r="AL226">
        <v>22.2</v>
      </c>
      <c r="AM226">
        <v>1018</v>
      </c>
      <c r="AN226">
        <v>0.1</v>
      </c>
      <c r="AO226">
        <v>224.1</v>
      </c>
      <c r="AP226">
        <v>50.8</v>
      </c>
      <c r="AQ226">
        <v>274.89999999999998</v>
      </c>
      <c r="AR226">
        <v>629.6</v>
      </c>
      <c r="AS226">
        <v>53</v>
      </c>
      <c r="AT226">
        <v>7.57</v>
      </c>
      <c r="AU226">
        <v>37.6</v>
      </c>
      <c r="AV226">
        <v>1959.5</v>
      </c>
      <c r="AW226">
        <v>0.32</v>
      </c>
      <c r="AX226">
        <v>633.1</v>
      </c>
      <c r="AY226">
        <v>92.5</v>
      </c>
      <c r="AZ226">
        <v>725.6</v>
      </c>
      <c r="BA226">
        <v>21028040.800000001</v>
      </c>
      <c r="BB226">
        <v>1989.5</v>
      </c>
      <c r="BC226">
        <v>285.8</v>
      </c>
      <c r="BD226">
        <v>1042559.4</v>
      </c>
      <c r="BE226">
        <v>59294.5</v>
      </c>
      <c r="BF226">
        <v>10.3</v>
      </c>
      <c r="BG226">
        <v>21159484.399999999</v>
      </c>
      <c r="BH226">
        <v>2705538.7</v>
      </c>
      <c r="BI226">
        <v>23865023.199999999</v>
      </c>
      <c r="BJ226">
        <v>0</v>
      </c>
      <c r="BK226">
        <v>0</v>
      </c>
      <c r="BL226">
        <v>21028040.800000001</v>
      </c>
      <c r="BM226">
        <v>22070600.199999999</v>
      </c>
      <c r="BN226">
        <v>23865023.199999999</v>
      </c>
      <c r="BO226">
        <v>23.97</v>
      </c>
      <c r="BP226">
        <v>13.47</v>
      </c>
      <c r="BQ226">
        <v>0.01</v>
      </c>
      <c r="BR226">
        <v>37.44</v>
      </c>
      <c r="BS226">
        <v>25.66</v>
      </c>
      <c r="BT226">
        <v>14.94</v>
      </c>
      <c r="BU226">
        <v>0.01</v>
      </c>
      <c r="BV226">
        <v>40.6</v>
      </c>
      <c r="BW226">
        <v>206683500</v>
      </c>
      <c r="BX226">
        <v>173691740</v>
      </c>
      <c r="BY226">
        <v>0</v>
      </c>
      <c r="BZ226">
        <v>15269243</v>
      </c>
      <c r="CA226">
        <v>0</v>
      </c>
      <c r="CB226">
        <v>86801.5</v>
      </c>
      <c r="CC226">
        <v>10508246</v>
      </c>
      <c r="CD226">
        <v>0</v>
      </c>
      <c r="CE226">
        <v>275422.2</v>
      </c>
      <c r="CF226">
        <v>3327338.8</v>
      </c>
      <c r="CG226">
        <v>0</v>
      </c>
      <c r="CH226">
        <v>0</v>
      </c>
      <c r="CI226">
        <v>0</v>
      </c>
      <c r="CJ226">
        <v>130298920</v>
      </c>
      <c r="CK226">
        <v>0</v>
      </c>
      <c r="CL226">
        <v>0</v>
      </c>
      <c r="CM226">
        <v>39511070</v>
      </c>
      <c r="CN226">
        <v>3881749.2</v>
      </c>
      <c r="CO226">
        <v>218791.5</v>
      </c>
      <c r="CP226">
        <v>3305915.2</v>
      </c>
      <c r="CQ226">
        <v>0</v>
      </c>
      <c r="CR226">
        <v>3578.3</v>
      </c>
      <c r="CS226">
        <v>0</v>
      </c>
      <c r="CT226">
        <v>0</v>
      </c>
      <c r="CU226">
        <v>4575.2</v>
      </c>
      <c r="CV226">
        <v>0</v>
      </c>
      <c r="CW226">
        <v>0</v>
      </c>
      <c r="CX226">
        <v>2581.9</v>
      </c>
      <c r="CY226">
        <v>8846.9</v>
      </c>
      <c r="CZ226">
        <v>0</v>
      </c>
      <c r="DA226">
        <v>3730.9</v>
      </c>
      <c r="DB226">
        <v>0</v>
      </c>
      <c r="DC226">
        <v>1647</v>
      </c>
      <c r="DD226">
        <v>0</v>
      </c>
      <c r="DE226">
        <v>5331.4</v>
      </c>
      <c r="DF226">
        <v>258</v>
      </c>
      <c r="DG226">
        <v>16372</v>
      </c>
      <c r="DH226">
        <v>0</v>
      </c>
      <c r="DI226">
        <v>32844.5</v>
      </c>
      <c r="DJ226">
        <v>0</v>
      </c>
      <c r="DK226">
        <v>15836</v>
      </c>
      <c r="DL226">
        <v>2580</v>
      </c>
      <c r="DM226">
        <v>0</v>
      </c>
      <c r="DN226">
        <v>0</v>
      </c>
      <c r="DO226">
        <v>0.05</v>
      </c>
      <c r="DP226">
        <v>0</v>
      </c>
      <c r="DQ226">
        <v>0.05</v>
      </c>
      <c r="DR226">
        <v>0</v>
      </c>
    </row>
    <row r="227" spans="1:122" x14ac:dyDescent="0.3">
      <c r="A227" t="s">
        <v>171</v>
      </c>
      <c r="B227">
        <v>2044</v>
      </c>
      <c r="C227">
        <v>170704167.40000001</v>
      </c>
      <c r="D227">
        <v>163727580.09999999</v>
      </c>
      <c r="E227">
        <v>157841282.69999999</v>
      </c>
      <c r="F227">
        <v>0</v>
      </c>
      <c r="G227">
        <v>4143827.5</v>
      </c>
      <c r="H227">
        <v>-6963760.5</v>
      </c>
      <c r="I227">
        <v>3885432</v>
      </c>
      <c r="J227">
        <v>258395.4</v>
      </c>
      <c r="K227">
        <v>2832759.9</v>
      </c>
      <c r="L227">
        <v>3.5900000000000001E-2</v>
      </c>
      <c r="M227">
        <v>5.3999999999999999E-2</v>
      </c>
      <c r="N227">
        <v>0.13600000000000001</v>
      </c>
      <c r="O227">
        <v>80018.13</v>
      </c>
      <c r="P227">
        <v>38151.800000000003</v>
      </c>
      <c r="Q227">
        <v>104.7</v>
      </c>
      <c r="R227">
        <v>10</v>
      </c>
      <c r="S227">
        <v>1.43</v>
      </c>
      <c r="T227">
        <v>5.0999999999999996</v>
      </c>
      <c r="U227">
        <v>293.3</v>
      </c>
      <c r="V227">
        <v>0.05</v>
      </c>
      <c r="W227">
        <v>105.4</v>
      </c>
      <c r="X227">
        <v>13.4</v>
      </c>
      <c r="Y227">
        <v>118.7</v>
      </c>
      <c r="Z227">
        <v>128.80000000000001</v>
      </c>
      <c r="AA227">
        <v>12.2</v>
      </c>
      <c r="AB227">
        <v>1.74</v>
      </c>
      <c r="AC227">
        <v>6.6</v>
      </c>
      <c r="AD227">
        <v>365.3</v>
      </c>
      <c r="AE227">
        <v>7.0000000000000007E-2</v>
      </c>
      <c r="AF227">
        <v>129.6</v>
      </c>
      <c r="AG227">
        <v>16.8</v>
      </c>
      <c r="AH227">
        <v>146.4</v>
      </c>
      <c r="AI227">
        <v>210.7</v>
      </c>
      <c r="AJ227">
        <v>9.1</v>
      </c>
      <c r="AK227">
        <v>1.19</v>
      </c>
      <c r="AL227">
        <v>20.3</v>
      </c>
      <c r="AM227">
        <v>936.1</v>
      </c>
      <c r="AN227">
        <v>0.1</v>
      </c>
      <c r="AO227">
        <v>211.2</v>
      </c>
      <c r="AP227">
        <v>46.5</v>
      </c>
      <c r="AQ227">
        <v>257.7</v>
      </c>
      <c r="AR227">
        <v>624.9</v>
      </c>
      <c r="AS227">
        <v>51.4</v>
      </c>
      <c r="AT227">
        <v>7.32</v>
      </c>
      <c r="AU227">
        <v>38.299999999999997</v>
      </c>
      <c r="AV227">
        <v>1984.4</v>
      </c>
      <c r="AW227">
        <v>0.32</v>
      </c>
      <c r="AX227">
        <v>628.29999999999995</v>
      </c>
      <c r="AY227">
        <v>94</v>
      </c>
      <c r="AZ227">
        <v>722.3</v>
      </c>
      <c r="BA227">
        <v>21111924.600000001</v>
      </c>
      <c r="BB227">
        <v>2010.2</v>
      </c>
      <c r="BC227">
        <v>288.89999999999998</v>
      </c>
      <c r="BD227">
        <v>1035021.6</v>
      </c>
      <c r="BE227">
        <v>59141.9</v>
      </c>
      <c r="BF227">
        <v>10.4</v>
      </c>
      <c r="BG227">
        <v>21244764.300000001</v>
      </c>
      <c r="BH227">
        <v>2693740.8</v>
      </c>
      <c r="BI227">
        <v>23938505.100000001</v>
      </c>
      <c r="BJ227">
        <v>0</v>
      </c>
      <c r="BK227">
        <v>0</v>
      </c>
      <c r="BL227">
        <v>21111924.600000001</v>
      </c>
      <c r="BM227">
        <v>22146946.199999999</v>
      </c>
      <c r="BN227">
        <v>23938505.100000001</v>
      </c>
      <c r="BO227">
        <v>24.45</v>
      </c>
      <c r="BP227">
        <v>14.64</v>
      </c>
      <c r="BQ227">
        <v>0</v>
      </c>
      <c r="BR227">
        <v>39.090000000000003</v>
      </c>
      <c r="BS227">
        <v>26.16</v>
      </c>
      <c r="BT227">
        <v>16.239999999999998</v>
      </c>
      <c r="BU227">
        <v>0</v>
      </c>
      <c r="BV227">
        <v>42.4</v>
      </c>
      <c r="BW227">
        <v>203649200</v>
      </c>
      <c r="BX227">
        <v>170691340</v>
      </c>
      <c r="BY227">
        <v>0</v>
      </c>
      <c r="BZ227">
        <v>15437898</v>
      </c>
      <c r="CA227">
        <v>0</v>
      </c>
      <c r="CB227">
        <v>82082.100000000006</v>
      </c>
      <c r="CC227">
        <v>10247851</v>
      </c>
      <c r="CD227">
        <v>0</v>
      </c>
      <c r="CE227">
        <v>344521.2</v>
      </c>
      <c r="CF227">
        <v>3345401.8</v>
      </c>
      <c r="CG227">
        <v>0</v>
      </c>
      <c r="CH227">
        <v>0</v>
      </c>
      <c r="CI227">
        <v>0</v>
      </c>
      <c r="CJ227">
        <v>126577430</v>
      </c>
      <c r="CK227">
        <v>0</v>
      </c>
      <c r="CL227">
        <v>0</v>
      </c>
      <c r="CM227">
        <v>39682132</v>
      </c>
      <c r="CN227">
        <v>4431768.5</v>
      </c>
      <c r="CO227">
        <v>207484.6</v>
      </c>
      <c r="CP227">
        <v>3292619.5</v>
      </c>
      <c r="CQ227">
        <v>0</v>
      </c>
      <c r="CR227">
        <v>3439.1</v>
      </c>
      <c r="CS227">
        <v>0</v>
      </c>
      <c r="CT227">
        <v>0</v>
      </c>
      <c r="CU227">
        <v>4575.2</v>
      </c>
      <c r="CV227">
        <v>0</v>
      </c>
      <c r="CW227">
        <v>0</v>
      </c>
      <c r="CX227">
        <v>2928.7</v>
      </c>
      <c r="CY227">
        <v>8846.9</v>
      </c>
      <c r="CZ227">
        <v>0</v>
      </c>
      <c r="DA227">
        <v>4058.7</v>
      </c>
      <c r="DB227">
        <v>0</v>
      </c>
      <c r="DC227">
        <v>1647</v>
      </c>
      <c r="DD227">
        <v>0</v>
      </c>
      <c r="DE227">
        <v>4792.8999999999996</v>
      </c>
      <c r="DF227">
        <v>258</v>
      </c>
      <c r="DG227">
        <v>16596.900000000001</v>
      </c>
      <c r="DH227">
        <v>0</v>
      </c>
      <c r="DI227">
        <v>31443.7</v>
      </c>
      <c r="DJ227">
        <v>0</v>
      </c>
      <c r="DK227">
        <v>16302.2</v>
      </c>
      <c r="DL227">
        <v>2580</v>
      </c>
      <c r="DM227">
        <v>0</v>
      </c>
      <c r="DN227">
        <v>0</v>
      </c>
      <c r="DO227">
        <v>0.05</v>
      </c>
      <c r="DP227">
        <v>0</v>
      </c>
      <c r="DQ227">
        <v>0.05</v>
      </c>
      <c r="DR227">
        <v>0</v>
      </c>
    </row>
    <row r="228" spans="1:122" x14ac:dyDescent="0.3">
      <c r="A228" t="s">
        <v>171</v>
      </c>
      <c r="B228">
        <v>2046</v>
      </c>
      <c r="C228">
        <v>175439229.69999999</v>
      </c>
      <c r="D228">
        <v>167532841.80000001</v>
      </c>
      <c r="E228">
        <v>161509738.5</v>
      </c>
      <c r="F228">
        <v>0</v>
      </c>
      <c r="G228">
        <v>4788716.5</v>
      </c>
      <c r="H228">
        <v>-23997242.300000001</v>
      </c>
      <c r="I228">
        <v>4549854.5</v>
      </c>
      <c r="J228">
        <v>238862</v>
      </c>
      <c r="K228">
        <v>3117671.4</v>
      </c>
      <c r="L228">
        <v>3.5900000000000001E-2</v>
      </c>
      <c r="M228">
        <v>5.3999999999999999E-2</v>
      </c>
      <c r="N228">
        <v>0.13600000000000001</v>
      </c>
      <c r="O228">
        <v>81615.600000000006</v>
      </c>
      <c r="P228">
        <v>39039</v>
      </c>
      <c r="Q228">
        <v>92.5</v>
      </c>
      <c r="R228">
        <v>8.9</v>
      </c>
      <c r="S228">
        <v>1.28</v>
      </c>
      <c r="T228">
        <v>4.5</v>
      </c>
      <c r="U228">
        <v>257.2</v>
      </c>
      <c r="V228">
        <v>0.05</v>
      </c>
      <c r="W228">
        <v>93.1</v>
      </c>
      <c r="X228">
        <v>11.7</v>
      </c>
      <c r="Y228">
        <v>104.8</v>
      </c>
      <c r="Z228">
        <v>114.3</v>
      </c>
      <c r="AA228">
        <v>10.7</v>
      </c>
      <c r="AB228">
        <v>1.54</v>
      </c>
      <c r="AC228">
        <v>5.8</v>
      </c>
      <c r="AD228">
        <v>325.5</v>
      </c>
      <c r="AE228">
        <v>0.06</v>
      </c>
      <c r="AF228">
        <v>115</v>
      </c>
      <c r="AG228">
        <v>15</v>
      </c>
      <c r="AH228">
        <v>129.9</v>
      </c>
      <c r="AI228">
        <v>197.4</v>
      </c>
      <c r="AJ228">
        <v>9</v>
      </c>
      <c r="AK228">
        <v>1.19</v>
      </c>
      <c r="AL228">
        <v>18.600000000000001</v>
      </c>
      <c r="AM228">
        <v>862.8</v>
      </c>
      <c r="AN228">
        <v>0.09</v>
      </c>
      <c r="AO228">
        <v>198</v>
      </c>
      <c r="AP228">
        <v>42.8</v>
      </c>
      <c r="AQ228">
        <v>240.8</v>
      </c>
      <c r="AR228">
        <v>574.29999999999995</v>
      </c>
      <c r="AS228">
        <v>45.5</v>
      </c>
      <c r="AT228">
        <v>6.46</v>
      </c>
      <c r="AU228">
        <v>36.700000000000003</v>
      </c>
      <c r="AV228">
        <v>1886.6</v>
      </c>
      <c r="AW228">
        <v>0.28999999999999998</v>
      </c>
      <c r="AX228">
        <v>577.29999999999995</v>
      </c>
      <c r="AY228">
        <v>89.6</v>
      </c>
      <c r="AZ228">
        <v>666.9</v>
      </c>
      <c r="BA228">
        <v>20531760.399999999</v>
      </c>
      <c r="BB228">
        <v>1971.9</v>
      </c>
      <c r="BC228">
        <v>283.39999999999998</v>
      </c>
      <c r="BD228">
        <v>989551.4</v>
      </c>
      <c r="BE228">
        <v>57099.9</v>
      </c>
      <c r="BF228">
        <v>10</v>
      </c>
      <c r="BG228">
        <v>20662085.600000001</v>
      </c>
      <c r="BH228">
        <v>2590998.4</v>
      </c>
      <c r="BI228">
        <v>23253084</v>
      </c>
      <c r="BJ228">
        <v>0</v>
      </c>
      <c r="BK228">
        <v>0</v>
      </c>
      <c r="BL228">
        <v>20531760.399999999</v>
      </c>
      <c r="BM228">
        <v>21521311.800000001</v>
      </c>
      <c r="BN228">
        <v>23253084</v>
      </c>
      <c r="BO228">
        <v>23.19</v>
      </c>
      <c r="BP228">
        <v>14</v>
      </c>
      <c r="BQ228">
        <v>0</v>
      </c>
      <c r="BR228">
        <v>37.19</v>
      </c>
      <c r="BS228">
        <v>24.87</v>
      </c>
      <c r="BT228">
        <v>15.55</v>
      </c>
      <c r="BU228">
        <v>0</v>
      </c>
      <c r="BV228">
        <v>40.43</v>
      </c>
      <c r="BW228">
        <v>224201140</v>
      </c>
      <c r="BX228">
        <v>191530080</v>
      </c>
      <c r="BY228">
        <v>0</v>
      </c>
      <c r="BZ228">
        <v>15181267</v>
      </c>
      <c r="CA228">
        <v>0</v>
      </c>
      <c r="CB228">
        <v>33745.300000000003</v>
      </c>
      <c r="CC228">
        <v>9783272</v>
      </c>
      <c r="CD228">
        <v>0</v>
      </c>
      <c r="CE228">
        <v>328296.40000000002</v>
      </c>
      <c r="CF228">
        <v>3280597</v>
      </c>
      <c r="CG228">
        <v>0</v>
      </c>
      <c r="CH228">
        <v>0</v>
      </c>
      <c r="CI228">
        <v>0</v>
      </c>
      <c r="CJ228">
        <v>141572210</v>
      </c>
      <c r="CK228">
        <v>0</v>
      </c>
      <c r="CL228">
        <v>0</v>
      </c>
      <c r="CM228">
        <v>45028760</v>
      </c>
      <c r="CN228">
        <v>4929113.5</v>
      </c>
      <c r="CO228">
        <v>191925.4</v>
      </c>
      <c r="CP228">
        <v>3871952.5</v>
      </c>
      <c r="CQ228">
        <v>0</v>
      </c>
      <c r="CR228">
        <v>4031.1</v>
      </c>
      <c r="CS228">
        <v>0</v>
      </c>
      <c r="CT228">
        <v>0</v>
      </c>
      <c r="CU228">
        <v>4575.2</v>
      </c>
      <c r="CV228">
        <v>0</v>
      </c>
      <c r="CW228">
        <v>0</v>
      </c>
      <c r="CX228">
        <v>3304.4</v>
      </c>
      <c r="CY228">
        <v>9014.6</v>
      </c>
      <c r="CZ228">
        <v>0</v>
      </c>
      <c r="DA228">
        <v>4607.6000000000004</v>
      </c>
      <c r="DB228">
        <v>0</v>
      </c>
      <c r="DC228">
        <v>1647</v>
      </c>
      <c r="DD228">
        <v>0</v>
      </c>
      <c r="DE228">
        <v>3137.4</v>
      </c>
      <c r="DF228">
        <v>258</v>
      </c>
      <c r="DG228">
        <v>18895.5</v>
      </c>
      <c r="DH228">
        <v>0</v>
      </c>
      <c r="DI228">
        <v>34057.199999999997</v>
      </c>
      <c r="DJ228">
        <v>0</v>
      </c>
      <c r="DK228">
        <v>21771</v>
      </c>
      <c r="DL228">
        <v>2580</v>
      </c>
      <c r="DM228">
        <v>0</v>
      </c>
      <c r="DN228">
        <v>0</v>
      </c>
      <c r="DO228">
        <v>0.05</v>
      </c>
      <c r="DP228">
        <v>0</v>
      </c>
      <c r="DQ228">
        <v>0.06</v>
      </c>
      <c r="DR228">
        <v>0</v>
      </c>
    </row>
    <row r="229" spans="1:122" x14ac:dyDescent="0.3">
      <c r="A229" t="s">
        <v>171</v>
      </c>
      <c r="B229">
        <v>2048</v>
      </c>
      <c r="C229">
        <v>180546780.59999999</v>
      </c>
      <c r="D229">
        <v>171405652.59999999</v>
      </c>
      <c r="E229">
        <v>165243314.90000001</v>
      </c>
      <c r="F229">
        <v>0</v>
      </c>
      <c r="G229">
        <v>5891046</v>
      </c>
      <c r="H229">
        <v>-20362935.300000001</v>
      </c>
      <c r="I229">
        <v>5653365.5</v>
      </c>
      <c r="J229">
        <v>237680.8</v>
      </c>
      <c r="K229">
        <v>3250081.8</v>
      </c>
      <c r="L229">
        <v>3.5900000000000001E-2</v>
      </c>
      <c r="M229">
        <v>5.3999999999999999E-2</v>
      </c>
      <c r="N229">
        <v>0.13600000000000001</v>
      </c>
      <c r="O229">
        <v>82447.48</v>
      </c>
      <c r="P229">
        <v>39942</v>
      </c>
      <c r="Q229">
        <v>100.3</v>
      </c>
      <c r="R229">
        <v>9.5</v>
      </c>
      <c r="S229">
        <v>1.37</v>
      </c>
      <c r="T229">
        <v>4.9000000000000004</v>
      </c>
      <c r="U229">
        <v>282.89999999999998</v>
      </c>
      <c r="V229">
        <v>0.05</v>
      </c>
      <c r="W229">
        <v>100.9</v>
      </c>
      <c r="X229">
        <v>12.9</v>
      </c>
      <c r="Y229">
        <v>113.8</v>
      </c>
      <c r="Z229">
        <v>118</v>
      </c>
      <c r="AA229">
        <v>10.9</v>
      </c>
      <c r="AB229">
        <v>1.56</v>
      </c>
      <c r="AC229">
        <v>6.2</v>
      </c>
      <c r="AD229">
        <v>342.9</v>
      </c>
      <c r="AE229">
        <v>0.06</v>
      </c>
      <c r="AF229">
        <v>118.7</v>
      </c>
      <c r="AG229">
        <v>15.8</v>
      </c>
      <c r="AH229">
        <v>134.5</v>
      </c>
      <c r="AI229">
        <v>170.6</v>
      </c>
      <c r="AJ229">
        <v>8.3000000000000007</v>
      </c>
      <c r="AK229">
        <v>1.1100000000000001</v>
      </c>
      <c r="AL229">
        <v>15.5</v>
      </c>
      <c r="AM229">
        <v>728.4</v>
      </c>
      <c r="AN229">
        <v>0.08</v>
      </c>
      <c r="AO229">
        <v>171.1</v>
      </c>
      <c r="AP229">
        <v>35.9</v>
      </c>
      <c r="AQ229">
        <v>207.1</v>
      </c>
      <c r="AR229">
        <v>580.6</v>
      </c>
      <c r="AS229">
        <v>44.7</v>
      </c>
      <c r="AT229">
        <v>6.31</v>
      </c>
      <c r="AU229">
        <v>38.200000000000003</v>
      </c>
      <c r="AV229">
        <v>1957.1</v>
      </c>
      <c r="AW229">
        <v>0.28000000000000003</v>
      </c>
      <c r="AX229">
        <v>583.5</v>
      </c>
      <c r="AY229">
        <v>93.1</v>
      </c>
      <c r="AZ229">
        <v>676.7</v>
      </c>
      <c r="BA229">
        <v>22682737.300000001</v>
      </c>
      <c r="BB229">
        <v>2152.4</v>
      </c>
      <c r="BC229">
        <v>309</v>
      </c>
      <c r="BD229">
        <v>1116213.2</v>
      </c>
      <c r="BE229">
        <v>63965.1</v>
      </c>
      <c r="BF229">
        <v>11</v>
      </c>
      <c r="BG229">
        <v>22824896.800000001</v>
      </c>
      <c r="BH229">
        <v>2910149.4</v>
      </c>
      <c r="BI229">
        <v>25735046.300000001</v>
      </c>
      <c r="BJ229">
        <v>0</v>
      </c>
      <c r="BK229">
        <v>0</v>
      </c>
      <c r="BL229">
        <v>22682737.300000001</v>
      </c>
      <c r="BM229">
        <v>23798950.5</v>
      </c>
      <c r="BN229">
        <v>25735046.300000001</v>
      </c>
      <c r="BO229">
        <v>24.34</v>
      </c>
      <c r="BP229">
        <v>14.1</v>
      </c>
      <c r="BQ229">
        <v>0.02</v>
      </c>
      <c r="BR229">
        <v>38.46</v>
      </c>
      <c r="BS229">
        <v>26.13</v>
      </c>
      <c r="BT229">
        <v>15.74</v>
      </c>
      <c r="BU229">
        <v>0.02</v>
      </c>
      <c r="BV229">
        <v>41.89</v>
      </c>
      <c r="BW229">
        <v>228459980</v>
      </c>
      <c r="BX229">
        <v>191768590</v>
      </c>
      <c r="BY229">
        <v>0</v>
      </c>
      <c r="BZ229">
        <v>16477906</v>
      </c>
      <c r="CA229">
        <v>0</v>
      </c>
      <c r="CB229">
        <v>16265.5</v>
      </c>
      <c r="CC229">
        <v>11542096</v>
      </c>
      <c r="CD229">
        <v>0</v>
      </c>
      <c r="CE229">
        <v>344344.4</v>
      </c>
      <c r="CF229">
        <v>3311739</v>
      </c>
      <c r="CG229">
        <v>0</v>
      </c>
      <c r="CH229">
        <v>0</v>
      </c>
      <c r="CI229">
        <v>0</v>
      </c>
      <c r="CJ229">
        <v>139526850</v>
      </c>
      <c r="CK229">
        <v>0</v>
      </c>
      <c r="CL229">
        <v>0</v>
      </c>
      <c r="CM229">
        <v>46842136</v>
      </c>
      <c r="CN229">
        <v>5399601</v>
      </c>
      <c r="CO229">
        <v>190105.8</v>
      </c>
      <c r="CP229">
        <v>4808932.5</v>
      </c>
      <c r="CQ229">
        <v>0</v>
      </c>
      <c r="CR229">
        <v>4617.3999999999996</v>
      </c>
      <c r="CS229">
        <v>0</v>
      </c>
      <c r="CT229">
        <v>0</v>
      </c>
      <c r="CU229">
        <v>4575.2</v>
      </c>
      <c r="CV229">
        <v>0</v>
      </c>
      <c r="CW229">
        <v>0</v>
      </c>
      <c r="CX229">
        <v>3594</v>
      </c>
      <c r="CY229">
        <v>9177.7999999999993</v>
      </c>
      <c r="CZ229">
        <v>0</v>
      </c>
      <c r="DA229">
        <v>6143.7</v>
      </c>
      <c r="DB229">
        <v>0</v>
      </c>
      <c r="DC229">
        <v>1647</v>
      </c>
      <c r="DD229">
        <v>0</v>
      </c>
      <c r="DE229">
        <v>2706.5</v>
      </c>
      <c r="DF229">
        <v>258</v>
      </c>
      <c r="DG229">
        <v>19930.7</v>
      </c>
      <c r="DH229">
        <v>0</v>
      </c>
      <c r="DI229">
        <v>32855.699999999997</v>
      </c>
      <c r="DJ229">
        <v>0</v>
      </c>
      <c r="DK229">
        <v>25369.4</v>
      </c>
      <c r="DL229">
        <v>2580</v>
      </c>
      <c r="DM229">
        <v>0</v>
      </c>
      <c r="DN229">
        <v>0</v>
      </c>
      <c r="DO229">
        <v>0.05</v>
      </c>
      <c r="DP229">
        <v>0</v>
      </c>
      <c r="DQ229">
        <v>0.06</v>
      </c>
      <c r="DR229">
        <v>0</v>
      </c>
    </row>
    <row r="230" spans="1:122" x14ac:dyDescent="0.3">
      <c r="A230" t="s">
        <v>171</v>
      </c>
      <c r="B230">
        <v>2050</v>
      </c>
      <c r="C230">
        <v>184852459.80000001</v>
      </c>
      <c r="D230">
        <v>175661241.09999999</v>
      </c>
      <c r="E230">
        <v>169345907.40000001</v>
      </c>
      <c r="F230">
        <v>0</v>
      </c>
      <c r="G230">
        <v>5685491.5</v>
      </c>
      <c r="H230">
        <v>-22650777.300000001</v>
      </c>
      <c r="I230">
        <v>5446610.5</v>
      </c>
      <c r="J230">
        <v>238881.3</v>
      </c>
      <c r="K230">
        <v>3505727</v>
      </c>
      <c r="L230">
        <v>3.5900000000000001E-2</v>
      </c>
      <c r="M230">
        <v>5.3999999999999999E-2</v>
      </c>
      <c r="N230">
        <v>0.13600000000000001</v>
      </c>
      <c r="O230">
        <v>83123.759999999995</v>
      </c>
      <c r="P230">
        <v>40934.699999999997</v>
      </c>
      <c r="Q230">
        <v>91.8</v>
      </c>
      <c r="R230">
        <v>8.6</v>
      </c>
      <c r="S230">
        <v>1.23</v>
      </c>
      <c r="T230">
        <v>4.5999999999999996</v>
      </c>
      <c r="U230">
        <v>262.39999999999998</v>
      </c>
      <c r="V230">
        <v>0.04</v>
      </c>
      <c r="W230">
        <v>92.3</v>
      </c>
      <c r="X230">
        <v>12</v>
      </c>
      <c r="Y230">
        <v>104.3</v>
      </c>
      <c r="Z230">
        <v>107.4</v>
      </c>
      <c r="AA230">
        <v>9.8000000000000007</v>
      </c>
      <c r="AB230">
        <v>1.41</v>
      </c>
      <c r="AC230">
        <v>5.7</v>
      </c>
      <c r="AD230">
        <v>314.8</v>
      </c>
      <c r="AE230">
        <v>0.05</v>
      </c>
      <c r="AF230">
        <v>108</v>
      </c>
      <c r="AG230">
        <v>14.6</v>
      </c>
      <c r="AH230">
        <v>122.6</v>
      </c>
      <c r="AI230">
        <v>169.9</v>
      </c>
      <c r="AJ230">
        <v>8.5</v>
      </c>
      <c r="AK230">
        <v>1.1299999999999999</v>
      </c>
      <c r="AL230">
        <v>15.3</v>
      </c>
      <c r="AM230">
        <v>721.3</v>
      </c>
      <c r="AN230">
        <v>0.08</v>
      </c>
      <c r="AO230">
        <v>170.5</v>
      </c>
      <c r="AP230">
        <v>35.5</v>
      </c>
      <c r="AQ230">
        <v>206</v>
      </c>
      <c r="AR230">
        <v>542.6</v>
      </c>
      <c r="AS230">
        <v>41</v>
      </c>
      <c r="AT230">
        <v>5.79</v>
      </c>
      <c r="AU230">
        <v>36.4</v>
      </c>
      <c r="AV230">
        <v>1854.2</v>
      </c>
      <c r="AW230">
        <v>0.26</v>
      </c>
      <c r="AX230">
        <v>545.29999999999995</v>
      </c>
      <c r="AY230">
        <v>88.4</v>
      </c>
      <c r="AZ230">
        <v>633.70000000000005</v>
      </c>
      <c r="BA230">
        <v>21171714.699999999</v>
      </c>
      <c r="BB230">
        <v>1984.5</v>
      </c>
      <c r="BC230">
        <v>284.60000000000002</v>
      </c>
      <c r="BD230">
        <v>1063645.8</v>
      </c>
      <c r="BE230">
        <v>60510.2</v>
      </c>
      <c r="BF230">
        <v>10.199999999999999</v>
      </c>
      <c r="BG230">
        <v>21302707.899999999</v>
      </c>
      <c r="BH230">
        <v>2760641.2</v>
      </c>
      <c r="BI230">
        <v>24063349.100000001</v>
      </c>
      <c r="BJ230">
        <v>0</v>
      </c>
      <c r="BK230">
        <v>0</v>
      </c>
      <c r="BL230">
        <v>21171714.699999999</v>
      </c>
      <c r="BM230">
        <v>22235360.5</v>
      </c>
      <c r="BN230">
        <v>24063349.100000001</v>
      </c>
      <c r="BO230">
        <v>23.19</v>
      </c>
      <c r="BP230">
        <v>14.46</v>
      </c>
      <c r="BQ230">
        <v>0</v>
      </c>
      <c r="BR230">
        <v>37.64</v>
      </c>
      <c r="BS230">
        <v>24.91</v>
      </c>
      <c r="BT230">
        <v>16.11</v>
      </c>
      <c r="BU230">
        <v>0</v>
      </c>
      <c r="BV230">
        <v>41.03</v>
      </c>
      <c r="BW230">
        <v>233368910</v>
      </c>
      <c r="BX230">
        <v>198312020</v>
      </c>
      <c r="BY230">
        <v>0</v>
      </c>
      <c r="BZ230">
        <v>15164621</v>
      </c>
      <c r="CA230">
        <v>0</v>
      </c>
      <c r="CB230">
        <v>3382.4</v>
      </c>
      <c r="CC230">
        <v>11432770</v>
      </c>
      <c r="CD230">
        <v>0</v>
      </c>
      <c r="CE230">
        <v>379293.2</v>
      </c>
      <c r="CF230">
        <v>3244224</v>
      </c>
      <c r="CG230">
        <v>0</v>
      </c>
      <c r="CH230">
        <v>0</v>
      </c>
      <c r="CI230">
        <v>0</v>
      </c>
      <c r="CJ230">
        <v>144776460</v>
      </c>
      <c r="CK230">
        <v>0</v>
      </c>
      <c r="CL230">
        <v>0</v>
      </c>
      <c r="CM230">
        <v>47787840</v>
      </c>
      <c r="CN230">
        <v>5747713.5</v>
      </c>
      <c r="CO230">
        <v>191565.2</v>
      </c>
      <c r="CP230">
        <v>4641034.5</v>
      </c>
      <c r="CQ230">
        <v>0</v>
      </c>
      <c r="CR230">
        <v>4642.5</v>
      </c>
      <c r="CS230">
        <v>0</v>
      </c>
      <c r="CT230">
        <v>0</v>
      </c>
      <c r="CU230">
        <v>4575.2</v>
      </c>
      <c r="CV230">
        <v>0</v>
      </c>
      <c r="CW230">
        <v>0</v>
      </c>
      <c r="CX230">
        <v>3878</v>
      </c>
      <c r="CY230">
        <v>9207.7999999999993</v>
      </c>
      <c r="CZ230">
        <v>0</v>
      </c>
      <c r="DA230">
        <v>6377.9</v>
      </c>
      <c r="DB230">
        <v>0</v>
      </c>
      <c r="DC230">
        <v>1647</v>
      </c>
      <c r="DD230">
        <v>0</v>
      </c>
      <c r="DE230">
        <v>1347.6</v>
      </c>
      <c r="DF230">
        <v>258</v>
      </c>
      <c r="DG230">
        <v>20459.400000000001</v>
      </c>
      <c r="DH230">
        <v>0</v>
      </c>
      <c r="DI230">
        <v>33499.599999999999</v>
      </c>
      <c r="DJ230">
        <v>0</v>
      </c>
      <c r="DK230">
        <v>25423.200000000001</v>
      </c>
      <c r="DL230">
        <v>2580</v>
      </c>
      <c r="DM230">
        <v>0</v>
      </c>
      <c r="DN230">
        <v>0</v>
      </c>
      <c r="DO230">
        <v>0.05</v>
      </c>
      <c r="DP230">
        <v>0</v>
      </c>
      <c r="DQ230">
        <v>0.06</v>
      </c>
      <c r="DR230">
        <v>0</v>
      </c>
    </row>
    <row r="231" spans="1:122" x14ac:dyDescent="0.3">
      <c r="A231" t="s">
        <v>172</v>
      </c>
      <c r="B231">
        <v>2022</v>
      </c>
      <c r="C231">
        <v>210158744.80000001</v>
      </c>
      <c r="D231">
        <v>208027540.5</v>
      </c>
      <c r="E231">
        <v>200548860.59999999</v>
      </c>
      <c r="F231">
        <v>0</v>
      </c>
      <c r="G231">
        <v>36491.199999999997</v>
      </c>
      <c r="H231">
        <v>206157819.69999999</v>
      </c>
      <c r="I231">
        <v>9617.1</v>
      </c>
      <c r="J231">
        <v>26874.1</v>
      </c>
      <c r="K231">
        <v>2094713.1</v>
      </c>
      <c r="L231">
        <v>3.5900000000000001E-2</v>
      </c>
      <c r="M231">
        <v>5.3999999999999999E-2</v>
      </c>
      <c r="N231">
        <v>0.14299999999999999</v>
      </c>
      <c r="O231">
        <v>33186.839999999997</v>
      </c>
      <c r="P231">
        <v>45870.9</v>
      </c>
      <c r="Q231">
        <v>424.6</v>
      </c>
      <c r="R231">
        <v>26.6</v>
      </c>
      <c r="S231">
        <v>3.78</v>
      </c>
      <c r="T231">
        <v>37.1</v>
      </c>
      <c r="U231">
        <v>1534.7</v>
      </c>
      <c r="V231">
        <v>0.32</v>
      </c>
      <c r="W231">
        <v>426.4</v>
      </c>
      <c r="X231">
        <v>80.099999999999994</v>
      </c>
      <c r="Y231">
        <v>506.5</v>
      </c>
      <c r="Z231">
        <v>459.3</v>
      </c>
      <c r="AA231">
        <v>32.700000000000003</v>
      </c>
      <c r="AB231">
        <v>4.68</v>
      </c>
      <c r="AC231">
        <v>35.799999999999997</v>
      </c>
      <c r="AD231">
        <v>1556.9</v>
      </c>
      <c r="AE231">
        <v>0.32</v>
      </c>
      <c r="AF231">
        <v>461.5</v>
      </c>
      <c r="AG231">
        <v>79.5</v>
      </c>
      <c r="AH231">
        <v>541</v>
      </c>
      <c r="AI231">
        <v>569.1</v>
      </c>
      <c r="AJ231">
        <v>31.1</v>
      </c>
      <c r="AK231">
        <v>4.42</v>
      </c>
      <c r="AL231">
        <v>51</v>
      </c>
      <c r="AM231">
        <v>2156</v>
      </c>
      <c r="AN231">
        <v>0.38</v>
      </c>
      <c r="AO231">
        <v>571.20000000000005</v>
      </c>
      <c r="AP231">
        <v>111.5</v>
      </c>
      <c r="AQ231">
        <v>682.7</v>
      </c>
      <c r="AR231">
        <v>789.5</v>
      </c>
      <c r="AS231">
        <v>62.7</v>
      </c>
      <c r="AT231">
        <v>9.07</v>
      </c>
      <c r="AU231">
        <v>52.3</v>
      </c>
      <c r="AV231">
        <v>2434</v>
      </c>
      <c r="AW231">
        <v>0.5</v>
      </c>
      <c r="AX231">
        <v>793.7</v>
      </c>
      <c r="AY231">
        <v>120.6</v>
      </c>
      <c r="AZ231">
        <v>914.3</v>
      </c>
      <c r="BA231">
        <v>74008836.900000006</v>
      </c>
      <c r="BB231">
        <v>4629.3999999999996</v>
      </c>
      <c r="BC231">
        <v>659.2</v>
      </c>
      <c r="BD231">
        <v>6463161.7000000002</v>
      </c>
      <c r="BE231">
        <v>267504.7</v>
      </c>
      <c r="BF231">
        <v>55.7</v>
      </c>
      <c r="BG231">
        <v>74313146.700000003</v>
      </c>
      <c r="BH231">
        <v>13968067.5</v>
      </c>
      <c r="BI231">
        <v>88281214.299999997</v>
      </c>
      <c r="BJ231">
        <v>0</v>
      </c>
      <c r="BK231">
        <v>0</v>
      </c>
      <c r="BL231">
        <v>74008836.900000006</v>
      </c>
      <c r="BM231">
        <v>80471998.599999994</v>
      </c>
      <c r="BN231">
        <v>88281214.299999997</v>
      </c>
      <c r="BO231">
        <v>36.21</v>
      </c>
      <c r="BP231">
        <v>7</v>
      </c>
      <c r="BQ231">
        <v>0</v>
      </c>
      <c r="BR231">
        <v>43.22</v>
      </c>
      <c r="BS231">
        <v>38.35</v>
      </c>
      <c r="BT231">
        <v>7.58</v>
      </c>
      <c r="BU231">
        <v>0</v>
      </c>
      <c r="BV231">
        <v>45.94</v>
      </c>
      <c r="BW231">
        <v>175322480</v>
      </c>
      <c r="BX231">
        <v>1869720.8</v>
      </c>
      <c r="BY231">
        <v>42745996</v>
      </c>
      <c r="BZ231">
        <v>30715248</v>
      </c>
      <c r="CA231">
        <v>0</v>
      </c>
      <c r="CB231">
        <v>7423425.5</v>
      </c>
      <c r="CC231">
        <v>87063704</v>
      </c>
      <c r="CD231">
        <v>0</v>
      </c>
      <c r="CE231">
        <v>1382309.4</v>
      </c>
      <c r="CF231">
        <v>2872617.5</v>
      </c>
      <c r="CG231">
        <v>0</v>
      </c>
      <c r="CH231">
        <v>1219769.6000000001</v>
      </c>
      <c r="CI231">
        <v>0</v>
      </c>
      <c r="CJ231">
        <v>0</v>
      </c>
      <c r="CK231">
        <v>0</v>
      </c>
      <c r="CL231">
        <v>0</v>
      </c>
      <c r="CM231">
        <v>1613055.1</v>
      </c>
      <c r="CN231">
        <v>256665.7</v>
      </c>
      <c r="CO231">
        <v>21555.1</v>
      </c>
      <c r="CP231">
        <v>8138</v>
      </c>
      <c r="CQ231">
        <v>0</v>
      </c>
      <c r="CR231">
        <v>20</v>
      </c>
      <c r="CS231">
        <v>0</v>
      </c>
      <c r="CT231">
        <v>165.6</v>
      </c>
      <c r="CU231">
        <v>7289.8</v>
      </c>
      <c r="CV231">
        <v>0</v>
      </c>
      <c r="CW231">
        <v>0</v>
      </c>
      <c r="CX231">
        <v>178.3</v>
      </c>
      <c r="CY231">
        <v>19182.2</v>
      </c>
      <c r="CZ231">
        <v>0</v>
      </c>
      <c r="DA231">
        <v>3558.4</v>
      </c>
      <c r="DB231">
        <v>0</v>
      </c>
      <c r="DC231">
        <v>897</v>
      </c>
      <c r="DD231">
        <v>5351.7</v>
      </c>
      <c r="DE231">
        <v>12139.3</v>
      </c>
      <c r="DF231">
        <v>28</v>
      </c>
      <c r="DG231">
        <v>725.1</v>
      </c>
      <c r="DH231">
        <v>0</v>
      </c>
      <c r="DI231">
        <v>0</v>
      </c>
      <c r="DJ231">
        <v>0</v>
      </c>
      <c r="DK231">
        <v>40</v>
      </c>
      <c r="DL231">
        <v>280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</row>
    <row r="232" spans="1:122" x14ac:dyDescent="0.3">
      <c r="A232" t="s">
        <v>172</v>
      </c>
      <c r="B232">
        <v>2024</v>
      </c>
      <c r="C232">
        <v>216393688.09999999</v>
      </c>
      <c r="D232">
        <v>214547618.40000001</v>
      </c>
      <c r="E232">
        <v>206834538.69999999</v>
      </c>
      <c r="F232">
        <v>0</v>
      </c>
      <c r="G232">
        <v>38902.800000000003</v>
      </c>
      <c r="H232">
        <v>212632084.40000001</v>
      </c>
      <c r="I232">
        <v>10534.2</v>
      </c>
      <c r="J232">
        <v>28368.5</v>
      </c>
      <c r="K232">
        <v>1807166.9</v>
      </c>
      <c r="L232">
        <v>3.5900000000000001E-2</v>
      </c>
      <c r="M232">
        <v>5.3999999999999999E-2</v>
      </c>
      <c r="N232">
        <v>0.14299999999999999</v>
      </c>
      <c r="O232">
        <v>33186.01</v>
      </c>
      <c r="P232">
        <v>47308</v>
      </c>
      <c r="Q232">
        <v>387</v>
      </c>
      <c r="R232">
        <v>16.8</v>
      </c>
      <c r="S232">
        <v>2.37</v>
      </c>
      <c r="T232">
        <v>41.2</v>
      </c>
      <c r="U232">
        <v>1572.1</v>
      </c>
      <c r="V232">
        <v>0.33</v>
      </c>
      <c r="W232">
        <v>388.1</v>
      </c>
      <c r="X232">
        <v>85.3</v>
      </c>
      <c r="Y232">
        <v>473.4</v>
      </c>
      <c r="Z232">
        <v>407.1</v>
      </c>
      <c r="AA232">
        <v>20</v>
      </c>
      <c r="AB232">
        <v>2.84</v>
      </c>
      <c r="AC232">
        <v>40.700000000000003</v>
      </c>
      <c r="AD232">
        <v>1592.5</v>
      </c>
      <c r="AE232">
        <v>0.33</v>
      </c>
      <c r="AF232">
        <v>408.4</v>
      </c>
      <c r="AG232">
        <v>85.4</v>
      </c>
      <c r="AH232">
        <v>493.8</v>
      </c>
      <c r="AI232">
        <v>495.3</v>
      </c>
      <c r="AJ232">
        <v>23.7</v>
      </c>
      <c r="AK232">
        <v>3.29</v>
      </c>
      <c r="AL232">
        <v>47.2</v>
      </c>
      <c r="AM232">
        <v>2007.2</v>
      </c>
      <c r="AN232">
        <v>0.32</v>
      </c>
      <c r="AO232">
        <v>496.9</v>
      </c>
      <c r="AP232">
        <v>103.5</v>
      </c>
      <c r="AQ232">
        <v>600.29999999999995</v>
      </c>
      <c r="AR232">
        <v>770.5</v>
      </c>
      <c r="AS232">
        <v>59</v>
      </c>
      <c r="AT232">
        <v>8.5399999999999991</v>
      </c>
      <c r="AU232">
        <v>53.4</v>
      </c>
      <c r="AV232">
        <v>2421</v>
      </c>
      <c r="AW232">
        <v>0.51</v>
      </c>
      <c r="AX232">
        <v>774.5</v>
      </c>
      <c r="AY232">
        <v>121.3</v>
      </c>
      <c r="AZ232">
        <v>895.8</v>
      </c>
      <c r="BA232">
        <v>78592933.099999994</v>
      </c>
      <c r="BB232">
        <v>3405.4</v>
      </c>
      <c r="BC232">
        <v>481.1</v>
      </c>
      <c r="BD232">
        <v>8372935.4000000004</v>
      </c>
      <c r="BE232">
        <v>319222.8</v>
      </c>
      <c r="BF232">
        <v>66.599999999999994</v>
      </c>
      <c r="BG232">
        <v>78815781</v>
      </c>
      <c r="BH232">
        <v>17328825.600000001</v>
      </c>
      <c r="BI232">
        <v>96144606.599999994</v>
      </c>
      <c r="BJ232">
        <v>0</v>
      </c>
      <c r="BK232">
        <v>0</v>
      </c>
      <c r="BL232">
        <v>78592933.099999994</v>
      </c>
      <c r="BM232">
        <v>86965868.599999994</v>
      </c>
      <c r="BN232">
        <v>96144606.599999994</v>
      </c>
      <c r="BO232">
        <v>32.47</v>
      </c>
      <c r="BP232">
        <v>7.01</v>
      </c>
      <c r="BQ232">
        <v>0</v>
      </c>
      <c r="BR232">
        <v>39.479999999999997</v>
      </c>
      <c r="BS232">
        <v>34.380000000000003</v>
      </c>
      <c r="BT232">
        <v>7.58</v>
      </c>
      <c r="BU232">
        <v>0</v>
      </c>
      <c r="BV232">
        <v>41.97</v>
      </c>
      <c r="BW232">
        <v>204195600</v>
      </c>
      <c r="BX232">
        <v>1915534</v>
      </c>
      <c r="BY232">
        <v>42745996</v>
      </c>
      <c r="BZ232">
        <v>17353060</v>
      </c>
      <c r="CA232">
        <v>0</v>
      </c>
      <c r="CB232">
        <v>13028244</v>
      </c>
      <c r="CC232">
        <v>123136260</v>
      </c>
      <c r="CD232">
        <v>0</v>
      </c>
      <c r="CE232">
        <v>1892872.2</v>
      </c>
      <c r="CF232">
        <v>2871682.2</v>
      </c>
      <c r="CG232">
        <v>0</v>
      </c>
      <c r="CH232">
        <v>1219769.6000000001</v>
      </c>
      <c r="CI232">
        <v>0</v>
      </c>
      <c r="CJ232">
        <v>0</v>
      </c>
      <c r="CK232">
        <v>0</v>
      </c>
      <c r="CL232">
        <v>0</v>
      </c>
      <c r="CM232">
        <v>1590551.8</v>
      </c>
      <c r="CN232">
        <v>324982.2</v>
      </c>
      <c r="CO232">
        <v>23130</v>
      </c>
      <c r="CP232">
        <v>9055.1</v>
      </c>
      <c r="CQ232">
        <v>0</v>
      </c>
      <c r="CR232">
        <v>20</v>
      </c>
      <c r="CS232">
        <v>0</v>
      </c>
      <c r="CT232">
        <v>165.6</v>
      </c>
      <c r="CU232">
        <v>5639.4</v>
      </c>
      <c r="CV232">
        <v>0</v>
      </c>
      <c r="CW232">
        <v>0</v>
      </c>
      <c r="CX232">
        <v>226.8</v>
      </c>
      <c r="CY232">
        <v>22184.3</v>
      </c>
      <c r="CZ232">
        <v>0</v>
      </c>
      <c r="DA232">
        <v>3558.4</v>
      </c>
      <c r="DB232">
        <v>0</v>
      </c>
      <c r="DC232">
        <v>897</v>
      </c>
      <c r="DD232">
        <v>5351.7</v>
      </c>
      <c r="DE232">
        <v>11229.5</v>
      </c>
      <c r="DF232">
        <v>28</v>
      </c>
      <c r="DG232">
        <v>725.1</v>
      </c>
      <c r="DH232">
        <v>0</v>
      </c>
      <c r="DI232">
        <v>0</v>
      </c>
      <c r="DJ232">
        <v>0</v>
      </c>
      <c r="DK232">
        <v>40</v>
      </c>
      <c r="DL232">
        <v>280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</row>
    <row r="233" spans="1:122" x14ac:dyDescent="0.3">
      <c r="A233" t="s">
        <v>172</v>
      </c>
      <c r="B233">
        <v>2026</v>
      </c>
      <c r="C233">
        <v>221859790.40000001</v>
      </c>
      <c r="D233">
        <v>219893160.5</v>
      </c>
      <c r="E233">
        <v>211987906.59999999</v>
      </c>
      <c r="F233">
        <v>0</v>
      </c>
      <c r="G233">
        <v>37685.699999999997</v>
      </c>
      <c r="H233">
        <v>217745903.19999999</v>
      </c>
      <c r="I233">
        <v>9852.6</v>
      </c>
      <c r="J233">
        <v>27833</v>
      </c>
      <c r="K233">
        <v>1928944.3</v>
      </c>
      <c r="L233">
        <v>3.5900000000000001E-2</v>
      </c>
      <c r="M233">
        <v>5.3999999999999999E-2</v>
      </c>
      <c r="N233">
        <v>0.14299999999999999</v>
      </c>
      <c r="O233">
        <v>38756.75</v>
      </c>
      <c r="P233">
        <v>48487.6</v>
      </c>
      <c r="Q233">
        <v>377</v>
      </c>
      <c r="R233">
        <v>16.3</v>
      </c>
      <c r="S233">
        <v>2.2599999999999998</v>
      </c>
      <c r="T233">
        <v>39.799999999999997</v>
      </c>
      <c r="U233">
        <v>1566.8</v>
      </c>
      <c r="V233">
        <v>0.3</v>
      </c>
      <c r="W233">
        <v>378</v>
      </c>
      <c r="X233">
        <v>83.7</v>
      </c>
      <c r="Y233">
        <v>461.8</v>
      </c>
      <c r="Z233">
        <v>394.3</v>
      </c>
      <c r="AA233">
        <v>19.5</v>
      </c>
      <c r="AB233">
        <v>2.75</v>
      </c>
      <c r="AC233">
        <v>38.9</v>
      </c>
      <c r="AD233">
        <v>1564.4</v>
      </c>
      <c r="AE233">
        <v>0.3</v>
      </c>
      <c r="AF233">
        <v>395.6</v>
      </c>
      <c r="AG233">
        <v>82.8</v>
      </c>
      <c r="AH233">
        <v>478.4</v>
      </c>
      <c r="AI233">
        <v>355.7</v>
      </c>
      <c r="AJ233">
        <v>12.3</v>
      </c>
      <c r="AK233">
        <v>1.58</v>
      </c>
      <c r="AL233">
        <v>37.5</v>
      </c>
      <c r="AM233">
        <v>1643.5</v>
      </c>
      <c r="AN233">
        <v>0.19</v>
      </c>
      <c r="AO233">
        <v>356.5</v>
      </c>
      <c r="AP233">
        <v>83.6</v>
      </c>
      <c r="AQ233">
        <v>440</v>
      </c>
      <c r="AR233">
        <v>760</v>
      </c>
      <c r="AS233">
        <v>58.1</v>
      </c>
      <c r="AT233">
        <v>8.3699999999999992</v>
      </c>
      <c r="AU233">
        <v>52.1</v>
      </c>
      <c r="AV233">
        <v>2432.6999999999998</v>
      </c>
      <c r="AW233">
        <v>0.47</v>
      </c>
      <c r="AX233">
        <v>763.9</v>
      </c>
      <c r="AY233">
        <v>120.3</v>
      </c>
      <c r="AZ233">
        <v>884.2</v>
      </c>
      <c r="BA233">
        <v>77466713.299999997</v>
      </c>
      <c r="BB233">
        <v>3341.3</v>
      </c>
      <c r="BC233">
        <v>464.2</v>
      </c>
      <c r="BD233">
        <v>8182949.0999999996</v>
      </c>
      <c r="BE233">
        <v>321962.59999999998</v>
      </c>
      <c r="BF233">
        <v>61</v>
      </c>
      <c r="BG233">
        <v>77683271.5</v>
      </c>
      <c r="BH233">
        <v>17214055.699999999</v>
      </c>
      <c r="BI233">
        <v>94897327.200000003</v>
      </c>
      <c r="BJ233">
        <v>0</v>
      </c>
      <c r="BK233">
        <v>0</v>
      </c>
      <c r="BL233">
        <v>77466713.299999997</v>
      </c>
      <c r="BM233">
        <v>85649662.400000006</v>
      </c>
      <c r="BN233">
        <v>94897327.200000003</v>
      </c>
      <c r="BO233">
        <v>32.54</v>
      </c>
      <c r="BP233">
        <v>8.18</v>
      </c>
      <c r="BQ233">
        <v>0</v>
      </c>
      <c r="BR233">
        <v>40.72</v>
      </c>
      <c r="BS233">
        <v>34.47</v>
      </c>
      <c r="BT233">
        <v>8.86</v>
      </c>
      <c r="BU233">
        <v>0</v>
      </c>
      <c r="BV233">
        <v>43.33</v>
      </c>
      <c r="BW233">
        <v>206692030</v>
      </c>
      <c r="BX233">
        <v>2147257.2000000002</v>
      </c>
      <c r="BY233">
        <v>42745996</v>
      </c>
      <c r="BZ233">
        <v>17537536</v>
      </c>
      <c r="CA233">
        <v>0</v>
      </c>
      <c r="CB233">
        <v>10064815</v>
      </c>
      <c r="CC233">
        <v>128269780</v>
      </c>
      <c r="CD233">
        <v>0</v>
      </c>
      <c r="CE233">
        <v>1803615.2</v>
      </c>
      <c r="CF233">
        <v>2872598.2</v>
      </c>
      <c r="CG233">
        <v>0</v>
      </c>
      <c r="CH233">
        <v>1219769.6000000001</v>
      </c>
      <c r="CI233">
        <v>0</v>
      </c>
      <c r="CJ233">
        <v>0</v>
      </c>
      <c r="CK233">
        <v>0</v>
      </c>
      <c r="CL233">
        <v>0</v>
      </c>
      <c r="CM233">
        <v>1568361.2</v>
      </c>
      <c r="CN233">
        <v>578896</v>
      </c>
      <c r="CO233">
        <v>22314.7</v>
      </c>
      <c r="CP233">
        <v>8350.5</v>
      </c>
      <c r="CQ233">
        <v>0</v>
      </c>
      <c r="CR233">
        <v>20</v>
      </c>
      <c r="CS233">
        <v>0</v>
      </c>
      <c r="CT233">
        <v>165.6</v>
      </c>
      <c r="CU233">
        <v>4978.3</v>
      </c>
      <c r="CV233">
        <v>0</v>
      </c>
      <c r="CW233">
        <v>0</v>
      </c>
      <c r="CX233">
        <v>400.9</v>
      </c>
      <c r="CY233">
        <v>23589.4</v>
      </c>
      <c r="CZ233">
        <v>0</v>
      </c>
      <c r="DA233">
        <v>3558.4</v>
      </c>
      <c r="DB233">
        <v>0</v>
      </c>
      <c r="DC233">
        <v>897</v>
      </c>
      <c r="DD233">
        <v>5351.7</v>
      </c>
      <c r="DE233">
        <v>9253.5</v>
      </c>
      <c r="DF233">
        <v>28</v>
      </c>
      <c r="DG233">
        <v>725.1</v>
      </c>
      <c r="DH233">
        <v>0</v>
      </c>
      <c r="DI233">
        <v>0</v>
      </c>
      <c r="DJ233">
        <v>0</v>
      </c>
      <c r="DK233">
        <v>40</v>
      </c>
      <c r="DL233">
        <v>280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</row>
    <row r="234" spans="1:122" x14ac:dyDescent="0.3">
      <c r="A234" t="s">
        <v>172</v>
      </c>
      <c r="B234">
        <v>2028</v>
      </c>
      <c r="C234">
        <v>226100884.09999999</v>
      </c>
      <c r="D234">
        <v>223102875.19999999</v>
      </c>
      <c r="E234">
        <v>215082231</v>
      </c>
      <c r="F234">
        <v>0</v>
      </c>
      <c r="G234">
        <v>879990.3</v>
      </c>
      <c r="H234">
        <v>214084269.59999999</v>
      </c>
      <c r="I234">
        <v>848634.6</v>
      </c>
      <c r="J234">
        <v>31355.7</v>
      </c>
      <c r="K234">
        <v>2118018.6</v>
      </c>
      <c r="L234">
        <v>3.5900000000000001E-2</v>
      </c>
      <c r="M234">
        <v>5.3999999999999999E-2</v>
      </c>
      <c r="N234">
        <v>0.14299999999999999</v>
      </c>
      <c r="O234">
        <v>43667.95</v>
      </c>
      <c r="P234">
        <v>49196.4</v>
      </c>
      <c r="Q234">
        <v>354.4</v>
      </c>
      <c r="R234">
        <v>16.3</v>
      </c>
      <c r="S234">
        <v>2.25</v>
      </c>
      <c r="T234">
        <v>36.299999999999997</v>
      </c>
      <c r="U234">
        <v>1468.9</v>
      </c>
      <c r="V234">
        <v>0.26</v>
      </c>
      <c r="W234">
        <v>355.5</v>
      </c>
      <c r="X234">
        <v>77.5</v>
      </c>
      <c r="Y234">
        <v>433</v>
      </c>
      <c r="Z234">
        <v>380.2</v>
      </c>
      <c r="AA234">
        <v>21.1</v>
      </c>
      <c r="AB234">
        <v>2.96</v>
      </c>
      <c r="AC234">
        <v>35.1</v>
      </c>
      <c r="AD234">
        <v>1472</v>
      </c>
      <c r="AE234">
        <v>0.27</v>
      </c>
      <c r="AF234">
        <v>381.6</v>
      </c>
      <c r="AG234">
        <v>76.400000000000006</v>
      </c>
      <c r="AH234">
        <v>458</v>
      </c>
      <c r="AI234">
        <v>320.89999999999998</v>
      </c>
      <c r="AJ234">
        <v>10.3</v>
      </c>
      <c r="AK234">
        <v>1.32</v>
      </c>
      <c r="AL234">
        <v>34.6</v>
      </c>
      <c r="AM234">
        <v>1498.9</v>
      </c>
      <c r="AN234">
        <v>0.17</v>
      </c>
      <c r="AO234">
        <v>321.5</v>
      </c>
      <c r="AP234">
        <v>76.599999999999994</v>
      </c>
      <c r="AQ234">
        <v>398.1</v>
      </c>
      <c r="AR234">
        <v>754.5</v>
      </c>
      <c r="AS234">
        <v>57.9</v>
      </c>
      <c r="AT234">
        <v>8.32</v>
      </c>
      <c r="AU234">
        <v>51.3</v>
      </c>
      <c r="AV234">
        <v>2426.3000000000002</v>
      </c>
      <c r="AW234">
        <v>0.45</v>
      </c>
      <c r="AX234">
        <v>758.3</v>
      </c>
      <c r="AY234">
        <v>119.4</v>
      </c>
      <c r="AZ234">
        <v>877.7</v>
      </c>
      <c r="BA234">
        <v>71049530.200000003</v>
      </c>
      <c r="BB234">
        <v>3272.4</v>
      </c>
      <c r="BC234">
        <v>451.4</v>
      </c>
      <c r="BD234">
        <v>7276199.7000000002</v>
      </c>
      <c r="BE234">
        <v>294447</v>
      </c>
      <c r="BF234">
        <v>52.8</v>
      </c>
      <c r="BG234">
        <v>71260776.900000006</v>
      </c>
      <c r="BH234">
        <v>15534700.199999999</v>
      </c>
      <c r="BI234">
        <v>86795477.099999994</v>
      </c>
      <c r="BJ234">
        <v>0</v>
      </c>
      <c r="BK234">
        <v>0</v>
      </c>
      <c r="BL234">
        <v>71049530.200000003</v>
      </c>
      <c r="BM234">
        <v>78325729.799999997</v>
      </c>
      <c r="BN234">
        <v>86795477.099999994</v>
      </c>
      <c r="BO234">
        <v>33.630000000000003</v>
      </c>
      <c r="BP234">
        <v>9.0500000000000007</v>
      </c>
      <c r="BQ234">
        <v>0</v>
      </c>
      <c r="BR234">
        <v>42.68</v>
      </c>
      <c r="BS234">
        <v>35.65</v>
      </c>
      <c r="BT234">
        <v>9.82</v>
      </c>
      <c r="BU234">
        <v>0</v>
      </c>
      <c r="BV234">
        <v>45.47</v>
      </c>
      <c r="BW234">
        <v>201661800</v>
      </c>
      <c r="BX234">
        <v>9018606</v>
      </c>
      <c r="BY234">
        <v>42745996</v>
      </c>
      <c r="BZ234">
        <v>18645572</v>
      </c>
      <c r="CA234">
        <v>0</v>
      </c>
      <c r="CB234">
        <v>6915632</v>
      </c>
      <c r="CC234">
        <v>118143540</v>
      </c>
      <c r="CD234">
        <v>0</v>
      </c>
      <c r="CE234">
        <v>1350439.4</v>
      </c>
      <c r="CF234">
        <v>2871588.8</v>
      </c>
      <c r="CG234">
        <v>0</v>
      </c>
      <c r="CH234">
        <v>1219769.6000000001</v>
      </c>
      <c r="CI234">
        <v>0</v>
      </c>
      <c r="CJ234">
        <v>0</v>
      </c>
      <c r="CK234">
        <v>0</v>
      </c>
      <c r="CL234">
        <v>0</v>
      </c>
      <c r="CM234">
        <v>8042727</v>
      </c>
      <c r="CN234">
        <v>975877.9</v>
      </c>
      <c r="CO234">
        <v>25412.799999999999</v>
      </c>
      <c r="CP234">
        <v>725232.8</v>
      </c>
      <c r="CQ234">
        <v>0</v>
      </c>
      <c r="CR234">
        <v>705.2</v>
      </c>
      <c r="CS234">
        <v>0</v>
      </c>
      <c r="CT234">
        <v>165.6</v>
      </c>
      <c r="CU234">
        <v>3986.7</v>
      </c>
      <c r="CV234">
        <v>0</v>
      </c>
      <c r="CW234">
        <v>0</v>
      </c>
      <c r="CX234">
        <v>673.3</v>
      </c>
      <c r="CY234">
        <v>23589.4</v>
      </c>
      <c r="CZ234">
        <v>0</v>
      </c>
      <c r="DA234">
        <v>3558.4</v>
      </c>
      <c r="DB234">
        <v>0</v>
      </c>
      <c r="DC234">
        <v>897</v>
      </c>
      <c r="DD234">
        <v>5351.7</v>
      </c>
      <c r="DE234">
        <v>9200.2999999999993</v>
      </c>
      <c r="DF234">
        <v>28</v>
      </c>
      <c r="DG234">
        <v>3481.5</v>
      </c>
      <c r="DH234">
        <v>0</v>
      </c>
      <c r="DI234">
        <v>0</v>
      </c>
      <c r="DJ234">
        <v>0</v>
      </c>
      <c r="DK234">
        <v>2780.7</v>
      </c>
      <c r="DL234">
        <v>280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</row>
    <row r="235" spans="1:122" x14ac:dyDescent="0.3">
      <c r="A235" t="s">
        <v>172</v>
      </c>
      <c r="B235">
        <v>2030</v>
      </c>
      <c r="C235">
        <v>229363189.59999999</v>
      </c>
      <c r="D235">
        <v>226472355.69999999</v>
      </c>
      <c r="E235">
        <v>218330577.69999999</v>
      </c>
      <c r="F235">
        <v>0</v>
      </c>
      <c r="G235">
        <v>932901.2</v>
      </c>
      <c r="H235">
        <v>216833905.5</v>
      </c>
      <c r="I235">
        <v>903380.8</v>
      </c>
      <c r="J235">
        <v>29520.5</v>
      </c>
      <c r="K235">
        <v>1957932.6</v>
      </c>
      <c r="L235">
        <v>3.5900000000000001E-2</v>
      </c>
      <c r="M235">
        <v>5.3999999999999999E-2</v>
      </c>
      <c r="N235">
        <v>0.14299999999999999</v>
      </c>
      <c r="O235">
        <v>55865.83</v>
      </c>
      <c r="P235">
        <v>49936.1</v>
      </c>
      <c r="Q235">
        <v>341.3</v>
      </c>
      <c r="R235">
        <v>15.9</v>
      </c>
      <c r="S235">
        <v>2.17</v>
      </c>
      <c r="T235">
        <v>34.6</v>
      </c>
      <c r="U235">
        <v>1436.7</v>
      </c>
      <c r="V235">
        <v>0.24</v>
      </c>
      <c r="W235">
        <v>342.3</v>
      </c>
      <c r="X235">
        <v>74.8</v>
      </c>
      <c r="Y235">
        <v>417.2</v>
      </c>
      <c r="Z235">
        <v>365.1</v>
      </c>
      <c r="AA235">
        <v>20.9</v>
      </c>
      <c r="AB235">
        <v>2.91</v>
      </c>
      <c r="AC235">
        <v>32.9</v>
      </c>
      <c r="AD235">
        <v>1421.3</v>
      </c>
      <c r="AE235">
        <v>0.24</v>
      </c>
      <c r="AF235">
        <v>366.4</v>
      </c>
      <c r="AG235">
        <v>72.8</v>
      </c>
      <c r="AH235">
        <v>439.2</v>
      </c>
      <c r="AI235">
        <v>330.1</v>
      </c>
      <c r="AJ235">
        <v>10</v>
      </c>
      <c r="AK235">
        <v>1.24</v>
      </c>
      <c r="AL235">
        <v>36</v>
      </c>
      <c r="AM235">
        <v>1575.3</v>
      </c>
      <c r="AN235">
        <v>0.17</v>
      </c>
      <c r="AO235">
        <v>330.7</v>
      </c>
      <c r="AP235">
        <v>80.099999999999994</v>
      </c>
      <c r="AQ235">
        <v>410.8</v>
      </c>
      <c r="AR235">
        <v>744.4</v>
      </c>
      <c r="AS235">
        <v>56.7</v>
      </c>
      <c r="AT235">
        <v>8.17</v>
      </c>
      <c r="AU235">
        <v>51.3</v>
      </c>
      <c r="AV235">
        <v>2383.6999999999998</v>
      </c>
      <c r="AW235">
        <v>0.46</v>
      </c>
      <c r="AX235">
        <v>748.1</v>
      </c>
      <c r="AY235">
        <v>118.2</v>
      </c>
      <c r="AZ235">
        <v>866.3</v>
      </c>
      <c r="BA235">
        <v>66313323.399999999</v>
      </c>
      <c r="BB235">
        <v>3090.1</v>
      </c>
      <c r="BC235">
        <v>420.7</v>
      </c>
      <c r="BD235">
        <v>6716635.7000000002</v>
      </c>
      <c r="BE235">
        <v>279155.40000000002</v>
      </c>
      <c r="BF235">
        <v>46</v>
      </c>
      <c r="BG235">
        <v>66511335.299999997</v>
      </c>
      <c r="BH235">
        <v>14545188.800000001</v>
      </c>
      <c r="BI235">
        <v>81056524.099999994</v>
      </c>
      <c r="BJ235">
        <v>0</v>
      </c>
      <c r="BK235">
        <v>0</v>
      </c>
      <c r="BL235">
        <v>66313323.399999999</v>
      </c>
      <c r="BM235">
        <v>73029959.099999994</v>
      </c>
      <c r="BN235">
        <v>81056524.099999994</v>
      </c>
      <c r="BO235">
        <v>32.799999999999997</v>
      </c>
      <c r="BP235">
        <v>11.56</v>
      </c>
      <c r="BQ235">
        <v>0</v>
      </c>
      <c r="BR235">
        <v>44.36</v>
      </c>
      <c r="BS235">
        <v>34.76</v>
      </c>
      <c r="BT235">
        <v>12.55</v>
      </c>
      <c r="BU235">
        <v>0</v>
      </c>
      <c r="BV235">
        <v>47.31</v>
      </c>
      <c r="BW235">
        <v>195557820</v>
      </c>
      <c r="BX235">
        <v>9638450</v>
      </c>
      <c r="BY235">
        <v>42745996</v>
      </c>
      <c r="BZ235">
        <v>18241458</v>
      </c>
      <c r="CA235">
        <v>0</v>
      </c>
      <c r="CB235">
        <v>4233624</v>
      </c>
      <c r="CC235">
        <v>114756220</v>
      </c>
      <c r="CD235">
        <v>0</v>
      </c>
      <c r="CE235">
        <v>1059027</v>
      </c>
      <c r="CF235">
        <v>2871460</v>
      </c>
      <c r="CG235">
        <v>0</v>
      </c>
      <c r="CH235">
        <v>1219769.6000000001</v>
      </c>
      <c r="CI235">
        <v>0</v>
      </c>
      <c r="CJ235">
        <v>0</v>
      </c>
      <c r="CK235">
        <v>0</v>
      </c>
      <c r="CL235">
        <v>0</v>
      </c>
      <c r="CM235">
        <v>7930521.5</v>
      </c>
      <c r="CN235">
        <v>1707928.6</v>
      </c>
      <c r="CO235">
        <v>23627.200000000001</v>
      </c>
      <c r="CP235">
        <v>768193.4</v>
      </c>
      <c r="CQ235">
        <v>0</v>
      </c>
      <c r="CR235">
        <v>705.2</v>
      </c>
      <c r="CS235">
        <v>0</v>
      </c>
      <c r="CT235">
        <v>165.6</v>
      </c>
      <c r="CU235">
        <v>3986.7</v>
      </c>
      <c r="CV235">
        <v>0</v>
      </c>
      <c r="CW235">
        <v>0</v>
      </c>
      <c r="CX235">
        <v>1173.8</v>
      </c>
      <c r="CY235">
        <v>24072.3</v>
      </c>
      <c r="CZ235">
        <v>0</v>
      </c>
      <c r="DA235">
        <v>3558.4</v>
      </c>
      <c r="DB235">
        <v>0</v>
      </c>
      <c r="DC235">
        <v>897</v>
      </c>
      <c r="DD235">
        <v>5351.7</v>
      </c>
      <c r="DE235">
        <v>8348.4</v>
      </c>
      <c r="DF235">
        <v>28</v>
      </c>
      <c r="DG235">
        <v>3481.5</v>
      </c>
      <c r="DH235">
        <v>0</v>
      </c>
      <c r="DI235">
        <v>0</v>
      </c>
      <c r="DJ235">
        <v>0</v>
      </c>
      <c r="DK235">
        <v>2780.7</v>
      </c>
      <c r="DL235">
        <v>280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</row>
    <row r="236" spans="1:122" x14ac:dyDescent="0.3">
      <c r="A236" t="s">
        <v>172</v>
      </c>
      <c r="B236">
        <v>2032</v>
      </c>
      <c r="C236">
        <v>232927336.5</v>
      </c>
      <c r="D236">
        <v>230164839</v>
      </c>
      <c r="E236">
        <v>221890314.90000001</v>
      </c>
      <c r="F236">
        <v>0</v>
      </c>
      <c r="G236">
        <v>825155</v>
      </c>
      <c r="H236">
        <v>219704772.19999999</v>
      </c>
      <c r="I236">
        <v>800247.2</v>
      </c>
      <c r="J236">
        <v>24907.9</v>
      </c>
      <c r="K236">
        <v>1937342.5</v>
      </c>
      <c r="L236">
        <v>3.5900000000000001E-2</v>
      </c>
      <c r="M236">
        <v>5.3999999999999999E-2</v>
      </c>
      <c r="N236">
        <v>0.14299999999999999</v>
      </c>
      <c r="O236">
        <v>63882.78</v>
      </c>
      <c r="P236">
        <v>50751.7</v>
      </c>
      <c r="Q236">
        <v>329.8</v>
      </c>
      <c r="R236">
        <v>14.5</v>
      </c>
      <c r="S236">
        <v>1.93</v>
      </c>
      <c r="T236">
        <v>33.9</v>
      </c>
      <c r="U236">
        <v>1436.2</v>
      </c>
      <c r="V236">
        <v>0.21</v>
      </c>
      <c r="W236">
        <v>330.7</v>
      </c>
      <c r="X236">
        <v>74.2</v>
      </c>
      <c r="Y236">
        <v>404.9</v>
      </c>
      <c r="Z236">
        <v>351.6</v>
      </c>
      <c r="AA236">
        <v>19</v>
      </c>
      <c r="AB236">
        <v>2.6</v>
      </c>
      <c r="AC236">
        <v>32.5</v>
      </c>
      <c r="AD236">
        <v>1422.5</v>
      </c>
      <c r="AE236">
        <v>0.22</v>
      </c>
      <c r="AF236">
        <v>352.8</v>
      </c>
      <c r="AG236">
        <v>72.400000000000006</v>
      </c>
      <c r="AH236">
        <v>425.2</v>
      </c>
      <c r="AI236">
        <v>315.2</v>
      </c>
      <c r="AJ236">
        <v>7.2</v>
      </c>
      <c r="AK236">
        <v>0.81</v>
      </c>
      <c r="AL236">
        <v>36.299999999999997</v>
      </c>
      <c r="AM236">
        <v>1594.2</v>
      </c>
      <c r="AN236">
        <v>0.15</v>
      </c>
      <c r="AO236">
        <v>315.60000000000002</v>
      </c>
      <c r="AP236">
        <v>81</v>
      </c>
      <c r="AQ236">
        <v>396.5</v>
      </c>
      <c r="AR236">
        <v>729</v>
      </c>
      <c r="AS236">
        <v>55.5</v>
      </c>
      <c r="AT236">
        <v>7.96</v>
      </c>
      <c r="AU236">
        <v>49.9</v>
      </c>
      <c r="AV236">
        <v>2362.8000000000002</v>
      </c>
      <c r="AW236">
        <v>0.43</v>
      </c>
      <c r="AX236">
        <v>732.6</v>
      </c>
      <c r="AY236">
        <v>116.2</v>
      </c>
      <c r="AZ236">
        <v>848.8</v>
      </c>
      <c r="BA236">
        <v>67461863.299999997</v>
      </c>
      <c r="BB236">
        <v>2961.9</v>
      </c>
      <c r="BC236">
        <v>395.3</v>
      </c>
      <c r="BD236">
        <v>6935680.5</v>
      </c>
      <c r="BE236">
        <v>293839.90000000002</v>
      </c>
      <c r="BF236">
        <v>43.7</v>
      </c>
      <c r="BG236">
        <v>67649554.599999994</v>
      </c>
      <c r="BH236">
        <v>15174772.4</v>
      </c>
      <c r="BI236">
        <v>82824327</v>
      </c>
      <c r="BJ236">
        <v>0</v>
      </c>
      <c r="BK236">
        <v>0</v>
      </c>
      <c r="BL236">
        <v>67461863.299999997</v>
      </c>
      <c r="BM236">
        <v>74397543.799999997</v>
      </c>
      <c r="BN236">
        <v>82824327</v>
      </c>
      <c r="BO236">
        <v>31.87</v>
      </c>
      <c r="BP236">
        <v>13.18</v>
      </c>
      <c r="BQ236">
        <v>0</v>
      </c>
      <c r="BR236">
        <v>45.05</v>
      </c>
      <c r="BS236">
        <v>33.770000000000003</v>
      </c>
      <c r="BT236">
        <v>14.31</v>
      </c>
      <c r="BU236">
        <v>0</v>
      </c>
      <c r="BV236">
        <v>48.08</v>
      </c>
      <c r="BW236">
        <v>205946900</v>
      </c>
      <c r="BX236">
        <v>10460067</v>
      </c>
      <c r="BY236">
        <v>42745996</v>
      </c>
      <c r="BZ236">
        <v>17178884</v>
      </c>
      <c r="CA236">
        <v>0</v>
      </c>
      <c r="CB236">
        <v>2621128.7999999998</v>
      </c>
      <c r="CC236">
        <v>127334510</v>
      </c>
      <c r="CD236">
        <v>0</v>
      </c>
      <c r="CE236">
        <v>809249.4</v>
      </c>
      <c r="CF236">
        <v>2871634.5</v>
      </c>
      <c r="CG236">
        <v>0</v>
      </c>
      <c r="CH236">
        <v>1219769.6000000001</v>
      </c>
      <c r="CI236">
        <v>0</v>
      </c>
      <c r="CJ236">
        <v>0</v>
      </c>
      <c r="CK236">
        <v>0</v>
      </c>
      <c r="CL236">
        <v>0</v>
      </c>
      <c r="CM236">
        <v>8116287</v>
      </c>
      <c r="CN236">
        <v>2343779.5</v>
      </c>
      <c r="CO236">
        <v>20161.8</v>
      </c>
      <c r="CP236">
        <v>685503.4</v>
      </c>
      <c r="CQ236">
        <v>0</v>
      </c>
      <c r="CR236">
        <v>705.2</v>
      </c>
      <c r="CS236">
        <v>0</v>
      </c>
      <c r="CT236">
        <v>165.6</v>
      </c>
      <c r="CU236">
        <v>3986.7</v>
      </c>
      <c r="CV236">
        <v>0</v>
      </c>
      <c r="CW236">
        <v>0</v>
      </c>
      <c r="CX236">
        <v>1614.8</v>
      </c>
      <c r="CY236">
        <v>27029.1</v>
      </c>
      <c r="CZ236">
        <v>0</v>
      </c>
      <c r="DA236">
        <v>3558.4</v>
      </c>
      <c r="DB236">
        <v>0</v>
      </c>
      <c r="DC236">
        <v>897</v>
      </c>
      <c r="DD236">
        <v>5351.7</v>
      </c>
      <c r="DE236">
        <v>7496.6</v>
      </c>
      <c r="DF236">
        <v>28</v>
      </c>
      <c r="DG236">
        <v>3591.6</v>
      </c>
      <c r="DH236">
        <v>0</v>
      </c>
      <c r="DI236">
        <v>0</v>
      </c>
      <c r="DJ236">
        <v>0</v>
      </c>
      <c r="DK236">
        <v>2780.7</v>
      </c>
      <c r="DL236">
        <v>280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</row>
    <row r="237" spans="1:122" x14ac:dyDescent="0.3">
      <c r="A237" t="s">
        <v>172</v>
      </c>
      <c r="B237">
        <v>2034</v>
      </c>
      <c r="C237">
        <v>237825353.59999999</v>
      </c>
      <c r="D237">
        <v>234055133.09999999</v>
      </c>
      <c r="E237">
        <v>225640751.80000001</v>
      </c>
      <c r="F237">
        <v>0</v>
      </c>
      <c r="G237">
        <v>1677154.9</v>
      </c>
      <c r="H237">
        <v>213472664.59999999</v>
      </c>
      <c r="I237">
        <v>1653691.5</v>
      </c>
      <c r="J237">
        <v>23463.4</v>
      </c>
      <c r="K237">
        <v>2093065.6</v>
      </c>
      <c r="L237">
        <v>3.5900000000000001E-2</v>
      </c>
      <c r="M237">
        <v>5.3999999999999999E-2</v>
      </c>
      <c r="N237">
        <v>0.14299999999999999</v>
      </c>
      <c r="O237">
        <v>66976.63</v>
      </c>
      <c r="P237">
        <v>51609.1</v>
      </c>
      <c r="Q237">
        <v>307.7</v>
      </c>
      <c r="R237">
        <v>13.6</v>
      </c>
      <c r="S237">
        <v>1.8</v>
      </c>
      <c r="T237">
        <v>31.5</v>
      </c>
      <c r="U237">
        <v>1349.2</v>
      </c>
      <c r="V237">
        <v>0.19</v>
      </c>
      <c r="W237">
        <v>308.60000000000002</v>
      </c>
      <c r="X237">
        <v>69.3</v>
      </c>
      <c r="Y237">
        <v>377.9</v>
      </c>
      <c r="Z237">
        <v>327.60000000000002</v>
      </c>
      <c r="AA237">
        <v>17.5</v>
      </c>
      <c r="AB237">
        <v>2.39</v>
      </c>
      <c r="AC237">
        <v>30.4</v>
      </c>
      <c r="AD237">
        <v>1337.6</v>
      </c>
      <c r="AE237">
        <v>0.2</v>
      </c>
      <c r="AF237">
        <v>328.7</v>
      </c>
      <c r="AG237">
        <v>67.900000000000006</v>
      </c>
      <c r="AH237">
        <v>396.6</v>
      </c>
      <c r="AI237">
        <v>327.3</v>
      </c>
      <c r="AJ237">
        <v>7.4</v>
      </c>
      <c r="AK237">
        <v>0.82</v>
      </c>
      <c r="AL237">
        <v>37.6</v>
      </c>
      <c r="AM237">
        <v>1664.2</v>
      </c>
      <c r="AN237">
        <v>0.15</v>
      </c>
      <c r="AO237">
        <v>327.7</v>
      </c>
      <c r="AP237">
        <v>84.3</v>
      </c>
      <c r="AQ237">
        <v>412</v>
      </c>
      <c r="AR237">
        <v>722.5</v>
      </c>
      <c r="AS237">
        <v>55.8</v>
      </c>
      <c r="AT237">
        <v>7.97</v>
      </c>
      <c r="AU237">
        <v>48.2</v>
      </c>
      <c r="AV237">
        <v>2359.8000000000002</v>
      </c>
      <c r="AW237">
        <v>0.4</v>
      </c>
      <c r="AX237">
        <v>726.2</v>
      </c>
      <c r="AY237">
        <v>114.4</v>
      </c>
      <c r="AZ237">
        <v>840.5</v>
      </c>
      <c r="BA237">
        <v>64987968.600000001</v>
      </c>
      <c r="BB237">
        <v>2864.3</v>
      </c>
      <c r="BC237">
        <v>380</v>
      </c>
      <c r="BD237">
        <v>6653839.0999999996</v>
      </c>
      <c r="BE237">
        <v>284983.3</v>
      </c>
      <c r="BF237">
        <v>40.799999999999997</v>
      </c>
      <c r="BG237">
        <v>65168866.600000001</v>
      </c>
      <c r="BH237">
        <v>14644184.699999999</v>
      </c>
      <c r="BI237">
        <v>79813051.200000003</v>
      </c>
      <c r="BJ237">
        <v>0</v>
      </c>
      <c r="BK237">
        <v>0</v>
      </c>
      <c r="BL237">
        <v>64987968.600000001</v>
      </c>
      <c r="BM237">
        <v>71641807.700000003</v>
      </c>
      <c r="BN237">
        <v>79813051.200000003</v>
      </c>
      <c r="BO237">
        <v>31.4</v>
      </c>
      <c r="BP237">
        <v>13.18</v>
      </c>
      <c r="BQ237">
        <v>0</v>
      </c>
      <c r="BR237">
        <v>44.58</v>
      </c>
      <c r="BS237">
        <v>33.29</v>
      </c>
      <c r="BT237">
        <v>14.33</v>
      </c>
      <c r="BU237">
        <v>0</v>
      </c>
      <c r="BV237">
        <v>47.62</v>
      </c>
      <c r="BW237">
        <v>212666190</v>
      </c>
      <c r="BX237">
        <v>20582468</v>
      </c>
      <c r="BY237">
        <v>42745996</v>
      </c>
      <c r="BZ237">
        <v>16854494</v>
      </c>
      <c r="CA237">
        <v>0</v>
      </c>
      <c r="CB237">
        <v>1605363.8</v>
      </c>
      <c r="CC237">
        <v>124833750</v>
      </c>
      <c r="CD237">
        <v>0</v>
      </c>
      <c r="CE237">
        <v>610055.80000000005</v>
      </c>
      <c r="CF237">
        <v>2869315</v>
      </c>
      <c r="CG237">
        <v>0</v>
      </c>
      <c r="CH237">
        <v>1137147.5</v>
      </c>
      <c r="CI237">
        <v>0</v>
      </c>
      <c r="CJ237">
        <v>0</v>
      </c>
      <c r="CK237">
        <v>0</v>
      </c>
      <c r="CL237">
        <v>0</v>
      </c>
      <c r="CM237">
        <v>17663574</v>
      </c>
      <c r="CN237">
        <v>2918893.8</v>
      </c>
      <c r="CO237">
        <v>18832.3</v>
      </c>
      <c r="CP237">
        <v>1408764.9</v>
      </c>
      <c r="CQ237">
        <v>0</v>
      </c>
      <c r="CR237">
        <v>1115.5999999999999</v>
      </c>
      <c r="CS237">
        <v>0</v>
      </c>
      <c r="CT237">
        <v>154.5</v>
      </c>
      <c r="CU237">
        <v>3986.7</v>
      </c>
      <c r="CV237">
        <v>0</v>
      </c>
      <c r="CW237">
        <v>0</v>
      </c>
      <c r="CX237">
        <v>2020.2</v>
      </c>
      <c r="CY237">
        <v>27386</v>
      </c>
      <c r="CZ237">
        <v>0</v>
      </c>
      <c r="DA237">
        <v>3558.4</v>
      </c>
      <c r="DB237">
        <v>0</v>
      </c>
      <c r="DC237">
        <v>897</v>
      </c>
      <c r="DD237">
        <v>5351.7</v>
      </c>
      <c r="DE237">
        <v>6110.2</v>
      </c>
      <c r="DF237">
        <v>28</v>
      </c>
      <c r="DG237">
        <v>7366.6</v>
      </c>
      <c r="DH237">
        <v>0</v>
      </c>
      <c r="DI237">
        <v>0</v>
      </c>
      <c r="DJ237">
        <v>0</v>
      </c>
      <c r="DK237">
        <v>5264.1</v>
      </c>
      <c r="DL237">
        <v>280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</row>
    <row r="238" spans="1:122" x14ac:dyDescent="0.3">
      <c r="A238" t="s">
        <v>172</v>
      </c>
      <c r="B238">
        <v>2036</v>
      </c>
      <c r="C238">
        <v>242704854.90000001</v>
      </c>
      <c r="D238">
        <v>238222929.30000001</v>
      </c>
      <c r="E238">
        <v>229658714.40000001</v>
      </c>
      <c r="F238">
        <v>0</v>
      </c>
      <c r="G238">
        <v>2226273.7999999998</v>
      </c>
      <c r="H238">
        <v>217378376.69999999</v>
      </c>
      <c r="I238">
        <v>2196190</v>
      </c>
      <c r="J238">
        <v>30083.7</v>
      </c>
      <c r="K238">
        <v>2255652</v>
      </c>
      <c r="L238">
        <v>3.5900000000000001E-2</v>
      </c>
      <c r="M238">
        <v>5.3999999999999999E-2</v>
      </c>
      <c r="N238">
        <v>0.14299999999999999</v>
      </c>
      <c r="O238">
        <v>68966.12</v>
      </c>
      <c r="P238">
        <v>52527.3</v>
      </c>
      <c r="Q238">
        <v>301.89999999999998</v>
      </c>
      <c r="R238">
        <v>12.9</v>
      </c>
      <c r="S238">
        <v>1.71</v>
      </c>
      <c r="T238">
        <v>31.2</v>
      </c>
      <c r="U238">
        <v>1339.7</v>
      </c>
      <c r="V238">
        <v>0.19</v>
      </c>
      <c r="W238">
        <v>302.7</v>
      </c>
      <c r="X238">
        <v>68.8</v>
      </c>
      <c r="Y238">
        <v>371.5</v>
      </c>
      <c r="Z238">
        <v>318.7</v>
      </c>
      <c r="AA238">
        <v>16.899999999999999</v>
      </c>
      <c r="AB238">
        <v>2.29</v>
      </c>
      <c r="AC238">
        <v>29.7</v>
      </c>
      <c r="AD238">
        <v>1313.1</v>
      </c>
      <c r="AE238">
        <v>0.19</v>
      </c>
      <c r="AF238">
        <v>319.8</v>
      </c>
      <c r="AG238">
        <v>66.5</v>
      </c>
      <c r="AH238">
        <v>386.2</v>
      </c>
      <c r="AI238">
        <v>320.89999999999998</v>
      </c>
      <c r="AJ238">
        <v>7.8</v>
      </c>
      <c r="AK238">
        <v>0.89</v>
      </c>
      <c r="AL238">
        <v>36.4</v>
      </c>
      <c r="AM238">
        <v>1613.7</v>
      </c>
      <c r="AN238">
        <v>0.15</v>
      </c>
      <c r="AO238">
        <v>321.3</v>
      </c>
      <c r="AP238">
        <v>81.599999999999994</v>
      </c>
      <c r="AQ238">
        <v>403</v>
      </c>
      <c r="AR238">
        <v>702.4</v>
      </c>
      <c r="AS238">
        <v>53.2</v>
      </c>
      <c r="AT238">
        <v>7.58</v>
      </c>
      <c r="AU238">
        <v>47.9</v>
      </c>
      <c r="AV238">
        <v>2326.6</v>
      </c>
      <c r="AW238">
        <v>0.39</v>
      </c>
      <c r="AX238">
        <v>705.9</v>
      </c>
      <c r="AY238">
        <v>113.1</v>
      </c>
      <c r="AZ238">
        <v>819</v>
      </c>
      <c r="BA238">
        <v>64513381.700000003</v>
      </c>
      <c r="BB238">
        <v>2764</v>
      </c>
      <c r="BC238">
        <v>363.9</v>
      </c>
      <c r="BD238">
        <v>6669194.9000000004</v>
      </c>
      <c r="BE238">
        <v>286310.7</v>
      </c>
      <c r="BF238">
        <v>39.9</v>
      </c>
      <c r="BG238">
        <v>64687218.799999997</v>
      </c>
      <c r="BH238">
        <v>14696466.6</v>
      </c>
      <c r="BI238">
        <v>79383685.400000006</v>
      </c>
      <c r="BJ238">
        <v>0</v>
      </c>
      <c r="BK238">
        <v>0</v>
      </c>
      <c r="BL238">
        <v>64513381.700000003</v>
      </c>
      <c r="BM238">
        <v>71182576.599999994</v>
      </c>
      <c r="BN238">
        <v>79383685.400000006</v>
      </c>
      <c r="BO238">
        <v>31.19</v>
      </c>
      <c r="BP238">
        <v>13.55</v>
      </c>
      <c r="BQ238">
        <v>0</v>
      </c>
      <c r="BR238">
        <v>44.73</v>
      </c>
      <c r="BS238">
        <v>33.07</v>
      </c>
      <c r="BT238">
        <v>14.77</v>
      </c>
      <c r="BU238">
        <v>0</v>
      </c>
      <c r="BV238">
        <v>47.84</v>
      </c>
      <c r="BW238">
        <v>215207710</v>
      </c>
      <c r="BX238">
        <v>20844552</v>
      </c>
      <c r="BY238">
        <v>42745996</v>
      </c>
      <c r="BZ238">
        <v>15986626</v>
      </c>
      <c r="CA238">
        <v>0</v>
      </c>
      <c r="CB238">
        <v>1229122.2</v>
      </c>
      <c r="CC238">
        <v>127950056</v>
      </c>
      <c r="CD238">
        <v>0</v>
      </c>
      <c r="CE238">
        <v>546195.6</v>
      </c>
      <c r="CF238">
        <v>2869305.5</v>
      </c>
      <c r="CG238">
        <v>0</v>
      </c>
      <c r="CH238">
        <v>1137147.5</v>
      </c>
      <c r="CI238">
        <v>0</v>
      </c>
      <c r="CJ238">
        <v>0</v>
      </c>
      <c r="CK238">
        <v>0</v>
      </c>
      <c r="CL238">
        <v>0</v>
      </c>
      <c r="CM238">
        <v>17463474</v>
      </c>
      <c r="CN238">
        <v>3381078.5</v>
      </c>
      <c r="CO238">
        <v>24551.8</v>
      </c>
      <c r="CP238">
        <v>1874148.4</v>
      </c>
      <c r="CQ238">
        <v>0</v>
      </c>
      <c r="CR238">
        <v>1291.5999999999999</v>
      </c>
      <c r="CS238">
        <v>0</v>
      </c>
      <c r="CT238">
        <v>154.5</v>
      </c>
      <c r="CU238">
        <v>3986.7</v>
      </c>
      <c r="CV238">
        <v>0</v>
      </c>
      <c r="CW238">
        <v>0</v>
      </c>
      <c r="CX238">
        <v>2356</v>
      </c>
      <c r="CY238">
        <v>28255.200000000001</v>
      </c>
      <c r="CZ238">
        <v>0</v>
      </c>
      <c r="DA238">
        <v>3558.4</v>
      </c>
      <c r="DB238">
        <v>0</v>
      </c>
      <c r="DC238">
        <v>897</v>
      </c>
      <c r="DD238">
        <v>5351.7</v>
      </c>
      <c r="DE238">
        <v>5357.6</v>
      </c>
      <c r="DF238">
        <v>28</v>
      </c>
      <c r="DG238">
        <v>7394.1</v>
      </c>
      <c r="DH238">
        <v>0</v>
      </c>
      <c r="DI238">
        <v>0</v>
      </c>
      <c r="DJ238">
        <v>0</v>
      </c>
      <c r="DK238">
        <v>6022.8</v>
      </c>
      <c r="DL238">
        <v>280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</row>
    <row r="239" spans="1:122" x14ac:dyDescent="0.3">
      <c r="A239" t="s">
        <v>172</v>
      </c>
      <c r="B239">
        <v>2038</v>
      </c>
      <c r="C239">
        <v>247241469</v>
      </c>
      <c r="D239">
        <v>242744961.30000001</v>
      </c>
      <c r="E239">
        <v>234018178</v>
      </c>
      <c r="F239">
        <v>0</v>
      </c>
      <c r="G239">
        <v>2196213.5</v>
      </c>
      <c r="H239">
        <v>221772416.90000001</v>
      </c>
      <c r="I239">
        <v>2168550</v>
      </c>
      <c r="J239">
        <v>27663.3</v>
      </c>
      <c r="K239">
        <v>2300294.2999999998</v>
      </c>
      <c r="L239">
        <v>3.5900000000000001E-2</v>
      </c>
      <c r="M239">
        <v>5.3999999999999999E-2</v>
      </c>
      <c r="N239">
        <v>0.1429</v>
      </c>
      <c r="O239">
        <v>71393.83</v>
      </c>
      <c r="P239">
        <v>53525.4</v>
      </c>
      <c r="Q239">
        <v>299.7</v>
      </c>
      <c r="R239">
        <v>12.1</v>
      </c>
      <c r="S239">
        <v>1.57</v>
      </c>
      <c r="T239">
        <v>31.6</v>
      </c>
      <c r="U239">
        <v>1356.7</v>
      </c>
      <c r="V239">
        <v>0.18</v>
      </c>
      <c r="W239">
        <v>300.5</v>
      </c>
      <c r="X239">
        <v>69.7</v>
      </c>
      <c r="Y239">
        <v>370.2</v>
      </c>
      <c r="Z239">
        <v>313.10000000000002</v>
      </c>
      <c r="AA239">
        <v>15.5</v>
      </c>
      <c r="AB239">
        <v>2.09</v>
      </c>
      <c r="AC239">
        <v>30.1</v>
      </c>
      <c r="AD239">
        <v>1325.2</v>
      </c>
      <c r="AE239">
        <v>0.19</v>
      </c>
      <c r="AF239">
        <v>314.10000000000002</v>
      </c>
      <c r="AG239">
        <v>67.2</v>
      </c>
      <c r="AH239">
        <v>381.3</v>
      </c>
      <c r="AI239">
        <v>352.7</v>
      </c>
      <c r="AJ239">
        <v>9</v>
      </c>
      <c r="AK239">
        <v>1.03</v>
      </c>
      <c r="AL239">
        <v>39.6</v>
      </c>
      <c r="AM239">
        <v>1767.1</v>
      </c>
      <c r="AN239">
        <v>0.16</v>
      </c>
      <c r="AO239">
        <v>353.3</v>
      </c>
      <c r="AP239">
        <v>89.1</v>
      </c>
      <c r="AQ239">
        <v>442.4</v>
      </c>
      <c r="AR239">
        <v>688.1</v>
      </c>
      <c r="AS239">
        <v>51.4</v>
      </c>
      <c r="AT239">
        <v>7.31</v>
      </c>
      <c r="AU239">
        <v>47.5</v>
      </c>
      <c r="AV239">
        <v>2306.4</v>
      </c>
      <c r="AW239">
        <v>0.38</v>
      </c>
      <c r="AX239">
        <v>691.5</v>
      </c>
      <c r="AY239">
        <v>112.2</v>
      </c>
      <c r="AZ239">
        <v>803.6</v>
      </c>
      <c r="BA239">
        <v>66335514.200000003</v>
      </c>
      <c r="BB239">
        <v>2666</v>
      </c>
      <c r="BC239">
        <v>346.6</v>
      </c>
      <c r="BD239">
        <v>7001141</v>
      </c>
      <c r="BE239">
        <v>300330.09999999998</v>
      </c>
      <c r="BF239">
        <v>40.4</v>
      </c>
      <c r="BG239">
        <v>66502013.5</v>
      </c>
      <c r="BH239">
        <v>15421090.300000001</v>
      </c>
      <c r="BI239">
        <v>81923103.799999997</v>
      </c>
      <c r="BJ239">
        <v>0</v>
      </c>
      <c r="BK239">
        <v>0</v>
      </c>
      <c r="BL239">
        <v>66335514.200000003</v>
      </c>
      <c r="BM239">
        <v>73336655.200000003</v>
      </c>
      <c r="BN239">
        <v>81923103.799999997</v>
      </c>
      <c r="BO239">
        <v>30.45</v>
      </c>
      <c r="BP239">
        <v>14.04</v>
      </c>
      <c r="BQ239">
        <v>0</v>
      </c>
      <c r="BR239">
        <v>44.49</v>
      </c>
      <c r="BS239">
        <v>32.28</v>
      </c>
      <c r="BT239">
        <v>15.31</v>
      </c>
      <c r="BU239">
        <v>0</v>
      </c>
      <c r="BV239">
        <v>47.59</v>
      </c>
      <c r="BW239">
        <v>222918240</v>
      </c>
      <c r="BX239">
        <v>20972544</v>
      </c>
      <c r="BY239">
        <v>42745996</v>
      </c>
      <c r="BZ239">
        <v>14774283</v>
      </c>
      <c r="CA239">
        <v>0</v>
      </c>
      <c r="CB239">
        <v>1107709</v>
      </c>
      <c r="CC239">
        <v>136921570</v>
      </c>
      <c r="CD239">
        <v>0</v>
      </c>
      <c r="CE239">
        <v>518189.4</v>
      </c>
      <c r="CF239">
        <v>2870483.2</v>
      </c>
      <c r="CG239">
        <v>0</v>
      </c>
      <c r="CH239">
        <v>1138009.8</v>
      </c>
      <c r="CI239">
        <v>0</v>
      </c>
      <c r="CJ239">
        <v>0</v>
      </c>
      <c r="CK239">
        <v>0</v>
      </c>
      <c r="CL239">
        <v>0</v>
      </c>
      <c r="CM239">
        <v>17229752</v>
      </c>
      <c r="CN239">
        <v>3742793.2</v>
      </c>
      <c r="CO239">
        <v>22375.7</v>
      </c>
      <c r="CP239">
        <v>1847080.6</v>
      </c>
      <c r="CQ239">
        <v>0</v>
      </c>
      <c r="CR239">
        <v>1284.5999999999999</v>
      </c>
      <c r="CS239">
        <v>0</v>
      </c>
      <c r="CT239">
        <v>154.5</v>
      </c>
      <c r="CU239">
        <v>3986.7</v>
      </c>
      <c r="CV239">
        <v>0</v>
      </c>
      <c r="CW239">
        <v>0</v>
      </c>
      <c r="CX239">
        <v>2629.6</v>
      </c>
      <c r="CY239">
        <v>29713.7</v>
      </c>
      <c r="CZ239">
        <v>0</v>
      </c>
      <c r="DA239">
        <v>3558.4</v>
      </c>
      <c r="DB239">
        <v>0</v>
      </c>
      <c r="DC239">
        <v>897</v>
      </c>
      <c r="DD239">
        <v>5351.7</v>
      </c>
      <c r="DE239">
        <v>5357.6</v>
      </c>
      <c r="DF239">
        <v>28</v>
      </c>
      <c r="DG239">
        <v>7399.4</v>
      </c>
      <c r="DH239">
        <v>0</v>
      </c>
      <c r="DI239">
        <v>0</v>
      </c>
      <c r="DJ239">
        <v>0</v>
      </c>
      <c r="DK239">
        <v>6045.4</v>
      </c>
      <c r="DL239">
        <v>280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</row>
    <row r="240" spans="1:122" x14ac:dyDescent="0.3">
      <c r="A240" t="s">
        <v>172</v>
      </c>
      <c r="B240">
        <v>2040</v>
      </c>
      <c r="C240">
        <v>251836675.5</v>
      </c>
      <c r="D240">
        <v>247298225.90000001</v>
      </c>
      <c r="E240">
        <v>238407751.40000001</v>
      </c>
      <c r="F240">
        <v>0</v>
      </c>
      <c r="G240">
        <v>2160001.2000000002</v>
      </c>
      <c r="H240">
        <v>226303983.69999999</v>
      </c>
      <c r="I240">
        <v>2131273.5</v>
      </c>
      <c r="J240">
        <v>28727.7</v>
      </c>
      <c r="K240">
        <v>2378448.2000000002</v>
      </c>
      <c r="L240">
        <v>3.5900000000000001E-2</v>
      </c>
      <c r="M240">
        <v>5.3999999999999999E-2</v>
      </c>
      <c r="N240">
        <v>0.1429</v>
      </c>
      <c r="O240">
        <v>72996.13</v>
      </c>
      <c r="P240">
        <v>54530.3</v>
      </c>
      <c r="Q240">
        <v>296.8</v>
      </c>
      <c r="R240">
        <v>11.4</v>
      </c>
      <c r="S240">
        <v>1.46</v>
      </c>
      <c r="T240">
        <v>31.8</v>
      </c>
      <c r="U240">
        <v>1362.6</v>
      </c>
      <c r="V240">
        <v>0.18</v>
      </c>
      <c r="W240">
        <v>297.5</v>
      </c>
      <c r="X240">
        <v>70</v>
      </c>
      <c r="Y240">
        <v>367.5</v>
      </c>
      <c r="Z240">
        <v>306.10000000000002</v>
      </c>
      <c r="AA240">
        <v>14.5</v>
      </c>
      <c r="AB240">
        <v>1.93</v>
      </c>
      <c r="AC240">
        <v>30</v>
      </c>
      <c r="AD240">
        <v>1318.3</v>
      </c>
      <c r="AE240">
        <v>0.18</v>
      </c>
      <c r="AF240">
        <v>307</v>
      </c>
      <c r="AG240">
        <v>67</v>
      </c>
      <c r="AH240">
        <v>374</v>
      </c>
      <c r="AI240">
        <v>348.4</v>
      </c>
      <c r="AJ240">
        <v>9.4</v>
      </c>
      <c r="AK240">
        <v>1.0900000000000001</v>
      </c>
      <c r="AL240">
        <v>38.700000000000003</v>
      </c>
      <c r="AM240">
        <v>1730</v>
      </c>
      <c r="AN240">
        <v>0.16</v>
      </c>
      <c r="AO240">
        <v>349</v>
      </c>
      <c r="AP240">
        <v>87.2</v>
      </c>
      <c r="AQ240">
        <v>436.1</v>
      </c>
      <c r="AR240">
        <v>671.1</v>
      </c>
      <c r="AS240">
        <v>48.7</v>
      </c>
      <c r="AT240">
        <v>6.91</v>
      </c>
      <c r="AU240">
        <v>47.5</v>
      </c>
      <c r="AV240">
        <v>2296.6</v>
      </c>
      <c r="AW240">
        <v>0.37</v>
      </c>
      <c r="AX240">
        <v>674.3</v>
      </c>
      <c r="AY240">
        <v>111.9</v>
      </c>
      <c r="AZ240">
        <v>786.3</v>
      </c>
      <c r="BA240">
        <v>66882621.799999997</v>
      </c>
      <c r="BB240">
        <v>2558.5</v>
      </c>
      <c r="BC240">
        <v>329.2</v>
      </c>
      <c r="BD240">
        <v>7169128.7999999998</v>
      </c>
      <c r="BE240">
        <v>307139.5</v>
      </c>
      <c r="BF240">
        <v>40.4</v>
      </c>
      <c r="BG240">
        <v>67041503.5</v>
      </c>
      <c r="BH240">
        <v>15779742.5</v>
      </c>
      <c r="BI240">
        <v>82821246</v>
      </c>
      <c r="BJ240">
        <v>0</v>
      </c>
      <c r="BK240">
        <v>0</v>
      </c>
      <c r="BL240">
        <v>66882621.799999997</v>
      </c>
      <c r="BM240">
        <v>74051750.700000003</v>
      </c>
      <c r="BN240">
        <v>82821246</v>
      </c>
      <c r="BO240">
        <v>30.15</v>
      </c>
      <c r="BP240">
        <v>14.38</v>
      </c>
      <c r="BQ240">
        <v>0</v>
      </c>
      <c r="BR240">
        <v>44.53</v>
      </c>
      <c r="BS240">
        <v>31.97</v>
      </c>
      <c r="BT240">
        <v>15.68</v>
      </c>
      <c r="BU240">
        <v>0</v>
      </c>
      <c r="BV240">
        <v>47.65</v>
      </c>
      <c r="BW240">
        <v>226964380</v>
      </c>
      <c r="BX240">
        <v>20994242</v>
      </c>
      <c r="BY240">
        <v>42745996</v>
      </c>
      <c r="BZ240">
        <v>13568467</v>
      </c>
      <c r="CA240">
        <v>0</v>
      </c>
      <c r="CB240">
        <v>1013758.8</v>
      </c>
      <c r="CC240">
        <v>142342130</v>
      </c>
      <c r="CD240">
        <v>0</v>
      </c>
      <c r="CE240">
        <v>448373.3</v>
      </c>
      <c r="CF240">
        <v>2870501.5</v>
      </c>
      <c r="CG240">
        <v>0</v>
      </c>
      <c r="CH240">
        <v>1137147.5</v>
      </c>
      <c r="CI240">
        <v>0</v>
      </c>
      <c r="CJ240">
        <v>0</v>
      </c>
      <c r="CK240">
        <v>0</v>
      </c>
      <c r="CL240">
        <v>0</v>
      </c>
      <c r="CM240">
        <v>16989374</v>
      </c>
      <c r="CN240">
        <v>4004867.2</v>
      </c>
      <c r="CO240">
        <v>23449.1</v>
      </c>
      <c r="CP240">
        <v>1820307.8</v>
      </c>
      <c r="CQ240">
        <v>0</v>
      </c>
      <c r="CR240">
        <v>1300.5</v>
      </c>
      <c r="CS240">
        <v>0</v>
      </c>
      <c r="CT240">
        <v>154.5</v>
      </c>
      <c r="CU240">
        <v>3986.7</v>
      </c>
      <c r="CV240">
        <v>0</v>
      </c>
      <c r="CW240">
        <v>0</v>
      </c>
      <c r="CX240">
        <v>2840.4</v>
      </c>
      <c r="CY240">
        <v>30261</v>
      </c>
      <c r="CZ240">
        <v>0</v>
      </c>
      <c r="DA240">
        <v>3558.4</v>
      </c>
      <c r="DB240">
        <v>0</v>
      </c>
      <c r="DC240">
        <v>897</v>
      </c>
      <c r="DD240">
        <v>5351.7</v>
      </c>
      <c r="DE240">
        <v>5357.6</v>
      </c>
      <c r="DF240">
        <v>28</v>
      </c>
      <c r="DG240">
        <v>7398.6</v>
      </c>
      <c r="DH240">
        <v>0</v>
      </c>
      <c r="DI240">
        <v>0</v>
      </c>
      <c r="DJ240">
        <v>0</v>
      </c>
      <c r="DK240">
        <v>6107.5</v>
      </c>
      <c r="DL240">
        <v>280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</row>
    <row r="241" spans="1:122" x14ac:dyDescent="0.3">
      <c r="A241" t="s">
        <v>172</v>
      </c>
      <c r="B241">
        <v>2042</v>
      </c>
      <c r="C241">
        <v>257160017.5</v>
      </c>
      <c r="D241">
        <v>252517932.80000001</v>
      </c>
      <c r="E241">
        <v>243439808.09999999</v>
      </c>
      <c r="F241">
        <v>0</v>
      </c>
      <c r="G241">
        <v>2079464.2</v>
      </c>
      <c r="H241">
        <v>231514675.90000001</v>
      </c>
      <c r="I241">
        <v>2054120.6</v>
      </c>
      <c r="J241">
        <v>25343.4</v>
      </c>
      <c r="K241">
        <v>2562620.6</v>
      </c>
      <c r="L241">
        <v>3.5900000000000001E-2</v>
      </c>
      <c r="M241">
        <v>5.3999999999999999E-2</v>
      </c>
      <c r="N241">
        <v>0.1429</v>
      </c>
      <c r="O241">
        <v>74131.64</v>
      </c>
      <c r="P241">
        <v>55681.7</v>
      </c>
      <c r="Q241">
        <v>295.8</v>
      </c>
      <c r="R241">
        <v>11.2</v>
      </c>
      <c r="S241">
        <v>1.43</v>
      </c>
      <c r="T241">
        <v>31.8</v>
      </c>
      <c r="U241">
        <v>1363.9</v>
      </c>
      <c r="V241">
        <v>0.18</v>
      </c>
      <c r="W241">
        <v>296.5</v>
      </c>
      <c r="X241">
        <v>70</v>
      </c>
      <c r="Y241">
        <v>366.5</v>
      </c>
      <c r="Z241">
        <v>295.2</v>
      </c>
      <c r="AA241">
        <v>13.4</v>
      </c>
      <c r="AB241">
        <v>1.78</v>
      </c>
      <c r="AC241">
        <v>29.4</v>
      </c>
      <c r="AD241">
        <v>1289.3</v>
      </c>
      <c r="AE241">
        <v>0.17</v>
      </c>
      <c r="AF241">
        <v>296.10000000000002</v>
      </c>
      <c r="AG241">
        <v>65.599999999999994</v>
      </c>
      <c r="AH241">
        <v>361.6</v>
      </c>
      <c r="AI241">
        <v>350.7</v>
      </c>
      <c r="AJ241">
        <v>10.1</v>
      </c>
      <c r="AK241">
        <v>1.2</v>
      </c>
      <c r="AL241">
        <v>38.299999999999997</v>
      </c>
      <c r="AM241">
        <v>1718</v>
      </c>
      <c r="AN241">
        <v>0.16</v>
      </c>
      <c r="AO241">
        <v>351.3</v>
      </c>
      <c r="AP241">
        <v>86.5</v>
      </c>
      <c r="AQ241">
        <v>437.7</v>
      </c>
      <c r="AR241">
        <v>682.3</v>
      </c>
      <c r="AS241">
        <v>50.8</v>
      </c>
      <c r="AT241">
        <v>7.22</v>
      </c>
      <c r="AU241">
        <v>47.1</v>
      </c>
      <c r="AV241">
        <v>2299.4</v>
      </c>
      <c r="AW241">
        <v>0.37</v>
      </c>
      <c r="AX241">
        <v>685.6</v>
      </c>
      <c r="AY241">
        <v>111.6</v>
      </c>
      <c r="AZ241">
        <v>797.2</v>
      </c>
      <c r="BA241">
        <v>67210498.5</v>
      </c>
      <c r="BB241">
        <v>2540.3000000000002</v>
      </c>
      <c r="BC241">
        <v>325.7</v>
      </c>
      <c r="BD241">
        <v>7225191.5</v>
      </c>
      <c r="BE241">
        <v>309977.8</v>
      </c>
      <c r="BF241">
        <v>40.299999999999997</v>
      </c>
      <c r="BG241">
        <v>67367933.400000006</v>
      </c>
      <c r="BH241">
        <v>15915243.800000001</v>
      </c>
      <c r="BI241">
        <v>83283177.200000003</v>
      </c>
      <c r="BJ241">
        <v>0</v>
      </c>
      <c r="BK241">
        <v>0</v>
      </c>
      <c r="BL241">
        <v>67210498.5</v>
      </c>
      <c r="BM241">
        <v>74435689.900000006</v>
      </c>
      <c r="BN241">
        <v>83283177.200000003</v>
      </c>
      <c r="BO241">
        <v>29.61</v>
      </c>
      <c r="BP241">
        <v>14.63</v>
      </c>
      <c r="BQ241">
        <v>0</v>
      </c>
      <c r="BR241">
        <v>44.24</v>
      </c>
      <c r="BS241">
        <v>31.39</v>
      </c>
      <c r="BT241">
        <v>15.95</v>
      </c>
      <c r="BU241">
        <v>0</v>
      </c>
      <c r="BV241">
        <v>47.34</v>
      </c>
      <c r="BW241">
        <v>228864300</v>
      </c>
      <c r="BX241">
        <v>21003256</v>
      </c>
      <c r="BY241">
        <v>42745996</v>
      </c>
      <c r="BZ241">
        <v>13277418</v>
      </c>
      <c r="CA241">
        <v>0</v>
      </c>
      <c r="CB241">
        <v>871565.2</v>
      </c>
      <c r="CC241">
        <v>144859700</v>
      </c>
      <c r="CD241">
        <v>0</v>
      </c>
      <c r="CE241">
        <v>330225.59999999998</v>
      </c>
      <c r="CF241">
        <v>2868821.5</v>
      </c>
      <c r="CG241">
        <v>0</v>
      </c>
      <c r="CH241">
        <v>1138009.8</v>
      </c>
      <c r="CI241">
        <v>0</v>
      </c>
      <c r="CJ241">
        <v>0</v>
      </c>
      <c r="CK241">
        <v>0</v>
      </c>
      <c r="CL241">
        <v>0</v>
      </c>
      <c r="CM241">
        <v>16752360</v>
      </c>
      <c r="CN241">
        <v>4250897.5</v>
      </c>
      <c r="CO241">
        <v>20374.5</v>
      </c>
      <c r="CP241">
        <v>1748946.4</v>
      </c>
      <c r="CQ241">
        <v>0</v>
      </c>
      <c r="CR241">
        <v>1294.9000000000001</v>
      </c>
      <c r="CS241">
        <v>0</v>
      </c>
      <c r="CT241">
        <v>154.5</v>
      </c>
      <c r="CU241">
        <v>3986.7</v>
      </c>
      <c r="CV241">
        <v>0</v>
      </c>
      <c r="CW241">
        <v>0</v>
      </c>
      <c r="CX241">
        <v>3042.8</v>
      </c>
      <c r="CY241">
        <v>30890.7</v>
      </c>
      <c r="CZ241">
        <v>0</v>
      </c>
      <c r="DA241">
        <v>3558.4</v>
      </c>
      <c r="DB241">
        <v>0</v>
      </c>
      <c r="DC241">
        <v>897</v>
      </c>
      <c r="DD241">
        <v>5351.7</v>
      </c>
      <c r="DE241">
        <v>5250.7</v>
      </c>
      <c r="DF241">
        <v>28</v>
      </c>
      <c r="DG241">
        <v>7397.9</v>
      </c>
      <c r="DH241">
        <v>0</v>
      </c>
      <c r="DI241">
        <v>0</v>
      </c>
      <c r="DJ241">
        <v>0</v>
      </c>
      <c r="DK241">
        <v>6083.5</v>
      </c>
      <c r="DL241">
        <v>280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</row>
    <row r="242" spans="1:122" x14ac:dyDescent="0.3">
      <c r="A242" t="s">
        <v>172</v>
      </c>
      <c r="B242">
        <v>2044</v>
      </c>
      <c r="C242">
        <v>262254628.5</v>
      </c>
      <c r="D242">
        <v>258390970.59999999</v>
      </c>
      <c r="E242">
        <v>249101708.30000001</v>
      </c>
      <c r="F242">
        <v>0</v>
      </c>
      <c r="G242">
        <v>1190533.3999999999</v>
      </c>
      <c r="H242">
        <v>237155223.59999999</v>
      </c>
      <c r="I242">
        <v>1163864.2</v>
      </c>
      <c r="J242">
        <v>26669.1</v>
      </c>
      <c r="K242">
        <v>2673124.6</v>
      </c>
      <c r="L242">
        <v>3.5900000000000001E-2</v>
      </c>
      <c r="M242">
        <v>5.3999999999999999E-2</v>
      </c>
      <c r="N242">
        <v>0.14299999999999999</v>
      </c>
      <c r="O242">
        <v>76924.009999999995</v>
      </c>
      <c r="P242">
        <v>56974.8</v>
      </c>
      <c r="Q242">
        <v>296.10000000000002</v>
      </c>
      <c r="R242">
        <v>10.8</v>
      </c>
      <c r="S242">
        <v>1.36</v>
      </c>
      <c r="T242">
        <v>32.1</v>
      </c>
      <c r="U242">
        <v>1381.8</v>
      </c>
      <c r="V242">
        <v>0.17</v>
      </c>
      <c r="W242">
        <v>296.8</v>
      </c>
      <c r="X242">
        <v>70.8</v>
      </c>
      <c r="Y242">
        <v>367.6</v>
      </c>
      <c r="Z242">
        <v>292.10000000000002</v>
      </c>
      <c r="AA242">
        <v>12.4</v>
      </c>
      <c r="AB242">
        <v>1.63</v>
      </c>
      <c r="AC242">
        <v>29.8</v>
      </c>
      <c r="AD242">
        <v>1304.5</v>
      </c>
      <c r="AE242">
        <v>0.17</v>
      </c>
      <c r="AF242">
        <v>292.89999999999998</v>
      </c>
      <c r="AG242">
        <v>66.400000000000006</v>
      </c>
      <c r="AH242">
        <v>359.2</v>
      </c>
      <c r="AI242">
        <v>345.2</v>
      </c>
      <c r="AJ242">
        <v>11.8</v>
      </c>
      <c r="AK242">
        <v>1.48</v>
      </c>
      <c r="AL242">
        <v>36</v>
      </c>
      <c r="AM242">
        <v>1629.9</v>
      </c>
      <c r="AN242">
        <v>0.16</v>
      </c>
      <c r="AO242">
        <v>345.9</v>
      </c>
      <c r="AP242">
        <v>81.7</v>
      </c>
      <c r="AQ242">
        <v>427.6</v>
      </c>
      <c r="AR242">
        <v>663.8</v>
      </c>
      <c r="AS242">
        <v>48.5</v>
      </c>
      <c r="AT242">
        <v>6.86</v>
      </c>
      <c r="AU242">
        <v>46.5</v>
      </c>
      <c r="AV242">
        <v>2283.1</v>
      </c>
      <c r="AW242">
        <v>0.35</v>
      </c>
      <c r="AX242">
        <v>667</v>
      </c>
      <c r="AY242">
        <v>110.5</v>
      </c>
      <c r="AZ242">
        <v>777.5</v>
      </c>
      <c r="BA242">
        <v>70584274.599999994</v>
      </c>
      <c r="BB242">
        <v>2560.6999999999998</v>
      </c>
      <c r="BC242">
        <v>324.8</v>
      </c>
      <c r="BD242">
        <v>7656391.9000000004</v>
      </c>
      <c r="BE242">
        <v>329482.40000000002</v>
      </c>
      <c r="BF242">
        <v>41.4</v>
      </c>
      <c r="BG242">
        <v>70742046.700000003</v>
      </c>
      <c r="BH242">
        <v>16892864.399999999</v>
      </c>
      <c r="BI242">
        <v>87634911.099999994</v>
      </c>
      <c r="BJ242">
        <v>0</v>
      </c>
      <c r="BK242">
        <v>0</v>
      </c>
      <c r="BL242">
        <v>70584274.599999994</v>
      </c>
      <c r="BM242">
        <v>78240666.599999994</v>
      </c>
      <c r="BN242">
        <v>87634911.099999994</v>
      </c>
      <c r="BO242">
        <v>29.41</v>
      </c>
      <c r="BP242">
        <v>15.25</v>
      </c>
      <c r="BQ242">
        <v>0</v>
      </c>
      <c r="BR242">
        <v>44.65</v>
      </c>
      <c r="BS242">
        <v>31.16</v>
      </c>
      <c r="BT242">
        <v>16.579999999999998</v>
      </c>
      <c r="BU242">
        <v>0</v>
      </c>
      <c r="BV242">
        <v>47.74</v>
      </c>
      <c r="BW242">
        <v>240160050</v>
      </c>
      <c r="BX242">
        <v>21235746</v>
      </c>
      <c r="BY242">
        <v>42745996</v>
      </c>
      <c r="BZ242">
        <v>12991147</v>
      </c>
      <c r="CA242">
        <v>0</v>
      </c>
      <c r="CB242">
        <v>667936.80000000005</v>
      </c>
      <c r="CC242">
        <v>157218020</v>
      </c>
      <c r="CD242">
        <v>0</v>
      </c>
      <c r="CE242">
        <v>278961.09999999998</v>
      </c>
      <c r="CF242">
        <v>2868456</v>
      </c>
      <c r="CG242">
        <v>0</v>
      </c>
      <c r="CH242">
        <v>1138009.8</v>
      </c>
      <c r="CI242">
        <v>0</v>
      </c>
      <c r="CJ242">
        <v>0</v>
      </c>
      <c r="CK242">
        <v>0</v>
      </c>
      <c r="CL242">
        <v>0</v>
      </c>
      <c r="CM242">
        <v>16664019</v>
      </c>
      <c r="CN242">
        <v>4571726.5</v>
      </c>
      <c r="CO242">
        <v>21591.599999999999</v>
      </c>
      <c r="CP242">
        <v>994176.2</v>
      </c>
      <c r="CQ242">
        <v>0</v>
      </c>
      <c r="CR242">
        <v>672.1</v>
      </c>
      <c r="CS242">
        <v>0</v>
      </c>
      <c r="CT242">
        <v>154.5</v>
      </c>
      <c r="CU242">
        <v>3986.7</v>
      </c>
      <c r="CV242">
        <v>0</v>
      </c>
      <c r="CW242">
        <v>0</v>
      </c>
      <c r="CX242">
        <v>3297.4</v>
      </c>
      <c r="CY242">
        <v>34081</v>
      </c>
      <c r="CZ242">
        <v>0</v>
      </c>
      <c r="DA242">
        <v>3558.4</v>
      </c>
      <c r="DB242">
        <v>0</v>
      </c>
      <c r="DC242">
        <v>897</v>
      </c>
      <c r="DD242">
        <v>5351.7</v>
      </c>
      <c r="DE242">
        <v>5035.7</v>
      </c>
      <c r="DF242">
        <v>28</v>
      </c>
      <c r="DG242">
        <v>7482.4</v>
      </c>
      <c r="DH242">
        <v>0</v>
      </c>
      <c r="DI242">
        <v>0</v>
      </c>
      <c r="DJ242">
        <v>0</v>
      </c>
      <c r="DK242">
        <v>3761.6</v>
      </c>
      <c r="DL242">
        <v>280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</row>
    <row r="243" spans="1:122" x14ac:dyDescent="0.3">
      <c r="A243" t="s">
        <v>172</v>
      </c>
      <c r="B243">
        <v>2046</v>
      </c>
      <c r="C243">
        <v>268270353.09999999</v>
      </c>
      <c r="D243">
        <v>264076350.59999999</v>
      </c>
      <c r="E243">
        <v>254582697.19999999</v>
      </c>
      <c r="F243">
        <v>0</v>
      </c>
      <c r="G243">
        <v>1202136.3999999999</v>
      </c>
      <c r="H243">
        <v>242642927.5</v>
      </c>
      <c r="I243">
        <v>1176155.5</v>
      </c>
      <c r="J243">
        <v>25980.799999999999</v>
      </c>
      <c r="K243">
        <v>2991866.1</v>
      </c>
      <c r="L243">
        <v>3.5900000000000001E-2</v>
      </c>
      <c r="M243">
        <v>5.3999999999999999E-2</v>
      </c>
      <c r="N243">
        <v>0.14299999999999999</v>
      </c>
      <c r="O243">
        <v>80399.37</v>
      </c>
      <c r="P243">
        <v>58228.6</v>
      </c>
      <c r="Q243">
        <v>295.39999999999998</v>
      </c>
      <c r="R243">
        <v>10.7</v>
      </c>
      <c r="S243">
        <v>1.36</v>
      </c>
      <c r="T243">
        <v>32</v>
      </c>
      <c r="U243">
        <v>1380.9</v>
      </c>
      <c r="V243">
        <v>0.17</v>
      </c>
      <c r="W243">
        <v>296</v>
      </c>
      <c r="X243">
        <v>70.7</v>
      </c>
      <c r="Y243">
        <v>366.7</v>
      </c>
      <c r="Z243">
        <v>281</v>
      </c>
      <c r="AA243">
        <v>11.7</v>
      </c>
      <c r="AB243">
        <v>1.52</v>
      </c>
      <c r="AC243">
        <v>28.9</v>
      </c>
      <c r="AD243">
        <v>1267.5999999999999</v>
      </c>
      <c r="AE243">
        <v>0.16</v>
      </c>
      <c r="AF243">
        <v>281.7</v>
      </c>
      <c r="AG243">
        <v>64.5</v>
      </c>
      <c r="AH243">
        <v>346.2</v>
      </c>
      <c r="AI243">
        <v>328.2</v>
      </c>
      <c r="AJ243">
        <v>12.3</v>
      </c>
      <c r="AK243">
        <v>1.57</v>
      </c>
      <c r="AL243">
        <v>33.299999999999997</v>
      </c>
      <c r="AM243">
        <v>1515.3</v>
      </c>
      <c r="AN243">
        <v>0.15</v>
      </c>
      <c r="AO243">
        <v>329</v>
      </c>
      <c r="AP243">
        <v>75.8</v>
      </c>
      <c r="AQ243">
        <v>404.8</v>
      </c>
      <c r="AR243">
        <v>623.20000000000005</v>
      </c>
      <c r="AS243">
        <v>42.9</v>
      </c>
      <c r="AT243">
        <v>6.01</v>
      </c>
      <c r="AU243">
        <v>45.8</v>
      </c>
      <c r="AV243">
        <v>2245</v>
      </c>
      <c r="AW243">
        <v>0.31</v>
      </c>
      <c r="AX243">
        <v>626</v>
      </c>
      <c r="AY243">
        <v>108.7</v>
      </c>
      <c r="AZ243">
        <v>734.7</v>
      </c>
      <c r="BA243">
        <v>71137003.900000006</v>
      </c>
      <c r="BB243">
        <v>2582.8000000000002</v>
      </c>
      <c r="BC243">
        <v>326.8</v>
      </c>
      <c r="BD243">
        <v>7702427.7999999998</v>
      </c>
      <c r="BE243">
        <v>332715.8</v>
      </c>
      <c r="BF243">
        <v>41.1</v>
      </c>
      <c r="BG243">
        <v>71295936</v>
      </c>
      <c r="BH243">
        <v>17029366.899999999</v>
      </c>
      <c r="BI243">
        <v>88325302.900000006</v>
      </c>
      <c r="BJ243">
        <v>0</v>
      </c>
      <c r="BK243">
        <v>0</v>
      </c>
      <c r="BL243">
        <v>71137003.900000006</v>
      </c>
      <c r="BM243">
        <v>78839431.700000003</v>
      </c>
      <c r="BN243">
        <v>88325302.900000006</v>
      </c>
      <c r="BO243">
        <v>28.83</v>
      </c>
      <c r="BP243">
        <v>15.95</v>
      </c>
      <c r="BQ243">
        <v>0</v>
      </c>
      <c r="BR243">
        <v>44.78</v>
      </c>
      <c r="BS243">
        <v>30.55</v>
      </c>
      <c r="BT243">
        <v>17.350000000000001</v>
      </c>
      <c r="BU243">
        <v>0</v>
      </c>
      <c r="BV243">
        <v>47.9</v>
      </c>
      <c r="BW243">
        <v>242758480</v>
      </c>
      <c r="BX243">
        <v>21433424</v>
      </c>
      <c r="BY243">
        <v>42745996</v>
      </c>
      <c r="BZ243">
        <v>13180774</v>
      </c>
      <c r="CA243">
        <v>0</v>
      </c>
      <c r="CB243">
        <v>375870</v>
      </c>
      <c r="CC243">
        <v>159788450</v>
      </c>
      <c r="CD243">
        <v>0</v>
      </c>
      <c r="CE243">
        <v>219302.6</v>
      </c>
      <c r="CF243">
        <v>2857645</v>
      </c>
      <c r="CG243">
        <v>0</v>
      </c>
      <c r="CH243">
        <v>1135792.5</v>
      </c>
      <c r="CI243">
        <v>0</v>
      </c>
      <c r="CJ243">
        <v>0</v>
      </c>
      <c r="CK243">
        <v>0</v>
      </c>
      <c r="CL243">
        <v>0</v>
      </c>
      <c r="CM243">
        <v>16500685</v>
      </c>
      <c r="CN243">
        <v>4932738</v>
      </c>
      <c r="CO243">
        <v>20672.599999999999</v>
      </c>
      <c r="CP243">
        <v>1000553.2</v>
      </c>
      <c r="CQ243">
        <v>0</v>
      </c>
      <c r="CR243">
        <v>711</v>
      </c>
      <c r="CS243">
        <v>0</v>
      </c>
      <c r="CT243">
        <v>154.5</v>
      </c>
      <c r="CU243">
        <v>3986.7</v>
      </c>
      <c r="CV243">
        <v>0</v>
      </c>
      <c r="CW243">
        <v>0</v>
      </c>
      <c r="CX243">
        <v>3581.5</v>
      </c>
      <c r="CY243">
        <v>35684.699999999997</v>
      </c>
      <c r="CZ243">
        <v>0</v>
      </c>
      <c r="DA243">
        <v>3599.8</v>
      </c>
      <c r="DB243">
        <v>0</v>
      </c>
      <c r="DC243">
        <v>897</v>
      </c>
      <c r="DD243">
        <v>5351.7</v>
      </c>
      <c r="DE243">
        <v>3542</v>
      </c>
      <c r="DF243">
        <v>28</v>
      </c>
      <c r="DG243">
        <v>7522.3</v>
      </c>
      <c r="DH243">
        <v>0</v>
      </c>
      <c r="DI243">
        <v>0</v>
      </c>
      <c r="DJ243">
        <v>0</v>
      </c>
      <c r="DK243">
        <v>4041.4</v>
      </c>
      <c r="DL243">
        <v>280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</row>
    <row r="244" spans="1:122" x14ac:dyDescent="0.3">
      <c r="A244" t="s">
        <v>172</v>
      </c>
      <c r="B244">
        <v>2048</v>
      </c>
      <c r="C244">
        <v>275611940.80000001</v>
      </c>
      <c r="D244">
        <v>269870340.69999999</v>
      </c>
      <c r="E244">
        <v>260168391.5</v>
      </c>
      <c r="F244">
        <v>0</v>
      </c>
      <c r="G244">
        <v>2644380.7999999998</v>
      </c>
      <c r="H244">
        <v>245924624.19999999</v>
      </c>
      <c r="I244">
        <v>2621277.5</v>
      </c>
      <c r="J244">
        <v>23103.4</v>
      </c>
      <c r="K244">
        <v>3097219.3</v>
      </c>
      <c r="L244">
        <v>3.5900000000000001E-2</v>
      </c>
      <c r="M244">
        <v>5.3999999999999999E-2</v>
      </c>
      <c r="N244">
        <v>0.14299999999999999</v>
      </c>
      <c r="O244">
        <v>80667.600000000006</v>
      </c>
      <c r="P244">
        <v>59507.1</v>
      </c>
      <c r="Q244">
        <v>298.3</v>
      </c>
      <c r="R244">
        <v>11.3</v>
      </c>
      <c r="S244">
        <v>1.45</v>
      </c>
      <c r="T244">
        <v>31.7</v>
      </c>
      <c r="U244">
        <v>1380.3</v>
      </c>
      <c r="V244">
        <v>0.17</v>
      </c>
      <c r="W244">
        <v>299</v>
      </c>
      <c r="X244">
        <v>70.400000000000006</v>
      </c>
      <c r="Y244">
        <v>369.4</v>
      </c>
      <c r="Z244">
        <v>280.8</v>
      </c>
      <c r="AA244">
        <v>11.6</v>
      </c>
      <c r="AB244">
        <v>1.51</v>
      </c>
      <c r="AC244">
        <v>28.9</v>
      </c>
      <c r="AD244">
        <v>1269.7</v>
      </c>
      <c r="AE244">
        <v>0.16</v>
      </c>
      <c r="AF244">
        <v>281.5</v>
      </c>
      <c r="AG244">
        <v>64.5</v>
      </c>
      <c r="AH244">
        <v>346</v>
      </c>
      <c r="AI244">
        <v>311.7</v>
      </c>
      <c r="AJ244">
        <v>12.8</v>
      </c>
      <c r="AK244">
        <v>1.66</v>
      </c>
      <c r="AL244">
        <v>30.7</v>
      </c>
      <c r="AM244">
        <v>1406.5</v>
      </c>
      <c r="AN244">
        <v>0.14000000000000001</v>
      </c>
      <c r="AO244">
        <v>312.5</v>
      </c>
      <c r="AP244">
        <v>70.099999999999994</v>
      </c>
      <c r="AQ244">
        <v>382.6</v>
      </c>
      <c r="AR244">
        <v>603.20000000000005</v>
      </c>
      <c r="AS244">
        <v>38.9</v>
      </c>
      <c r="AT244">
        <v>5.41</v>
      </c>
      <c r="AU244">
        <v>46.6</v>
      </c>
      <c r="AV244">
        <v>2261.8000000000002</v>
      </c>
      <c r="AW244">
        <v>0.3</v>
      </c>
      <c r="AX244">
        <v>605.79999999999995</v>
      </c>
      <c r="AY244">
        <v>110</v>
      </c>
      <c r="AZ244">
        <v>715.8</v>
      </c>
      <c r="BA244">
        <v>74756181.299999997</v>
      </c>
      <c r="BB244">
        <v>2839.6</v>
      </c>
      <c r="BC244">
        <v>362.4</v>
      </c>
      <c r="BD244">
        <v>7947521.5</v>
      </c>
      <c r="BE244">
        <v>346030.8</v>
      </c>
      <c r="BF244">
        <v>42.5</v>
      </c>
      <c r="BG244">
        <v>74931714</v>
      </c>
      <c r="BH244">
        <v>17647653.600000001</v>
      </c>
      <c r="BI244">
        <v>92579367.599999994</v>
      </c>
      <c r="BJ244">
        <v>0</v>
      </c>
      <c r="BK244">
        <v>0</v>
      </c>
      <c r="BL244">
        <v>74756181.299999997</v>
      </c>
      <c r="BM244">
        <v>82703702.799999997</v>
      </c>
      <c r="BN244">
        <v>92579367.599999994</v>
      </c>
      <c r="BO244">
        <v>29.61</v>
      </c>
      <c r="BP244">
        <v>15.83</v>
      </c>
      <c r="BQ244">
        <v>0</v>
      </c>
      <c r="BR244">
        <v>45.43</v>
      </c>
      <c r="BS244">
        <v>31.4</v>
      </c>
      <c r="BT244">
        <v>17.29</v>
      </c>
      <c r="BU244">
        <v>0</v>
      </c>
      <c r="BV244">
        <v>48.69</v>
      </c>
      <c r="BW244">
        <v>252610080</v>
      </c>
      <c r="BX244">
        <v>23945716</v>
      </c>
      <c r="BY244">
        <v>42745996</v>
      </c>
      <c r="BZ244">
        <v>14986690</v>
      </c>
      <c r="CA244">
        <v>0</v>
      </c>
      <c r="CB244">
        <v>227617.2</v>
      </c>
      <c r="CC244">
        <v>164223580</v>
      </c>
      <c r="CD244">
        <v>0</v>
      </c>
      <c r="CE244">
        <v>281009.90000000002</v>
      </c>
      <c r="CF244">
        <v>2858895.8</v>
      </c>
      <c r="CG244">
        <v>0</v>
      </c>
      <c r="CH244">
        <v>1076866.6000000001</v>
      </c>
      <c r="CI244">
        <v>0</v>
      </c>
      <c r="CJ244">
        <v>0</v>
      </c>
      <c r="CK244">
        <v>0</v>
      </c>
      <c r="CL244">
        <v>0</v>
      </c>
      <c r="CM244">
        <v>18613600</v>
      </c>
      <c r="CN244">
        <v>5332116.5</v>
      </c>
      <c r="CO244">
        <v>18705.400000000001</v>
      </c>
      <c r="CP244">
        <v>2244996.7999999998</v>
      </c>
      <c r="CQ244">
        <v>0</v>
      </c>
      <c r="CR244">
        <v>1548.1</v>
      </c>
      <c r="CS244">
        <v>0</v>
      </c>
      <c r="CT244">
        <v>146.5</v>
      </c>
      <c r="CU244">
        <v>3986.7</v>
      </c>
      <c r="CV244">
        <v>0</v>
      </c>
      <c r="CW244">
        <v>0</v>
      </c>
      <c r="CX244">
        <v>3894.8</v>
      </c>
      <c r="CY244">
        <v>36396.699999999997</v>
      </c>
      <c r="CZ244">
        <v>0</v>
      </c>
      <c r="DA244">
        <v>3896.2</v>
      </c>
      <c r="DB244">
        <v>0</v>
      </c>
      <c r="DC244">
        <v>897</v>
      </c>
      <c r="DD244">
        <v>5351.7</v>
      </c>
      <c r="DE244">
        <v>1915.8</v>
      </c>
      <c r="DF244">
        <v>28</v>
      </c>
      <c r="DG244">
        <v>8931.4</v>
      </c>
      <c r="DH244">
        <v>0</v>
      </c>
      <c r="DI244">
        <v>0</v>
      </c>
      <c r="DJ244">
        <v>0</v>
      </c>
      <c r="DK244">
        <v>10701</v>
      </c>
      <c r="DL244">
        <v>280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</row>
    <row r="245" spans="1:122" x14ac:dyDescent="0.3">
      <c r="A245" t="s">
        <v>172</v>
      </c>
      <c r="B245">
        <v>2050</v>
      </c>
      <c r="C245">
        <v>282207745.80000001</v>
      </c>
      <c r="D245">
        <v>276242598.80000001</v>
      </c>
      <c r="E245">
        <v>266311564.90000001</v>
      </c>
      <c r="F245">
        <v>0</v>
      </c>
      <c r="G245">
        <v>2591693.2000000002</v>
      </c>
      <c r="H245">
        <v>250433545.30000001</v>
      </c>
      <c r="I245">
        <v>2565721</v>
      </c>
      <c r="J245">
        <v>25972.3</v>
      </c>
      <c r="K245">
        <v>3373453.8</v>
      </c>
      <c r="L245">
        <v>3.5900000000000001E-2</v>
      </c>
      <c r="M245">
        <v>5.3999999999999999E-2</v>
      </c>
      <c r="N245">
        <v>0.14299999999999999</v>
      </c>
      <c r="O245">
        <v>81098</v>
      </c>
      <c r="P245">
        <v>60913.2</v>
      </c>
      <c r="Q245">
        <v>291.10000000000002</v>
      </c>
      <c r="R245">
        <v>10.6</v>
      </c>
      <c r="S245">
        <v>1.34</v>
      </c>
      <c r="T245">
        <v>31.4</v>
      </c>
      <c r="U245">
        <v>1362.6</v>
      </c>
      <c r="V245">
        <v>0.17</v>
      </c>
      <c r="W245">
        <v>291.8</v>
      </c>
      <c r="X245">
        <v>69.599999999999994</v>
      </c>
      <c r="Y245">
        <v>361.3</v>
      </c>
      <c r="Z245">
        <v>265.10000000000002</v>
      </c>
      <c r="AA245">
        <v>10.4</v>
      </c>
      <c r="AB245">
        <v>1.33</v>
      </c>
      <c r="AC245">
        <v>27.8</v>
      </c>
      <c r="AD245">
        <v>1218</v>
      </c>
      <c r="AE245">
        <v>0.15</v>
      </c>
      <c r="AF245">
        <v>265.8</v>
      </c>
      <c r="AG245">
        <v>61.9</v>
      </c>
      <c r="AH245">
        <v>327.7</v>
      </c>
      <c r="AI245">
        <v>303.60000000000002</v>
      </c>
      <c r="AJ245">
        <v>11.8</v>
      </c>
      <c r="AK245">
        <v>1.52</v>
      </c>
      <c r="AL245">
        <v>30.4</v>
      </c>
      <c r="AM245">
        <v>1390.4</v>
      </c>
      <c r="AN245">
        <v>0.14000000000000001</v>
      </c>
      <c r="AO245">
        <v>304.3</v>
      </c>
      <c r="AP245">
        <v>69.400000000000006</v>
      </c>
      <c r="AQ245">
        <v>373.7</v>
      </c>
      <c r="AR245">
        <v>591.4</v>
      </c>
      <c r="AS245">
        <v>37.799999999999997</v>
      </c>
      <c r="AT245">
        <v>5.24</v>
      </c>
      <c r="AU245">
        <v>45.9</v>
      </c>
      <c r="AV245">
        <v>2238.1999999999998</v>
      </c>
      <c r="AW245">
        <v>0.28000000000000003</v>
      </c>
      <c r="AX245">
        <v>593.79999999999995</v>
      </c>
      <c r="AY245">
        <v>108.6</v>
      </c>
      <c r="AZ245">
        <v>702.4</v>
      </c>
      <c r="BA245">
        <v>72714235.700000003</v>
      </c>
      <c r="BB245">
        <v>2650.8</v>
      </c>
      <c r="BC245">
        <v>334.9</v>
      </c>
      <c r="BD245">
        <v>7838146.5</v>
      </c>
      <c r="BE245">
        <v>340516.2</v>
      </c>
      <c r="BF245">
        <v>41.3</v>
      </c>
      <c r="BG245">
        <v>72877193.299999997</v>
      </c>
      <c r="BH245">
        <v>17383535.300000001</v>
      </c>
      <c r="BI245">
        <v>90260728.599999994</v>
      </c>
      <c r="BJ245">
        <v>0</v>
      </c>
      <c r="BK245">
        <v>0</v>
      </c>
      <c r="BL245">
        <v>72714235.700000003</v>
      </c>
      <c r="BM245">
        <v>80552382.200000003</v>
      </c>
      <c r="BN245">
        <v>90260728.599999994</v>
      </c>
      <c r="BO245">
        <v>28.97</v>
      </c>
      <c r="BP245">
        <v>15.96</v>
      </c>
      <c r="BQ245">
        <v>0</v>
      </c>
      <c r="BR245">
        <v>44.93</v>
      </c>
      <c r="BS245">
        <v>30.73</v>
      </c>
      <c r="BT245">
        <v>17.46</v>
      </c>
      <c r="BU245">
        <v>0</v>
      </c>
      <c r="BV245">
        <v>48.18</v>
      </c>
      <c r="BW245">
        <v>251865340</v>
      </c>
      <c r="BX245">
        <v>25809054</v>
      </c>
      <c r="BY245">
        <v>42745996</v>
      </c>
      <c r="BZ245">
        <v>13490846</v>
      </c>
      <c r="CA245">
        <v>0</v>
      </c>
      <c r="CB245">
        <v>60280.800000000003</v>
      </c>
      <c r="CC245">
        <v>163137420</v>
      </c>
      <c r="CD245">
        <v>0</v>
      </c>
      <c r="CE245">
        <v>500383.3</v>
      </c>
      <c r="CF245">
        <v>2831403</v>
      </c>
      <c r="CG245">
        <v>0</v>
      </c>
      <c r="CH245">
        <v>1076373.8999999999</v>
      </c>
      <c r="CI245">
        <v>0</v>
      </c>
      <c r="CJ245">
        <v>947678</v>
      </c>
      <c r="CK245">
        <v>0</v>
      </c>
      <c r="CL245">
        <v>0</v>
      </c>
      <c r="CM245">
        <v>19072856</v>
      </c>
      <c r="CN245">
        <v>5788519</v>
      </c>
      <c r="CO245">
        <v>21040.2</v>
      </c>
      <c r="CP245">
        <v>2192549.7999999998</v>
      </c>
      <c r="CQ245">
        <v>0</v>
      </c>
      <c r="CR245">
        <v>1577.8</v>
      </c>
      <c r="CS245">
        <v>0</v>
      </c>
      <c r="CT245">
        <v>146.5</v>
      </c>
      <c r="CU245">
        <v>3986.7</v>
      </c>
      <c r="CV245">
        <v>0</v>
      </c>
      <c r="CW245">
        <v>0</v>
      </c>
      <c r="CX245">
        <v>4249.8999999999996</v>
      </c>
      <c r="CY245">
        <v>36675.800000000003</v>
      </c>
      <c r="CZ245">
        <v>0</v>
      </c>
      <c r="DA245">
        <v>5255.6</v>
      </c>
      <c r="DB245">
        <v>0</v>
      </c>
      <c r="DC245">
        <v>897</v>
      </c>
      <c r="DD245">
        <v>5351.7</v>
      </c>
      <c r="DE245">
        <v>1063.9000000000001</v>
      </c>
      <c r="DF245">
        <v>28</v>
      </c>
      <c r="DG245">
        <v>9200.5</v>
      </c>
      <c r="DH245">
        <v>0</v>
      </c>
      <c r="DI245">
        <v>270.8</v>
      </c>
      <c r="DJ245">
        <v>0</v>
      </c>
      <c r="DK245">
        <v>11552.9</v>
      </c>
      <c r="DL245">
        <v>280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</row>
    <row r="246" spans="1:122" x14ac:dyDescent="0.3">
      <c r="A246" t="s">
        <v>173</v>
      </c>
      <c r="B246">
        <v>2022</v>
      </c>
      <c r="C246">
        <v>106319281.3</v>
      </c>
      <c r="D246">
        <v>103837039.5</v>
      </c>
      <c r="E246">
        <v>100103869</v>
      </c>
      <c r="F246">
        <v>0</v>
      </c>
      <c r="G246">
        <v>451861.9</v>
      </c>
      <c r="H246">
        <v>85565673.099999994</v>
      </c>
      <c r="I246">
        <v>3841.2</v>
      </c>
      <c r="J246">
        <v>448020.7</v>
      </c>
      <c r="K246">
        <v>2030379.9</v>
      </c>
      <c r="L246">
        <v>3.5900000000000001E-2</v>
      </c>
      <c r="M246">
        <v>5.3999999999999999E-2</v>
      </c>
      <c r="N246">
        <v>0.15</v>
      </c>
      <c r="O246">
        <v>41673.68</v>
      </c>
      <c r="P246">
        <v>24730.2</v>
      </c>
      <c r="Q246">
        <v>627.20000000000005</v>
      </c>
      <c r="R246">
        <v>69.400000000000006</v>
      </c>
      <c r="S246">
        <v>10.07</v>
      </c>
      <c r="T246">
        <v>23.9</v>
      </c>
      <c r="U246">
        <v>1461.6</v>
      </c>
      <c r="V246">
        <v>0.35</v>
      </c>
      <c r="W246">
        <v>631.79999999999995</v>
      </c>
      <c r="X246">
        <v>64.900000000000006</v>
      </c>
      <c r="Y246">
        <v>696.7</v>
      </c>
      <c r="Z246">
        <v>656.7</v>
      </c>
      <c r="AA246">
        <v>73.2</v>
      </c>
      <c r="AB246">
        <v>10.63</v>
      </c>
      <c r="AC246">
        <v>24.3</v>
      </c>
      <c r="AD246">
        <v>1512.3</v>
      </c>
      <c r="AE246">
        <v>0.37</v>
      </c>
      <c r="AF246">
        <v>661.6</v>
      </c>
      <c r="AG246">
        <v>66.8</v>
      </c>
      <c r="AH246">
        <v>728.3</v>
      </c>
      <c r="AI246">
        <v>601.4</v>
      </c>
      <c r="AJ246">
        <v>50.7</v>
      </c>
      <c r="AK246">
        <v>7.27</v>
      </c>
      <c r="AL246">
        <v>36</v>
      </c>
      <c r="AM246">
        <v>1845.5</v>
      </c>
      <c r="AN246">
        <v>0.32</v>
      </c>
      <c r="AO246">
        <v>604.79999999999995</v>
      </c>
      <c r="AP246">
        <v>87.8</v>
      </c>
      <c r="AQ246">
        <v>692.5</v>
      </c>
      <c r="AR246">
        <v>801.7</v>
      </c>
      <c r="AS246">
        <v>69.099999999999994</v>
      </c>
      <c r="AT246">
        <v>9.9600000000000009</v>
      </c>
      <c r="AU246">
        <v>47.1</v>
      </c>
      <c r="AV246">
        <v>2380.9</v>
      </c>
      <c r="AW246">
        <v>0.45</v>
      </c>
      <c r="AX246">
        <v>806.3</v>
      </c>
      <c r="AY246">
        <v>113.8</v>
      </c>
      <c r="AZ246">
        <v>920.1</v>
      </c>
      <c r="BA246">
        <v>91100834.900000006</v>
      </c>
      <c r="BB246">
        <v>10081.4</v>
      </c>
      <c r="BC246">
        <v>1462.8</v>
      </c>
      <c r="BD246">
        <v>3466557.8</v>
      </c>
      <c r="BE246">
        <v>212284</v>
      </c>
      <c r="BF246">
        <v>51.5</v>
      </c>
      <c r="BG246">
        <v>91770747.299999997</v>
      </c>
      <c r="BH246">
        <v>9424168.3000000007</v>
      </c>
      <c r="BI246">
        <v>101194915.59999999</v>
      </c>
      <c r="BJ246">
        <v>0</v>
      </c>
      <c r="BK246">
        <v>0</v>
      </c>
      <c r="BL246">
        <v>91100834.900000006</v>
      </c>
      <c r="BM246">
        <v>94567392.700000003</v>
      </c>
      <c r="BN246">
        <v>101194915.59999999</v>
      </c>
      <c r="BO246">
        <v>34.26</v>
      </c>
      <c r="BP246">
        <v>9.11</v>
      </c>
      <c r="BQ246">
        <v>0</v>
      </c>
      <c r="BR246">
        <v>43.37</v>
      </c>
      <c r="BS246">
        <v>36.36</v>
      </c>
      <c r="BT246">
        <v>10</v>
      </c>
      <c r="BU246">
        <v>0</v>
      </c>
      <c r="BV246">
        <v>46.37</v>
      </c>
      <c r="BW246">
        <v>146135500</v>
      </c>
      <c r="BX246">
        <v>18271366</v>
      </c>
      <c r="BY246">
        <v>32540538</v>
      </c>
      <c r="BZ246">
        <v>83236730</v>
      </c>
      <c r="CA246">
        <v>0</v>
      </c>
      <c r="CB246">
        <v>11916.4</v>
      </c>
      <c r="CC246">
        <v>10634560</v>
      </c>
      <c r="CD246">
        <v>0</v>
      </c>
      <c r="CE246">
        <v>443217.8</v>
      </c>
      <c r="CF246">
        <v>604683.9</v>
      </c>
      <c r="CG246">
        <v>0</v>
      </c>
      <c r="CH246">
        <v>29293.4</v>
      </c>
      <c r="CI246">
        <v>0</v>
      </c>
      <c r="CJ246">
        <v>17291800</v>
      </c>
      <c r="CK246">
        <v>0</v>
      </c>
      <c r="CL246">
        <v>0</v>
      </c>
      <c r="CM246">
        <v>825038.3</v>
      </c>
      <c r="CN246">
        <v>154528.4</v>
      </c>
      <c r="CO246">
        <v>359919.8</v>
      </c>
      <c r="CP246">
        <v>3278.6</v>
      </c>
      <c r="CQ246">
        <v>0</v>
      </c>
      <c r="CR246">
        <v>8</v>
      </c>
      <c r="CS246">
        <v>0</v>
      </c>
      <c r="CT246">
        <v>6.4</v>
      </c>
      <c r="CU246">
        <v>15642.4</v>
      </c>
      <c r="CV246">
        <v>0</v>
      </c>
      <c r="CW246">
        <v>0</v>
      </c>
      <c r="CX246">
        <v>105</v>
      </c>
      <c r="CY246">
        <v>3147</v>
      </c>
      <c r="CZ246">
        <v>0</v>
      </c>
      <c r="DA246">
        <v>4776.2</v>
      </c>
      <c r="DB246">
        <v>0</v>
      </c>
      <c r="DC246">
        <v>267</v>
      </c>
      <c r="DD246">
        <v>4074</v>
      </c>
      <c r="DE246">
        <v>599.9</v>
      </c>
      <c r="DF246">
        <v>471</v>
      </c>
      <c r="DG246">
        <v>366</v>
      </c>
      <c r="DH246">
        <v>0</v>
      </c>
      <c r="DI246">
        <v>5371.6</v>
      </c>
      <c r="DJ246">
        <v>0</v>
      </c>
      <c r="DK246">
        <v>16</v>
      </c>
      <c r="DL246">
        <v>4710</v>
      </c>
      <c r="DM246">
        <v>0</v>
      </c>
      <c r="DN246">
        <v>0</v>
      </c>
      <c r="DO246">
        <v>0.13</v>
      </c>
      <c r="DP246">
        <v>0</v>
      </c>
      <c r="DQ246">
        <v>0</v>
      </c>
      <c r="DR246">
        <v>0</v>
      </c>
    </row>
    <row r="247" spans="1:122" x14ac:dyDescent="0.3">
      <c r="A247" t="s">
        <v>173</v>
      </c>
      <c r="B247">
        <v>2024</v>
      </c>
      <c r="C247">
        <v>108026348.2</v>
      </c>
      <c r="D247">
        <v>105868969.40000001</v>
      </c>
      <c r="E247">
        <v>102062745.90000001</v>
      </c>
      <c r="F247">
        <v>0</v>
      </c>
      <c r="G247">
        <v>463461.6</v>
      </c>
      <c r="H247">
        <v>87684062.599999994</v>
      </c>
      <c r="I247">
        <v>4128.3999999999996</v>
      </c>
      <c r="J247">
        <v>459333.3</v>
      </c>
      <c r="K247">
        <v>1693917.1</v>
      </c>
      <c r="L247">
        <v>3.5900000000000001E-2</v>
      </c>
      <c r="M247">
        <v>5.3999999999999999E-2</v>
      </c>
      <c r="N247">
        <v>0.15</v>
      </c>
      <c r="O247">
        <v>41673.85</v>
      </c>
      <c r="P247">
        <v>25213.7</v>
      </c>
      <c r="Q247">
        <v>547</v>
      </c>
      <c r="R247">
        <v>58.4</v>
      </c>
      <c r="S247">
        <v>8.4600000000000009</v>
      </c>
      <c r="T247">
        <v>23.2</v>
      </c>
      <c r="U247">
        <v>1342.6</v>
      </c>
      <c r="V247">
        <v>0.32</v>
      </c>
      <c r="W247">
        <v>550.9</v>
      </c>
      <c r="X247">
        <v>60.9</v>
      </c>
      <c r="Y247">
        <v>611.79999999999995</v>
      </c>
      <c r="Z247">
        <v>584</v>
      </c>
      <c r="AA247">
        <v>63</v>
      </c>
      <c r="AB247">
        <v>9.1300000000000008</v>
      </c>
      <c r="AC247">
        <v>23.9</v>
      </c>
      <c r="AD247">
        <v>1411.8</v>
      </c>
      <c r="AE247">
        <v>0.34</v>
      </c>
      <c r="AF247">
        <v>588.20000000000005</v>
      </c>
      <c r="AG247">
        <v>63.6</v>
      </c>
      <c r="AH247">
        <v>651.79999999999995</v>
      </c>
      <c r="AI247">
        <v>520.9</v>
      </c>
      <c r="AJ247">
        <v>41.2</v>
      </c>
      <c r="AK247">
        <v>5.88</v>
      </c>
      <c r="AL247">
        <v>33.6</v>
      </c>
      <c r="AM247">
        <v>1686.3</v>
      </c>
      <c r="AN247">
        <v>0.28000000000000003</v>
      </c>
      <c r="AO247">
        <v>523.6</v>
      </c>
      <c r="AP247">
        <v>80.900000000000006</v>
      </c>
      <c r="AQ247">
        <v>604.5</v>
      </c>
      <c r="AR247">
        <v>815.2</v>
      </c>
      <c r="AS247">
        <v>68.900000000000006</v>
      </c>
      <c r="AT247">
        <v>9.92</v>
      </c>
      <c r="AU247">
        <v>49.1</v>
      </c>
      <c r="AV247">
        <v>2462.1999999999998</v>
      </c>
      <c r="AW247">
        <v>0.46</v>
      </c>
      <c r="AX247">
        <v>819.8</v>
      </c>
      <c r="AY247">
        <v>118.2</v>
      </c>
      <c r="AZ247">
        <v>937.9</v>
      </c>
      <c r="BA247">
        <v>70273495.5</v>
      </c>
      <c r="BB247">
        <v>7505.7</v>
      </c>
      <c r="BC247">
        <v>1086.5999999999999</v>
      </c>
      <c r="BD247">
        <v>2986037.5</v>
      </c>
      <c r="BE247">
        <v>172448.4</v>
      </c>
      <c r="BF247">
        <v>41.1</v>
      </c>
      <c r="BG247">
        <v>70771602.299999997</v>
      </c>
      <c r="BH247">
        <v>7825490</v>
      </c>
      <c r="BI247">
        <v>78597092.299999997</v>
      </c>
      <c r="BJ247">
        <v>0</v>
      </c>
      <c r="BK247">
        <v>0</v>
      </c>
      <c r="BL247">
        <v>70273495.5</v>
      </c>
      <c r="BM247">
        <v>73259533</v>
      </c>
      <c r="BN247">
        <v>78597092.299999997</v>
      </c>
      <c r="BO247">
        <v>32.36</v>
      </c>
      <c r="BP247">
        <v>9.14</v>
      </c>
      <c r="BQ247">
        <v>0</v>
      </c>
      <c r="BR247">
        <v>41.5</v>
      </c>
      <c r="BS247">
        <v>34.33</v>
      </c>
      <c r="BT247">
        <v>10.01</v>
      </c>
      <c r="BU247">
        <v>0</v>
      </c>
      <c r="BV247">
        <v>44.34</v>
      </c>
      <c r="BW247">
        <v>129302680</v>
      </c>
      <c r="BX247">
        <v>18184906</v>
      </c>
      <c r="BY247">
        <v>32540538</v>
      </c>
      <c r="BZ247">
        <v>62399610</v>
      </c>
      <c r="CA247">
        <v>0</v>
      </c>
      <c r="CB247">
        <v>26252.3</v>
      </c>
      <c r="CC247">
        <v>13960227</v>
      </c>
      <c r="CD247">
        <v>0</v>
      </c>
      <c r="CE247">
        <v>1177719</v>
      </c>
      <c r="CF247">
        <v>605274</v>
      </c>
      <c r="CG247">
        <v>0</v>
      </c>
      <c r="CH247">
        <v>29293.4</v>
      </c>
      <c r="CI247">
        <v>0</v>
      </c>
      <c r="CJ247">
        <v>17198552</v>
      </c>
      <c r="CK247">
        <v>0</v>
      </c>
      <c r="CL247">
        <v>0</v>
      </c>
      <c r="CM247">
        <v>817269.8</v>
      </c>
      <c r="CN247">
        <v>169085.5</v>
      </c>
      <c r="CO247">
        <v>375316.2</v>
      </c>
      <c r="CP247">
        <v>3541</v>
      </c>
      <c r="CQ247">
        <v>0</v>
      </c>
      <c r="CR247">
        <v>8</v>
      </c>
      <c r="CS247">
        <v>0</v>
      </c>
      <c r="CT247">
        <v>6.4</v>
      </c>
      <c r="CU247">
        <v>12637.2</v>
      </c>
      <c r="CV247">
        <v>0</v>
      </c>
      <c r="CW247">
        <v>0</v>
      </c>
      <c r="CX247">
        <v>116</v>
      </c>
      <c r="CY247">
        <v>3147</v>
      </c>
      <c r="CZ247">
        <v>0</v>
      </c>
      <c r="DA247">
        <v>4181.7</v>
      </c>
      <c r="DB247">
        <v>0</v>
      </c>
      <c r="DC247">
        <v>267</v>
      </c>
      <c r="DD247">
        <v>4074</v>
      </c>
      <c r="DE247">
        <v>408.5</v>
      </c>
      <c r="DF247">
        <v>471</v>
      </c>
      <c r="DG247">
        <v>367.6</v>
      </c>
      <c r="DH247">
        <v>0</v>
      </c>
      <c r="DI247">
        <v>5371.6</v>
      </c>
      <c r="DJ247">
        <v>0</v>
      </c>
      <c r="DK247">
        <v>16</v>
      </c>
      <c r="DL247">
        <v>4710</v>
      </c>
      <c r="DM247">
        <v>0</v>
      </c>
      <c r="DN247">
        <v>0</v>
      </c>
      <c r="DO247">
        <v>0.14000000000000001</v>
      </c>
      <c r="DP247">
        <v>0</v>
      </c>
      <c r="DQ247">
        <v>0</v>
      </c>
      <c r="DR247">
        <v>0</v>
      </c>
    </row>
    <row r="248" spans="1:122" x14ac:dyDescent="0.3">
      <c r="A248" t="s">
        <v>173</v>
      </c>
      <c r="B248">
        <v>2026</v>
      </c>
      <c r="C248">
        <v>110361117</v>
      </c>
      <c r="D248">
        <v>108047001</v>
      </c>
      <c r="E248">
        <v>104162472.09999999</v>
      </c>
      <c r="F248">
        <v>0</v>
      </c>
      <c r="G248">
        <v>448430.2</v>
      </c>
      <c r="H248">
        <v>89933824.099999994</v>
      </c>
      <c r="I248">
        <v>4029.7</v>
      </c>
      <c r="J248">
        <v>444400.5</v>
      </c>
      <c r="K248">
        <v>1865685.8</v>
      </c>
      <c r="L248">
        <v>3.5900000000000001E-2</v>
      </c>
      <c r="M248">
        <v>5.3999999999999999E-2</v>
      </c>
      <c r="N248">
        <v>0.15</v>
      </c>
      <c r="O248">
        <v>41688.300000000003</v>
      </c>
      <c r="P248">
        <v>25733</v>
      </c>
      <c r="Q248">
        <v>511.9</v>
      </c>
      <c r="R248">
        <v>54</v>
      </c>
      <c r="S248">
        <v>7.81</v>
      </c>
      <c r="T248">
        <v>22.7</v>
      </c>
      <c r="U248">
        <v>1278.4000000000001</v>
      </c>
      <c r="V248">
        <v>0.31</v>
      </c>
      <c r="W248">
        <v>515.5</v>
      </c>
      <c r="X248">
        <v>58.5</v>
      </c>
      <c r="Y248">
        <v>574</v>
      </c>
      <c r="Z248">
        <v>531.79999999999995</v>
      </c>
      <c r="AA248">
        <v>56.8</v>
      </c>
      <c r="AB248">
        <v>8.2200000000000006</v>
      </c>
      <c r="AC248">
        <v>22.5</v>
      </c>
      <c r="AD248">
        <v>1305</v>
      </c>
      <c r="AE248">
        <v>0.31</v>
      </c>
      <c r="AF248">
        <v>535.6</v>
      </c>
      <c r="AG248">
        <v>59.1</v>
      </c>
      <c r="AH248">
        <v>594.79999999999995</v>
      </c>
      <c r="AI248">
        <v>385.3</v>
      </c>
      <c r="AJ248">
        <v>27.7</v>
      </c>
      <c r="AK248">
        <v>3.91</v>
      </c>
      <c r="AL248">
        <v>27.3</v>
      </c>
      <c r="AM248">
        <v>1344</v>
      </c>
      <c r="AN248">
        <v>0.2</v>
      </c>
      <c r="AO248">
        <v>387.1</v>
      </c>
      <c r="AP248">
        <v>65</v>
      </c>
      <c r="AQ248">
        <v>452.1</v>
      </c>
      <c r="AR248">
        <v>792.2</v>
      </c>
      <c r="AS248">
        <v>65.599999999999994</v>
      </c>
      <c r="AT248">
        <v>9.42</v>
      </c>
      <c r="AU248">
        <v>48.9</v>
      </c>
      <c r="AV248">
        <v>2444.9</v>
      </c>
      <c r="AW248">
        <v>0.44</v>
      </c>
      <c r="AX248">
        <v>796.6</v>
      </c>
      <c r="AY248">
        <v>117.5</v>
      </c>
      <c r="AZ248">
        <v>914</v>
      </c>
      <c r="BA248">
        <v>61759778.299999997</v>
      </c>
      <c r="BB248">
        <v>6514.8</v>
      </c>
      <c r="BC248">
        <v>942.4</v>
      </c>
      <c r="BD248">
        <v>2733346.6</v>
      </c>
      <c r="BE248">
        <v>154211.4</v>
      </c>
      <c r="BF248">
        <v>36.9</v>
      </c>
      <c r="BG248">
        <v>62191920.5</v>
      </c>
      <c r="BH248">
        <v>7061044.0999999996</v>
      </c>
      <c r="BI248">
        <v>69252964.599999994</v>
      </c>
      <c r="BJ248">
        <v>0</v>
      </c>
      <c r="BK248">
        <v>0</v>
      </c>
      <c r="BL248">
        <v>61759778.299999997</v>
      </c>
      <c r="BM248">
        <v>64493124.899999999</v>
      </c>
      <c r="BN248">
        <v>69252964.599999994</v>
      </c>
      <c r="BO248">
        <v>32.200000000000003</v>
      </c>
      <c r="BP248">
        <v>9.14</v>
      </c>
      <c r="BQ248">
        <v>0</v>
      </c>
      <c r="BR248">
        <v>41.34</v>
      </c>
      <c r="BS248">
        <v>34.159999999999997</v>
      </c>
      <c r="BT248">
        <v>10</v>
      </c>
      <c r="BU248">
        <v>0</v>
      </c>
      <c r="BV248">
        <v>44.16</v>
      </c>
      <c r="BW248">
        <v>121433360</v>
      </c>
      <c r="BX248">
        <v>18113176</v>
      </c>
      <c r="BY248">
        <v>32540538</v>
      </c>
      <c r="BZ248">
        <v>54416250</v>
      </c>
      <c r="CA248">
        <v>0</v>
      </c>
      <c r="CB248">
        <v>29624.6</v>
      </c>
      <c r="CC248">
        <v>14038256</v>
      </c>
      <c r="CD248">
        <v>0</v>
      </c>
      <c r="CE248">
        <v>1296572.2</v>
      </c>
      <c r="CF248">
        <v>607241.80000000005</v>
      </c>
      <c r="CG248">
        <v>0</v>
      </c>
      <c r="CH248">
        <v>29293.4</v>
      </c>
      <c r="CI248">
        <v>0</v>
      </c>
      <c r="CJ248">
        <v>17105810</v>
      </c>
      <c r="CK248">
        <v>0</v>
      </c>
      <c r="CL248">
        <v>0</v>
      </c>
      <c r="CM248">
        <v>805868.2</v>
      </c>
      <c r="CN248">
        <v>201498.8</v>
      </c>
      <c r="CO248">
        <v>358967.4</v>
      </c>
      <c r="CP248">
        <v>3427.5</v>
      </c>
      <c r="CQ248">
        <v>0</v>
      </c>
      <c r="CR248">
        <v>8</v>
      </c>
      <c r="CS248">
        <v>0</v>
      </c>
      <c r="CT248">
        <v>6.4</v>
      </c>
      <c r="CU248">
        <v>10764.2</v>
      </c>
      <c r="CV248">
        <v>0</v>
      </c>
      <c r="CW248">
        <v>0</v>
      </c>
      <c r="CX248">
        <v>138.80000000000001</v>
      </c>
      <c r="CY248">
        <v>3147</v>
      </c>
      <c r="CZ248">
        <v>0</v>
      </c>
      <c r="DA248">
        <v>4181.7</v>
      </c>
      <c r="DB248">
        <v>0</v>
      </c>
      <c r="DC248">
        <v>267</v>
      </c>
      <c r="DD248">
        <v>4074</v>
      </c>
      <c r="DE248">
        <v>408.5</v>
      </c>
      <c r="DF248">
        <v>471</v>
      </c>
      <c r="DG248">
        <v>367.6</v>
      </c>
      <c r="DH248">
        <v>0</v>
      </c>
      <c r="DI248">
        <v>5371.6</v>
      </c>
      <c r="DJ248">
        <v>0</v>
      </c>
      <c r="DK248">
        <v>16</v>
      </c>
      <c r="DL248">
        <v>4710</v>
      </c>
      <c r="DM248">
        <v>0</v>
      </c>
      <c r="DN248">
        <v>0</v>
      </c>
      <c r="DO248">
        <v>0.16</v>
      </c>
      <c r="DP248">
        <v>0</v>
      </c>
      <c r="DQ248">
        <v>0</v>
      </c>
      <c r="DR248">
        <v>0</v>
      </c>
    </row>
    <row r="249" spans="1:122" x14ac:dyDescent="0.3">
      <c r="A249" t="s">
        <v>173</v>
      </c>
      <c r="B249">
        <v>2028</v>
      </c>
      <c r="C249">
        <v>112408536.5</v>
      </c>
      <c r="D249">
        <v>109423239</v>
      </c>
      <c r="E249">
        <v>105489230.59999999</v>
      </c>
      <c r="F249">
        <v>0</v>
      </c>
      <c r="G249">
        <v>548001.80000000005</v>
      </c>
      <c r="H249">
        <v>79541905.5</v>
      </c>
      <c r="I249">
        <v>23317.9</v>
      </c>
      <c r="J249">
        <v>524683.9</v>
      </c>
      <c r="K249">
        <v>2437295.7999999998</v>
      </c>
      <c r="L249">
        <v>3.5900000000000001E-2</v>
      </c>
      <c r="M249">
        <v>5.3999999999999999E-2</v>
      </c>
      <c r="N249">
        <v>0.15</v>
      </c>
      <c r="O249">
        <v>45646.93</v>
      </c>
      <c r="P249">
        <v>26060.400000000001</v>
      </c>
      <c r="Q249">
        <v>465.8</v>
      </c>
      <c r="R249">
        <v>49.9</v>
      </c>
      <c r="S249">
        <v>7.22</v>
      </c>
      <c r="T249">
        <v>20</v>
      </c>
      <c r="U249">
        <v>1140.4000000000001</v>
      </c>
      <c r="V249">
        <v>0.28000000000000003</v>
      </c>
      <c r="W249">
        <v>469.1</v>
      </c>
      <c r="X249">
        <v>52</v>
      </c>
      <c r="Y249">
        <v>521.1</v>
      </c>
      <c r="Z249">
        <v>479.2</v>
      </c>
      <c r="AA249">
        <v>52.2</v>
      </c>
      <c r="AB249">
        <v>7.57</v>
      </c>
      <c r="AC249">
        <v>19.3</v>
      </c>
      <c r="AD249">
        <v>1142.3</v>
      </c>
      <c r="AE249">
        <v>0.28000000000000003</v>
      </c>
      <c r="AF249">
        <v>482.7</v>
      </c>
      <c r="AG249">
        <v>51.3</v>
      </c>
      <c r="AH249">
        <v>534</v>
      </c>
      <c r="AI249">
        <v>324.39999999999998</v>
      </c>
      <c r="AJ249">
        <v>21.7</v>
      </c>
      <c r="AK249">
        <v>3.04</v>
      </c>
      <c r="AL249">
        <v>24.4</v>
      </c>
      <c r="AM249">
        <v>1182.8</v>
      </c>
      <c r="AN249">
        <v>0.16</v>
      </c>
      <c r="AO249">
        <v>325.8</v>
      </c>
      <c r="AP249">
        <v>57.6</v>
      </c>
      <c r="AQ249">
        <v>383.4</v>
      </c>
      <c r="AR249">
        <v>788.3</v>
      </c>
      <c r="AS249">
        <v>66.7</v>
      </c>
      <c r="AT249">
        <v>9.58</v>
      </c>
      <c r="AU249">
        <v>47.2</v>
      </c>
      <c r="AV249">
        <v>2398.9</v>
      </c>
      <c r="AW249">
        <v>0.43</v>
      </c>
      <c r="AX249">
        <v>792.7</v>
      </c>
      <c r="AY249">
        <v>114.5</v>
      </c>
      <c r="AZ249">
        <v>907.2</v>
      </c>
      <c r="BA249">
        <v>60376036.899999999</v>
      </c>
      <c r="BB249">
        <v>6464.2</v>
      </c>
      <c r="BC249">
        <v>935.9</v>
      </c>
      <c r="BD249">
        <v>2591776.2000000002</v>
      </c>
      <c r="BE249">
        <v>147781</v>
      </c>
      <c r="BF249">
        <v>36.299999999999997</v>
      </c>
      <c r="BG249">
        <v>60805058.600000001</v>
      </c>
      <c r="BH249">
        <v>6739253.7000000002</v>
      </c>
      <c r="BI249">
        <v>67544312.299999997</v>
      </c>
      <c r="BJ249">
        <v>0</v>
      </c>
      <c r="BK249">
        <v>0</v>
      </c>
      <c r="BL249">
        <v>60376036.899999999</v>
      </c>
      <c r="BM249">
        <v>62967813.200000003</v>
      </c>
      <c r="BN249">
        <v>67544312.299999997</v>
      </c>
      <c r="BO249">
        <v>32.1</v>
      </c>
      <c r="BP249">
        <v>9.4</v>
      </c>
      <c r="BQ249">
        <v>0</v>
      </c>
      <c r="BR249">
        <v>41.5</v>
      </c>
      <c r="BS249">
        <v>34.090000000000003</v>
      </c>
      <c r="BT249">
        <v>10.31</v>
      </c>
      <c r="BU249">
        <v>0</v>
      </c>
      <c r="BV249">
        <v>44.4</v>
      </c>
      <c r="BW249">
        <v>130450970</v>
      </c>
      <c r="BX249">
        <v>29881334</v>
      </c>
      <c r="BY249">
        <v>32540538</v>
      </c>
      <c r="BZ249">
        <v>54024824</v>
      </c>
      <c r="CA249">
        <v>0</v>
      </c>
      <c r="CB249">
        <v>18425.400000000001</v>
      </c>
      <c r="CC249">
        <v>12115518</v>
      </c>
      <c r="CD249">
        <v>0</v>
      </c>
      <c r="CE249">
        <v>785834.1</v>
      </c>
      <c r="CF249">
        <v>606372</v>
      </c>
      <c r="CG249">
        <v>0</v>
      </c>
      <c r="CH249">
        <v>29246.6</v>
      </c>
      <c r="CI249">
        <v>0</v>
      </c>
      <c r="CJ249">
        <v>17012112</v>
      </c>
      <c r="CK249">
        <v>0</v>
      </c>
      <c r="CL249">
        <v>0</v>
      </c>
      <c r="CM249">
        <v>12612754</v>
      </c>
      <c r="CN249">
        <v>256467</v>
      </c>
      <c r="CO249">
        <v>428870.7</v>
      </c>
      <c r="CP249">
        <v>20014.2</v>
      </c>
      <c r="CQ249">
        <v>0</v>
      </c>
      <c r="CR249">
        <v>34.5</v>
      </c>
      <c r="CS249">
        <v>0</v>
      </c>
      <c r="CT249">
        <v>6.4</v>
      </c>
      <c r="CU249">
        <v>10742</v>
      </c>
      <c r="CV249">
        <v>0</v>
      </c>
      <c r="CW249">
        <v>0</v>
      </c>
      <c r="CX249">
        <v>176.6</v>
      </c>
      <c r="CY249">
        <v>3147</v>
      </c>
      <c r="CZ249">
        <v>0</v>
      </c>
      <c r="DA249">
        <v>4181.7</v>
      </c>
      <c r="DB249">
        <v>0</v>
      </c>
      <c r="DC249">
        <v>267</v>
      </c>
      <c r="DD249">
        <v>4074</v>
      </c>
      <c r="DE249">
        <v>293.89999999999998</v>
      </c>
      <c r="DF249">
        <v>471</v>
      </c>
      <c r="DG249">
        <v>5343.8</v>
      </c>
      <c r="DH249">
        <v>0</v>
      </c>
      <c r="DI249">
        <v>5371.6</v>
      </c>
      <c r="DJ249">
        <v>0</v>
      </c>
      <c r="DK249">
        <v>122</v>
      </c>
      <c r="DL249">
        <v>4710</v>
      </c>
      <c r="DM249">
        <v>0</v>
      </c>
      <c r="DN249">
        <v>0</v>
      </c>
      <c r="DO249">
        <v>0.16</v>
      </c>
      <c r="DP249">
        <v>0</v>
      </c>
      <c r="DQ249">
        <v>0</v>
      </c>
      <c r="DR249">
        <v>0</v>
      </c>
    </row>
    <row r="250" spans="1:122" x14ac:dyDescent="0.3">
      <c r="A250" t="s">
        <v>173</v>
      </c>
      <c r="B250">
        <v>2030</v>
      </c>
      <c r="C250">
        <v>114022950.7</v>
      </c>
      <c r="D250">
        <v>110660362</v>
      </c>
      <c r="E250">
        <v>106681875.8</v>
      </c>
      <c r="F250">
        <v>0</v>
      </c>
      <c r="G250">
        <v>875710.9</v>
      </c>
      <c r="H250">
        <v>80923311</v>
      </c>
      <c r="I250">
        <v>356980</v>
      </c>
      <c r="J250">
        <v>518730.8</v>
      </c>
      <c r="K250">
        <v>2486877.7000000002</v>
      </c>
      <c r="L250">
        <v>3.5900000000000001E-2</v>
      </c>
      <c r="M250">
        <v>5.3999999999999999E-2</v>
      </c>
      <c r="N250">
        <v>0.15</v>
      </c>
      <c r="O250">
        <v>59443.27</v>
      </c>
      <c r="P250">
        <v>26354.7</v>
      </c>
      <c r="Q250">
        <v>466.9</v>
      </c>
      <c r="R250">
        <v>50.6</v>
      </c>
      <c r="S250">
        <v>7.33</v>
      </c>
      <c r="T250">
        <v>19.5</v>
      </c>
      <c r="U250">
        <v>1124.0999999999999</v>
      </c>
      <c r="V250">
        <v>0.28000000000000003</v>
      </c>
      <c r="W250">
        <v>470.3</v>
      </c>
      <c r="X250">
        <v>51.1</v>
      </c>
      <c r="Y250">
        <v>521.4</v>
      </c>
      <c r="Z250">
        <v>473.6</v>
      </c>
      <c r="AA250">
        <v>52.2</v>
      </c>
      <c r="AB250">
        <v>7.56</v>
      </c>
      <c r="AC250">
        <v>18.600000000000001</v>
      </c>
      <c r="AD250">
        <v>1112.5999999999999</v>
      </c>
      <c r="AE250">
        <v>0.27</v>
      </c>
      <c r="AF250">
        <v>477.1</v>
      </c>
      <c r="AG250">
        <v>49.8</v>
      </c>
      <c r="AH250">
        <v>526.9</v>
      </c>
      <c r="AI250">
        <v>309.5</v>
      </c>
      <c r="AJ250">
        <v>17</v>
      </c>
      <c r="AK250">
        <v>2.31</v>
      </c>
      <c r="AL250">
        <v>26.6</v>
      </c>
      <c r="AM250">
        <v>1255.0999999999999</v>
      </c>
      <c r="AN250">
        <v>0.15</v>
      </c>
      <c r="AO250">
        <v>310.60000000000002</v>
      </c>
      <c r="AP250">
        <v>61.8</v>
      </c>
      <c r="AQ250">
        <v>372.5</v>
      </c>
      <c r="AR250">
        <v>783.3</v>
      </c>
      <c r="AS250">
        <v>66.5</v>
      </c>
      <c r="AT250">
        <v>9.58</v>
      </c>
      <c r="AU250">
        <v>47</v>
      </c>
      <c r="AV250">
        <v>2356.1999999999998</v>
      </c>
      <c r="AW250">
        <v>0.45</v>
      </c>
      <c r="AX250">
        <v>787.7</v>
      </c>
      <c r="AY250">
        <v>113.1</v>
      </c>
      <c r="AZ250">
        <v>900.8</v>
      </c>
      <c r="BA250">
        <v>60140315.200000003</v>
      </c>
      <c r="BB250">
        <v>6517.4</v>
      </c>
      <c r="BC250">
        <v>944.4</v>
      </c>
      <c r="BD250">
        <v>2511190.4</v>
      </c>
      <c r="BE250">
        <v>144755.1</v>
      </c>
      <c r="BF250">
        <v>36.200000000000003</v>
      </c>
      <c r="BG250">
        <v>60573059.299999997</v>
      </c>
      <c r="BH250">
        <v>6573920</v>
      </c>
      <c r="BI250">
        <v>67146979.299999997</v>
      </c>
      <c r="BJ250">
        <v>0</v>
      </c>
      <c r="BK250">
        <v>0</v>
      </c>
      <c r="BL250">
        <v>60140315.200000003</v>
      </c>
      <c r="BM250">
        <v>62651505.600000001</v>
      </c>
      <c r="BN250">
        <v>67146979.299999997</v>
      </c>
      <c r="BO250">
        <v>31.15</v>
      </c>
      <c r="BP250">
        <v>12.23</v>
      </c>
      <c r="BQ250">
        <v>0</v>
      </c>
      <c r="BR250">
        <v>43.38</v>
      </c>
      <c r="BS250">
        <v>33.08</v>
      </c>
      <c r="BT250">
        <v>13.43</v>
      </c>
      <c r="BU250">
        <v>0</v>
      </c>
      <c r="BV250">
        <v>46.51</v>
      </c>
      <c r="BW250">
        <v>129622220</v>
      </c>
      <c r="BX250">
        <v>29737052</v>
      </c>
      <c r="BY250">
        <v>32540538</v>
      </c>
      <c r="BZ250">
        <v>54867770</v>
      </c>
      <c r="CA250">
        <v>0</v>
      </c>
      <c r="CB250">
        <v>4584.3999999999996</v>
      </c>
      <c r="CC250">
        <v>10715146</v>
      </c>
      <c r="CD250">
        <v>0</v>
      </c>
      <c r="CE250">
        <v>402625.4</v>
      </c>
      <c r="CF250">
        <v>604411.19999999995</v>
      </c>
      <c r="CG250">
        <v>0</v>
      </c>
      <c r="CH250">
        <v>29243.3</v>
      </c>
      <c r="CI250">
        <v>0</v>
      </c>
      <c r="CJ250">
        <v>16921722</v>
      </c>
      <c r="CK250">
        <v>0</v>
      </c>
      <c r="CL250">
        <v>0</v>
      </c>
      <c r="CM250">
        <v>12436820</v>
      </c>
      <c r="CN250">
        <v>378508.4</v>
      </c>
      <c r="CO250">
        <v>416634.8</v>
      </c>
      <c r="CP250">
        <v>304212</v>
      </c>
      <c r="CQ250">
        <v>0</v>
      </c>
      <c r="CR250">
        <v>374.4</v>
      </c>
      <c r="CS250">
        <v>0</v>
      </c>
      <c r="CT250">
        <v>6.4</v>
      </c>
      <c r="CU250">
        <v>10742</v>
      </c>
      <c r="CV250">
        <v>0</v>
      </c>
      <c r="CW250">
        <v>0</v>
      </c>
      <c r="CX250">
        <v>258.8</v>
      </c>
      <c r="CY250">
        <v>3147</v>
      </c>
      <c r="CZ250">
        <v>0</v>
      </c>
      <c r="DA250">
        <v>4167.3999999999996</v>
      </c>
      <c r="DB250">
        <v>0</v>
      </c>
      <c r="DC250">
        <v>267</v>
      </c>
      <c r="DD250">
        <v>4074</v>
      </c>
      <c r="DE250">
        <v>115.4</v>
      </c>
      <c r="DF250">
        <v>471</v>
      </c>
      <c r="DG250">
        <v>5343.8</v>
      </c>
      <c r="DH250">
        <v>0</v>
      </c>
      <c r="DI250">
        <v>5371.6</v>
      </c>
      <c r="DJ250">
        <v>0</v>
      </c>
      <c r="DK250">
        <v>1340</v>
      </c>
      <c r="DL250">
        <v>4710</v>
      </c>
      <c r="DM250">
        <v>0</v>
      </c>
      <c r="DN250">
        <v>0</v>
      </c>
      <c r="DO250">
        <v>0.16</v>
      </c>
      <c r="DP250">
        <v>0</v>
      </c>
      <c r="DQ250">
        <v>0</v>
      </c>
      <c r="DR250">
        <v>0</v>
      </c>
    </row>
    <row r="251" spans="1:122" x14ac:dyDescent="0.3">
      <c r="A251" t="s">
        <v>173</v>
      </c>
      <c r="B251">
        <v>2032</v>
      </c>
      <c r="C251">
        <v>115203522.7</v>
      </c>
      <c r="D251">
        <v>111886583</v>
      </c>
      <c r="E251">
        <v>107864011</v>
      </c>
      <c r="F251">
        <v>0</v>
      </c>
      <c r="G251">
        <v>889260.9</v>
      </c>
      <c r="H251">
        <v>81538250.799999997</v>
      </c>
      <c r="I251">
        <v>451177.5</v>
      </c>
      <c r="J251">
        <v>438083.4</v>
      </c>
      <c r="K251">
        <v>2427678.7999999998</v>
      </c>
      <c r="L251">
        <v>3.5900000000000001E-2</v>
      </c>
      <c r="M251">
        <v>5.3999999999999999E-2</v>
      </c>
      <c r="N251">
        <v>0.15</v>
      </c>
      <c r="O251">
        <v>69341.73</v>
      </c>
      <c r="P251">
        <v>26646.799999999999</v>
      </c>
      <c r="Q251">
        <v>459.2</v>
      </c>
      <c r="R251">
        <v>50</v>
      </c>
      <c r="S251">
        <v>7.25</v>
      </c>
      <c r="T251">
        <v>19</v>
      </c>
      <c r="U251">
        <v>1097.0999999999999</v>
      </c>
      <c r="V251">
        <v>0.28000000000000003</v>
      </c>
      <c r="W251">
        <v>462.6</v>
      </c>
      <c r="X251">
        <v>49.8</v>
      </c>
      <c r="Y251">
        <v>512.29999999999995</v>
      </c>
      <c r="Z251">
        <v>464.5</v>
      </c>
      <c r="AA251">
        <v>51.3</v>
      </c>
      <c r="AB251">
        <v>7.45</v>
      </c>
      <c r="AC251">
        <v>18.100000000000001</v>
      </c>
      <c r="AD251">
        <v>1085.7</v>
      </c>
      <c r="AE251">
        <v>0.27</v>
      </c>
      <c r="AF251">
        <v>467.9</v>
      </c>
      <c r="AG251">
        <v>48.6</v>
      </c>
      <c r="AH251">
        <v>516.5</v>
      </c>
      <c r="AI251">
        <v>258.10000000000002</v>
      </c>
      <c r="AJ251">
        <v>8.6</v>
      </c>
      <c r="AK251">
        <v>1.07</v>
      </c>
      <c r="AL251">
        <v>27.1</v>
      </c>
      <c r="AM251">
        <v>1226.8</v>
      </c>
      <c r="AN251">
        <v>0.12</v>
      </c>
      <c r="AO251">
        <v>258.7</v>
      </c>
      <c r="AP251">
        <v>61.5</v>
      </c>
      <c r="AQ251">
        <v>320.2</v>
      </c>
      <c r="AR251">
        <v>778.6</v>
      </c>
      <c r="AS251">
        <v>66.400000000000006</v>
      </c>
      <c r="AT251">
        <v>9.56</v>
      </c>
      <c r="AU251">
        <v>46.3</v>
      </c>
      <c r="AV251">
        <v>2340.5</v>
      </c>
      <c r="AW251">
        <v>0.44</v>
      </c>
      <c r="AX251">
        <v>783</v>
      </c>
      <c r="AY251">
        <v>111.9</v>
      </c>
      <c r="AZ251">
        <v>894.9</v>
      </c>
      <c r="BA251">
        <v>58369140.299999997</v>
      </c>
      <c r="BB251">
        <v>6360.4</v>
      </c>
      <c r="BC251">
        <v>921.9</v>
      </c>
      <c r="BD251">
        <v>2413927.7999999998</v>
      </c>
      <c r="BE251">
        <v>139413.1</v>
      </c>
      <c r="BF251">
        <v>35.299999999999997</v>
      </c>
      <c r="BG251">
        <v>58791546.399999999</v>
      </c>
      <c r="BH251">
        <v>6326852.7999999998</v>
      </c>
      <c r="BI251">
        <v>65118399.100000001</v>
      </c>
      <c r="BJ251">
        <v>0</v>
      </c>
      <c r="BK251">
        <v>0</v>
      </c>
      <c r="BL251">
        <v>58369140.299999997</v>
      </c>
      <c r="BM251">
        <v>60783068.100000001</v>
      </c>
      <c r="BN251">
        <v>65118399.100000001</v>
      </c>
      <c r="BO251">
        <v>30.36</v>
      </c>
      <c r="BP251">
        <v>14.27</v>
      </c>
      <c r="BQ251">
        <v>0</v>
      </c>
      <c r="BR251">
        <v>44.63</v>
      </c>
      <c r="BS251">
        <v>32.229999999999997</v>
      </c>
      <c r="BT251">
        <v>15.67</v>
      </c>
      <c r="BU251">
        <v>0</v>
      </c>
      <c r="BV251">
        <v>47.9</v>
      </c>
      <c r="BW251">
        <v>127937980</v>
      </c>
      <c r="BX251">
        <v>30348332</v>
      </c>
      <c r="BY251">
        <v>32540538</v>
      </c>
      <c r="BZ251">
        <v>53643812</v>
      </c>
      <c r="CA251">
        <v>0</v>
      </c>
      <c r="CB251">
        <v>1665.6</v>
      </c>
      <c r="CC251">
        <v>9785516</v>
      </c>
      <c r="CD251">
        <v>0</v>
      </c>
      <c r="CE251">
        <v>240238.3</v>
      </c>
      <c r="CF251">
        <v>605119.30000000005</v>
      </c>
      <c r="CG251">
        <v>0</v>
      </c>
      <c r="CH251">
        <v>29243.3</v>
      </c>
      <c r="CI251">
        <v>0</v>
      </c>
      <c r="CJ251">
        <v>17498538</v>
      </c>
      <c r="CK251">
        <v>0</v>
      </c>
      <c r="CL251">
        <v>0</v>
      </c>
      <c r="CM251">
        <v>12314633</v>
      </c>
      <c r="CN251">
        <v>535159.9</v>
      </c>
      <c r="CO251">
        <v>357681.5</v>
      </c>
      <c r="CP251">
        <v>385839.8</v>
      </c>
      <c r="CQ251">
        <v>0</v>
      </c>
      <c r="CR251">
        <v>411</v>
      </c>
      <c r="CS251">
        <v>0</v>
      </c>
      <c r="CT251">
        <v>6.4</v>
      </c>
      <c r="CU251">
        <v>10742</v>
      </c>
      <c r="CV251">
        <v>0</v>
      </c>
      <c r="CW251">
        <v>0</v>
      </c>
      <c r="CX251">
        <v>364.7</v>
      </c>
      <c r="CY251">
        <v>3147</v>
      </c>
      <c r="CZ251">
        <v>0</v>
      </c>
      <c r="DA251">
        <v>4167.3999999999996</v>
      </c>
      <c r="DB251">
        <v>0</v>
      </c>
      <c r="DC251">
        <v>267</v>
      </c>
      <c r="DD251">
        <v>4074</v>
      </c>
      <c r="DE251">
        <v>115.4</v>
      </c>
      <c r="DF251">
        <v>471</v>
      </c>
      <c r="DG251">
        <v>5374.4</v>
      </c>
      <c r="DH251">
        <v>0</v>
      </c>
      <c r="DI251">
        <v>5538.4</v>
      </c>
      <c r="DJ251">
        <v>0</v>
      </c>
      <c r="DK251">
        <v>1547.3</v>
      </c>
      <c r="DL251">
        <v>4710</v>
      </c>
      <c r="DM251">
        <v>0</v>
      </c>
      <c r="DN251">
        <v>0</v>
      </c>
      <c r="DO251">
        <v>0.16</v>
      </c>
      <c r="DP251">
        <v>0</v>
      </c>
      <c r="DQ251">
        <v>0</v>
      </c>
      <c r="DR251">
        <v>0</v>
      </c>
    </row>
    <row r="252" spans="1:122" x14ac:dyDescent="0.3">
      <c r="A252" t="s">
        <v>173</v>
      </c>
      <c r="B252">
        <v>2034</v>
      </c>
      <c r="C252">
        <v>116739881.7</v>
      </c>
      <c r="D252">
        <v>113314720.59999999</v>
      </c>
      <c r="E252">
        <v>109240803.3</v>
      </c>
      <c r="F252">
        <v>0</v>
      </c>
      <c r="G252">
        <v>907270.1</v>
      </c>
      <c r="H252">
        <v>79679400.900000006</v>
      </c>
      <c r="I252">
        <v>467881</v>
      </c>
      <c r="J252">
        <v>439389</v>
      </c>
      <c r="K252">
        <v>2517891</v>
      </c>
      <c r="L252">
        <v>3.5900000000000001E-2</v>
      </c>
      <c r="M252">
        <v>5.3999999999999999E-2</v>
      </c>
      <c r="N252">
        <v>0.15</v>
      </c>
      <c r="O252">
        <v>72123.19</v>
      </c>
      <c r="P252">
        <v>26986.799999999999</v>
      </c>
      <c r="Q252">
        <v>436.2</v>
      </c>
      <c r="R252">
        <v>47.7</v>
      </c>
      <c r="S252">
        <v>6.91</v>
      </c>
      <c r="T252">
        <v>18</v>
      </c>
      <c r="U252">
        <v>1038.4000000000001</v>
      </c>
      <c r="V252">
        <v>0.27</v>
      </c>
      <c r="W252">
        <v>439.4</v>
      </c>
      <c r="X252">
        <v>47.2</v>
      </c>
      <c r="Y252">
        <v>486.6</v>
      </c>
      <c r="Z252">
        <v>436.6</v>
      </c>
      <c r="AA252">
        <v>48.3</v>
      </c>
      <c r="AB252">
        <v>7.01</v>
      </c>
      <c r="AC252">
        <v>17</v>
      </c>
      <c r="AD252">
        <v>1017.7</v>
      </c>
      <c r="AE252">
        <v>0.26</v>
      </c>
      <c r="AF252">
        <v>439.8</v>
      </c>
      <c r="AG252">
        <v>45.6</v>
      </c>
      <c r="AH252">
        <v>485.4</v>
      </c>
      <c r="AI252">
        <v>257.10000000000002</v>
      </c>
      <c r="AJ252">
        <v>6.8</v>
      </c>
      <c r="AK252">
        <v>0.8</v>
      </c>
      <c r="AL252">
        <v>28.6</v>
      </c>
      <c r="AM252">
        <v>1279.5999999999999</v>
      </c>
      <c r="AN252">
        <v>0.11</v>
      </c>
      <c r="AO252">
        <v>257.5</v>
      </c>
      <c r="AP252">
        <v>64.5</v>
      </c>
      <c r="AQ252">
        <v>322</v>
      </c>
      <c r="AR252">
        <v>774.6</v>
      </c>
      <c r="AS252">
        <v>67.5</v>
      </c>
      <c r="AT252">
        <v>9.69</v>
      </c>
      <c r="AU252">
        <v>44.2</v>
      </c>
      <c r="AV252">
        <v>2321.9</v>
      </c>
      <c r="AW252">
        <v>0.41</v>
      </c>
      <c r="AX252">
        <v>779</v>
      </c>
      <c r="AY252">
        <v>109.3</v>
      </c>
      <c r="AZ252">
        <v>888.4</v>
      </c>
      <c r="BA252">
        <v>55435431.899999999</v>
      </c>
      <c r="BB252">
        <v>6057</v>
      </c>
      <c r="BC252">
        <v>878.1</v>
      </c>
      <c r="BD252">
        <v>2292305.2000000002</v>
      </c>
      <c r="BE252">
        <v>131927.6</v>
      </c>
      <c r="BF252">
        <v>33.9</v>
      </c>
      <c r="BG252">
        <v>55837728.799999997</v>
      </c>
      <c r="BH252">
        <v>5995256.5</v>
      </c>
      <c r="BI252">
        <v>61832985.299999997</v>
      </c>
      <c r="BJ252">
        <v>0</v>
      </c>
      <c r="BK252">
        <v>0</v>
      </c>
      <c r="BL252">
        <v>55435431.899999999</v>
      </c>
      <c r="BM252">
        <v>57727737.100000001</v>
      </c>
      <c r="BN252">
        <v>61832985.299999997</v>
      </c>
      <c r="BO252">
        <v>29.74</v>
      </c>
      <c r="BP252">
        <v>14.81</v>
      </c>
      <c r="BQ252">
        <v>0</v>
      </c>
      <c r="BR252">
        <v>44.55</v>
      </c>
      <c r="BS252">
        <v>31.59</v>
      </c>
      <c r="BT252">
        <v>16.260000000000002</v>
      </c>
      <c r="BU252">
        <v>0</v>
      </c>
      <c r="BV252">
        <v>47.85</v>
      </c>
      <c r="BW252">
        <v>127962344</v>
      </c>
      <c r="BX252">
        <v>33635320</v>
      </c>
      <c r="BY252">
        <v>32540538</v>
      </c>
      <c r="BZ252">
        <v>51183560</v>
      </c>
      <c r="CA252">
        <v>0</v>
      </c>
      <c r="CB252">
        <v>1212.7</v>
      </c>
      <c r="CC252">
        <v>9027116</v>
      </c>
      <c r="CD252">
        <v>0</v>
      </c>
      <c r="CE252">
        <v>187745.8</v>
      </c>
      <c r="CF252">
        <v>603774.6</v>
      </c>
      <c r="CG252">
        <v>0</v>
      </c>
      <c r="CH252">
        <v>29042.6</v>
      </c>
      <c r="CI252">
        <v>0</v>
      </c>
      <c r="CJ252">
        <v>20685410</v>
      </c>
      <c r="CK252">
        <v>0</v>
      </c>
      <c r="CL252">
        <v>0</v>
      </c>
      <c r="CM252">
        <v>12162068</v>
      </c>
      <c r="CN252">
        <v>787841.2</v>
      </c>
      <c r="CO252">
        <v>355774.5</v>
      </c>
      <c r="CP252">
        <v>398260.8</v>
      </c>
      <c r="CQ252">
        <v>0</v>
      </c>
      <c r="CR252">
        <v>417</v>
      </c>
      <c r="CS252">
        <v>0</v>
      </c>
      <c r="CT252">
        <v>6.4</v>
      </c>
      <c r="CU252">
        <v>10742</v>
      </c>
      <c r="CV252">
        <v>0</v>
      </c>
      <c r="CW252">
        <v>0</v>
      </c>
      <c r="CX252">
        <v>535.70000000000005</v>
      </c>
      <c r="CY252">
        <v>3147</v>
      </c>
      <c r="CZ252">
        <v>0</v>
      </c>
      <c r="DA252">
        <v>4167.3999999999996</v>
      </c>
      <c r="DB252">
        <v>0</v>
      </c>
      <c r="DC252">
        <v>267</v>
      </c>
      <c r="DD252">
        <v>4074</v>
      </c>
      <c r="DE252">
        <v>115.4</v>
      </c>
      <c r="DF252">
        <v>471</v>
      </c>
      <c r="DG252">
        <v>5386.5</v>
      </c>
      <c r="DH252">
        <v>0</v>
      </c>
      <c r="DI252">
        <v>6357.2</v>
      </c>
      <c r="DJ252">
        <v>0</v>
      </c>
      <c r="DK252">
        <v>1595.8</v>
      </c>
      <c r="DL252">
        <v>4710</v>
      </c>
      <c r="DM252">
        <v>0</v>
      </c>
      <c r="DN252">
        <v>0</v>
      </c>
      <c r="DO252">
        <v>0.16</v>
      </c>
      <c r="DP252">
        <v>0</v>
      </c>
      <c r="DQ252">
        <v>0</v>
      </c>
      <c r="DR252">
        <v>0</v>
      </c>
    </row>
    <row r="253" spans="1:122" x14ac:dyDescent="0.3">
      <c r="A253" t="s">
        <v>173</v>
      </c>
      <c r="B253">
        <v>2036</v>
      </c>
      <c r="C253">
        <v>119852742.09999999</v>
      </c>
      <c r="D253">
        <v>114803702.2</v>
      </c>
      <c r="E253">
        <v>110676252.5</v>
      </c>
      <c r="F253">
        <v>0</v>
      </c>
      <c r="G253">
        <v>2327036</v>
      </c>
      <c r="H253">
        <v>80808109.700000003</v>
      </c>
      <c r="I253">
        <v>1898327</v>
      </c>
      <c r="J253">
        <v>428708.9</v>
      </c>
      <c r="K253">
        <v>2722004</v>
      </c>
      <c r="L253">
        <v>3.5900000000000001E-2</v>
      </c>
      <c r="M253">
        <v>5.3999999999999999E-2</v>
      </c>
      <c r="N253">
        <v>0.15</v>
      </c>
      <c r="O253">
        <v>73393.820000000007</v>
      </c>
      <c r="P253">
        <v>27341</v>
      </c>
      <c r="Q253">
        <v>424</v>
      </c>
      <c r="R253">
        <v>46.4</v>
      </c>
      <c r="S253">
        <v>6.73</v>
      </c>
      <c r="T253">
        <v>17.5</v>
      </c>
      <c r="U253">
        <v>1006.2</v>
      </c>
      <c r="V253">
        <v>0.26</v>
      </c>
      <c r="W253">
        <v>427.1</v>
      </c>
      <c r="X253">
        <v>45.8</v>
      </c>
      <c r="Y253">
        <v>472.8</v>
      </c>
      <c r="Z253">
        <v>413.5</v>
      </c>
      <c r="AA253">
        <v>45.8</v>
      </c>
      <c r="AB253">
        <v>6.65</v>
      </c>
      <c r="AC253">
        <v>16.100000000000001</v>
      </c>
      <c r="AD253">
        <v>962.1</v>
      </c>
      <c r="AE253">
        <v>0.24</v>
      </c>
      <c r="AF253">
        <v>416.5</v>
      </c>
      <c r="AG253">
        <v>43.1</v>
      </c>
      <c r="AH253">
        <v>459.6</v>
      </c>
      <c r="AI253">
        <v>257.60000000000002</v>
      </c>
      <c r="AJ253">
        <v>8.6999999999999993</v>
      </c>
      <c r="AK253">
        <v>1.0900000000000001</v>
      </c>
      <c r="AL253">
        <v>27</v>
      </c>
      <c r="AM253">
        <v>1222.7</v>
      </c>
      <c r="AN253">
        <v>0.12</v>
      </c>
      <c r="AO253">
        <v>258.10000000000002</v>
      </c>
      <c r="AP253">
        <v>61.2</v>
      </c>
      <c r="AQ253">
        <v>319.39999999999998</v>
      </c>
      <c r="AR253">
        <v>764.6</v>
      </c>
      <c r="AS253">
        <v>66.900000000000006</v>
      </c>
      <c r="AT253">
        <v>9.59</v>
      </c>
      <c r="AU253">
        <v>43.4</v>
      </c>
      <c r="AV253">
        <v>2291.6999999999998</v>
      </c>
      <c r="AW253">
        <v>0.4</v>
      </c>
      <c r="AX253">
        <v>769.1</v>
      </c>
      <c r="AY253">
        <v>107.7</v>
      </c>
      <c r="AZ253">
        <v>876.7</v>
      </c>
      <c r="BA253">
        <v>53511354.700000003</v>
      </c>
      <c r="BB253">
        <v>5859.8</v>
      </c>
      <c r="BC253">
        <v>849.6</v>
      </c>
      <c r="BD253">
        <v>2210924</v>
      </c>
      <c r="BE253">
        <v>126961.5</v>
      </c>
      <c r="BF253">
        <v>32.9</v>
      </c>
      <c r="BG253">
        <v>53900586.700000003</v>
      </c>
      <c r="BH253">
        <v>5774576.0999999996</v>
      </c>
      <c r="BI253">
        <v>59675162.799999997</v>
      </c>
      <c r="BJ253">
        <v>0</v>
      </c>
      <c r="BK253">
        <v>0</v>
      </c>
      <c r="BL253">
        <v>53511354.700000003</v>
      </c>
      <c r="BM253">
        <v>55722278.700000003</v>
      </c>
      <c r="BN253">
        <v>59675162.799999997</v>
      </c>
      <c r="BO253">
        <v>29.06</v>
      </c>
      <c r="BP253">
        <v>14.9</v>
      </c>
      <c r="BQ253">
        <v>0</v>
      </c>
      <c r="BR253">
        <v>43.96</v>
      </c>
      <c r="BS253">
        <v>30.91</v>
      </c>
      <c r="BT253">
        <v>16.559999999999999</v>
      </c>
      <c r="BU253">
        <v>0</v>
      </c>
      <c r="BV253">
        <v>47.47</v>
      </c>
      <c r="BW253">
        <v>127114024</v>
      </c>
      <c r="BX253">
        <v>33995590</v>
      </c>
      <c r="BY253">
        <v>32540538</v>
      </c>
      <c r="BZ253">
        <v>49406116</v>
      </c>
      <c r="CA253">
        <v>0</v>
      </c>
      <c r="CB253">
        <v>895.8</v>
      </c>
      <c r="CC253">
        <v>8425083</v>
      </c>
      <c r="CD253">
        <v>0</v>
      </c>
      <c r="CE253">
        <v>135509.6</v>
      </c>
      <c r="CF253">
        <v>603175.1</v>
      </c>
      <c r="CG253">
        <v>0</v>
      </c>
      <c r="CH253">
        <v>29046</v>
      </c>
      <c r="CI253">
        <v>0</v>
      </c>
      <c r="CJ253">
        <v>20787490</v>
      </c>
      <c r="CK253">
        <v>0</v>
      </c>
      <c r="CL253">
        <v>0</v>
      </c>
      <c r="CM253">
        <v>12008137</v>
      </c>
      <c r="CN253">
        <v>1199966.1000000001</v>
      </c>
      <c r="CO253">
        <v>353408.1</v>
      </c>
      <c r="CP253">
        <v>1624663.2</v>
      </c>
      <c r="CQ253">
        <v>0</v>
      </c>
      <c r="CR253">
        <v>1668.9</v>
      </c>
      <c r="CS253">
        <v>0</v>
      </c>
      <c r="CT253">
        <v>6.4</v>
      </c>
      <c r="CU253">
        <v>10742</v>
      </c>
      <c r="CV253">
        <v>0</v>
      </c>
      <c r="CW253">
        <v>0</v>
      </c>
      <c r="CX253">
        <v>815</v>
      </c>
      <c r="CY253">
        <v>3147</v>
      </c>
      <c r="CZ253">
        <v>0</v>
      </c>
      <c r="DA253">
        <v>4167.3999999999996</v>
      </c>
      <c r="DB253">
        <v>0</v>
      </c>
      <c r="DC253">
        <v>267</v>
      </c>
      <c r="DD253">
        <v>4074</v>
      </c>
      <c r="DE253">
        <v>115.4</v>
      </c>
      <c r="DF253">
        <v>471</v>
      </c>
      <c r="DG253">
        <v>5396.2</v>
      </c>
      <c r="DH253">
        <v>0</v>
      </c>
      <c r="DI253">
        <v>6397.2</v>
      </c>
      <c r="DJ253">
        <v>0</v>
      </c>
      <c r="DK253">
        <v>6622.5</v>
      </c>
      <c r="DL253">
        <v>4710</v>
      </c>
      <c r="DM253">
        <v>0</v>
      </c>
      <c r="DN253">
        <v>0</v>
      </c>
      <c r="DO253">
        <v>0.16</v>
      </c>
      <c r="DP253">
        <v>0</v>
      </c>
      <c r="DQ253">
        <v>0</v>
      </c>
      <c r="DR253">
        <v>0</v>
      </c>
    </row>
    <row r="254" spans="1:122" x14ac:dyDescent="0.3">
      <c r="A254" t="s">
        <v>173</v>
      </c>
      <c r="B254">
        <v>2038</v>
      </c>
      <c r="C254">
        <v>121462383.09999999</v>
      </c>
      <c r="D254">
        <v>116478573.8</v>
      </c>
      <c r="E254">
        <v>112290908.40000001</v>
      </c>
      <c r="F254">
        <v>0</v>
      </c>
      <c r="G254">
        <v>2227980.7999999998</v>
      </c>
      <c r="H254">
        <v>83610862.099999994</v>
      </c>
      <c r="I254">
        <v>1844354.2</v>
      </c>
      <c r="J254">
        <v>383626.7</v>
      </c>
      <c r="K254">
        <v>2755828.5</v>
      </c>
      <c r="L254">
        <v>3.5900000000000001E-2</v>
      </c>
      <c r="M254">
        <v>5.3999999999999999E-2</v>
      </c>
      <c r="N254">
        <v>0.15</v>
      </c>
      <c r="O254">
        <v>76056.08</v>
      </c>
      <c r="P254">
        <v>27740.1</v>
      </c>
      <c r="Q254">
        <v>416.7</v>
      </c>
      <c r="R254">
        <v>45.5</v>
      </c>
      <c r="S254">
        <v>6.59</v>
      </c>
      <c r="T254">
        <v>17.5</v>
      </c>
      <c r="U254">
        <v>994.6</v>
      </c>
      <c r="V254">
        <v>0.26</v>
      </c>
      <c r="W254">
        <v>419.8</v>
      </c>
      <c r="X254">
        <v>45.4</v>
      </c>
      <c r="Y254">
        <v>465.2</v>
      </c>
      <c r="Z254">
        <v>394.6</v>
      </c>
      <c r="AA254">
        <v>43.6</v>
      </c>
      <c r="AB254">
        <v>6.32</v>
      </c>
      <c r="AC254">
        <v>15.6</v>
      </c>
      <c r="AD254">
        <v>924.2</v>
      </c>
      <c r="AE254">
        <v>0.24</v>
      </c>
      <c r="AF254">
        <v>397.5</v>
      </c>
      <c r="AG254">
        <v>41.6</v>
      </c>
      <c r="AH254">
        <v>439.1</v>
      </c>
      <c r="AI254">
        <v>297.3</v>
      </c>
      <c r="AJ254">
        <v>13.3</v>
      </c>
      <c r="AK254">
        <v>1.75</v>
      </c>
      <c r="AL254">
        <v>28.2</v>
      </c>
      <c r="AM254">
        <v>1309.4000000000001</v>
      </c>
      <c r="AN254">
        <v>0.14000000000000001</v>
      </c>
      <c r="AO254">
        <v>298.10000000000002</v>
      </c>
      <c r="AP254">
        <v>64.900000000000006</v>
      </c>
      <c r="AQ254">
        <v>363</v>
      </c>
      <c r="AR254">
        <v>751.4</v>
      </c>
      <c r="AS254">
        <v>64.900000000000006</v>
      </c>
      <c r="AT254">
        <v>9.3000000000000007</v>
      </c>
      <c r="AU254">
        <v>43.3</v>
      </c>
      <c r="AV254">
        <v>2280.5</v>
      </c>
      <c r="AW254">
        <v>0.39</v>
      </c>
      <c r="AX254">
        <v>755.7</v>
      </c>
      <c r="AY254">
        <v>107.2</v>
      </c>
      <c r="AZ254">
        <v>862.9</v>
      </c>
      <c r="BA254">
        <v>51201507.200000003</v>
      </c>
      <c r="BB254">
        <v>5586.1</v>
      </c>
      <c r="BC254">
        <v>809.8</v>
      </c>
      <c r="BD254">
        <v>2146731.9</v>
      </c>
      <c r="BE254">
        <v>122169.9</v>
      </c>
      <c r="BF254">
        <v>31.8</v>
      </c>
      <c r="BG254">
        <v>51572506.700000003</v>
      </c>
      <c r="BH254">
        <v>5575913.4000000004</v>
      </c>
      <c r="BI254">
        <v>57148420.100000001</v>
      </c>
      <c r="BJ254">
        <v>0</v>
      </c>
      <c r="BK254">
        <v>0</v>
      </c>
      <c r="BL254">
        <v>51201507.200000003</v>
      </c>
      <c r="BM254">
        <v>53348239.100000001</v>
      </c>
      <c r="BN254">
        <v>57148420.100000001</v>
      </c>
      <c r="BO254">
        <v>28.46</v>
      </c>
      <c r="BP254">
        <v>15.46</v>
      </c>
      <c r="BQ254">
        <v>0</v>
      </c>
      <c r="BR254">
        <v>43.92</v>
      </c>
      <c r="BS254">
        <v>30.26</v>
      </c>
      <c r="BT254">
        <v>17.170000000000002</v>
      </c>
      <c r="BU254">
        <v>0</v>
      </c>
      <c r="BV254">
        <v>47.43</v>
      </c>
      <c r="BW254">
        <v>123782290</v>
      </c>
      <c r="BX254">
        <v>32867712</v>
      </c>
      <c r="BY254">
        <v>32540538</v>
      </c>
      <c r="BZ254">
        <v>47037628</v>
      </c>
      <c r="CA254">
        <v>0</v>
      </c>
      <c r="CB254">
        <v>679.3</v>
      </c>
      <c r="CC254">
        <v>8710771</v>
      </c>
      <c r="CD254">
        <v>0</v>
      </c>
      <c r="CE254">
        <v>107448.3</v>
      </c>
      <c r="CF254">
        <v>603623.4</v>
      </c>
      <c r="CG254">
        <v>0</v>
      </c>
      <c r="CH254">
        <v>29002.5</v>
      </c>
      <c r="CI254">
        <v>0</v>
      </c>
      <c r="CJ254">
        <v>19314810</v>
      </c>
      <c r="CK254">
        <v>0</v>
      </c>
      <c r="CL254">
        <v>0</v>
      </c>
      <c r="CM254">
        <v>11841315</v>
      </c>
      <c r="CN254">
        <v>1711587.6</v>
      </c>
      <c r="CO254">
        <v>309793.59999999998</v>
      </c>
      <c r="CP254">
        <v>1575084.4</v>
      </c>
      <c r="CQ254">
        <v>0</v>
      </c>
      <c r="CR254">
        <v>1686.6</v>
      </c>
      <c r="CS254">
        <v>0</v>
      </c>
      <c r="CT254">
        <v>6.4</v>
      </c>
      <c r="CU254">
        <v>10742</v>
      </c>
      <c r="CV254">
        <v>0</v>
      </c>
      <c r="CW254">
        <v>0</v>
      </c>
      <c r="CX254">
        <v>1162.7</v>
      </c>
      <c r="CY254">
        <v>3147</v>
      </c>
      <c r="CZ254">
        <v>0</v>
      </c>
      <c r="DA254">
        <v>4167.3999999999996</v>
      </c>
      <c r="DB254">
        <v>0</v>
      </c>
      <c r="DC254">
        <v>267</v>
      </c>
      <c r="DD254">
        <v>4074</v>
      </c>
      <c r="DE254">
        <v>115.4</v>
      </c>
      <c r="DF254">
        <v>471</v>
      </c>
      <c r="DG254">
        <v>5395.5</v>
      </c>
      <c r="DH254">
        <v>0</v>
      </c>
      <c r="DI254">
        <v>5853.6</v>
      </c>
      <c r="DJ254">
        <v>0</v>
      </c>
      <c r="DK254">
        <v>6655.9</v>
      </c>
      <c r="DL254">
        <v>4710</v>
      </c>
      <c r="DM254">
        <v>0</v>
      </c>
      <c r="DN254">
        <v>0</v>
      </c>
      <c r="DO254">
        <v>0.16</v>
      </c>
      <c r="DP254">
        <v>0</v>
      </c>
      <c r="DQ254">
        <v>0</v>
      </c>
      <c r="DR254">
        <v>0</v>
      </c>
    </row>
    <row r="255" spans="1:122" x14ac:dyDescent="0.3">
      <c r="A255" t="s">
        <v>173</v>
      </c>
      <c r="B255">
        <v>2040</v>
      </c>
      <c r="C255">
        <v>123499807.3</v>
      </c>
      <c r="D255">
        <v>118113100.09999999</v>
      </c>
      <c r="E255">
        <v>113866669.40000001</v>
      </c>
      <c r="F255">
        <v>0</v>
      </c>
      <c r="G255">
        <v>2430576</v>
      </c>
      <c r="H255">
        <v>76177158.099999994</v>
      </c>
      <c r="I255">
        <v>2023277.4</v>
      </c>
      <c r="J255">
        <v>407298.7</v>
      </c>
      <c r="K255">
        <v>2956131.1</v>
      </c>
      <c r="L255">
        <v>3.5900000000000001E-2</v>
      </c>
      <c r="M255">
        <v>5.3999999999999999E-2</v>
      </c>
      <c r="N255">
        <v>0.15</v>
      </c>
      <c r="O255">
        <v>77440.289999999994</v>
      </c>
      <c r="P255">
        <v>28129.5</v>
      </c>
      <c r="Q255">
        <v>364.5</v>
      </c>
      <c r="R255">
        <v>39.700000000000003</v>
      </c>
      <c r="S255">
        <v>5.76</v>
      </c>
      <c r="T255">
        <v>15.5</v>
      </c>
      <c r="U255">
        <v>871.4</v>
      </c>
      <c r="V255">
        <v>0.23</v>
      </c>
      <c r="W255">
        <v>367.1</v>
      </c>
      <c r="X255">
        <v>40</v>
      </c>
      <c r="Y255">
        <v>407.1</v>
      </c>
      <c r="Z255">
        <v>356.5</v>
      </c>
      <c r="AA255">
        <v>39.299999999999997</v>
      </c>
      <c r="AB255">
        <v>5.71</v>
      </c>
      <c r="AC255">
        <v>14.3</v>
      </c>
      <c r="AD255">
        <v>835.3</v>
      </c>
      <c r="AE255">
        <v>0.22</v>
      </c>
      <c r="AF255">
        <v>359.1</v>
      </c>
      <c r="AG255">
        <v>37.700000000000003</v>
      </c>
      <c r="AH255">
        <v>396.8</v>
      </c>
      <c r="AI255">
        <v>275</v>
      </c>
      <c r="AJ255">
        <v>12.9</v>
      </c>
      <c r="AK255">
        <v>1.71</v>
      </c>
      <c r="AL255">
        <v>25.5</v>
      </c>
      <c r="AM255">
        <v>1192.2</v>
      </c>
      <c r="AN255">
        <v>0.13</v>
      </c>
      <c r="AO255">
        <v>275.8</v>
      </c>
      <c r="AP255">
        <v>58.9</v>
      </c>
      <c r="AQ255">
        <v>334.8</v>
      </c>
      <c r="AR255">
        <v>740.4</v>
      </c>
      <c r="AS255">
        <v>64.2</v>
      </c>
      <c r="AT255">
        <v>9.1999999999999993</v>
      </c>
      <c r="AU255">
        <v>42.4</v>
      </c>
      <c r="AV255">
        <v>2239.1999999999998</v>
      </c>
      <c r="AW255">
        <v>0.38</v>
      </c>
      <c r="AX255">
        <v>744.7</v>
      </c>
      <c r="AY255">
        <v>105.2</v>
      </c>
      <c r="AZ255">
        <v>849.9</v>
      </c>
      <c r="BA255">
        <v>46234584.200000003</v>
      </c>
      <c r="BB255">
        <v>5039.8999999999996</v>
      </c>
      <c r="BC255">
        <v>730.5</v>
      </c>
      <c r="BD255">
        <v>1970338.2</v>
      </c>
      <c r="BE255">
        <v>110525.3</v>
      </c>
      <c r="BF255">
        <v>29.3</v>
      </c>
      <c r="BG255">
        <v>46569296.100000001</v>
      </c>
      <c r="BH255">
        <v>5072823.8</v>
      </c>
      <c r="BI255">
        <v>51642119.899999999</v>
      </c>
      <c r="BJ255">
        <v>0</v>
      </c>
      <c r="BK255">
        <v>0</v>
      </c>
      <c r="BL255">
        <v>46234584.200000003</v>
      </c>
      <c r="BM255">
        <v>48204922.399999999</v>
      </c>
      <c r="BN255">
        <v>51642119.899999999</v>
      </c>
      <c r="BO255">
        <v>27.58</v>
      </c>
      <c r="BP255">
        <v>15.65</v>
      </c>
      <c r="BQ255">
        <v>0</v>
      </c>
      <c r="BR255">
        <v>43.23</v>
      </c>
      <c r="BS255">
        <v>29.36</v>
      </c>
      <c r="BT255">
        <v>17.420000000000002</v>
      </c>
      <c r="BU255">
        <v>0</v>
      </c>
      <c r="BV255">
        <v>46.78</v>
      </c>
      <c r="BW255">
        <v>127880370</v>
      </c>
      <c r="BX255">
        <v>41935944</v>
      </c>
      <c r="BY255">
        <v>32540538</v>
      </c>
      <c r="BZ255">
        <v>42571196</v>
      </c>
      <c r="CA255">
        <v>0</v>
      </c>
      <c r="CB255">
        <v>506.6</v>
      </c>
      <c r="CC255">
        <v>8059367</v>
      </c>
      <c r="CD255">
        <v>0</v>
      </c>
      <c r="CE255">
        <v>72380.399999999994</v>
      </c>
      <c r="CF255">
        <v>602593.30000000005</v>
      </c>
      <c r="CG255">
        <v>0</v>
      </c>
      <c r="CH255">
        <v>28414</v>
      </c>
      <c r="CI255">
        <v>0</v>
      </c>
      <c r="CJ255">
        <v>27594330</v>
      </c>
      <c r="CK255">
        <v>0</v>
      </c>
      <c r="CL255">
        <v>0</v>
      </c>
      <c r="CM255">
        <v>12206722</v>
      </c>
      <c r="CN255">
        <v>2134889.5</v>
      </c>
      <c r="CO255">
        <v>335076.40000000002</v>
      </c>
      <c r="CP255">
        <v>1734361.8</v>
      </c>
      <c r="CQ255">
        <v>0</v>
      </c>
      <c r="CR255">
        <v>1888.6</v>
      </c>
      <c r="CS255">
        <v>0</v>
      </c>
      <c r="CT255">
        <v>6.4</v>
      </c>
      <c r="CU255">
        <v>10742</v>
      </c>
      <c r="CV255">
        <v>0</v>
      </c>
      <c r="CW255">
        <v>0</v>
      </c>
      <c r="CX255">
        <v>1462.1</v>
      </c>
      <c r="CY255">
        <v>3147</v>
      </c>
      <c r="CZ255">
        <v>0</v>
      </c>
      <c r="DA255">
        <v>4167.3999999999996</v>
      </c>
      <c r="DB255">
        <v>0</v>
      </c>
      <c r="DC255">
        <v>267</v>
      </c>
      <c r="DD255">
        <v>4074</v>
      </c>
      <c r="DE255">
        <v>72.7</v>
      </c>
      <c r="DF255">
        <v>471</v>
      </c>
      <c r="DG255">
        <v>5609.4</v>
      </c>
      <c r="DH255">
        <v>0</v>
      </c>
      <c r="DI255">
        <v>7945.2</v>
      </c>
      <c r="DJ255">
        <v>0</v>
      </c>
      <c r="DK255">
        <v>7462.1</v>
      </c>
      <c r="DL255">
        <v>4710</v>
      </c>
      <c r="DM255">
        <v>0</v>
      </c>
      <c r="DN255">
        <v>0</v>
      </c>
      <c r="DO255">
        <v>0.16</v>
      </c>
      <c r="DP255">
        <v>0</v>
      </c>
      <c r="DQ255">
        <v>0</v>
      </c>
      <c r="DR255">
        <v>0</v>
      </c>
    </row>
    <row r="256" spans="1:122" x14ac:dyDescent="0.3">
      <c r="A256" t="s">
        <v>173</v>
      </c>
      <c r="B256">
        <v>2042</v>
      </c>
      <c r="C256">
        <v>125241100.5</v>
      </c>
      <c r="D256">
        <v>120064244.2</v>
      </c>
      <c r="E256">
        <v>115747665.09999999</v>
      </c>
      <c r="F256">
        <v>0</v>
      </c>
      <c r="G256">
        <v>2318018.2000000002</v>
      </c>
      <c r="H256">
        <v>81595497.099999994</v>
      </c>
      <c r="I256">
        <v>1931676.4</v>
      </c>
      <c r="J256">
        <v>386342</v>
      </c>
      <c r="K256">
        <v>2858838</v>
      </c>
      <c r="L256">
        <v>3.5900000000000001E-2</v>
      </c>
      <c r="M256">
        <v>5.3999999999999999E-2</v>
      </c>
      <c r="N256">
        <v>0.15</v>
      </c>
      <c r="O256">
        <v>78537.820000000007</v>
      </c>
      <c r="P256">
        <v>28593.200000000001</v>
      </c>
      <c r="Q256">
        <v>349.2</v>
      </c>
      <c r="R256">
        <v>37.799999999999997</v>
      </c>
      <c r="S256">
        <v>5.48</v>
      </c>
      <c r="T256">
        <v>15.4</v>
      </c>
      <c r="U256">
        <v>843.8</v>
      </c>
      <c r="V256">
        <v>0.23</v>
      </c>
      <c r="W256">
        <v>351.7</v>
      </c>
      <c r="X256">
        <v>39</v>
      </c>
      <c r="Y256">
        <v>390.7</v>
      </c>
      <c r="Z256">
        <v>332.9</v>
      </c>
      <c r="AA256">
        <v>36.5</v>
      </c>
      <c r="AB256">
        <v>5.29</v>
      </c>
      <c r="AC256">
        <v>13.7</v>
      </c>
      <c r="AD256">
        <v>788.6</v>
      </c>
      <c r="AE256">
        <v>0.2</v>
      </c>
      <c r="AF256">
        <v>335.4</v>
      </c>
      <c r="AG256">
        <v>35.799999999999997</v>
      </c>
      <c r="AH256">
        <v>371.2</v>
      </c>
      <c r="AI256">
        <v>249.6</v>
      </c>
      <c r="AJ256">
        <v>12</v>
      </c>
      <c r="AK256">
        <v>1.6</v>
      </c>
      <c r="AL256">
        <v>22.9</v>
      </c>
      <c r="AM256">
        <v>1072.7</v>
      </c>
      <c r="AN256">
        <v>0.11</v>
      </c>
      <c r="AO256">
        <v>250.3</v>
      </c>
      <c r="AP256">
        <v>53</v>
      </c>
      <c r="AQ256">
        <v>303.3</v>
      </c>
      <c r="AR256">
        <v>729.1</v>
      </c>
      <c r="AS256">
        <v>61.9</v>
      </c>
      <c r="AT256">
        <v>8.85</v>
      </c>
      <c r="AU256">
        <v>43</v>
      </c>
      <c r="AV256">
        <v>2251.6999999999998</v>
      </c>
      <c r="AW256">
        <v>0.37</v>
      </c>
      <c r="AX256">
        <v>733.1</v>
      </c>
      <c r="AY256">
        <v>106.1</v>
      </c>
      <c r="AZ256">
        <v>839.3</v>
      </c>
      <c r="BA256">
        <v>41602936.100000001</v>
      </c>
      <c r="BB256">
        <v>4503.7</v>
      </c>
      <c r="BC256">
        <v>652.5</v>
      </c>
      <c r="BD256">
        <v>1830233.3</v>
      </c>
      <c r="BE256">
        <v>100518</v>
      </c>
      <c r="BF256">
        <v>27</v>
      </c>
      <c r="BG256">
        <v>41901957.600000001</v>
      </c>
      <c r="BH256">
        <v>4651906.5</v>
      </c>
      <c r="BI256">
        <v>46553864.100000001</v>
      </c>
      <c r="BJ256">
        <v>0</v>
      </c>
      <c r="BK256">
        <v>0</v>
      </c>
      <c r="BL256">
        <v>41602936.100000001</v>
      </c>
      <c r="BM256">
        <v>43433169.399999999</v>
      </c>
      <c r="BN256">
        <v>46553864.100000001</v>
      </c>
      <c r="BO256">
        <v>27.75</v>
      </c>
      <c r="BP256">
        <v>15.93</v>
      </c>
      <c r="BQ256">
        <v>0</v>
      </c>
      <c r="BR256">
        <v>43.68</v>
      </c>
      <c r="BS256">
        <v>29.51</v>
      </c>
      <c r="BT256">
        <v>17.690000000000001</v>
      </c>
      <c r="BU256">
        <v>0</v>
      </c>
      <c r="BV256">
        <v>47.2</v>
      </c>
      <c r="BW256">
        <v>120105460</v>
      </c>
      <c r="BX256">
        <v>38468748</v>
      </c>
      <c r="BY256">
        <v>32540538</v>
      </c>
      <c r="BZ256">
        <v>38377240</v>
      </c>
      <c r="CA256">
        <v>0</v>
      </c>
      <c r="CB256">
        <v>199.1</v>
      </c>
      <c r="CC256">
        <v>8073933</v>
      </c>
      <c r="CD256">
        <v>0</v>
      </c>
      <c r="CE256">
        <v>51001.2</v>
      </c>
      <c r="CF256">
        <v>606219</v>
      </c>
      <c r="CG256">
        <v>0</v>
      </c>
      <c r="CH256">
        <v>28708.2</v>
      </c>
      <c r="CI256">
        <v>0</v>
      </c>
      <c r="CJ256">
        <v>23949072</v>
      </c>
      <c r="CK256">
        <v>0</v>
      </c>
      <c r="CL256">
        <v>0</v>
      </c>
      <c r="CM256">
        <v>12192871</v>
      </c>
      <c r="CN256">
        <v>2326803.7999999998</v>
      </c>
      <c r="CO256">
        <v>308312</v>
      </c>
      <c r="CP256">
        <v>1650562.6</v>
      </c>
      <c r="CQ256">
        <v>0</v>
      </c>
      <c r="CR256">
        <v>1894.3</v>
      </c>
      <c r="CS256">
        <v>0</v>
      </c>
      <c r="CT256">
        <v>6.4</v>
      </c>
      <c r="CU256">
        <v>9780.4</v>
      </c>
      <c r="CV256">
        <v>0</v>
      </c>
      <c r="CW256">
        <v>0</v>
      </c>
      <c r="CX256">
        <v>1604.1</v>
      </c>
      <c r="CY256">
        <v>3147</v>
      </c>
      <c r="CZ256">
        <v>0</v>
      </c>
      <c r="DA256">
        <v>4167.3999999999996</v>
      </c>
      <c r="DB256">
        <v>0</v>
      </c>
      <c r="DC256">
        <v>267</v>
      </c>
      <c r="DD256">
        <v>4074</v>
      </c>
      <c r="DE256">
        <v>72.7</v>
      </c>
      <c r="DF256">
        <v>471</v>
      </c>
      <c r="DG256">
        <v>5664</v>
      </c>
      <c r="DH256">
        <v>0</v>
      </c>
      <c r="DI256">
        <v>6674.4</v>
      </c>
      <c r="DJ256">
        <v>0</v>
      </c>
      <c r="DK256">
        <v>7495.9</v>
      </c>
      <c r="DL256">
        <v>4710</v>
      </c>
      <c r="DM256">
        <v>0</v>
      </c>
      <c r="DN256">
        <v>0</v>
      </c>
      <c r="DO256">
        <v>0.16</v>
      </c>
      <c r="DP256">
        <v>0</v>
      </c>
      <c r="DQ256">
        <v>0</v>
      </c>
      <c r="DR256">
        <v>0</v>
      </c>
    </row>
    <row r="257" spans="1:122" x14ac:dyDescent="0.3">
      <c r="A257" t="s">
        <v>173</v>
      </c>
      <c r="B257">
        <v>2044</v>
      </c>
      <c r="C257">
        <v>128255056</v>
      </c>
      <c r="D257">
        <v>122195501</v>
      </c>
      <c r="E257">
        <v>117802298.09999999</v>
      </c>
      <c r="F257">
        <v>0</v>
      </c>
      <c r="G257">
        <v>2860733</v>
      </c>
      <c r="H257">
        <v>70654336.700000003</v>
      </c>
      <c r="I257">
        <v>2475345.5</v>
      </c>
      <c r="J257">
        <v>385387.6</v>
      </c>
      <c r="K257">
        <v>3198822</v>
      </c>
      <c r="L257">
        <v>3.5900000000000001E-2</v>
      </c>
      <c r="M257">
        <v>5.3999999999999999E-2</v>
      </c>
      <c r="N257">
        <v>0.15</v>
      </c>
      <c r="O257">
        <v>82673.759999999995</v>
      </c>
      <c r="P257">
        <v>29101.9</v>
      </c>
      <c r="Q257">
        <v>282.60000000000002</v>
      </c>
      <c r="R257">
        <v>30.6</v>
      </c>
      <c r="S257">
        <v>4.43</v>
      </c>
      <c r="T257">
        <v>12.8</v>
      </c>
      <c r="U257">
        <v>684.3</v>
      </c>
      <c r="V257">
        <v>0.19</v>
      </c>
      <c r="W257">
        <v>284.7</v>
      </c>
      <c r="X257">
        <v>32</v>
      </c>
      <c r="Y257">
        <v>316.60000000000002</v>
      </c>
      <c r="Z257">
        <v>285.8</v>
      </c>
      <c r="AA257">
        <v>31.3</v>
      </c>
      <c r="AB257">
        <v>4.53</v>
      </c>
      <c r="AC257">
        <v>12</v>
      </c>
      <c r="AD257">
        <v>679.5</v>
      </c>
      <c r="AE257">
        <v>0.18</v>
      </c>
      <c r="AF257">
        <v>287.89999999999998</v>
      </c>
      <c r="AG257">
        <v>31.1</v>
      </c>
      <c r="AH257">
        <v>319</v>
      </c>
      <c r="AI257">
        <v>251</v>
      </c>
      <c r="AJ257">
        <v>13.6</v>
      </c>
      <c r="AK257">
        <v>1.84</v>
      </c>
      <c r="AL257">
        <v>21.7</v>
      </c>
      <c r="AM257">
        <v>1031.4000000000001</v>
      </c>
      <c r="AN257">
        <v>0.12</v>
      </c>
      <c r="AO257">
        <v>251.9</v>
      </c>
      <c r="AP257">
        <v>50.6</v>
      </c>
      <c r="AQ257">
        <v>302.5</v>
      </c>
      <c r="AR257">
        <v>704.2</v>
      </c>
      <c r="AS257">
        <v>59.2</v>
      </c>
      <c r="AT257">
        <v>8.4499999999999993</v>
      </c>
      <c r="AU257">
        <v>42</v>
      </c>
      <c r="AV257">
        <v>2199.1999999999998</v>
      </c>
      <c r="AW257">
        <v>0.36</v>
      </c>
      <c r="AX257">
        <v>708.1</v>
      </c>
      <c r="AY257">
        <v>103.7</v>
      </c>
      <c r="AZ257">
        <v>811.8</v>
      </c>
      <c r="BA257">
        <v>35679055.200000003</v>
      </c>
      <c r="BB257">
        <v>3859.8</v>
      </c>
      <c r="BC257">
        <v>559.20000000000005</v>
      </c>
      <c r="BD257">
        <v>1612885</v>
      </c>
      <c r="BE257">
        <v>86387.9</v>
      </c>
      <c r="BF257">
        <v>24.1</v>
      </c>
      <c r="BG257">
        <v>35935323.5</v>
      </c>
      <c r="BH257">
        <v>4038142.4</v>
      </c>
      <c r="BI257">
        <v>39973465.899999999</v>
      </c>
      <c r="BJ257">
        <v>0</v>
      </c>
      <c r="BK257">
        <v>0</v>
      </c>
      <c r="BL257">
        <v>35679055.200000003</v>
      </c>
      <c r="BM257">
        <v>37291940.200000003</v>
      </c>
      <c r="BN257">
        <v>39973465.899999999</v>
      </c>
      <c r="BO257">
        <v>27.12</v>
      </c>
      <c r="BP257">
        <v>16.54</v>
      </c>
      <c r="BQ257">
        <v>0</v>
      </c>
      <c r="BR257">
        <v>43.66</v>
      </c>
      <c r="BS257">
        <v>28.9</v>
      </c>
      <c r="BT257">
        <v>18.47</v>
      </c>
      <c r="BU257">
        <v>0</v>
      </c>
      <c r="BV257">
        <v>47.37</v>
      </c>
      <c r="BW257">
        <v>127309970</v>
      </c>
      <c r="BX257">
        <v>51541164</v>
      </c>
      <c r="BY257">
        <v>32540538</v>
      </c>
      <c r="BZ257">
        <v>32993184</v>
      </c>
      <c r="CA257">
        <v>0</v>
      </c>
      <c r="CB257">
        <v>192.8</v>
      </c>
      <c r="CC257">
        <v>7081321.5</v>
      </c>
      <c r="CD257">
        <v>0</v>
      </c>
      <c r="CE257">
        <v>34984.800000000003</v>
      </c>
      <c r="CF257">
        <v>653045.9</v>
      </c>
      <c r="CG257">
        <v>0</v>
      </c>
      <c r="CH257">
        <v>27059.599999999999</v>
      </c>
      <c r="CI257">
        <v>0</v>
      </c>
      <c r="CJ257">
        <v>35234468</v>
      </c>
      <c r="CK257">
        <v>0</v>
      </c>
      <c r="CL257">
        <v>0</v>
      </c>
      <c r="CM257">
        <v>13751541</v>
      </c>
      <c r="CN257">
        <v>2555153.5</v>
      </c>
      <c r="CO257">
        <v>315432</v>
      </c>
      <c r="CP257">
        <v>2123036</v>
      </c>
      <c r="CQ257">
        <v>0</v>
      </c>
      <c r="CR257">
        <v>2442.6</v>
      </c>
      <c r="CS257">
        <v>0</v>
      </c>
      <c r="CT257">
        <v>6.4</v>
      </c>
      <c r="CU257">
        <v>9143.5</v>
      </c>
      <c r="CV257">
        <v>0</v>
      </c>
      <c r="CW257">
        <v>0</v>
      </c>
      <c r="CX257">
        <v>1776.8</v>
      </c>
      <c r="CY257">
        <v>3147</v>
      </c>
      <c r="CZ257">
        <v>0</v>
      </c>
      <c r="DA257">
        <v>4167.3999999999996</v>
      </c>
      <c r="DB257">
        <v>0</v>
      </c>
      <c r="DC257">
        <v>288</v>
      </c>
      <c r="DD257">
        <v>4074</v>
      </c>
      <c r="DE257">
        <v>72.7</v>
      </c>
      <c r="DF257">
        <v>471</v>
      </c>
      <c r="DG257">
        <v>6401.6</v>
      </c>
      <c r="DH257">
        <v>0</v>
      </c>
      <c r="DI257">
        <v>9625.1</v>
      </c>
      <c r="DJ257">
        <v>0</v>
      </c>
      <c r="DK257">
        <v>9990.2999999999993</v>
      </c>
      <c r="DL257">
        <v>4710</v>
      </c>
      <c r="DM257">
        <v>0</v>
      </c>
      <c r="DN257">
        <v>0</v>
      </c>
      <c r="DO257">
        <v>0.16</v>
      </c>
      <c r="DP257">
        <v>0</v>
      </c>
      <c r="DQ257">
        <v>0</v>
      </c>
      <c r="DR257">
        <v>0</v>
      </c>
    </row>
    <row r="258" spans="1:122" x14ac:dyDescent="0.3">
      <c r="A258" t="s">
        <v>173</v>
      </c>
      <c r="B258">
        <v>2046</v>
      </c>
      <c r="C258">
        <v>130452449.2</v>
      </c>
      <c r="D258">
        <v>124263630</v>
      </c>
      <c r="E258">
        <v>119796072.8</v>
      </c>
      <c r="F258">
        <v>0</v>
      </c>
      <c r="G258">
        <v>2809538.2</v>
      </c>
      <c r="H258">
        <v>72387293.700000003</v>
      </c>
      <c r="I258">
        <v>2415327</v>
      </c>
      <c r="J258">
        <v>394211.3</v>
      </c>
      <c r="K258">
        <v>3379280.9</v>
      </c>
      <c r="L258">
        <v>3.5900000000000001E-2</v>
      </c>
      <c r="M258">
        <v>5.3999999999999999E-2</v>
      </c>
      <c r="N258">
        <v>0.15</v>
      </c>
      <c r="O258">
        <v>85607.58</v>
      </c>
      <c r="P258">
        <v>29593.8</v>
      </c>
      <c r="Q258">
        <v>248.1</v>
      </c>
      <c r="R258">
        <v>26.7</v>
      </c>
      <c r="S258">
        <v>3.87</v>
      </c>
      <c r="T258">
        <v>11.7</v>
      </c>
      <c r="U258">
        <v>606.1</v>
      </c>
      <c r="V258">
        <v>0.18</v>
      </c>
      <c r="W258">
        <v>249.8</v>
      </c>
      <c r="X258">
        <v>28.7</v>
      </c>
      <c r="Y258">
        <v>278.60000000000002</v>
      </c>
      <c r="Z258">
        <v>245.3</v>
      </c>
      <c r="AA258">
        <v>26.6</v>
      </c>
      <c r="AB258">
        <v>3.86</v>
      </c>
      <c r="AC258">
        <v>10.8</v>
      </c>
      <c r="AD258">
        <v>590.79999999999995</v>
      </c>
      <c r="AE258">
        <v>0.16</v>
      </c>
      <c r="AF258">
        <v>247</v>
      </c>
      <c r="AG258">
        <v>27.4</v>
      </c>
      <c r="AH258">
        <v>274.39999999999998</v>
      </c>
      <c r="AI258">
        <v>266.39999999999998</v>
      </c>
      <c r="AJ258">
        <v>16.100000000000001</v>
      </c>
      <c r="AK258">
        <v>2.21</v>
      </c>
      <c r="AL258">
        <v>21.5</v>
      </c>
      <c r="AM258">
        <v>1041</v>
      </c>
      <c r="AN258">
        <v>0.12</v>
      </c>
      <c r="AO258">
        <v>267.39999999999998</v>
      </c>
      <c r="AP258">
        <v>50.7</v>
      </c>
      <c r="AQ258">
        <v>318.10000000000002</v>
      </c>
      <c r="AR258">
        <v>668.4</v>
      </c>
      <c r="AS258">
        <v>54.6</v>
      </c>
      <c r="AT258">
        <v>7.76</v>
      </c>
      <c r="AU258">
        <v>41.2</v>
      </c>
      <c r="AV258">
        <v>2147.1999999999998</v>
      </c>
      <c r="AW258">
        <v>0.33</v>
      </c>
      <c r="AX258">
        <v>672</v>
      </c>
      <c r="AY258">
        <v>101.4</v>
      </c>
      <c r="AZ258">
        <v>773.4</v>
      </c>
      <c r="BA258">
        <v>29867036.5</v>
      </c>
      <c r="BB258">
        <v>3214</v>
      </c>
      <c r="BC258">
        <v>465.5</v>
      </c>
      <c r="BD258">
        <v>1412490</v>
      </c>
      <c r="BE258">
        <v>72973</v>
      </c>
      <c r="BF258">
        <v>21.3</v>
      </c>
      <c r="BG258">
        <v>30080383.399999999</v>
      </c>
      <c r="BH258">
        <v>3461369.9</v>
      </c>
      <c r="BI258">
        <v>33541753.300000001</v>
      </c>
      <c r="BJ258">
        <v>0</v>
      </c>
      <c r="BK258">
        <v>0</v>
      </c>
      <c r="BL258">
        <v>29867036.5</v>
      </c>
      <c r="BM258">
        <v>31279526.5</v>
      </c>
      <c r="BN258">
        <v>33541753.300000001</v>
      </c>
      <c r="BO258">
        <v>26.46</v>
      </c>
      <c r="BP258">
        <v>17.010000000000002</v>
      </c>
      <c r="BQ258">
        <v>0</v>
      </c>
      <c r="BR258">
        <v>43.47</v>
      </c>
      <c r="BS258">
        <v>28.24</v>
      </c>
      <c r="BT258">
        <v>18.98</v>
      </c>
      <c r="BU258">
        <v>0</v>
      </c>
      <c r="BV258">
        <v>47.21</v>
      </c>
      <c r="BW258">
        <v>121466260</v>
      </c>
      <c r="BX258">
        <v>51876336</v>
      </c>
      <c r="BY258">
        <v>32540538</v>
      </c>
      <c r="BZ258">
        <v>27615332</v>
      </c>
      <c r="CA258">
        <v>0</v>
      </c>
      <c r="CB258">
        <v>97.3</v>
      </c>
      <c r="CC258">
        <v>6309098</v>
      </c>
      <c r="CD258">
        <v>0</v>
      </c>
      <c r="CE258">
        <v>61149.7</v>
      </c>
      <c r="CF258">
        <v>652594.4</v>
      </c>
      <c r="CG258">
        <v>0</v>
      </c>
      <c r="CH258">
        <v>26283.8</v>
      </c>
      <c r="CI258">
        <v>0</v>
      </c>
      <c r="CJ258">
        <v>35488484</v>
      </c>
      <c r="CK258">
        <v>0</v>
      </c>
      <c r="CL258">
        <v>0</v>
      </c>
      <c r="CM258">
        <v>13605728</v>
      </c>
      <c r="CN258">
        <v>2782126</v>
      </c>
      <c r="CO258">
        <v>319857.8</v>
      </c>
      <c r="CP258">
        <v>2064962.4</v>
      </c>
      <c r="CQ258">
        <v>0</v>
      </c>
      <c r="CR258">
        <v>2353.4</v>
      </c>
      <c r="CS258">
        <v>0</v>
      </c>
      <c r="CT258">
        <v>6.4</v>
      </c>
      <c r="CU258">
        <v>8206.7000000000007</v>
      </c>
      <c r="CV258">
        <v>0</v>
      </c>
      <c r="CW258">
        <v>0</v>
      </c>
      <c r="CX258">
        <v>1949.9</v>
      </c>
      <c r="CY258">
        <v>3147</v>
      </c>
      <c r="CZ258">
        <v>0</v>
      </c>
      <c r="DA258">
        <v>6795.1</v>
      </c>
      <c r="DB258">
        <v>0</v>
      </c>
      <c r="DC258">
        <v>288</v>
      </c>
      <c r="DD258">
        <v>4074</v>
      </c>
      <c r="DE258">
        <v>66.099999999999994</v>
      </c>
      <c r="DF258">
        <v>471</v>
      </c>
      <c r="DG258">
        <v>6434.3</v>
      </c>
      <c r="DH258">
        <v>0</v>
      </c>
      <c r="DI258">
        <v>9665.5</v>
      </c>
      <c r="DJ258">
        <v>0</v>
      </c>
      <c r="DK258">
        <v>9892.9</v>
      </c>
      <c r="DL258">
        <v>4710</v>
      </c>
      <c r="DM258">
        <v>0</v>
      </c>
      <c r="DN258">
        <v>0</v>
      </c>
      <c r="DO258">
        <v>0.16</v>
      </c>
      <c r="DP258">
        <v>0</v>
      </c>
      <c r="DQ258">
        <v>0</v>
      </c>
      <c r="DR258">
        <v>0</v>
      </c>
    </row>
    <row r="259" spans="1:122" x14ac:dyDescent="0.3">
      <c r="A259" t="s">
        <v>173</v>
      </c>
      <c r="B259">
        <v>2048</v>
      </c>
      <c r="C259">
        <v>133940063.3</v>
      </c>
      <c r="D259">
        <v>126474041.2</v>
      </c>
      <c r="E259">
        <v>121927014.40000001</v>
      </c>
      <c r="F259">
        <v>0</v>
      </c>
      <c r="G259">
        <v>3770578</v>
      </c>
      <c r="H259">
        <v>69210230.400000006</v>
      </c>
      <c r="I259">
        <v>3396142.5</v>
      </c>
      <c r="J259">
        <v>374435.4</v>
      </c>
      <c r="K259">
        <v>3695444.2</v>
      </c>
      <c r="L259">
        <v>3.5900000000000001E-2</v>
      </c>
      <c r="M259">
        <v>5.3999999999999999E-2</v>
      </c>
      <c r="N259">
        <v>0.15</v>
      </c>
      <c r="O259">
        <v>85601.5</v>
      </c>
      <c r="P259">
        <v>30120.799999999999</v>
      </c>
      <c r="Q259">
        <v>176.7</v>
      </c>
      <c r="R259">
        <v>18.3</v>
      </c>
      <c r="S259">
        <v>2.64</v>
      </c>
      <c r="T259">
        <v>9.6999999999999993</v>
      </c>
      <c r="U259">
        <v>456.5</v>
      </c>
      <c r="V259">
        <v>0.14000000000000001</v>
      </c>
      <c r="W259">
        <v>177.9</v>
      </c>
      <c r="X259">
        <v>22.6</v>
      </c>
      <c r="Y259">
        <v>200.5</v>
      </c>
      <c r="Z259">
        <v>195.1</v>
      </c>
      <c r="AA259">
        <v>20.5</v>
      </c>
      <c r="AB259">
        <v>2.96</v>
      </c>
      <c r="AC259">
        <v>9.6</v>
      </c>
      <c r="AD259">
        <v>493</v>
      </c>
      <c r="AE259">
        <v>0.14000000000000001</v>
      </c>
      <c r="AF259">
        <v>196.4</v>
      </c>
      <c r="AG259">
        <v>23.4</v>
      </c>
      <c r="AH259">
        <v>219.8</v>
      </c>
      <c r="AI259">
        <v>244.9</v>
      </c>
      <c r="AJ259">
        <v>15.2</v>
      </c>
      <c r="AK259">
        <v>2.1</v>
      </c>
      <c r="AL259">
        <v>19.3</v>
      </c>
      <c r="AM259">
        <v>942.9</v>
      </c>
      <c r="AN259">
        <v>0.11</v>
      </c>
      <c r="AO259">
        <v>245.8</v>
      </c>
      <c r="AP259">
        <v>45.8</v>
      </c>
      <c r="AQ259">
        <v>291.60000000000002</v>
      </c>
      <c r="AR259">
        <v>633.29999999999995</v>
      </c>
      <c r="AS259">
        <v>47.7</v>
      </c>
      <c r="AT259">
        <v>6.73</v>
      </c>
      <c r="AU259">
        <v>42.6</v>
      </c>
      <c r="AV259">
        <v>2166.1999999999998</v>
      </c>
      <c r="AW259">
        <v>0.31</v>
      </c>
      <c r="AX259">
        <v>636.4</v>
      </c>
      <c r="AY259">
        <v>103.3</v>
      </c>
      <c r="AZ259">
        <v>739.7</v>
      </c>
      <c r="BA259">
        <v>20801768.800000001</v>
      </c>
      <c r="BB259">
        <v>2156</v>
      </c>
      <c r="BC259">
        <v>311.5</v>
      </c>
      <c r="BD259">
        <v>1145950.1000000001</v>
      </c>
      <c r="BE259">
        <v>53654.7</v>
      </c>
      <c r="BF259">
        <v>16.8</v>
      </c>
      <c r="BG259">
        <v>20944674.100000001</v>
      </c>
      <c r="BH259">
        <v>2652723.2999999998</v>
      </c>
      <c r="BI259">
        <v>23597397.5</v>
      </c>
      <c r="BJ259">
        <v>0</v>
      </c>
      <c r="BK259">
        <v>0</v>
      </c>
      <c r="BL259">
        <v>20801768.800000001</v>
      </c>
      <c r="BM259">
        <v>21947718.899999999</v>
      </c>
      <c r="BN259">
        <v>23597397.5</v>
      </c>
      <c r="BO259">
        <v>27.05</v>
      </c>
      <c r="BP259">
        <v>16.87</v>
      </c>
      <c r="BQ259">
        <v>0</v>
      </c>
      <c r="BR259">
        <v>43.92</v>
      </c>
      <c r="BS259">
        <v>28.94</v>
      </c>
      <c r="BT259">
        <v>18.96</v>
      </c>
      <c r="BU259">
        <v>0</v>
      </c>
      <c r="BV259">
        <v>47.9</v>
      </c>
      <c r="BW259">
        <v>118916970</v>
      </c>
      <c r="BX259">
        <v>57263816</v>
      </c>
      <c r="BY259">
        <v>32540538</v>
      </c>
      <c r="BZ259">
        <v>18458216</v>
      </c>
      <c r="CA259">
        <v>0</v>
      </c>
      <c r="CB259">
        <v>41.4</v>
      </c>
      <c r="CC259">
        <v>6598784.5</v>
      </c>
      <c r="CD259">
        <v>0</v>
      </c>
      <c r="CE259">
        <v>149446.20000000001</v>
      </c>
      <c r="CF259">
        <v>652636.80000000005</v>
      </c>
      <c r="CG259">
        <v>0</v>
      </c>
      <c r="CH259">
        <v>25491.3</v>
      </c>
      <c r="CI259">
        <v>0</v>
      </c>
      <c r="CJ259">
        <v>40768324</v>
      </c>
      <c r="CK259">
        <v>0</v>
      </c>
      <c r="CL259">
        <v>0</v>
      </c>
      <c r="CM259">
        <v>13476442</v>
      </c>
      <c r="CN259">
        <v>3019043.8</v>
      </c>
      <c r="CO259">
        <v>310946.40000000002</v>
      </c>
      <c r="CP259">
        <v>2917061</v>
      </c>
      <c r="CQ259">
        <v>0</v>
      </c>
      <c r="CR259">
        <v>3122.7</v>
      </c>
      <c r="CS259">
        <v>0</v>
      </c>
      <c r="CT259">
        <v>6.4</v>
      </c>
      <c r="CU259">
        <v>5419.3</v>
      </c>
      <c r="CV259">
        <v>0</v>
      </c>
      <c r="CW259">
        <v>0</v>
      </c>
      <c r="CX259">
        <v>2126.6</v>
      </c>
      <c r="CY259">
        <v>3147</v>
      </c>
      <c r="CZ259">
        <v>0</v>
      </c>
      <c r="DA259">
        <v>9815.7000000000007</v>
      </c>
      <c r="DB259">
        <v>0</v>
      </c>
      <c r="DC259">
        <v>288</v>
      </c>
      <c r="DD259">
        <v>4074</v>
      </c>
      <c r="DE259">
        <v>66.099999999999994</v>
      </c>
      <c r="DF259">
        <v>471</v>
      </c>
      <c r="DG259">
        <v>6461</v>
      </c>
      <c r="DH259">
        <v>0</v>
      </c>
      <c r="DI259">
        <v>10834.4</v>
      </c>
      <c r="DJ259">
        <v>0</v>
      </c>
      <c r="DK259">
        <v>13788.8</v>
      </c>
      <c r="DL259">
        <v>4710</v>
      </c>
      <c r="DM259">
        <v>0</v>
      </c>
      <c r="DN259">
        <v>0</v>
      </c>
      <c r="DO259">
        <v>0.16</v>
      </c>
      <c r="DP259">
        <v>0</v>
      </c>
      <c r="DQ259">
        <v>0</v>
      </c>
      <c r="DR259">
        <v>0</v>
      </c>
    </row>
    <row r="260" spans="1:122" x14ac:dyDescent="0.3">
      <c r="A260" t="s">
        <v>173</v>
      </c>
      <c r="B260">
        <v>2050</v>
      </c>
      <c r="C260">
        <v>137879043.69999999</v>
      </c>
      <c r="D260">
        <v>129075752.40000001</v>
      </c>
      <c r="E260">
        <v>124435187.90000001</v>
      </c>
      <c r="F260">
        <v>0</v>
      </c>
      <c r="G260">
        <v>5050889.5</v>
      </c>
      <c r="H260">
        <v>58001218.299999997</v>
      </c>
      <c r="I260">
        <v>4662261.5</v>
      </c>
      <c r="J260">
        <v>388628.4</v>
      </c>
      <c r="K260">
        <v>3752401.6</v>
      </c>
      <c r="L260">
        <v>3.5900000000000001E-2</v>
      </c>
      <c r="M260">
        <v>5.3999999999999999E-2</v>
      </c>
      <c r="N260">
        <v>0.15</v>
      </c>
      <c r="O260">
        <v>84521.97</v>
      </c>
      <c r="P260">
        <v>30738.6</v>
      </c>
      <c r="Q260">
        <v>139.1</v>
      </c>
      <c r="R260">
        <v>14.2</v>
      </c>
      <c r="S260">
        <v>2.0499999999999998</v>
      </c>
      <c r="T260">
        <v>8.1999999999999993</v>
      </c>
      <c r="U260">
        <v>366.9</v>
      </c>
      <c r="V260">
        <v>0.12</v>
      </c>
      <c r="W260">
        <v>140</v>
      </c>
      <c r="X260">
        <v>18.5</v>
      </c>
      <c r="Y260">
        <v>158.5</v>
      </c>
      <c r="Z260">
        <v>165.1</v>
      </c>
      <c r="AA260">
        <v>17.2</v>
      </c>
      <c r="AB260">
        <v>2.48</v>
      </c>
      <c r="AC260">
        <v>8.4</v>
      </c>
      <c r="AD260">
        <v>422.2</v>
      </c>
      <c r="AE260">
        <v>0.12</v>
      </c>
      <c r="AF260">
        <v>166.3</v>
      </c>
      <c r="AG260">
        <v>20.3</v>
      </c>
      <c r="AH260">
        <v>186.6</v>
      </c>
      <c r="AI260">
        <v>201.1</v>
      </c>
      <c r="AJ260">
        <v>11</v>
      </c>
      <c r="AK260">
        <v>1.49</v>
      </c>
      <c r="AL260">
        <v>17.2</v>
      </c>
      <c r="AM260">
        <v>821.8</v>
      </c>
      <c r="AN260">
        <v>0.09</v>
      </c>
      <c r="AO260">
        <v>201.8</v>
      </c>
      <c r="AP260">
        <v>40.299999999999997</v>
      </c>
      <c r="AQ260">
        <v>242.1</v>
      </c>
      <c r="AR260">
        <v>590.9</v>
      </c>
      <c r="AS260">
        <v>43.6</v>
      </c>
      <c r="AT260">
        <v>6.14</v>
      </c>
      <c r="AU260">
        <v>40.6</v>
      </c>
      <c r="AV260">
        <v>2050.4</v>
      </c>
      <c r="AW260">
        <v>0.28999999999999998</v>
      </c>
      <c r="AX260">
        <v>593.79999999999995</v>
      </c>
      <c r="AY260">
        <v>98.1</v>
      </c>
      <c r="AZ260">
        <v>691.8</v>
      </c>
      <c r="BA260">
        <v>18010376.5</v>
      </c>
      <c r="BB260">
        <v>1839.7</v>
      </c>
      <c r="BC260">
        <v>265.5</v>
      </c>
      <c r="BD260">
        <v>1055215.6000000001</v>
      </c>
      <c r="BE260">
        <v>47403.5</v>
      </c>
      <c r="BF260">
        <v>15.4</v>
      </c>
      <c r="BG260">
        <v>18132250.100000001</v>
      </c>
      <c r="BH260">
        <v>2386589.6</v>
      </c>
      <c r="BI260">
        <v>20518839.699999999</v>
      </c>
      <c r="BJ260">
        <v>0</v>
      </c>
      <c r="BK260">
        <v>0</v>
      </c>
      <c r="BL260">
        <v>18010376.5</v>
      </c>
      <c r="BM260">
        <v>19065592</v>
      </c>
      <c r="BN260">
        <v>20518839.699999999</v>
      </c>
      <c r="BO260">
        <v>25.54</v>
      </c>
      <c r="BP260">
        <v>16.440000000000001</v>
      </c>
      <c r="BQ260">
        <v>0</v>
      </c>
      <c r="BR260">
        <v>41.98</v>
      </c>
      <c r="BS260">
        <v>27.47</v>
      </c>
      <c r="BT260">
        <v>18.64</v>
      </c>
      <c r="BU260">
        <v>0</v>
      </c>
      <c r="BV260">
        <v>46.11</v>
      </c>
      <c r="BW260">
        <v>131086056</v>
      </c>
      <c r="BX260">
        <v>71074536</v>
      </c>
      <c r="BY260">
        <v>32540538</v>
      </c>
      <c r="BZ260">
        <v>15778998</v>
      </c>
      <c r="CA260">
        <v>0</v>
      </c>
      <c r="CB260">
        <v>24.3</v>
      </c>
      <c r="CC260">
        <v>6598168</v>
      </c>
      <c r="CD260">
        <v>0</v>
      </c>
      <c r="CE260">
        <v>109595.1</v>
      </c>
      <c r="CF260">
        <v>652322.4</v>
      </c>
      <c r="CG260">
        <v>0</v>
      </c>
      <c r="CH260">
        <v>24772.400000000001</v>
      </c>
      <c r="CI260">
        <v>0</v>
      </c>
      <c r="CJ260">
        <v>53156340</v>
      </c>
      <c r="CK260">
        <v>0</v>
      </c>
      <c r="CL260">
        <v>0</v>
      </c>
      <c r="CM260">
        <v>14665347</v>
      </c>
      <c r="CN260">
        <v>3252848</v>
      </c>
      <c r="CO260">
        <v>314433.8</v>
      </c>
      <c r="CP260">
        <v>3992661.5</v>
      </c>
      <c r="CQ260">
        <v>0</v>
      </c>
      <c r="CR260">
        <v>4114.7</v>
      </c>
      <c r="CS260">
        <v>0</v>
      </c>
      <c r="CT260">
        <v>6.4</v>
      </c>
      <c r="CU260">
        <v>4310.3</v>
      </c>
      <c r="CV260">
        <v>0</v>
      </c>
      <c r="CW260">
        <v>0</v>
      </c>
      <c r="CX260">
        <v>2305</v>
      </c>
      <c r="CY260">
        <v>3147</v>
      </c>
      <c r="CZ260">
        <v>0</v>
      </c>
      <c r="DA260">
        <v>8505.5</v>
      </c>
      <c r="DB260">
        <v>0</v>
      </c>
      <c r="DC260">
        <v>288</v>
      </c>
      <c r="DD260">
        <v>4074</v>
      </c>
      <c r="DE260">
        <v>66.099999999999994</v>
      </c>
      <c r="DF260">
        <v>471</v>
      </c>
      <c r="DG260">
        <v>7184.3</v>
      </c>
      <c r="DH260">
        <v>0</v>
      </c>
      <c r="DI260">
        <v>13772.5</v>
      </c>
      <c r="DJ260">
        <v>0</v>
      </c>
      <c r="DK260">
        <v>21620.5</v>
      </c>
      <c r="DL260">
        <v>4710</v>
      </c>
      <c r="DM260">
        <v>0</v>
      </c>
      <c r="DN260">
        <v>0</v>
      </c>
      <c r="DO260">
        <v>0.16</v>
      </c>
      <c r="DP260">
        <v>0</v>
      </c>
      <c r="DQ260">
        <v>0</v>
      </c>
      <c r="DR260">
        <v>0</v>
      </c>
    </row>
    <row r="261" spans="1:122" x14ac:dyDescent="0.3">
      <c r="A261" t="s">
        <v>174</v>
      </c>
      <c r="B261">
        <v>2022</v>
      </c>
      <c r="C261">
        <v>253340655.19999999</v>
      </c>
      <c r="D261">
        <v>249131540.19999999</v>
      </c>
      <c r="E261">
        <v>240174095.5</v>
      </c>
      <c r="F261">
        <v>0</v>
      </c>
      <c r="G261">
        <v>2469703.5</v>
      </c>
      <c r="H261">
        <v>241051544.19999999</v>
      </c>
      <c r="I261">
        <v>233271.6</v>
      </c>
      <c r="J261">
        <v>2236432</v>
      </c>
      <c r="K261">
        <v>1739411.4</v>
      </c>
      <c r="L261">
        <v>3.5900000000000001E-2</v>
      </c>
      <c r="M261">
        <v>5.3999999999999999E-2</v>
      </c>
      <c r="N261">
        <v>0.15</v>
      </c>
      <c r="O261">
        <v>29657.91</v>
      </c>
      <c r="P261">
        <v>56628.3</v>
      </c>
      <c r="Q261">
        <v>396.3</v>
      </c>
      <c r="R261">
        <v>35.299999999999997</v>
      </c>
      <c r="S261">
        <v>5.05</v>
      </c>
      <c r="T261">
        <v>25</v>
      </c>
      <c r="U261">
        <v>1196</v>
      </c>
      <c r="V261">
        <v>0.27</v>
      </c>
      <c r="W261">
        <v>398.6</v>
      </c>
      <c r="X261">
        <v>58.6</v>
      </c>
      <c r="Y261">
        <v>457.2</v>
      </c>
      <c r="Z261">
        <v>405.7</v>
      </c>
      <c r="AA261">
        <v>36.1</v>
      </c>
      <c r="AB261">
        <v>5.16</v>
      </c>
      <c r="AC261">
        <v>25.9</v>
      </c>
      <c r="AD261">
        <v>1226</v>
      </c>
      <c r="AE261">
        <v>0.28000000000000003</v>
      </c>
      <c r="AF261">
        <v>408.1</v>
      </c>
      <c r="AG261">
        <v>60.3</v>
      </c>
      <c r="AH261">
        <v>468.4</v>
      </c>
      <c r="AI261">
        <v>591</v>
      </c>
      <c r="AJ261">
        <v>42</v>
      </c>
      <c r="AK261">
        <v>5.97</v>
      </c>
      <c r="AL261">
        <v>42.9</v>
      </c>
      <c r="AM261">
        <v>2030.6</v>
      </c>
      <c r="AN261">
        <v>0.33</v>
      </c>
      <c r="AO261">
        <v>593.79999999999995</v>
      </c>
      <c r="AP261">
        <v>99.8</v>
      </c>
      <c r="AQ261">
        <v>693.6</v>
      </c>
      <c r="AR261">
        <v>768.9</v>
      </c>
      <c r="AS261">
        <v>61.3</v>
      </c>
      <c r="AT261">
        <v>8.81</v>
      </c>
      <c r="AU261">
        <v>50.1</v>
      </c>
      <c r="AV261">
        <v>2415.3000000000002</v>
      </c>
      <c r="AW261">
        <v>0.45</v>
      </c>
      <c r="AX261">
        <v>773</v>
      </c>
      <c r="AY261">
        <v>117.8</v>
      </c>
      <c r="AZ261">
        <v>890.8</v>
      </c>
      <c r="BA261">
        <v>102793183.09999999</v>
      </c>
      <c r="BB261">
        <v>9158.6</v>
      </c>
      <c r="BC261">
        <v>1309.3</v>
      </c>
      <c r="BD261">
        <v>6495883.5999999996</v>
      </c>
      <c r="BE261">
        <v>310241.7</v>
      </c>
      <c r="BF261">
        <v>69.099999999999994</v>
      </c>
      <c r="BG261">
        <v>103396580.40000001</v>
      </c>
      <c r="BH261">
        <v>15200950.300000001</v>
      </c>
      <c r="BI261">
        <v>118597530.7</v>
      </c>
      <c r="BJ261">
        <v>0</v>
      </c>
      <c r="BK261">
        <v>0</v>
      </c>
      <c r="BL261">
        <v>102793183.09999999</v>
      </c>
      <c r="BM261">
        <v>109289066.7</v>
      </c>
      <c r="BN261">
        <v>118597530.7</v>
      </c>
      <c r="BO261">
        <v>36.76</v>
      </c>
      <c r="BP261">
        <v>6.36</v>
      </c>
      <c r="BQ261">
        <v>0</v>
      </c>
      <c r="BR261">
        <v>43.11</v>
      </c>
      <c r="BS261">
        <v>38.979999999999997</v>
      </c>
      <c r="BT261">
        <v>6.95</v>
      </c>
      <c r="BU261">
        <v>0</v>
      </c>
      <c r="BV261">
        <v>45.93</v>
      </c>
      <c r="BW261">
        <v>261133020</v>
      </c>
      <c r="BX261">
        <v>8079996</v>
      </c>
      <c r="BY261">
        <v>94142320</v>
      </c>
      <c r="BZ261">
        <v>72233224</v>
      </c>
      <c r="CA261">
        <v>0</v>
      </c>
      <c r="CB261">
        <v>339451.7</v>
      </c>
      <c r="CC261">
        <v>70290710</v>
      </c>
      <c r="CD261">
        <v>0</v>
      </c>
      <c r="CE261">
        <v>384116.6</v>
      </c>
      <c r="CF261">
        <v>11601803</v>
      </c>
      <c r="CG261">
        <v>0</v>
      </c>
      <c r="CH261">
        <v>2066866.8</v>
      </c>
      <c r="CI261">
        <v>0</v>
      </c>
      <c r="CJ261">
        <v>0</v>
      </c>
      <c r="CK261">
        <v>0</v>
      </c>
      <c r="CL261">
        <v>0</v>
      </c>
      <c r="CM261">
        <v>7817246.5</v>
      </c>
      <c r="CN261">
        <v>262749.3</v>
      </c>
      <c r="CO261">
        <v>1791437.4</v>
      </c>
      <c r="CP261">
        <v>203110.3</v>
      </c>
      <c r="CQ261">
        <v>0</v>
      </c>
      <c r="CR261">
        <v>246.2</v>
      </c>
      <c r="CS261">
        <v>0</v>
      </c>
      <c r="CT261">
        <v>305.10000000000002</v>
      </c>
      <c r="CU261">
        <v>13886.8</v>
      </c>
      <c r="CV261">
        <v>0</v>
      </c>
      <c r="CW261">
        <v>0</v>
      </c>
      <c r="CX261">
        <v>177.1</v>
      </c>
      <c r="CY261">
        <v>18272.599999999999</v>
      </c>
      <c r="CZ261">
        <v>0</v>
      </c>
      <c r="DA261">
        <v>9749.5</v>
      </c>
      <c r="DB261">
        <v>0</v>
      </c>
      <c r="DC261">
        <v>5318</v>
      </c>
      <c r="DD261">
        <v>11786.4</v>
      </c>
      <c r="DE261">
        <v>2713.8</v>
      </c>
      <c r="DF261">
        <v>1863.4</v>
      </c>
      <c r="DG261">
        <v>3574.6</v>
      </c>
      <c r="DH261">
        <v>0</v>
      </c>
      <c r="DI261">
        <v>0</v>
      </c>
      <c r="DJ261">
        <v>0</v>
      </c>
      <c r="DK261">
        <v>1654.8</v>
      </c>
      <c r="DL261">
        <v>18634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</row>
    <row r="262" spans="1:122" x14ac:dyDescent="0.3">
      <c r="A262" t="s">
        <v>174</v>
      </c>
      <c r="B262">
        <v>2024</v>
      </c>
      <c r="C262">
        <v>260901729.5</v>
      </c>
      <c r="D262">
        <v>255935657.80000001</v>
      </c>
      <c r="E262">
        <v>246733572.5</v>
      </c>
      <c r="F262">
        <v>0</v>
      </c>
      <c r="G262">
        <v>2906248</v>
      </c>
      <c r="H262">
        <v>247838845.59999999</v>
      </c>
      <c r="I262">
        <v>266086.7</v>
      </c>
      <c r="J262">
        <v>2640161.2000000002</v>
      </c>
      <c r="K262">
        <v>2059823.8</v>
      </c>
      <c r="L262">
        <v>3.5900000000000001E-2</v>
      </c>
      <c r="M262">
        <v>5.3999999999999999E-2</v>
      </c>
      <c r="N262">
        <v>0.15</v>
      </c>
      <c r="O262">
        <v>29659.119999999999</v>
      </c>
      <c r="P262">
        <v>58174.3</v>
      </c>
      <c r="Q262">
        <v>339.7</v>
      </c>
      <c r="R262">
        <v>24.4</v>
      </c>
      <c r="S262">
        <v>3.42</v>
      </c>
      <c r="T262">
        <v>27.2</v>
      </c>
      <c r="U262">
        <v>1209.9000000000001</v>
      </c>
      <c r="V262">
        <v>0.23</v>
      </c>
      <c r="W262">
        <v>341.3</v>
      </c>
      <c r="X262">
        <v>61.2</v>
      </c>
      <c r="Y262">
        <v>402.5</v>
      </c>
      <c r="Z262">
        <v>347.7</v>
      </c>
      <c r="AA262">
        <v>24.5</v>
      </c>
      <c r="AB262">
        <v>3.43</v>
      </c>
      <c r="AC262">
        <v>28.5</v>
      </c>
      <c r="AD262">
        <v>1251.0999999999999</v>
      </c>
      <c r="AE262">
        <v>0.24</v>
      </c>
      <c r="AF262">
        <v>349.3</v>
      </c>
      <c r="AG262">
        <v>63.6</v>
      </c>
      <c r="AH262">
        <v>412.9</v>
      </c>
      <c r="AI262">
        <v>562.29999999999995</v>
      </c>
      <c r="AJ262">
        <v>38.4</v>
      </c>
      <c r="AK262">
        <v>5.42</v>
      </c>
      <c r="AL262">
        <v>42.2</v>
      </c>
      <c r="AM262">
        <v>1992</v>
      </c>
      <c r="AN262">
        <v>0.31</v>
      </c>
      <c r="AO262">
        <v>564.79999999999995</v>
      </c>
      <c r="AP262">
        <v>98</v>
      </c>
      <c r="AQ262">
        <v>662.8</v>
      </c>
      <c r="AR262">
        <v>763.2</v>
      </c>
      <c r="AS262">
        <v>57.5</v>
      </c>
      <c r="AT262">
        <v>8.2799999999999994</v>
      </c>
      <c r="AU262">
        <v>53.2</v>
      </c>
      <c r="AV262">
        <v>2459.9</v>
      </c>
      <c r="AW262">
        <v>0.48</v>
      </c>
      <c r="AX262">
        <v>767</v>
      </c>
      <c r="AY262">
        <v>122.2</v>
      </c>
      <c r="AZ262">
        <v>889.2</v>
      </c>
      <c r="BA262">
        <v>91112532.700000003</v>
      </c>
      <c r="BB262">
        <v>6525.8</v>
      </c>
      <c r="BC262">
        <v>915.8</v>
      </c>
      <c r="BD262">
        <v>7312952</v>
      </c>
      <c r="BE262">
        <v>324700.59999999998</v>
      </c>
      <c r="BF262">
        <v>63</v>
      </c>
      <c r="BG262">
        <v>91537940.299999997</v>
      </c>
      <c r="BH262">
        <v>16421268.699999999</v>
      </c>
      <c r="BI262">
        <v>107959209</v>
      </c>
      <c r="BJ262">
        <v>0</v>
      </c>
      <c r="BK262">
        <v>0</v>
      </c>
      <c r="BL262">
        <v>91112532.700000003</v>
      </c>
      <c r="BM262">
        <v>98425484.700000003</v>
      </c>
      <c r="BN262">
        <v>107959209</v>
      </c>
      <c r="BO262">
        <v>33.880000000000003</v>
      </c>
      <c r="BP262">
        <v>6.34</v>
      </c>
      <c r="BQ262">
        <v>0</v>
      </c>
      <c r="BR262">
        <v>40.22</v>
      </c>
      <c r="BS262">
        <v>35.950000000000003</v>
      </c>
      <c r="BT262">
        <v>6.95</v>
      </c>
      <c r="BU262">
        <v>0</v>
      </c>
      <c r="BV262">
        <v>42.9</v>
      </c>
      <c r="BW262">
        <v>270095070</v>
      </c>
      <c r="BX262">
        <v>8096812</v>
      </c>
      <c r="BY262">
        <v>94142320</v>
      </c>
      <c r="BZ262">
        <v>48246124</v>
      </c>
      <c r="CA262">
        <v>0</v>
      </c>
      <c r="CB262">
        <v>689367.7</v>
      </c>
      <c r="CC262">
        <v>101836130</v>
      </c>
      <c r="CD262">
        <v>0</v>
      </c>
      <c r="CE262">
        <v>1031813.4</v>
      </c>
      <c r="CF262">
        <v>11602437</v>
      </c>
      <c r="CG262">
        <v>0</v>
      </c>
      <c r="CH262">
        <v>2066866.8</v>
      </c>
      <c r="CI262">
        <v>0</v>
      </c>
      <c r="CJ262">
        <v>0</v>
      </c>
      <c r="CK262">
        <v>0</v>
      </c>
      <c r="CL262">
        <v>0</v>
      </c>
      <c r="CM262">
        <v>7708190.5</v>
      </c>
      <c r="CN262">
        <v>388621.9</v>
      </c>
      <c r="CO262">
        <v>2148766.5</v>
      </c>
      <c r="CP262">
        <v>234449.6</v>
      </c>
      <c r="CQ262">
        <v>0</v>
      </c>
      <c r="CR262">
        <v>246.2</v>
      </c>
      <c r="CS262">
        <v>0</v>
      </c>
      <c r="CT262">
        <v>305.10000000000002</v>
      </c>
      <c r="CU262">
        <v>13886.8</v>
      </c>
      <c r="CV262">
        <v>0</v>
      </c>
      <c r="CW262">
        <v>0</v>
      </c>
      <c r="CX262">
        <v>262.39999999999998</v>
      </c>
      <c r="CY262">
        <v>18272.599999999999</v>
      </c>
      <c r="CZ262">
        <v>0</v>
      </c>
      <c r="DA262">
        <v>9749.5</v>
      </c>
      <c r="DB262">
        <v>0</v>
      </c>
      <c r="DC262">
        <v>5318</v>
      </c>
      <c r="DD262">
        <v>11786.4</v>
      </c>
      <c r="DE262">
        <v>2443.8000000000002</v>
      </c>
      <c r="DF262">
        <v>1863.4</v>
      </c>
      <c r="DG262">
        <v>3574.6</v>
      </c>
      <c r="DH262">
        <v>0</v>
      </c>
      <c r="DI262">
        <v>0</v>
      </c>
      <c r="DJ262">
        <v>0</v>
      </c>
      <c r="DK262">
        <v>1654.8</v>
      </c>
      <c r="DL262">
        <v>18634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</row>
    <row r="263" spans="1:122" x14ac:dyDescent="0.3">
      <c r="A263" t="s">
        <v>174</v>
      </c>
      <c r="B263">
        <v>2026</v>
      </c>
      <c r="C263">
        <v>266476652.40000001</v>
      </c>
      <c r="D263">
        <v>261320329.30000001</v>
      </c>
      <c r="E263">
        <v>251924639.90000001</v>
      </c>
      <c r="F263">
        <v>0</v>
      </c>
      <c r="G263">
        <v>3008813.2</v>
      </c>
      <c r="H263">
        <v>253106846.69999999</v>
      </c>
      <c r="I263">
        <v>270671.2</v>
      </c>
      <c r="J263">
        <v>2738142</v>
      </c>
      <c r="K263">
        <v>2147509.9</v>
      </c>
      <c r="L263">
        <v>3.5900000000000001E-2</v>
      </c>
      <c r="M263">
        <v>5.3999999999999999E-2</v>
      </c>
      <c r="N263">
        <v>0.15</v>
      </c>
      <c r="O263">
        <v>39803.57</v>
      </c>
      <c r="P263">
        <v>59400.4</v>
      </c>
      <c r="Q263">
        <v>345.4</v>
      </c>
      <c r="R263">
        <v>25.4</v>
      </c>
      <c r="S263">
        <v>3.57</v>
      </c>
      <c r="T263">
        <v>27.1</v>
      </c>
      <c r="U263">
        <v>1209.5</v>
      </c>
      <c r="V263">
        <v>0.24</v>
      </c>
      <c r="W263">
        <v>347</v>
      </c>
      <c r="X263">
        <v>61</v>
      </c>
      <c r="Y263">
        <v>408</v>
      </c>
      <c r="Z263">
        <v>353.2</v>
      </c>
      <c r="AA263">
        <v>25.6</v>
      </c>
      <c r="AB263">
        <v>3.59</v>
      </c>
      <c r="AC263">
        <v>28.2</v>
      </c>
      <c r="AD263">
        <v>1248.9000000000001</v>
      </c>
      <c r="AE263">
        <v>0.25</v>
      </c>
      <c r="AF263">
        <v>354.9</v>
      </c>
      <c r="AG263">
        <v>63.3</v>
      </c>
      <c r="AH263">
        <v>418.1</v>
      </c>
      <c r="AI263">
        <v>465.7</v>
      </c>
      <c r="AJ263">
        <v>29.2</v>
      </c>
      <c r="AK263">
        <v>4.07</v>
      </c>
      <c r="AL263">
        <v>37</v>
      </c>
      <c r="AM263">
        <v>1753.1</v>
      </c>
      <c r="AN263">
        <v>0.24</v>
      </c>
      <c r="AO263">
        <v>467.6</v>
      </c>
      <c r="AP263">
        <v>86.1</v>
      </c>
      <c r="AQ263">
        <v>553.70000000000005</v>
      </c>
      <c r="AR263">
        <v>765.7</v>
      </c>
      <c r="AS263">
        <v>57.9</v>
      </c>
      <c r="AT263">
        <v>8.3000000000000007</v>
      </c>
      <c r="AU263">
        <v>52.7</v>
      </c>
      <c r="AV263">
        <v>2501.8000000000002</v>
      </c>
      <c r="AW263">
        <v>0.45</v>
      </c>
      <c r="AX263">
        <v>769.5</v>
      </c>
      <c r="AY263">
        <v>122.8</v>
      </c>
      <c r="AZ263">
        <v>892.4</v>
      </c>
      <c r="BA263">
        <v>92651951.5</v>
      </c>
      <c r="BB263">
        <v>6806.3</v>
      </c>
      <c r="BC263">
        <v>957.7</v>
      </c>
      <c r="BD263">
        <v>7266660.5999999996</v>
      </c>
      <c r="BE263">
        <v>324660.59999999998</v>
      </c>
      <c r="BF263">
        <v>63.9</v>
      </c>
      <c r="BG263">
        <v>93096306.299999997</v>
      </c>
      <c r="BH263">
        <v>16374091.6</v>
      </c>
      <c r="BI263">
        <v>109470397.90000001</v>
      </c>
      <c r="BJ263">
        <v>0</v>
      </c>
      <c r="BK263">
        <v>0</v>
      </c>
      <c r="BL263">
        <v>92651951.5</v>
      </c>
      <c r="BM263">
        <v>99918612.099999994</v>
      </c>
      <c r="BN263">
        <v>109470397.90000001</v>
      </c>
      <c r="BO263">
        <v>34.35</v>
      </c>
      <c r="BP263">
        <v>8.5</v>
      </c>
      <c r="BQ263">
        <v>0</v>
      </c>
      <c r="BR263">
        <v>42.85</v>
      </c>
      <c r="BS263">
        <v>36.450000000000003</v>
      </c>
      <c r="BT263">
        <v>9.33</v>
      </c>
      <c r="BU263">
        <v>0</v>
      </c>
      <c r="BV263">
        <v>45.78</v>
      </c>
      <c r="BW263">
        <v>270161250</v>
      </c>
      <c r="BX263">
        <v>8213482.5</v>
      </c>
      <c r="BY263">
        <v>94142320</v>
      </c>
      <c r="BZ263">
        <v>50677628</v>
      </c>
      <c r="CA263">
        <v>0</v>
      </c>
      <c r="CB263">
        <v>741582.7</v>
      </c>
      <c r="CC263">
        <v>98772970</v>
      </c>
      <c r="CD263">
        <v>0</v>
      </c>
      <c r="CE263">
        <v>1227598.2</v>
      </c>
      <c r="CF263">
        <v>11874030</v>
      </c>
      <c r="CG263">
        <v>0</v>
      </c>
      <c r="CH263">
        <v>2066866.8</v>
      </c>
      <c r="CI263">
        <v>0</v>
      </c>
      <c r="CJ263">
        <v>0</v>
      </c>
      <c r="CK263">
        <v>0</v>
      </c>
      <c r="CL263">
        <v>0</v>
      </c>
      <c r="CM263">
        <v>7600653.5</v>
      </c>
      <c r="CN263">
        <v>612829.19999999995</v>
      </c>
      <c r="CO263">
        <v>2207070.2000000002</v>
      </c>
      <c r="CP263">
        <v>237717.8</v>
      </c>
      <c r="CQ263">
        <v>0</v>
      </c>
      <c r="CR263">
        <v>246.2</v>
      </c>
      <c r="CS263">
        <v>0</v>
      </c>
      <c r="CT263">
        <v>305.10000000000002</v>
      </c>
      <c r="CU263">
        <v>13886.8</v>
      </c>
      <c r="CV263">
        <v>0</v>
      </c>
      <c r="CW263">
        <v>0</v>
      </c>
      <c r="CX263">
        <v>413.6</v>
      </c>
      <c r="CY263">
        <v>18272.599999999999</v>
      </c>
      <c r="CZ263">
        <v>0</v>
      </c>
      <c r="DA263">
        <v>9737.5</v>
      </c>
      <c r="DB263">
        <v>0</v>
      </c>
      <c r="DC263">
        <v>5403</v>
      </c>
      <c r="DD263">
        <v>11786.4</v>
      </c>
      <c r="DE263">
        <v>2443.8000000000002</v>
      </c>
      <c r="DF263">
        <v>1863.4</v>
      </c>
      <c r="DG263">
        <v>3574.6</v>
      </c>
      <c r="DH263">
        <v>0</v>
      </c>
      <c r="DI263">
        <v>0</v>
      </c>
      <c r="DJ263">
        <v>0</v>
      </c>
      <c r="DK263">
        <v>1654.8</v>
      </c>
      <c r="DL263">
        <v>18634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</row>
    <row r="264" spans="1:122" x14ac:dyDescent="0.3">
      <c r="A264" t="s">
        <v>174</v>
      </c>
      <c r="B264">
        <v>2028</v>
      </c>
      <c r="C264">
        <v>269593528.10000002</v>
      </c>
      <c r="D264">
        <v>264697825.59999999</v>
      </c>
      <c r="E264">
        <v>255180699.69999999</v>
      </c>
      <c r="F264">
        <v>0</v>
      </c>
      <c r="G264">
        <v>2929756.2</v>
      </c>
      <c r="H264">
        <v>256243581.90000001</v>
      </c>
      <c r="I264">
        <v>269965</v>
      </c>
      <c r="J264">
        <v>2659791.2000000002</v>
      </c>
      <c r="K264">
        <v>1965946.1</v>
      </c>
      <c r="L264">
        <v>3.5900000000000001E-2</v>
      </c>
      <c r="M264">
        <v>5.3999999999999999E-2</v>
      </c>
      <c r="N264">
        <v>0.15</v>
      </c>
      <c r="O264">
        <v>46261.69</v>
      </c>
      <c r="P264">
        <v>60168</v>
      </c>
      <c r="Q264">
        <v>377.5</v>
      </c>
      <c r="R264">
        <v>30.8</v>
      </c>
      <c r="S264">
        <v>4.37</v>
      </c>
      <c r="T264">
        <v>26.5</v>
      </c>
      <c r="U264">
        <v>1226.0999999999999</v>
      </c>
      <c r="V264">
        <v>0.25</v>
      </c>
      <c r="W264">
        <v>379.5</v>
      </c>
      <c r="X264">
        <v>60.9</v>
      </c>
      <c r="Y264">
        <v>440.4</v>
      </c>
      <c r="Z264">
        <v>385</v>
      </c>
      <c r="AA264">
        <v>31.1</v>
      </c>
      <c r="AB264">
        <v>4.42</v>
      </c>
      <c r="AC264">
        <v>27.5</v>
      </c>
      <c r="AD264">
        <v>1258.8</v>
      </c>
      <c r="AE264">
        <v>0.26</v>
      </c>
      <c r="AF264">
        <v>387</v>
      </c>
      <c r="AG264">
        <v>62.8</v>
      </c>
      <c r="AH264">
        <v>449.8</v>
      </c>
      <c r="AI264">
        <v>396.8</v>
      </c>
      <c r="AJ264">
        <v>24</v>
      </c>
      <c r="AK264">
        <v>3.34</v>
      </c>
      <c r="AL264">
        <v>32.4</v>
      </c>
      <c r="AM264">
        <v>1513.9</v>
      </c>
      <c r="AN264">
        <v>0.21</v>
      </c>
      <c r="AO264">
        <v>398.3</v>
      </c>
      <c r="AP264">
        <v>74.900000000000006</v>
      </c>
      <c r="AQ264">
        <v>473.2</v>
      </c>
      <c r="AR264">
        <v>771.7</v>
      </c>
      <c r="AS264">
        <v>60.1</v>
      </c>
      <c r="AT264">
        <v>8.6</v>
      </c>
      <c r="AU264">
        <v>51.3</v>
      </c>
      <c r="AV264">
        <v>2490</v>
      </c>
      <c r="AW264">
        <v>0.44</v>
      </c>
      <c r="AX264">
        <v>775.7</v>
      </c>
      <c r="AY264">
        <v>121.1</v>
      </c>
      <c r="AZ264">
        <v>896.8</v>
      </c>
      <c r="BA264">
        <v>102282866.59999999</v>
      </c>
      <c r="BB264">
        <v>8339.5</v>
      </c>
      <c r="BC264">
        <v>1184.3</v>
      </c>
      <c r="BD264">
        <v>7181287.5</v>
      </c>
      <c r="BE264">
        <v>332343.2</v>
      </c>
      <c r="BF264">
        <v>68.900000000000006</v>
      </c>
      <c r="BG264">
        <v>102830218.3</v>
      </c>
      <c r="BH264">
        <v>16505164.199999999</v>
      </c>
      <c r="BI264">
        <v>119335382.5</v>
      </c>
      <c r="BJ264">
        <v>0</v>
      </c>
      <c r="BK264">
        <v>0</v>
      </c>
      <c r="BL264">
        <v>102282866.59999999</v>
      </c>
      <c r="BM264">
        <v>109464154.09999999</v>
      </c>
      <c r="BN264">
        <v>119335382.5</v>
      </c>
      <c r="BO264">
        <v>35.42</v>
      </c>
      <c r="BP264">
        <v>9.89</v>
      </c>
      <c r="BQ264">
        <v>0</v>
      </c>
      <c r="BR264">
        <v>45.31</v>
      </c>
      <c r="BS264">
        <v>37.58</v>
      </c>
      <c r="BT264">
        <v>10.84</v>
      </c>
      <c r="BU264">
        <v>0</v>
      </c>
      <c r="BV264">
        <v>48.42</v>
      </c>
      <c r="BW264">
        <v>272854880</v>
      </c>
      <c r="BX264">
        <v>8454244</v>
      </c>
      <c r="BY264">
        <v>94142320</v>
      </c>
      <c r="BZ264">
        <v>64130388</v>
      </c>
      <c r="CA264">
        <v>0</v>
      </c>
      <c r="CB264">
        <v>698919.8</v>
      </c>
      <c r="CC264">
        <v>87879896</v>
      </c>
      <c r="CD264">
        <v>0</v>
      </c>
      <c r="CE264">
        <v>1232281.5</v>
      </c>
      <c r="CF264">
        <v>11857354</v>
      </c>
      <c r="CG264">
        <v>0</v>
      </c>
      <c r="CH264">
        <v>2059543.4</v>
      </c>
      <c r="CI264">
        <v>0</v>
      </c>
      <c r="CJ264">
        <v>0</v>
      </c>
      <c r="CK264">
        <v>0</v>
      </c>
      <c r="CL264">
        <v>0</v>
      </c>
      <c r="CM264">
        <v>7503133</v>
      </c>
      <c r="CN264">
        <v>951111.2</v>
      </c>
      <c r="CO264">
        <v>2162248</v>
      </c>
      <c r="CP264">
        <v>237686</v>
      </c>
      <c r="CQ264">
        <v>0</v>
      </c>
      <c r="CR264">
        <v>246.2</v>
      </c>
      <c r="CS264">
        <v>0</v>
      </c>
      <c r="CT264">
        <v>303.5</v>
      </c>
      <c r="CU264">
        <v>13886.8</v>
      </c>
      <c r="CV264">
        <v>0</v>
      </c>
      <c r="CW264">
        <v>0</v>
      </c>
      <c r="CX264">
        <v>642</v>
      </c>
      <c r="CY264">
        <v>18272.599999999999</v>
      </c>
      <c r="CZ264">
        <v>0</v>
      </c>
      <c r="DA264">
        <v>9737.5</v>
      </c>
      <c r="DB264">
        <v>0</v>
      </c>
      <c r="DC264">
        <v>5403</v>
      </c>
      <c r="DD264">
        <v>11786.4</v>
      </c>
      <c r="DE264">
        <v>2443.8000000000002</v>
      </c>
      <c r="DF264">
        <v>1863.4</v>
      </c>
      <c r="DG264">
        <v>3578.2</v>
      </c>
      <c r="DH264">
        <v>0</v>
      </c>
      <c r="DI264">
        <v>0</v>
      </c>
      <c r="DJ264">
        <v>0</v>
      </c>
      <c r="DK264">
        <v>1654.8</v>
      </c>
      <c r="DL264">
        <v>18634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</row>
    <row r="265" spans="1:122" x14ac:dyDescent="0.3">
      <c r="A265" t="s">
        <v>174</v>
      </c>
      <c r="B265">
        <v>2030</v>
      </c>
      <c r="C265">
        <v>273280421.19999999</v>
      </c>
      <c r="D265">
        <v>268055675.40000001</v>
      </c>
      <c r="E265">
        <v>258417819.30000001</v>
      </c>
      <c r="F265">
        <v>0</v>
      </c>
      <c r="G265">
        <v>3019321.2</v>
      </c>
      <c r="H265">
        <v>248378364.5</v>
      </c>
      <c r="I265">
        <v>451479.6</v>
      </c>
      <c r="J265">
        <v>2567841.7999999998</v>
      </c>
      <c r="K265">
        <v>2205424.6</v>
      </c>
      <c r="L265">
        <v>3.5900000000000001E-2</v>
      </c>
      <c r="M265">
        <v>5.3999999999999999E-2</v>
      </c>
      <c r="N265">
        <v>0.15</v>
      </c>
      <c r="O265">
        <v>55357.46</v>
      </c>
      <c r="P265">
        <v>60929.9</v>
      </c>
      <c r="Q265">
        <v>357.5</v>
      </c>
      <c r="R265">
        <v>29.9</v>
      </c>
      <c r="S265">
        <v>4.25</v>
      </c>
      <c r="T265">
        <v>24.6</v>
      </c>
      <c r="U265">
        <v>1141.3</v>
      </c>
      <c r="V265">
        <v>0.24</v>
      </c>
      <c r="W265">
        <v>359.4</v>
      </c>
      <c r="X265">
        <v>56.6</v>
      </c>
      <c r="Y265">
        <v>416</v>
      </c>
      <c r="Z265">
        <v>361.9</v>
      </c>
      <c r="AA265">
        <v>29.8</v>
      </c>
      <c r="AB265">
        <v>4.2300000000000004</v>
      </c>
      <c r="AC265">
        <v>25.5</v>
      </c>
      <c r="AD265">
        <v>1169.9000000000001</v>
      </c>
      <c r="AE265">
        <v>0.25</v>
      </c>
      <c r="AF265">
        <v>363.8</v>
      </c>
      <c r="AG265">
        <v>58.3</v>
      </c>
      <c r="AH265">
        <v>422.1</v>
      </c>
      <c r="AI265">
        <v>358.7</v>
      </c>
      <c r="AJ265">
        <v>16.2</v>
      </c>
      <c r="AK265">
        <v>2.15</v>
      </c>
      <c r="AL265">
        <v>34.200000000000003</v>
      </c>
      <c r="AM265">
        <v>1553.9</v>
      </c>
      <c r="AN265">
        <v>0.18</v>
      </c>
      <c r="AO265">
        <v>359.8</v>
      </c>
      <c r="AP265">
        <v>77.7</v>
      </c>
      <c r="AQ265">
        <v>437.5</v>
      </c>
      <c r="AR265">
        <v>755.4</v>
      </c>
      <c r="AS265">
        <v>58.1</v>
      </c>
      <c r="AT265">
        <v>8.34</v>
      </c>
      <c r="AU265">
        <v>51.1</v>
      </c>
      <c r="AV265">
        <v>2430.9</v>
      </c>
      <c r="AW265">
        <v>0.45</v>
      </c>
      <c r="AX265">
        <v>759.2</v>
      </c>
      <c r="AY265">
        <v>119.3</v>
      </c>
      <c r="AZ265">
        <v>878.5</v>
      </c>
      <c r="BA265">
        <v>97433159.5</v>
      </c>
      <c r="BB265">
        <v>8136.1</v>
      </c>
      <c r="BC265">
        <v>1157.2</v>
      </c>
      <c r="BD265">
        <v>6699222.2999999998</v>
      </c>
      <c r="BE265">
        <v>311184.7</v>
      </c>
      <c r="BF265">
        <v>66.2</v>
      </c>
      <c r="BG265">
        <v>97967615.299999997</v>
      </c>
      <c r="BH265">
        <v>15429945.5</v>
      </c>
      <c r="BI265">
        <v>113397560.90000001</v>
      </c>
      <c r="BJ265">
        <v>0</v>
      </c>
      <c r="BK265">
        <v>0</v>
      </c>
      <c r="BL265">
        <v>97433159.5</v>
      </c>
      <c r="BM265">
        <v>104132381.8</v>
      </c>
      <c r="BN265">
        <v>113397560.90000001</v>
      </c>
      <c r="BO265">
        <v>34.08</v>
      </c>
      <c r="BP265">
        <v>11.69</v>
      </c>
      <c r="BQ265">
        <v>0</v>
      </c>
      <c r="BR265">
        <v>45.77</v>
      </c>
      <c r="BS265">
        <v>36.15</v>
      </c>
      <c r="BT265">
        <v>12.8</v>
      </c>
      <c r="BU265">
        <v>0</v>
      </c>
      <c r="BV265">
        <v>48.95</v>
      </c>
      <c r="BW265">
        <v>274579230</v>
      </c>
      <c r="BX265">
        <v>19677310</v>
      </c>
      <c r="BY265">
        <v>94142320</v>
      </c>
      <c r="BZ265">
        <v>63087988</v>
      </c>
      <c r="CA265">
        <v>0</v>
      </c>
      <c r="CB265">
        <v>421464.6</v>
      </c>
      <c r="CC265">
        <v>80331540</v>
      </c>
      <c r="CD265">
        <v>0</v>
      </c>
      <c r="CE265">
        <v>544886.19999999995</v>
      </c>
      <c r="CF265">
        <v>11868785</v>
      </c>
      <c r="CG265">
        <v>0</v>
      </c>
      <c r="CH265">
        <v>2059467.4</v>
      </c>
      <c r="CI265">
        <v>0</v>
      </c>
      <c r="CJ265">
        <v>0</v>
      </c>
      <c r="CK265">
        <v>0</v>
      </c>
      <c r="CL265">
        <v>0</v>
      </c>
      <c r="CM265">
        <v>18192330</v>
      </c>
      <c r="CN265">
        <v>1484980.6</v>
      </c>
      <c r="CO265">
        <v>2055891.2</v>
      </c>
      <c r="CP265">
        <v>389584.5</v>
      </c>
      <c r="CQ265">
        <v>0</v>
      </c>
      <c r="CR265">
        <v>318.10000000000002</v>
      </c>
      <c r="CS265">
        <v>0</v>
      </c>
      <c r="CT265">
        <v>303.5</v>
      </c>
      <c r="CU265">
        <v>13886.8</v>
      </c>
      <c r="CV265">
        <v>0</v>
      </c>
      <c r="CW265">
        <v>0</v>
      </c>
      <c r="CX265">
        <v>1002.3</v>
      </c>
      <c r="CY265">
        <v>18272.599999999999</v>
      </c>
      <c r="CZ265">
        <v>0</v>
      </c>
      <c r="DA265">
        <v>9737.5</v>
      </c>
      <c r="DB265">
        <v>0</v>
      </c>
      <c r="DC265">
        <v>5403</v>
      </c>
      <c r="DD265">
        <v>11786.4</v>
      </c>
      <c r="DE265">
        <v>2388.1999999999998</v>
      </c>
      <c r="DF265">
        <v>1863.4</v>
      </c>
      <c r="DG265">
        <v>8132.2</v>
      </c>
      <c r="DH265">
        <v>0</v>
      </c>
      <c r="DI265">
        <v>0</v>
      </c>
      <c r="DJ265">
        <v>0</v>
      </c>
      <c r="DK265">
        <v>2230.5</v>
      </c>
      <c r="DL265">
        <v>18634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</row>
    <row r="266" spans="1:122" x14ac:dyDescent="0.3">
      <c r="A266" t="s">
        <v>174</v>
      </c>
      <c r="B266">
        <v>2032</v>
      </c>
      <c r="C266">
        <v>278452951.5</v>
      </c>
      <c r="D266">
        <v>272133646.69999999</v>
      </c>
      <c r="E266">
        <v>262349168.90000001</v>
      </c>
      <c r="F266">
        <v>0</v>
      </c>
      <c r="G266">
        <v>3889652</v>
      </c>
      <c r="H266">
        <v>245028431.19999999</v>
      </c>
      <c r="I266">
        <v>1471867</v>
      </c>
      <c r="J266">
        <v>2417785</v>
      </c>
      <c r="K266">
        <v>2429652.7999999998</v>
      </c>
      <c r="L266">
        <v>3.5900000000000001E-2</v>
      </c>
      <c r="M266">
        <v>5.3999999999999999E-2</v>
      </c>
      <c r="N266">
        <v>0.15</v>
      </c>
      <c r="O266">
        <v>65305.82</v>
      </c>
      <c r="P266">
        <v>61859</v>
      </c>
      <c r="Q266">
        <v>337.9</v>
      </c>
      <c r="R266">
        <v>28.3</v>
      </c>
      <c r="S266">
        <v>4.0199999999999996</v>
      </c>
      <c r="T266">
        <v>23.3</v>
      </c>
      <c r="U266">
        <v>1079.5</v>
      </c>
      <c r="V266">
        <v>0.23</v>
      </c>
      <c r="W266">
        <v>339.8</v>
      </c>
      <c r="X266">
        <v>53.6</v>
      </c>
      <c r="Y266">
        <v>393.4</v>
      </c>
      <c r="Z266">
        <v>344.1</v>
      </c>
      <c r="AA266">
        <v>28.3</v>
      </c>
      <c r="AB266">
        <v>4.01</v>
      </c>
      <c r="AC266">
        <v>24.4</v>
      </c>
      <c r="AD266">
        <v>1115.5999999999999</v>
      </c>
      <c r="AE266">
        <v>0.24</v>
      </c>
      <c r="AF266">
        <v>345.9</v>
      </c>
      <c r="AG266">
        <v>55.7</v>
      </c>
      <c r="AH266">
        <v>401.6</v>
      </c>
      <c r="AI266">
        <v>345.2</v>
      </c>
      <c r="AJ266">
        <v>10.4</v>
      </c>
      <c r="AK266">
        <v>1.27</v>
      </c>
      <c r="AL266">
        <v>37.4</v>
      </c>
      <c r="AM266">
        <v>1669.4</v>
      </c>
      <c r="AN266">
        <v>0.16</v>
      </c>
      <c r="AO266">
        <v>345.8</v>
      </c>
      <c r="AP266">
        <v>84.2</v>
      </c>
      <c r="AQ266">
        <v>430</v>
      </c>
      <c r="AR266">
        <v>742.7</v>
      </c>
      <c r="AS266">
        <v>56.9</v>
      </c>
      <c r="AT266">
        <v>8.14</v>
      </c>
      <c r="AU266">
        <v>50.2</v>
      </c>
      <c r="AV266">
        <v>2423.6</v>
      </c>
      <c r="AW266">
        <v>0.42</v>
      </c>
      <c r="AX266">
        <v>746.5</v>
      </c>
      <c r="AY266">
        <v>118.2</v>
      </c>
      <c r="AZ266">
        <v>864.7</v>
      </c>
      <c r="BA266">
        <v>92460756.400000006</v>
      </c>
      <c r="BB266">
        <v>7728.3</v>
      </c>
      <c r="BC266">
        <v>1098.9000000000001</v>
      </c>
      <c r="BD266">
        <v>6393405.7000000002</v>
      </c>
      <c r="BE266">
        <v>295476.7</v>
      </c>
      <c r="BF266">
        <v>63.7</v>
      </c>
      <c r="BG266">
        <v>92968358.599999994</v>
      </c>
      <c r="BH266">
        <v>14683628.300000001</v>
      </c>
      <c r="BI266">
        <v>107651986.8</v>
      </c>
      <c r="BJ266">
        <v>0</v>
      </c>
      <c r="BK266">
        <v>0</v>
      </c>
      <c r="BL266">
        <v>92460756.400000006</v>
      </c>
      <c r="BM266">
        <v>98854162.200000003</v>
      </c>
      <c r="BN266">
        <v>107651986.8</v>
      </c>
      <c r="BO266">
        <v>33.4</v>
      </c>
      <c r="BP266">
        <v>13.56</v>
      </c>
      <c r="BQ266">
        <v>0</v>
      </c>
      <c r="BR266">
        <v>46.97</v>
      </c>
      <c r="BS266">
        <v>35.450000000000003</v>
      </c>
      <c r="BT266">
        <v>14.89</v>
      </c>
      <c r="BU266">
        <v>0</v>
      </c>
      <c r="BV266">
        <v>50.34</v>
      </c>
      <c r="BW266">
        <v>275693100</v>
      </c>
      <c r="BX266">
        <v>27105216</v>
      </c>
      <c r="BY266">
        <v>94142320</v>
      </c>
      <c r="BZ266">
        <v>60017228</v>
      </c>
      <c r="CA266">
        <v>0</v>
      </c>
      <c r="CB266">
        <v>274436.8</v>
      </c>
      <c r="CC266">
        <v>76555864</v>
      </c>
      <c r="CD266">
        <v>0</v>
      </c>
      <c r="CE266">
        <v>403321.3</v>
      </c>
      <c r="CF266">
        <v>11909994</v>
      </c>
      <c r="CG266">
        <v>0</v>
      </c>
      <c r="CH266">
        <v>2059467.4</v>
      </c>
      <c r="CI266">
        <v>0</v>
      </c>
      <c r="CJ266">
        <v>0</v>
      </c>
      <c r="CK266">
        <v>0</v>
      </c>
      <c r="CL266">
        <v>0</v>
      </c>
      <c r="CM266">
        <v>25124624</v>
      </c>
      <c r="CN266">
        <v>1980590.8</v>
      </c>
      <c r="CO266">
        <v>1960322</v>
      </c>
      <c r="CP266">
        <v>1264938.5</v>
      </c>
      <c r="CQ266">
        <v>0</v>
      </c>
      <c r="CR266">
        <v>751.5</v>
      </c>
      <c r="CS266">
        <v>0</v>
      </c>
      <c r="CT266">
        <v>303.5</v>
      </c>
      <c r="CU266">
        <v>13886.8</v>
      </c>
      <c r="CV266">
        <v>0</v>
      </c>
      <c r="CW266">
        <v>0</v>
      </c>
      <c r="CX266">
        <v>1342.2</v>
      </c>
      <c r="CY266">
        <v>18272.599999999999</v>
      </c>
      <c r="CZ266">
        <v>0</v>
      </c>
      <c r="DA266">
        <v>9737.5</v>
      </c>
      <c r="DB266">
        <v>0</v>
      </c>
      <c r="DC266">
        <v>5419</v>
      </c>
      <c r="DD266">
        <v>11786.4</v>
      </c>
      <c r="DE266">
        <v>2388.1999999999998</v>
      </c>
      <c r="DF266">
        <v>1863.4</v>
      </c>
      <c r="DG266">
        <v>11221.6</v>
      </c>
      <c r="DH266">
        <v>0</v>
      </c>
      <c r="DI266">
        <v>0</v>
      </c>
      <c r="DJ266">
        <v>0</v>
      </c>
      <c r="DK266">
        <v>5667</v>
      </c>
      <c r="DL266">
        <v>18634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</row>
    <row r="267" spans="1:122" x14ac:dyDescent="0.3">
      <c r="A267" t="s">
        <v>174</v>
      </c>
      <c r="B267">
        <v>2034</v>
      </c>
      <c r="C267">
        <v>283681677.5</v>
      </c>
      <c r="D267">
        <v>276218680</v>
      </c>
      <c r="E267">
        <v>266287326.5</v>
      </c>
      <c r="F267">
        <v>0</v>
      </c>
      <c r="G267">
        <v>4906419.5</v>
      </c>
      <c r="H267">
        <v>247548338.5</v>
      </c>
      <c r="I267">
        <v>2588186.5</v>
      </c>
      <c r="J267">
        <v>2318233</v>
      </c>
      <c r="K267">
        <v>2556577.9</v>
      </c>
      <c r="L267">
        <v>3.5900000000000001E-2</v>
      </c>
      <c r="M267">
        <v>5.3999999999999999E-2</v>
      </c>
      <c r="N267">
        <v>0.15</v>
      </c>
      <c r="O267">
        <v>67516.22</v>
      </c>
      <c r="P267">
        <v>62786.9</v>
      </c>
      <c r="Q267">
        <v>332.8</v>
      </c>
      <c r="R267">
        <v>28.1</v>
      </c>
      <c r="S267">
        <v>3.99</v>
      </c>
      <c r="T267">
        <v>22.8</v>
      </c>
      <c r="U267">
        <v>1055.9000000000001</v>
      </c>
      <c r="V267">
        <v>0.23</v>
      </c>
      <c r="W267">
        <v>334.6</v>
      </c>
      <c r="X267">
        <v>52.4</v>
      </c>
      <c r="Y267">
        <v>387.1</v>
      </c>
      <c r="Z267">
        <v>337.5</v>
      </c>
      <c r="AA267">
        <v>28</v>
      </c>
      <c r="AB267">
        <v>3.97</v>
      </c>
      <c r="AC267">
        <v>23.8</v>
      </c>
      <c r="AD267">
        <v>1087.0999999999999</v>
      </c>
      <c r="AE267">
        <v>0.24</v>
      </c>
      <c r="AF267">
        <v>339.3</v>
      </c>
      <c r="AG267">
        <v>54.3</v>
      </c>
      <c r="AH267">
        <v>393.6</v>
      </c>
      <c r="AI267">
        <v>384</v>
      </c>
      <c r="AJ267">
        <v>7.6</v>
      </c>
      <c r="AK267">
        <v>0.78</v>
      </c>
      <c r="AL267">
        <v>45.1</v>
      </c>
      <c r="AM267">
        <v>1995.4</v>
      </c>
      <c r="AN267">
        <v>0.17</v>
      </c>
      <c r="AO267">
        <v>384.4</v>
      </c>
      <c r="AP267">
        <v>101</v>
      </c>
      <c r="AQ267">
        <v>485.4</v>
      </c>
      <c r="AR267">
        <v>744.8</v>
      </c>
      <c r="AS267">
        <v>58.2</v>
      </c>
      <c r="AT267">
        <v>8.2899999999999991</v>
      </c>
      <c r="AU267">
        <v>48.9</v>
      </c>
      <c r="AV267">
        <v>2429.1</v>
      </c>
      <c r="AW267">
        <v>0.4</v>
      </c>
      <c r="AX267">
        <v>748.6</v>
      </c>
      <c r="AY267">
        <v>117</v>
      </c>
      <c r="AZ267">
        <v>865.6</v>
      </c>
      <c r="BA267">
        <v>90889407.599999994</v>
      </c>
      <c r="BB267">
        <v>7662.8</v>
      </c>
      <c r="BC267">
        <v>1090.3</v>
      </c>
      <c r="BD267">
        <v>6236154.5999999996</v>
      </c>
      <c r="BE267">
        <v>288448.59999999998</v>
      </c>
      <c r="BF267">
        <v>62.8</v>
      </c>
      <c r="BG267">
        <v>91392905.099999994</v>
      </c>
      <c r="BH267">
        <v>14329365.6</v>
      </c>
      <c r="BI267">
        <v>105722270.7</v>
      </c>
      <c r="BJ267">
        <v>0</v>
      </c>
      <c r="BK267">
        <v>0</v>
      </c>
      <c r="BL267">
        <v>90889407.599999994</v>
      </c>
      <c r="BM267">
        <v>97125562.200000003</v>
      </c>
      <c r="BN267">
        <v>105722270.7</v>
      </c>
      <c r="BO267">
        <v>33.159999999999997</v>
      </c>
      <c r="BP267">
        <v>13.95</v>
      </c>
      <c r="BQ267">
        <v>0</v>
      </c>
      <c r="BR267">
        <v>47.11</v>
      </c>
      <c r="BS267">
        <v>35.21</v>
      </c>
      <c r="BT267">
        <v>15.37</v>
      </c>
      <c r="BU267">
        <v>0</v>
      </c>
      <c r="BV267">
        <v>50.58</v>
      </c>
      <c r="BW267">
        <v>275178600</v>
      </c>
      <c r="BX267">
        <v>28670342</v>
      </c>
      <c r="BY267">
        <v>94142320</v>
      </c>
      <c r="BZ267">
        <v>59650680</v>
      </c>
      <c r="CA267">
        <v>0</v>
      </c>
      <c r="CB267">
        <v>249152.2</v>
      </c>
      <c r="CC267">
        <v>74064490</v>
      </c>
      <c r="CD267">
        <v>0</v>
      </c>
      <c r="CE267">
        <v>344621.4</v>
      </c>
      <c r="CF267">
        <v>11916368</v>
      </c>
      <c r="CG267">
        <v>0</v>
      </c>
      <c r="CH267">
        <v>2057816.2</v>
      </c>
      <c r="CI267">
        <v>0</v>
      </c>
      <c r="CJ267">
        <v>0</v>
      </c>
      <c r="CK267">
        <v>0</v>
      </c>
      <c r="CL267">
        <v>0</v>
      </c>
      <c r="CM267">
        <v>26416492</v>
      </c>
      <c r="CN267">
        <v>2253849.5</v>
      </c>
      <c r="CO267">
        <v>1872379</v>
      </c>
      <c r="CP267">
        <v>2210422.2000000002</v>
      </c>
      <c r="CQ267">
        <v>0</v>
      </c>
      <c r="CR267">
        <v>1235.5999999999999</v>
      </c>
      <c r="CS267">
        <v>0</v>
      </c>
      <c r="CT267">
        <v>303.5</v>
      </c>
      <c r="CU267">
        <v>13886.8</v>
      </c>
      <c r="CV267">
        <v>0</v>
      </c>
      <c r="CW267">
        <v>0</v>
      </c>
      <c r="CX267">
        <v>1540</v>
      </c>
      <c r="CY267">
        <v>18593</v>
      </c>
      <c r="CZ267">
        <v>0</v>
      </c>
      <c r="DA267">
        <v>9737.5</v>
      </c>
      <c r="DB267">
        <v>0</v>
      </c>
      <c r="DC267">
        <v>5419</v>
      </c>
      <c r="DD267">
        <v>11786.4</v>
      </c>
      <c r="DE267">
        <v>2388.1999999999998</v>
      </c>
      <c r="DF267">
        <v>1863.4</v>
      </c>
      <c r="DG267">
        <v>12168.4</v>
      </c>
      <c r="DH267">
        <v>0</v>
      </c>
      <c r="DI267">
        <v>0</v>
      </c>
      <c r="DJ267">
        <v>0</v>
      </c>
      <c r="DK267">
        <v>9496.7999999999993</v>
      </c>
      <c r="DL267">
        <v>18634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</row>
    <row r="268" spans="1:122" x14ac:dyDescent="0.3">
      <c r="A268" t="s">
        <v>174</v>
      </c>
      <c r="B268">
        <v>2036</v>
      </c>
      <c r="C268">
        <v>287964761</v>
      </c>
      <c r="D268">
        <v>280808299.10000002</v>
      </c>
      <c r="E268">
        <v>270711927.89999998</v>
      </c>
      <c r="F268">
        <v>0</v>
      </c>
      <c r="G268">
        <v>4694465</v>
      </c>
      <c r="H268">
        <v>252246470.90000001</v>
      </c>
      <c r="I268">
        <v>2504148.5</v>
      </c>
      <c r="J268">
        <v>2190316.5</v>
      </c>
      <c r="K268">
        <v>2461996.7000000002</v>
      </c>
      <c r="L268">
        <v>3.5900000000000001E-2</v>
      </c>
      <c r="M268">
        <v>5.3999999999999999E-2</v>
      </c>
      <c r="N268">
        <v>0.15</v>
      </c>
      <c r="O268">
        <v>70365.89</v>
      </c>
      <c r="P268">
        <v>63832.4</v>
      </c>
      <c r="Q268">
        <v>333.1</v>
      </c>
      <c r="R268">
        <v>28.1</v>
      </c>
      <c r="S268">
        <v>3.99</v>
      </c>
      <c r="T268">
        <v>22.8</v>
      </c>
      <c r="U268">
        <v>1058.7</v>
      </c>
      <c r="V268">
        <v>0.23</v>
      </c>
      <c r="W268">
        <v>335</v>
      </c>
      <c r="X268">
        <v>52.5</v>
      </c>
      <c r="Y268">
        <v>387.5</v>
      </c>
      <c r="Z268">
        <v>336.7</v>
      </c>
      <c r="AA268">
        <v>27.9</v>
      </c>
      <c r="AB268">
        <v>3.96</v>
      </c>
      <c r="AC268">
        <v>23.8</v>
      </c>
      <c r="AD268">
        <v>1086.5</v>
      </c>
      <c r="AE268">
        <v>0.24</v>
      </c>
      <c r="AF268">
        <v>338.5</v>
      </c>
      <c r="AG268">
        <v>54.2</v>
      </c>
      <c r="AH268">
        <v>392.7</v>
      </c>
      <c r="AI268">
        <v>356.7</v>
      </c>
      <c r="AJ268">
        <v>7.3</v>
      </c>
      <c r="AK268">
        <v>0.76</v>
      </c>
      <c r="AL268">
        <v>41.7</v>
      </c>
      <c r="AM268">
        <v>1845.9</v>
      </c>
      <c r="AN268">
        <v>0.16</v>
      </c>
      <c r="AO268">
        <v>357.1</v>
      </c>
      <c r="AP268">
        <v>93.4</v>
      </c>
      <c r="AQ268">
        <v>450.5</v>
      </c>
      <c r="AR268">
        <v>726.4</v>
      </c>
      <c r="AS268">
        <v>55.7</v>
      </c>
      <c r="AT268">
        <v>7.94</v>
      </c>
      <c r="AU268">
        <v>48.7</v>
      </c>
      <c r="AV268">
        <v>2395.4</v>
      </c>
      <c r="AW268">
        <v>0.39</v>
      </c>
      <c r="AX268">
        <v>730.1</v>
      </c>
      <c r="AY268">
        <v>115.8</v>
      </c>
      <c r="AZ268">
        <v>845.9</v>
      </c>
      <c r="BA268">
        <v>91620003.299999997</v>
      </c>
      <c r="BB268">
        <v>7715.7</v>
      </c>
      <c r="BC268">
        <v>1097.5</v>
      </c>
      <c r="BD268">
        <v>6286084.5</v>
      </c>
      <c r="BE268">
        <v>291258.90000000002</v>
      </c>
      <c r="BF268">
        <v>63.1</v>
      </c>
      <c r="BG268">
        <v>92126883.299999997</v>
      </c>
      <c r="BH268">
        <v>14458050.6</v>
      </c>
      <c r="BI268">
        <v>106584933.90000001</v>
      </c>
      <c r="BJ268">
        <v>0</v>
      </c>
      <c r="BK268">
        <v>0</v>
      </c>
      <c r="BL268">
        <v>91620003.299999997</v>
      </c>
      <c r="BM268">
        <v>97906087.799999997</v>
      </c>
      <c r="BN268">
        <v>106584933.90000001</v>
      </c>
      <c r="BO268">
        <v>33.08</v>
      </c>
      <c r="BP268">
        <v>14.56</v>
      </c>
      <c r="BQ268">
        <v>0</v>
      </c>
      <c r="BR268">
        <v>47.64</v>
      </c>
      <c r="BS268">
        <v>35.119999999999997</v>
      </c>
      <c r="BT268">
        <v>16.02</v>
      </c>
      <c r="BU268">
        <v>0</v>
      </c>
      <c r="BV268">
        <v>51.14</v>
      </c>
      <c r="BW268">
        <v>277125700</v>
      </c>
      <c r="BX268">
        <v>28561828</v>
      </c>
      <c r="BY268">
        <v>94142320</v>
      </c>
      <c r="BZ268">
        <v>60077160</v>
      </c>
      <c r="CA268">
        <v>0</v>
      </c>
      <c r="CB268">
        <v>154209.29999999999</v>
      </c>
      <c r="CC268">
        <v>76004904</v>
      </c>
      <c r="CD268">
        <v>0</v>
      </c>
      <c r="CE268">
        <v>290751.2</v>
      </c>
      <c r="CF268">
        <v>11901917</v>
      </c>
      <c r="CG268">
        <v>0</v>
      </c>
      <c r="CH268">
        <v>2057854.2</v>
      </c>
      <c r="CI268">
        <v>0</v>
      </c>
      <c r="CJ268">
        <v>0</v>
      </c>
      <c r="CK268">
        <v>0</v>
      </c>
      <c r="CL268">
        <v>0</v>
      </c>
      <c r="CM268">
        <v>26047948</v>
      </c>
      <c r="CN268">
        <v>2513880.7999999998</v>
      </c>
      <c r="CO268">
        <v>1787440.8</v>
      </c>
      <c r="CP268">
        <v>2147311.2000000002</v>
      </c>
      <c r="CQ268">
        <v>0</v>
      </c>
      <c r="CR268">
        <v>1226.0999999999999</v>
      </c>
      <c r="CS268">
        <v>0</v>
      </c>
      <c r="CT268">
        <v>303.5</v>
      </c>
      <c r="CU268">
        <v>13886.8</v>
      </c>
      <c r="CV268">
        <v>0</v>
      </c>
      <c r="CW268">
        <v>0</v>
      </c>
      <c r="CX268">
        <v>1731.5</v>
      </c>
      <c r="CY268">
        <v>19643.8</v>
      </c>
      <c r="CZ268">
        <v>0</v>
      </c>
      <c r="DA268">
        <v>9737.5</v>
      </c>
      <c r="DB268">
        <v>0</v>
      </c>
      <c r="DC268">
        <v>5419</v>
      </c>
      <c r="DD268">
        <v>11786.4</v>
      </c>
      <c r="DE268">
        <v>1630.4</v>
      </c>
      <c r="DF268">
        <v>1863.4</v>
      </c>
      <c r="DG268">
        <v>12141.3</v>
      </c>
      <c r="DH268">
        <v>0</v>
      </c>
      <c r="DI268">
        <v>0</v>
      </c>
      <c r="DJ268">
        <v>0</v>
      </c>
      <c r="DK268">
        <v>9434.5</v>
      </c>
      <c r="DL268">
        <v>18634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</row>
    <row r="269" spans="1:122" x14ac:dyDescent="0.3">
      <c r="A269" t="s">
        <v>174</v>
      </c>
      <c r="B269">
        <v>2038</v>
      </c>
      <c r="C269">
        <v>293111451.89999998</v>
      </c>
      <c r="D269">
        <v>285841573.89999998</v>
      </c>
      <c r="E269">
        <v>275564233.39999998</v>
      </c>
      <c r="F269">
        <v>0</v>
      </c>
      <c r="G269">
        <v>4959704</v>
      </c>
      <c r="H269">
        <v>255423161.19999999</v>
      </c>
      <c r="I269">
        <v>2941447.5</v>
      </c>
      <c r="J269">
        <v>2018256.4</v>
      </c>
      <c r="K269">
        <v>2310174</v>
      </c>
      <c r="L269">
        <v>3.5900000000000001E-2</v>
      </c>
      <c r="M269">
        <v>5.3999999999999999E-2</v>
      </c>
      <c r="N269">
        <v>0.15</v>
      </c>
      <c r="O269">
        <v>72927.11</v>
      </c>
      <c r="P269">
        <v>64977.2</v>
      </c>
      <c r="Q269">
        <v>318.8</v>
      </c>
      <c r="R269">
        <v>25.8</v>
      </c>
      <c r="S269">
        <v>3.66</v>
      </c>
      <c r="T269">
        <v>22.9</v>
      </c>
      <c r="U269">
        <v>1047.4000000000001</v>
      </c>
      <c r="V269">
        <v>0.22</v>
      </c>
      <c r="W269">
        <v>320.5</v>
      </c>
      <c r="X269">
        <v>52.3</v>
      </c>
      <c r="Y269">
        <v>372.8</v>
      </c>
      <c r="Z269">
        <v>322.7</v>
      </c>
      <c r="AA269">
        <v>25.6</v>
      </c>
      <c r="AB269">
        <v>3.62</v>
      </c>
      <c r="AC269">
        <v>23.9</v>
      </c>
      <c r="AD269">
        <v>1077.5</v>
      </c>
      <c r="AE269">
        <v>0.23</v>
      </c>
      <c r="AF269">
        <v>324.39999999999998</v>
      </c>
      <c r="AG269">
        <v>54.1</v>
      </c>
      <c r="AH269">
        <v>378.5</v>
      </c>
      <c r="AI269">
        <v>333.2</v>
      </c>
      <c r="AJ269">
        <v>7.8</v>
      </c>
      <c r="AK269">
        <v>0.87</v>
      </c>
      <c r="AL269">
        <v>38</v>
      </c>
      <c r="AM269">
        <v>1692.2</v>
      </c>
      <c r="AN269">
        <v>0.15</v>
      </c>
      <c r="AO269">
        <v>333.7</v>
      </c>
      <c r="AP269">
        <v>85.4</v>
      </c>
      <c r="AQ269">
        <v>419.1</v>
      </c>
      <c r="AR269">
        <v>707.7</v>
      </c>
      <c r="AS269">
        <v>53.5</v>
      </c>
      <c r="AT269">
        <v>7.6</v>
      </c>
      <c r="AU269">
        <v>48</v>
      </c>
      <c r="AV269">
        <v>2370</v>
      </c>
      <c r="AW269">
        <v>0.38</v>
      </c>
      <c r="AX269">
        <v>711.2</v>
      </c>
      <c r="AY269">
        <v>114.4</v>
      </c>
      <c r="AZ269">
        <v>825.7</v>
      </c>
      <c r="BA269">
        <v>89070779</v>
      </c>
      <c r="BB269">
        <v>7203</v>
      </c>
      <c r="BC269">
        <v>1020.9</v>
      </c>
      <c r="BD269">
        <v>6403063.5</v>
      </c>
      <c r="BE269">
        <v>292732.09999999998</v>
      </c>
      <c r="BF269">
        <v>61.6</v>
      </c>
      <c r="BG269">
        <v>89542995.599999994</v>
      </c>
      <c r="BH269">
        <v>14615890.6</v>
      </c>
      <c r="BI269">
        <v>104158886.2</v>
      </c>
      <c r="BJ269">
        <v>0</v>
      </c>
      <c r="BK269">
        <v>0</v>
      </c>
      <c r="BL269">
        <v>89070779</v>
      </c>
      <c r="BM269">
        <v>95473842.5</v>
      </c>
      <c r="BN269">
        <v>104158886.2</v>
      </c>
      <c r="BO269">
        <v>32.369999999999997</v>
      </c>
      <c r="BP269">
        <v>15.05</v>
      </c>
      <c r="BQ269">
        <v>0</v>
      </c>
      <c r="BR269">
        <v>47.42</v>
      </c>
      <c r="BS269">
        <v>34.369999999999997</v>
      </c>
      <c r="BT269">
        <v>16.57</v>
      </c>
      <c r="BU269">
        <v>0</v>
      </c>
      <c r="BV269">
        <v>50.94</v>
      </c>
      <c r="BW269">
        <v>281586940</v>
      </c>
      <c r="BX269">
        <v>30418412</v>
      </c>
      <c r="BY269">
        <v>94142320</v>
      </c>
      <c r="BZ269">
        <v>55488300</v>
      </c>
      <c r="CA269">
        <v>0</v>
      </c>
      <c r="CB269">
        <v>113764</v>
      </c>
      <c r="CC269">
        <v>83102850</v>
      </c>
      <c r="CD269">
        <v>0</v>
      </c>
      <c r="CE269">
        <v>253881.2</v>
      </c>
      <c r="CF269">
        <v>11913600</v>
      </c>
      <c r="CG269">
        <v>0</v>
      </c>
      <c r="CH269">
        <v>2013690.8</v>
      </c>
      <c r="CI269">
        <v>0</v>
      </c>
      <c r="CJ269">
        <v>0</v>
      </c>
      <c r="CK269">
        <v>0</v>
      </c>
      <c r="CL269">
        <v>0</v>
      </c>
      <c r="CM269">
        <v>27631068</v>
      </c>
      <c r="CN269">
        <v>2787343.2</v>
      </c>
      <c r="CO269">
        <v>1625418.5</v>
      </c>
      <c r="CP269">
        <v>2514712</v>
      </c>
      <c r="CQ269">
        <v>0</v>
      </c>
      <c r="CR269">
        <v>1342.1</v>
      </c>
      <c r="CS269">
        <v>0</v>
      </c>
      <c r="CT269">
        <v>293.5</v>
      </c>
      <c r="CU269">
        <v>13886.8</v>
      </c>
      <c r="CV269">
        <v>0</v>
      </c>
      <c r="CW269">
        <v>0</v>
      </c>
      <c r="CX269">
        <v>1934.2</v>
      </c>
      <c r="CY269">
        <v>21062.799999999999</v>
      </c>
      <c r="CZ269">
        <v>0</v>
      </c>
      <c r="DA269">
        <v>9737.5</v>
      </c>
      <c r="DB269">
        <v>0</v>
      </c>
      <c r="DC269">
        <v>5419</v>
      </c>
      <c r="DD269">
        <v>11786.4</v>
      </c>
      <c r="DE269">
        <v>1359.8</v>
      </c>
      <c r="DF269">
        <v>1863.4</v>
      </c>
      <c r="DG269">
        <v>12950.3</v>
      </c>
      <c r="DH269">
        <v>0</v>
      </c>
      <c r="DI269">
        <v>0</v>
      </c>
      <c r="DJ269">
        <v>0</v>
      </c>
      <c r="DK269">
        <v>11064.9</v>
      </c>
      <c r="DL269">
        <v>18634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</row>
    <row r="270" spans="1:122" x14ac:dyDescent="0.3">
      <c r="A270" t="s">
        <v>174</v>
      </c>
      <c r="B270">
        <v>2040</v>
      </c>
      <c r="C270">
        <v>298440971.60000002</v>
      </c>
      <c r="D270">
        <v>290807882.5</v>
      </c>
      <c r="E270">
        <v>280351980.60000002</v>
      </c>
      <c r="F270">
        <v>0</v>
      </c>
      <c r="G270">
        <v>5383503.5</v>
      </c>
      <c r="H270">
        <v>259589634.80000001</v>
      </c>
      <c r="I270">
        <v>3442536</v>
      </c>
      <c r="J270">
        <v>1940967.6</v>
      </c>
      <c r="K270">
        <v>2249585.4</v>
      </c>
      <c r="L270">
        <v>3.5900000000000001E-2</v>
      </c>
      <c r="M270">
        <v>5.3999999999999999E-2</v>
      </c>
      <c r="N270">
        <v>0.15</v>
      </c>
      <c r="O270">
        <v>74425.56</v>
      </c>
      <c r="P270">
        <v>66107.199999999997</v>
      </c>
      <c r="Q270">
        <v>307.8</v>
      </c>
      <c r="R270">
        <v>23.9</v>
      </c>
      <c r="S270">
        <v>3.38</v>
      </c>
      <c r="T270">
        <v>23.1</v>
      </c>
      <c r="U270">
        <v>1043</v>
      </c>
      <c r="V270">
        <v>0.21</v>
      </c>
      <c r="W270">
        <v>309.3</v>
      </c>
      <c r="X270">
        <v>52.3</v>
      </c>
      <c r="Y270">
        <v>361.7</v>
      </c>
      <c r="Z270">
        <v>311.39999999999998</v>
      </c>
      <c r="AA270">
        <v>23.6</v>
      </c>
      <c r="AB270">
        <v>3.33</v>
      </c>
      <c r="AC270">
        <v>24.1</v>
      </c>
      <c r="AD270">
        <v>1073.3</v>
      </c>
      <c r="AE270">
        <v>0.22</v>
      </c>
      <c r="AF270">
        <v>313</v>
      </c>
      <c r="AG270">
        <v>54.2</v>
      </c>
      <c r="AH270">
        <v>367.1</v>
      </c>
      <c r="AI270">
        <v>315.10000000000002</v>
      </c>
      <c r="AJ270">
        <v>10.4</v>
      </c>
      <c r="AK270">
        <v>1.29</v>
      </c>
      <c r="AL270">
        <v>33.200000000000003</v>
      </c>
      <c r="AM270">
        <v>1504.2</v>
      </c>
      <c r="AN270">
        <v>0.14000000000000001</v>
      </c>
      <c r="AO270">
        <v>315.7</v>
      </c>
      <c r="AP270">
        <v>75.3</v>
      </c>
      <c r="AQ270">
        <v>391.1</v>
      </c>
      <c r="AR270">
        <v>684.7</v>
      </c>
      <c r="AS270">
        <v>50.2</v>
      </c>
      <c r="AT270">
        <v>7.1</v>
      </c>
      <c r="AU270">
        <v>47.8</v>
      </c>
      <c r="AV270">
        <v>2346</v>
      </c>
      <c r="AW270">
        <v>0.36</v>
      </c>
      <c r="AX270">
        <v>688</v>
      </c>
      <c r="AY270">
        <v>113.6</v>
      </c>
      <c r="AZ270">
        <v>801.6</v>
      </c>
      <c r="BA270">
        <v>87016801.900000006</v>
      </c>
      <c r="BB270">
        <v>6754.9</v>
      </c>
      <c r="BC270">
        <v>953.7</v>
      </c>
      <c r="BD270">
        <v>6528021.2999999998</v>
      </c>
      <c r="BE270">
        <v>295004.09999999998</v>
      </c>
      <c r="BF270">
        <v>60.4</v>
      </c>
      <c r="BG270">
        <v>87458683.799999997</v>
      </c>
      <c r="BH270">
        <v>14804134</v>
      </c>
      <c r="BI270">
        <v>102262817.8</v>
      </c>
      <c r="BJ270">
        <v>0</v>
      </c>
      <c r="BK270">
        <v>0</v>
      </c>
      <c r="BL270">
        <v>87016801.900000006</v>
      </c>
      <c r="BM270">
        <v>93544823.200000003</v>
      </c>
      <c r="BN270">
        <v>102262817.8</v>
      </c>
      <c r="BO270">
        <v>32.049999999999997</v>
      </c>
      <c r="BP270">
        <v>15.34</v>
      </c>
      <c r="BQ270">
        <v>0</v>
      </c>
      <c r="BR270">
        <v>47.39</v>
      </c>
      <c r="BS270">
        <v>34.04</v>
      </c>
      <c r="BT270">
        <v>16.899999999999999</v>
      </c>
      <c r="BU270">
        <v>0</v>
      </c>
      <c r="BV270">
        <v>50.94</v>
      </c>
      <c r="BW270">
        <v>285006080</v>
      </c>
      <c r="BX270">
        <v>31218246</v>
      </c>
      <c r="BY270">
        <v>94142320</v>
      </c>
      <c r="BZ270">
        <v>51426864</v>
      </c>
      <c r="CA270">
        <v>0</v>
      </c>
      <c r="CB270">
        <v>88746.6</v>
      </c>
      <c r="CC270">
        <v>89432230</v>
      </c>
      <c r="CD270">
        <v>0</v>
      </c>
      <c r="CE270">
        <v>233811.20000000001</v>
      </c>
      <c r="CF270">
        <v>11902301</v>
      </c>
      <c r="CG270">
        <v>0</v>
      </c>
      <c r="CH270">
        <v>2012119.8</v>
      </c>
      <c r="CI270">
        <v>0</v>
      </c>
      <c r="CJ270">
        <v>0</v>
      </c>
      <c r="CK270">
        <v>0</v>
      </c>
      <c r="CL270">
        <v>0</v>
      </c>
      <c r="CM270">
        <v>28116154</v>
      </c>
      <c r="CN270">
        <v>3102093.2</v>
      </c>
      <c r="CO270">
        <v>1591124.9</v>
      </c>
      <c r="CP270">
        <v>2958320</v>
      </c>
      <c r="CQ270">
        <v>0</v>
      </c>
      <c r="CR270">
        <v>1599.2</v>
      </c>
      <c r="CS270">
        <v>0</v>
      </c>
      <c r="CT270">
        <v>293.5</v>
      </c>
      <c r="CU270">
        <v>13886.8</v>
      </c>
      <c r="CV270">
        <v>0</v>
      </c>
      <c r="CW270">
        <v>0</v>
      </c>
      <c r="CX270">
        <v>2166.5</v>
      </c>
      <c r="CY270">
        <v>22324.7</v>
      </c>
      <c r="CZ270">
        <v>0</v>
      </c>
      <c r="DA270">
        <v>9752.5</v>
      </c>
      <c r="DB270">
        <v>0</v>
      </c>
      <c r="DC270">
        <v>5419</v>
      </c>
      <c r="DD270">
        <v>11786.4</v>
      </c>
      <c r="DE270">
        <v>1089.2</v>
      </c>
      <c r="DF270">
        <v>1863.4</v>
      </c>
      <c r="DG270">
        <v>13426.7</v>
      </c>
      <c r="DH270">
        <v>0</v>
      </c>
      <c r="DI270">
        <v>0</v>
      </c>
      <c r="DJ270">
        <v>0</v>
      </c>
      <c r="DK270">
        <v>13079.3</v>
      </c>
      <c r="DL270">
        <v>18634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</row>
    <row r="271" spans="1:122" x14ac:dyDescent="0.3">
      <c r="A271" t="s">
        <v>174</v>
      </c>
      <c r="B271">
        <v>2042</v>
      </c>
      <c r="C271">
        <v>309830021.19999999</v>
      </c>
      <c r="D271">
        <v>296528534.5</v>
      </c>
      <c r="E271">
        <v>285866949</v>
      </c>
      <c r="F271">
        <v>0</v>
      </c>
      <c r="G271">
        <v>11115171</v>
      </c>
      <c r="H271">
        <v>255168593.59999999</v>
      </c>
      <c r="I271">
        <v>9491800</v>
      </c>
      <c r="J271">
        <v>1623371.5</v>
      </c>
      <c r="K271">
        <v>2186315.5</v>
      </c>
      <c r="L271">
        <v>3.5900000000000001E-2</v>
      </c>
      <c r="M271">
        <v>5.3999999999999999E-2</v>
      </c>
      <c r="N271">
        <v>0.15</v>
      </c>
      <c r="O271">
        <v>75391.11</v>
      </c>
      <c r="P271">
        <v>67406.600000000006</v>
      </c>
      <c r="Q271">
        <v>284.5</v>
      </c>
      <c r="R271">
        <v>22.1</v>
      </c>
      <c r="S271">
        <v>3.11</v>
      </c>
      <c r="T271">
        <v>21.5</v>
      </c>
      <c r="U271">
        <v>966</v>
      </c>
      <c r="V271">
        <v>0.2</v>
      </c>
      <c r="W271">
        <v>286</v>
      </c>
      <c r="X271">
        <v>48.6</v>
      </c>
      <c r="Y271">
        <v>334.6</v>
      </c>
      <c r="Z271">
        <v>291.39999999999998</v>
      </c>
      <c r="AA271">
        <v>21.9</v>
      </c>
      <c r="AB271">
        <v>3.09</v>
      </c>
      <c r="AC271">
        <v>22.9</v>
      </c>
      <c r="AD271">
        <v>1010.4</v>
      </c>
      <c r="AE271">
        <v>0.21</v>
      </c>
      <c r="AF271">
        <v>292.8</v>
      </c>
      <c r="AG271">
        <v>51.2</v>
      </c>
      <c r="AH271">
        <v>344</v>
      </c>
      <c r="AI271">
        <v>377.1</v>
      </c>
      <c r="AJ271">
        <v>18.8</v>
      </c>
      <c r="AK271">
        <v>2.5099999999999998</v>
      </c>
      <c r="AL271">
        <v>34</v>
      </c>
      <c r="AM271">
        <v>1600.9</v>
      </c>
      <c r="AN271">
        <v>0.17</v>
      </c>
      <c r="AO271">
        <v>378.2</v>
      </c>
      <c r="AP271">
        <v>78.900000000000006</v>
      </c>
      <c r="AQ271">
        <v>457.1</v>
      </c>
      <c r="AR271">
        <v>694.8</v>
      </c>
      <c r="AS271">
        <v>52.6</v>
      </c>
      <c r="AT271">
        <v>7.46</v>
      </c>
      <c r="AU271">
        <v>46.9</v>
      </c>
      <c r="AV271">
        <v>2337.6</v>
      </c>
      <c r="AW271">
        <v>0.36</v>
      </c>
      <c r="AX271">
        <v>698.3</v>
      </c>
      <c r="AY271">
        <v>112.4</v>
      </c>
      <c r="AZ271">
        <v>810.7</v>
      </c>
      <c r="BA271">
        <v>82848619</v>
      </c>
      <c r="BB271">
        <v>6420.3</v>
      </c>
      <c r="BC271">
        <v>906.3</v>
      </c>
      <c r="BD271">
        <v>6267082.5999999996</v>
      </c>
      <c r="BE271">
        <v>281408.5</v>
      </c>
      <c r="BF271">
        <v>58.3</v>
      </c>
      <c r="BG271">
        <v>83268544.599999994</v>
      </c>
      <c r="BH271">
        <v>14161983.300000001</v>
      </c>
      <c r="BI271">
        <v>97430527.900000006</v>
      </c>
      <c r="BJ271">
        <v>0</v>
      </c>
      <c r="BK271">
        <v>0</v>
      </c>
      <c r="BL271">
        <v>82848619</v>
      </c>
      <c r="BM271">
        <v>89115701.700000003</v>
      </c>
      <c r="BN271">
        <v>97430527.900000006</v>
      </c>
      <c r="BO271">
        <v>31.42</v>
      </c>
      <c r="BP271">
        <v>15.11</v>
      </c>
      <c r="BQ271">
        <v>0</v>
      </c>
      <c r="BR271">
        <v>46.53</v>
      </c>
      <c r="BS271">
        <v>33.46</v>
      </c>
      <c r="BT271">
        <v>16.95</v>
      </c>
      <c r="BU271">
        <v>0</v>
      </c>
      <c r="BV271">
        <v>50.4</v>
      </c>
      <c r="BW271">
        <v>293610000</v>
      </c>
      <c r="BX271">
        <v>41359940</v>
      </c>
      <c r="BY271">
        <v>94142320</v>
      </c>
      <c r="BZ271">
        <v>48873090</v>
      </c>
      <c r="CA271">
        <v>0</v>
      </c>
      <c r="CB271">
        <v>51203.7</v>
      </c>
      <c r="CC271">
        <v>85612130</v>
      </c>
      <c r="CD271">
        <v>0</v>
      </c>
      <c r="CE271">
        <v>187915</v>
      </c>
      <c r="CF271">
        <v>11932236</v>
      </c>
      <c r="CG271">
        <v>0</v>
      </c>
      <c r="CH271">
        <v>2013674.4</v>
      </c>
      <c r="CI271">
        <v>0</v>
      </c>
      <c r="CJ271">
        <v>0</v>
      </c>
      <c r="CK271">
        <v>0</v>
      </c>
      <c r="CL271">
        <v>0</v>
      </c>
      <c r="CM271">
        <v>37867308</v>
      </c>
      <c r="CN271">
        <v>3492631.5</v>
      </c>
      <c r="CO271">
        <v>1321596.1000000001</v>
      </c>
      <c r="CP271">
        <v>8115887</v>
      </c>
      <c r="CQ271">
        <v>0</v>
      </c>
      <c r="CR271">
        <v>4608.6000000000004</v>
      </c>
      <c r="CS271">
        <v>0</v>
      </c>
      <c r="CT271">
        <v>293.5</v>
      </c>
      <c r="CU271">
        <v>13886.8</v>
      </c>
      <c r="CV271">
        <v>0</v>
      </c>
      <c r="CW271">
        <v>0</v>
      </c>
      <c r="CX271">
        <v>2451.5</v>
      </c>
      <c r="CY271">
        <v>22088.799999999999</v>
      </c>
      <c r="CZ271">
        <v>0</v>
      </c>
      <c r="DA271">
        <v>9984.7999999999993</v>
      </c>
      <c r="DB271">
        <v>0</v>
      </c>
      <c r="DC271">
        <v>5419</v>
      </c>
      <c r="DD271">
        <v>11786.4</v>
      </c>
      <c r="DE271">
        <v>786.5</v>
      </c>
      <c r="DF271">
        <v>1863.4</v>
      </c>
      <c r="DG271">
        <v>18392.099999999999</v>
      </c>
      <c r="DH271">
        <v>0</v>
      </c>
      <c r="DI271">
        <v>0</v>
      </c>
      <c r="DJ271">
        <v>0</v>
      </c>
      <c r="DK271">
        <v>34053.4</v>
      </c>
      <c r="DL271">
        <v>18634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</row>
    <row r="272" spans="1:122" x14ac:dyDescent="0.3">
      <c r="A272" t="s">
        <v>174</v>
      </c>
      <c r="B272">
        <v>2044</v>
      </c>
      <c r="C272">
        <v>316845305</v>
      </c>
      <c r="D272">
        <v>302952679.5</v>
      </c>
      <c r="E272">
        <v>292060116.5</v>
      </c>
      <c r="F272">
        <v>0</v>
      </c>
      <c r="G272">
        <v>11841249</v>
      </c>
      <c r="H272">
        <v>259936615</v>
      </c>
      <c r="I272">
        <v>10391737</v>
      </c>
      <c r="J272">
        <v>1449511.6</v>
      </c>
      <c r="K272">
        <v>2051376.6</v>
      </c>
      <c r="L272">
        <v>3.5900000000000001E-2</v>
      </c>
      <c r="M272">
        <v>5.3999999999999999E-2</v>
      </c>
      <c r="N272">
        <v>0.15</v>
      </c>
      <c r="O272">
        <v>77351.100000000006</v>
      </c>
      <c r="P272">
        <v>68870.399999999994</v>
      </c>
      <c r="Q272">
        <v>279.60000000000002</v>
      </c>
      <c r="R272">
        <v>22.2</v>
      </c>
      <c r="S272">
        <v>3.14</v>
      </c>
      <c r="T272">
        <v>20.8</v>
      </c>
      <c r="U272">
        <v>933.6</v>
      </c>
      <c r="V272">
        <v>0.2</v>
      </c>
      <c r="W272">
        <v>281.10000000000002</v>
      </c>
      <c r="X272">
        <v>47</v>
      </c>
      <c r="Y272">
        <v>328</v>
      </c>
      <c r="Z272">
        <v>280</v>
      </c>
      <c r="AA272">
        <v>21.4</v>
      </c>
      <c r="AB272">
        <v>3.02</v>
      </c>
      <c r="AC272">
        <v>21.8</v>
      </c>
      <c r="AD272">
        <v>960.7</v>
      </c>
      <c r="AE272">
        <v>0.21</v>
      </c>
      <c r="AF272">
        <v>281.39999999999998</v>
      </c>
      <c r="AG272">
        <v>48.8</v>
      </c>
      <c r="AH272">
        <v>330.2</v>
      </c>
      <c r="AI272">
        <v>435.8</v>
      </c>
      <c r="AJ272">
        <v>25.4</v>
      </c>
      <c r="AK272">
        <v>3.48</v>
      </c>
      <c r="AL272">
        <v>35.9</v>
      </c>
      <c r="AM272">
        <v>1731.8</v>
      </c>
      <c r="AN272">
        <v>0.2</v>
      </c>
      <c r="AO272">
        <v>437.5</v>
      </c>
      <c r="AP272">
        <v>84.5</v>
      </c>
      <c r="AQ272">
        <v>521.9</v>
      </c>
      <c r="AR272">
        <v>682.6</v>
      </c>
      <c r="AS272">
        <v>51.3</v>
      </c>
      <c r="AT272">
        <v>7.25</v>
      </c>
      <c r="AU272">
        <v>46.1</v>
      </c>
      <c r="AV272">
        <v>2324.3000000000002</v>
      </c>
      <c r="AW272">
        <v>0.34</v>
      </c>
      <c r="AX272">
        <v>685.9</v>
      </c>
      <c r="AY272">
        <v>111.3</v>
      </c>
      <c r="AZ272">
        <v>797.2</v>
      </c>
      <c r="BA272">
        <v>80299759.299999997</v>
      </c>
      <c r="BB272">
        <v>6369.4</v>
      </c>
      <c r="BC272">
        <v>901</v>
      </c>
      <c r="BD272">
        <v>5969266.5</v>
      </c>
      <c r="BE272">
        <v>268202</v>
      </c>
      <c r="BF272">
        <v>57.2</v>
      </c>
      <c r="BG272">
        <v>80716860.700000003</v>
      </c>
      <c r="BH272">
        <v>13494091.1</v>
      </c>
      <c r="BI272">
        <v>94210951.799999997</v>
      </c>
      <c r="BJ272">
        <v>0</v>
      </c>
      <c r="BK272">
        <v>0</v>
      </c>
      <c r="BL272">
        <v>80299759.299999997</v>
      </c>
      <c r="BM272">
        <v>86269025.700000003</v>
      </c>
      <c r="BN272">
        <v>94210951.799999997</v>
      </c>
      <c r="BO272">
        <v>31.23</v>
      </c>
      <c r="BP272">
        <v>15.47</v>
      </c>
      <c r="BQ272">
        <v>0</v>
      </c>
      <c r="BR272">
        <v>46.7</v>
      </c>
      <c r="BS272">
        <v>33.26</v>
      </c>
      <c r="BT272">
        <v>17.37</v>
      </c>
      <c r="BU272">
        <v>0</v>
      </c>
      <c r="BV272">
        <v>50.63</v>
      </c>
      <c r="BW272">
        <v>289655260</v>
      </c>
      <c r="BX272">
        <v>43016064</v>
      </c>
      <c r="BY272">
        <v>94142320</v>
      </c>
      <c r="BZ272">
        <v>48838764</v>
      </c>
      <c r="CA272">
        <v>0</v>
      </c>
      <c r="CB272">
        <v>39991.1</v>
      </c>
      <c r="CC272">
        <v>79394570</v>
      </c>
      <c r="CD272">
        <v>0</v>
      </c>
      <c r="CE272">
        <v>164492.6</v>
      </c>
      <c r="CF272">
        <v>11918532</v>
      </c>
      <c r="CG272">
        <v>0</v>
      </c>
      <c r="CH272">
        <v>2013463.6</v>
      </c>
      <c r="CI272">
        <v>0</v>
      </c>
      <c r="CJ272">
        <v>0</v>
      </c>
      <c r="CK272">
        <v>0</v>
      </c>
      <c r="CL272">
        <v>0</v>
      </c>
      <c r="CM272">
        <v>39006564</v>
      </c>
      <c r="CN272">
        <v>4009502.5</v>
      </c>
      <c r="CO272">
        <v>1206260.8</v>
      </c>
      <c r="CP272">
        <v>8920807</v>
      </c>
      <c r="CQ272">
        <v>0</v>
      </c>
      <c r="CR272">
        <v>5281.4</v>
      </c>
      <c r="CS272">
        <v>0</v>
      </c>
      <c r="CT272">
        <v>293.5</v>
      </c>
      <c r="CU272">
        <v>13886.8</v>
      </c>
      <c r="CV272">
        <v>0</v>
      </c>
      <c r="CW272">
        <v>0</v>
      </c>
      <c r="CX272">
        <v>2823.2</v>
      </c>
      <c r="CY272">
        <v>22088.799999999999</v>
      </c>
      <c r="CZ272">
        <v>0</v>
      </c>
      <c r="DA272">
        <v>9478.9</v>
      </c>
      <c r="DB272">
        <v>0</v>
      </c>
      <c r="DC272">
        <v>5419</v>
      </c>
      <c r="DD272">
        <v>11786.4</v>
      </c>
      <c r="DE272">
        <v>786.5</v>
      </c>
      <c r="DF272">
        <v>1863.4</v>
      </c>
      <c r="DG272">
        <v>19241</v>
      </c>
      <c r="DH272">
        <v>0</v>
      </c>
      <c r="DI272">
        <v>0</v>
      </c>
      <c r="DJ272">
        <v>0</v>
      </c>
      <c r="DK272">
        <v>38084.5</v>
      </c>
      <c r="DL272">
        <v>18634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</row>
    <row r="273" spans="1:122" x14ac:dyDescent="0.3">
      <c r="A273" t="s">
        <v>174</v>
      </c>
      <c r="B273">
        <v>2046</v>
      </c>
      <c r="C273">
        <v>324620192.69999999</v>
      </c>
      <c r="D273">
        <v>309361735.10000002</v>
      </c>
      <c r="E273">
        <v>298238737.30000001</v>
      </c>
      <c r="F273">
        <v>0</v>
      </c>
      <c r="G273">
        <v>13274385</v>
      </c>
      <c r="H273">
        <v>264894970</v>
      </c>
      <c r="I273">
        <v>11899946</v>
      </c>
      <c r="J273">
        <v>1374439.4</v>
      </c>
      <c r="K273">
        <v>1984072.6</v>
      </c>
      <c r="L273">
        <v>3.5900000000000001E-2</v>
      </c>
      <c r="M273">
        <v>5.3999999999999999E-2</v>
      </c>
      <c r="N273">
        <v>0.15</v>
      </c>
      <c r="O273">
        <v>80193.36</v>
      </c>
      <c r="P273">
        <v>70329.3</v>
      </c>
      <c r="Q273">
        <v>258.7</v>
      </c>
      <c r="R273">
        <v>19.899999999999999</v>
      </c>
      <c r="S273">
        <v>2.81</v>
      </c>
      <c r="T273">
        <v>20.100000000000001</v>
      </c>
      <c r="U273">
        <v>883.6</v>
      </c>
      <c r="V273">
        <v>0.19</v>
      </c>
      <c r="W273">
        <v>260</v>
      </c>
      <c r="X273">
        <v>44.8</v>
      </c>
      <c r="Y273">
        <v>304.8</v>
      </c>
      <c r="Z273">
        <v>252.9</v>
      </c>
      <c r="AA273">
        <v>18.600000000000001</v>
      </c>
      <c r="AB273">
        <v>2.61</v>
      </c>
      <c r="AC273">
        <v>20.7</v>
      </c>
      <c r="AD273">
        <v>893</v>
      </c>
      <c r="AE273">
        <v>0.19</v>
      </c>
      <c r="AF273">
        <v>254.1</v>
      </c>
      <c r="AG273">
        <v>45.8</v>
      </c>
      <c r="AH273">
        <v>299.89999999999998</v>
      </c>
      <c r="AI273">
        <v>442</v>
      </c>
      <c r="AJ273">
        <v>27.2</v>
      </c>
      <c r="AK273">
        <v>3.74</v>
      </c>
      <c r="AL273">
        <v>35.200000000000003</v>
      </c>
      <c r="AM273">
        <v>1713.4</v>
      </c>
      <c r="AN273">
        <v>0.21</v>
      </c>
      <c r="AO273">
        <v>443.8</v>
      </c>
      <c r="AP273">
        <v>83.2</v>
      </c>
      <c r="AQ273">
        <v>527</v>
      </c>
      <c r="AR273">
        <v>636.70000000000005</v>
      </c>
      <c r="AS273">
        <v>44.8</v>
      </c>
      <c r="AT273">
        <v>6.27</v>
      </c>
      <c r="AU273">
        <v>45.7</v>
      </c>
      <c r="AV273">
        <v>2278</v>
      </c>
      <c r="AW273">
        <v>0.31</v>
      </c>
      <c r="AX273">
        <v>639.6</v>
      </c>
      <c r="AY273">
        <v>109.6</v>
      </c>
      <c r="AZ273">
        <v>749.3</v>
      </c>
      <c r="BA273">
        <v>72614189.200000003</v>
      </c>
      <c r="BB273">
        <v>5588.3</v>
      </c>
      <c r="BC273">
        <v>788.3</v>
      </c>
      <c r="BD273">
        <v>5636129.2999999998</v>
      </c>
      <c r="BE273">
        <v>248179.8</v>
      </c>
      <c r="BF273">
        <v>53.4</v>
      </c>
      <c r="BG273">
        <v>72979551.599999994</v>
      </c>
      <c r="BH273">
        <v>12599318.199999999</v>
      </c>
      <c r="BI273">
        <v>85578869.900000006</v>
      </c>
      <c r="BJ273">
        <v>0</v>
      </c>
      <c r="BK273">
        <v>0</v>
      </c>
      <c r="BL273">
        <v>72614189.200000003</v>
      </c>
      <c r="BM273">
        <v>78250318.599999994</v>
      </c>
      <c r="BN273">
        <v>85578869.900000006</v>
      </c>
      <c r="BO273">
        <v>30.82</v>
      </c>
      <c r="BP273">
        <v>15.95</v>
      </c>
      <c r="BQ273">
        <v>0</v>
      </c>
      <c r="BR273">
        <v>46.77</v>
      </c>
      <c r="BS273">
        <v>32.840000000000003</v>
      </c>
      <c r="BT273">
        <v>17.98</v>
      </c>
      <c r="BU273">
        <v>0</v>
      </c>
      <c r="BV273">
        <v>50.82</v>
      </c>
      <c r="BW273">
        <v>283273730</v>
      </c>
      <c r="BX273">
        <v>44466764</v>
      </c>
      <c r="BY273">
        <v>94142320</v>
      </c>
      <c r="BZ273">
        <v>42601236</v>
      </c>
      <c r="CA273">
        <v>0</v>
      </c>
      <c r="CB273">
        <v>27060.9</v>
      </c>
      <c r="CC273">
        <v>76630940</v>
      </c>
      <c r="CD273">
        <v>0</v>
      </c>
      <c r="CE273">
        <v>133594.70000000001</v>
      </c>
      <c r="CF273">
        <v>11956096</v>
      </c>
      <c r="CG273">
        <v>0</v>
      </c>
      <c r="CH273">
        <v>2011558.4</v>
      </c>
      <c r="CI273">
        <v>0</v>
      </c>
      <c r="CJ273">
        <v>0</v>
      </c>
      <c r="CK273">
        <v>0</v>
      </c>
      <c r="CL273">
        <v>0</v>
      </c>
      <c r="CM273">
        <v>39828636</v>
      </c>
      <c r="CN273">
        <v>4638127.5</v>
      </c>
      <c r="CO273">
        <v>1126464.3999999999</v>
      </c>
      <c r="CP273">
        <v>10177703</v>
      </c>
      <c r="CQ273">
        <v>0</v>
      </c>
      <c r="CR273">
        <v>6106.7</v>
      </c>
      <c r="CS273">
        <v>0</v>
      </c>
      <c r="CT273">
        <v>293.5</v>
      </c>
      <c r="CU273">
        <v>12016.8</v>
      </c>
      <c r="CV273">
        <v>0</v>
      </c>
      <c r="CW273">
        <v>0</v>
      </c>
      <c r="CX273">
        <v>3273</v>
      </c>
      <c r="CY273">
        <v>22328.1</v>
      </c>
      <c r="CZ273">
        <v>0</v>
      </c>
      <c r="DA273">
        <v>8783.2000000000007</v>
      </c>
      <c r="DB273">
        <v>0</v>
      </c>
      <c r="DC273">
        <v>5428</v>
      </c>
      <c r="DD273">
        <v>11786.4</v>
      </c>
      <c r="DE273">
        <v>786.5</v>
      </c>
      <c r="DF273">
        <v>1863.4</v>
      </c>
      <c r="DG273">
        <v>19892.900000000001</v>
      </c>
      <c r="DH273">
        <v>0</v>
      </c>
      <c r="DI273">
        <v>0</v>
      </c>
      <c r="DJ273">
        <v>0</v>
      </c>
      <c r="DK273">
        <v>44371.3</v>
      </c>
      <c r="DL273">
        <v>18634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</row>
    <row r="274" spans="1:122" x14ac:dyDescent="0.3">
      <c r="A274" t="s">
        <v>174</v>
      </c>
      <c r="B274">
        <v>2048</v>
      </c>
      <c r="C274">
        <v>333750668.5</v>
      </c>
      <c r="D274">
        <v>315979777.80000001</v>
      </c>
      <c r="E274">
        <v>304618831.10000002</v>
      </c>
      <c r="F274">
        <v>0</v>
      </c>
      <c r="G274">
        <v>15728146</v>
      </c>
      <c r="H274">
        <v>266820378</v>
      </c>
      <c r="I274">
        <v>14447597</v>
      </c>
      <c r="J274">
        <v>1280548.8</v>
      </c>
      <c r="K274">
        <v>2042745.1</v>
      </c>
      <c r="L274">
        <v>3.5900000000000001E-2</v>
      </c>
      <c r="M274">
        <v>5.3999999999999999E-2</v>
      </c>
      <c r="N274">
        <v>0.15</v>
      </c>
      <c r="O274">
        <v>79742.84</v>
      </c>
      <c r="P274">
        <v>71834.100000000006</v>
      </c>
      <c r="Q274">
        <v>260.3</v>
      </c>
      <c r="R274">
        <v>20.5</v>
      </c>
      <c r="S274">
        <v>2.9</v>
      </c>
      <c r="T274">
        <v>19.7</v>
      </c>
      <c r="U274">
        <v>874.8</v>
      </c>
      <c r="V274">
        <v>0.19</v>
      </c>
      <c r="W274">
        <v>261.7</v>
      </c>
      <c r="X274">
        <v>44.2</v>
      </c>
      <c r="Y274">
        <v>305.89999999999998</v>
      </c>
      <c r="Z274">
        <v>256.39999999999998</v>
      </c>
      <c r="AA274">
        <v>19.2</v>
      </c>
      <c r="AB274">
        <v>2.7</v>
      </c>
      <c r="AC274">
        <v>20.5</v>
      </c>
      <c r="AD274">
        <v>893.7</v>
      </c>
      <c r="AE274">
        <v>0.19</v>
      </c>
      <c r="AF274">
        <v>257.60000000000002</v>
      </c>
      <c r="AG274">
        <v>45.6</v>
      </c>
      <c r="AH274">
        <v>303.2</v>
      </c>
      <c r="AI274">
        <v>396.6</v>
      </c>
      <c r="AJ274">
        <v>21.3</v>
      </c>
      <c r="AK274">
        <v>2.88</v>
      </c>
      <c r="AL274">
        <v>34.299999999999997</v>
      </c>
      <c r="AM274">
        <v>1635.1</v>
      </c>
      <c r="AN274">
        <v>0.18</v>
      </c>
      <c r="AO274">
        <v>398</v>
      </c>
      <c r="AP274">
        <v>80.2</v>
      </c>
      <c r="AQ274">
        <v>478.2</v>
      </c>
      <c r="AR274">
        <v>625</v>
      </c>
      <c r="AS274">
        <v>42.4</v>
      </c>
      <c r="AT274">
        <v>5.91</v>
      </c>
      <c r="AU274">
        <v>46.3</v>
      </c>
      <c r="AV274">
        <v>2288.1999999999998</v>
      </c>
      <c r="AW274">
        <v>0.3</v>
      </c>
      <c r="AX274">
        <v>627.70000000000005</v>
      </c>
      <c r="AY274">
        <v>110.5</v>
      </c>
      <c r="AZ274">
        <v>738.2</v>
      </c>
      <c r="BA274">
        <v>75461607.400000006</v>
      </c>
      <c r="BB274">
        <v>5939.6</v>
      </c>
      <c r="BC274">
        <v>839.6</v>
      </c>
      <c r="BD274">
        <v>5702420.2999999998</v>
      </c>
      <c r="BE274">
        <v>253648.6</v>
      </c>
      <c r="BF274">
        <v>54.8</v>
      </c>
      <c r="BG274">
        <v>75850400.799999997</v>
      </c>
      <c r="BH274">
        <v>12819113.699999999</v>
      </c>
      <c r="BI274">
        <v>88669514.5</v>
      </c>
      <c r="BJ274">
        <v>0</v>
      </c>
      <c r="BK274">
        <v>0</v>
      </c>
      <c r="BL274">
        <v>75461607.400000006</v>
      </c>
      <c r="BM274">
        <v>81164027.700000003</v>
      </c>
      <c r="BN274">
        <v>88669514.5</v>
      </c>
      <c r="BO274">
        <v>31.72</v>
      </c>
      <c r="BP274">
        <v>15.73</v>
      </c>
      <c r="BQ274">
        <v>0</v>
      </c>
      <c r="BR274">
        <v>47.44</v>
      </c>
      <c r="BS274">
        <v>33.83</v>
      </c>
      <c r="BT274">
        <v>17.829999999999998</v>
      </c>
      <c r="BU274">
        <v>0</v>
      </c>
      <c r="BV274">
        <v>51.66</v>
      </c>
      <c r="BW274">
        <v>292423520</v>
      </c>
      <c r="BX274">
        <v>49159400</v>
      </c>
      <c r="BY274">
        <v>94142320</v>
      </c>
      <c r="BZ274">
        <v>45520270</v>
      </c>
      <c r="CA274">
        <v>0</v>
      </c>
      <c r="CB274">
        <v>26620.2</v>
      </c>
      <c r="CC274">
        <v>76021600</v>
      </c>
      <c r="CD274">
        <v>0</v>
      </c>
      <c r="CE274">
        <v>108766.7</v>
      </c>
      <c r="CF274">
        <v>11959493</v>
      </c>
      <c r="CG274">
        <v>0</v>
      </c>
      <c r="CH274">
        <v>2011688.8</v>
      </c>
      <c r="CI274">
        <v>0</v>
      </c>
      <c r="CJ274">
        <v>0</v>
      </c>
      <c r="CK274">
        <v>0</v>
      </c>
      <c r="CL274">
        <v>0</v>
      </c>
      <c r="CM274">
        <v>43852460</v>
      </c>
      <c r="CN274">
        <v>5306940.5</v>
      </c>
      <c r="CO274">
        <v>1063988.8</v>
      </c>
      <c r="CP274">
        <v>12409378</v>
      </c>
      <c r="CQ274">
        <v>0</v>
      </c>
      <c r="CR274">
        <v>7623.6</v>
      </c>
      <c r="CS274">
        <v>0</v>
      </c>
      <c r="CT274">
        <v>293.5</v>
      </c>
      <c r="CU274">
        <v>10772.2</v>
      </c>
      <c r="CV274">
        <v>0</v>
      </c>
      <c r="CW274">
        <v>0</v>
      </c>
      <c r="CX274">
        <v>3754.9</v>
      </c>
      <c r="CY274">
        <v>22328.1</v>
      </c>
      <c r="CZ274">
        <v>0</v>
      </c>
      <c r="DA274">
        <v>8242.6</v>
      </c>
      <c r="DB274">
        <v>0</v>
      </c>
      <c r="DC274">
        <v>5428</v>
      </c>
      <c r="DD274">
        <v>11786.4</v>
      </c>
      <c r="DE274">
        <v>778.2</v>
      </c>
      <c r="DF274">
        <v>1863.4</v>
      </c>
      <c r="DG274">
        <v>21981.1</v>
      </c>
      <c r="DH274">
        <v>0</v>
      </c>
      <c r="DI274">
        <v>0</v>
      </c>
      <c r="DJ274">
        <v>0</v>
      </c>
      <c r="DK274">
        <v>55814.400000000001</v>
      </c>
      <c r="DL274">
        <v>18634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</row>
    <row r="275" spans="1:122" x14ac:dyDescent="0.3">
      <c r="A275" t="s">
        <v>174</v>
      </c>
      <c r="B275">
        <v>2050</v>
      </c>
      <c r="C275">
        <v>350293284.10000002</v>
      </c>
      <c r="D275">
        <v>323311393.10000002</v>
      </c>
      <c r="E275">
        <v>311686841.30000001</v>
      </c>
      <c r="F275">
        <v>0</v>
      </c>
      <c r="G275">
        <v>24829420</v>
      </c>
      <c r="H275">
        <v>256485661.5</v>
      </c>
      <c r="I275">
        <v>23714606</v>
      </c>
      <c r="J275">
        <v>1114814.8</v>
      </c>
      <c r="K275">
        <v>2152470.4</v>
      </c>
      <c r="L275">
        <v>3.5900000000000001E-2</v>
      </c>
      <c r="M275">
        <v>5.3999999999999999E-2</v>
      </c>
      <c r="N275">
        <v>0.15</v>
      </c>
      <c r="O275">
        <v>80756.490000000005</v>
      </c>
      <c r="P275">
        <v>73502.899999999994</v>
      </c>
      <c r="Q275">
        <v>204.1</v>
      </c>
      <c r="R275">
        <v>14.4</v>
      </c>
      <c r="S275">
        <v>2.0099999999999998</v>
      </c>
      <c r="T275">
        <v>17.5</v>
      </c>
      <c r="U275">
        <v>740.9</v>
      </c>
      <c r="V275">
        <v>0.16</v>
      </c>
      <c r="W275">
        <v>205</v>
      </c>
      <c r="X275">
        <v>38.299999999999997</v>
      </c>
      <c r="Y275">
        <v>243.3</v>
      </c>
      <c r="Z275">
        <v>211.6</v>
      </c>
      <c r="AA275">
        <v>14</v>
      </c>
      <c r="AB275">
        <v>1.94</v>
      </c>
      <c r="AC275">
        <v>19.2</v>
      </c>
      <c r="AD275">
        <v>798.6</v>
      </c>
      <c r="AE275">
        <v>0.17</v>
      </c>
      <c r="AF275">
        <v>212.5</v>
      </c>
      <c r="AG275">
        <v>41.6</v>
      </c>
      <c r="AH275">
        <v>254</v>
      </c>
      <c r="AI275">
        <v>356.4</v>
      </c>
      <c r="AJ275">
        <v>17.600000000000001</v>
      </c>
      <c r="AK275">
        <v>2.35</v>
      </c>
      <c r="AL275">
        <v>32.299999999999997</v>
      </c>
      <c r="AM275">
        <v>1519.7</v>
      </c>
      <c r="AN275">
        <v>0.16</v>
      </c>
      <c r="AO275">
        <v>357.6</v>
      </c>
      <c r="AP275">
        <v>74.900000000000006</v>
      </c>
      <c r="AQ275">
        <v>432.4</v>
      </c>
      <c r="AR275">
        <v>598.20000000000005</v>
      </c>
      <c r="AS275">
        <v>37.799999999999997</v>
      </c>
      <c r="AT275">
        <v>5.24</v>
      </c>
      <c r="AU275">
        <v>46.8</v>
      </c>
      <c r="AV275">
        <v>2278.5</v>
      </c>
      <c r="AW275">
        <v>0.28000000000000003</v>
      </c>
      <c r="AX275">
        <v>600.6</v>
      </c>
      <c r="AY275">
        <v>110.7</v>
      </c>
      <c r="AZ275">
        <v>711.3</v>
      </c>
      <c r="BA275">
        <v>61506957.799999997</v>
      </c>
      <c r="BB275">
        <v>4331.2</v>
      </c>
      <c r="BC275">
        <v>605.5</v>
      </c>
      <c r="BD275">
        <v>5274927.3</v>
      </c>
      <c r="BE275">
        <v>223340.6</v>
      </c>
      <c r="BF275">
        <v>47.9</v>
      </c>
      <c r="BG275">
        <v>61788694.5</v>
      </c>
      <c r="BH275">
        <v>11541162.4</v>
      </c>
      <c r="BI275">
        <v>73329856.900000006</v>
      </c>
      <c r="BJ275">
        <v>0</v>
      </c>
      <c r="BK275">
        <v>0</v>
      </c>
      <c r="BL275">
        <v>61506957.799999997</v>
      </c>
      <c r="BM275">
        <v>66781885.100000001</v>
      </c>
      <c r="BN275">
        <v>73329856.900000006</v>
      </c>
      <c r="BO275">
        <v>31.35</v>
      </c>
      <c r="BP275">
        <v>15.41</v>
      </c>
      <c r="BQ275">
        <v>0</v>
      </c>
      <c r="BR275">
        <v>46.76</v>
      </c>
      <c r="BS275">
        <v>33.57</v>
      </c>
      <c r="BT275">
        <v>17.89</v>
      </c>
      <c r="BU275">
        <v>0</v>
      </c>
      <c r="BV275">
        <v>51.46</v>
      </c>
      <c r="BW275">
        <v>304100800</v>
      </c>
      <c r="BX275">
        <v>66825736</v>
      </c>
      <c r="BY275">
        <v>94142320</v>
      </c>
      <c r="BZ275">
        <v>31912150</v>
      </c>
      <c r="CA275">
        <v>0</v>
      </c>
      <c r="CB275">
        <v>0</v>
      </c>
      <c r="CC275">
        <v>75963950</v>
      </c>
      <c r="CD275">
        <v>0</v>
      </c>
      <c r="CE275">
        <v>51000.800000000003</v>
      </c>
      <c r="CF275">
        <v>11975898</v>
      </c>
      <c r="CG275">
        <v>0</v>
      </c>
      <c r="CH275">
        <v>2011337</v>
      </c>
      <c r="CI275">
        <v>0</v>
      </c>
      <c r="CJ275">
        <v>445981.2</v>
      </c>
      <c r="CK275">
        <v>0</v>
      </c>
      <c r="CL275">
        <v>0</v>
      </c>
      <c r="CM275">
        <v>60390776</v>
      </c>
      <c r="CN275">
        <v>5988976</v>
      </c>
      <c r="CO275">
        <v>923087.3</v>
      </c>
      <c r="CP275">
        <v>20295330</v>
      </c>
      <c r="CQ275">
        <v>0</v>
      </c>
      <c r="CR275">
        <v>12861.4</v>
      </c>
      <c r="CS275">
        <v>0</v>
      </c>
      <c r="CT275">
        <v>293.5</v>
      </c>
      <c r="CU275">
        <v>7901.2</v>
      </c>
      <c r="CV275">
        <v>0</v>
      </c>
      <c r="CW275">
        <v>0</v>
      </c>
      <c r="CX275">
        <v>4251.3999999999996</v>
      </c>
      <c r="CY275">
        <v>22402.6</v>
      </c>
      <c r="CZ275">
        <v>0</v>
      </c>
      <c r="DA275">
        <v>5735.2</v>
      </c>
      <c r="DB275">
        <v>0</v>
      </c>
      <c r="DC275">
        <v>5428</v>
      </c>
      <c r="DD275">
        <v>11786.4</v>
      </c>
      <c r="DE275">
        <v>0</v>
      </c>
      <c r="DF275">
        <v>1863.4</v>
      </c>
      <c r="DG275">
        <v>29962.7</v>
      </c>
      <c r="DH275">
        <v>0</v>
      </c>
      <c r="DI275">
        <v>133.4</v>
      </c>
      <c r="DJ275">
        <v>0</v>
      </c>
      <c r="DK275">
        <v>97016.7</v>
      </c>
      <c r="DL275">
        <v>18634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</row>
    <row r="276" spans="1:122" x14ac:dyDescent="0.3">
      <c r="A276" t="s">
        <v>175</v>
      </c>
      <c r="B276">
        <v>2022</v>
      </c>
      <c r="C276">
        <v>199270719.80000001</v>
      </c>
      <c r="D276">
        <v>196377199.09999999</v>
      </c>
      <c r="E276">
        <v>189316066.59999999</v>
      </c>
      <c r="F276">
        <v>0</v>
      </c>
      <c r="G276">
        <v>1636465.5</v>
      </c>
      <c r="H276">
        <v>194863153.80000001</v>
      </c>
      <c r="I276">
        <v>6670.2</v>
      </c>
      <c r="J276">
        <v>1629795.4</v>
      </c>
      <c r="K276">
        <v>1257055.1000000001</v>
      </c>
      <c r="L276">
        <v>3.5900000000000001E-2</v>
      </c>
      <c r="M276">
        <v>5.3999999999999999E-2</v>
      </c>
      <c r="N276">
        <v>0.15</v>
      </c>
      <c r="O276">
        <v>40863.79</v>
      </c>
      <c r="P276">
        <v>41986.400000000001</v>
      </c>
      <c r="Q276">
        <v>646</v>
      </c>
      <c r="R276">
        <v>67</v>
      </c>
      <c r="S276">
        <v>9.68</v>
      </c>
      <c r="T276">
        <v>28.3</v>
      </c>
      <c r="U276">
        <v>1646.7</v>
      </c>
      <c r="V276">
        <v>0.35</v>
      </c>
      <c r="W276">
        <v>650.5</v>
      </c>
      <c r="X276">
        <v>74.5</v>
      </c>
      <c r="Y276">
        <v>724.9</v>
      </c>
      <c r="Z276">
        <v>674.4</v>
      </c>
      <c r="AA276">
        <v>70.400000000000006</v>
      </c>
      <c r="AB276">
        <v>10.18</v>
      </c>
      <c r="AC276">
        <v>29.1</v>
      </c>
      <c r="AD276">
        <v>1703.6</v>
      </c>
      <c r="AE276">
        <v>0.37</v>
      </c>
      <c r="AF276">
        <v>679.1</v>
      </c>
      <c r="AG276">
        <v>76.900000000000006</v>
      </c>
      <c r="AH276">
        <v>756</v>
      </c>
      <c r="AI276">
        <v>663.4</v>
      </c>
      <c r="AJ276">
        <v>50.8</v>
      </c>
      <c r="AK276">
        <v>7.23</v>
      </c>
      <c r="AL276">
        <v>44.6</v>
      </c>
      <c r="AM276">
        <v>2191.1999999999998</v>
      </c>
      <c r="AN276">
        <v>0.36</v>
      </c>
      <c r="AO276">
        <v>666.7</v>
      </c>
      <c r="AP276">
        <v>106</v>
      </c>
      <c r="AQ276">
        <v>772.7</v>
      </c>
      <c r="AR276">
        <v>800.6</v>
      </c>
      <c r="AS276">
        <v>66.599999999999994</v>
      </c>
      <c r="AT276">
        <v>9.58</v>
      </c>
      <c r="AU276">
        <v>49.2</v>
      </c>
      <c r="AV276">
        <v>2455.4</v>
      </c>
      <c r="AW276">
        <v>0.45</v>
      </c>
      <c r="AX276">
        <v>805</v>
      </c>
      <c r="AY276">
        <v>118</v>
      </c>
      <c r="AZ276">
        <v>923.1</v>
      </c>
      <c r="BA276">
        <v>124742298.2</v>
      </c>
      <c r="BB276">
        <v>12935.6</v>
      </c>
      <c r="BC276">
        <v>1868.8</v>
      </c>
      <c r="BD276">
        <v>5458056.0999999996</v>
      </c>
      <c r="BE276">
        <v>318014.40000000002</v>
      </c>
      <c r="BF276">
        <v>68.2</v>
      </c>
      <c r="BG276">
        <v>125599733.40000001</v>
      </c>
      <c r="BH276">
        <v>14380540.199999999</v>
      </c>
      <c r="BI276">
        <v>139980273.5</v>
      </c>
      <c r="BJ276">
        <v>0</v>
      </c>
      <c r="BK276">
        <v>0</v>
      </c>
      <c r="BL276">
        <v>124742298.2</v>
      </c>
      <c r="BM276">
        <v>130200354.40000001</v>
      </c>
      <c r="BN276">
        <v>139980273.5</v>
      </c>
      <c r="BO276">
        <v>36.22</v>
      </c>
      <c r="BP276">
        <v>8.27</v>
      </c>
      <c r="BQ276">
        <v>0</v>
      </c>
      <c r="BR276">
        <v>44.49</v>
      </c>
      <c r="BS276">
        <v>38.409999999999997</v>
      </c>
      <c r="BT276">
        <v>8.99</v>
      </c>
      <c r="BU276">
        <v>0</v>
      </c>
      <c r="BV276">
        <v>47.4</v>
      </c>
      <c r="BW276">
        <v>194226380</v>
      </c>
      <c r="BX276">
        <v>1514045.2</v>
      </c>
      <c r="BY276">
        <v>36124468</v>
      </c>
      <c r="BZ276">
        <v>102914456</v>
      </c>
      <c r="CA276">
        <v>0</v>
      </c>
      <c r="CB276">
        <v>1916.4</v>
      </c>
      <c r="CC276">
        <v>39918076</v>
      </c>
      <c r="CD276">
        <v>0</v>
      </c>
      <c r="CE276">
        <v>586296.69999999995</v>
      </c>
      <c r="CF276">
        <v>11741632</v>
      </c>
      <c r="CG276">
        <v>0</v>
      </c>
      <c r="CH276">
        <v>111681.2</v>
      </c>
      <c r="CI276">
        <v>0</v>
      </c>
      <c r="CJ276">
        <v>59617.5</v>
      </c>
      <c r="CK276">
        <v>0</v>
      </c>
      <c r="CL276">
        <v>0</v>
      </c>
      <c r="CM276">
        <v>1257505</v>
      </c>
      <c r="CN276">
        <v>196922.8</v>
      </c>
      <c r="CO276">
        <v>1308127.6000000001</v>
      </c>
      <c r="CP276">
        <v>5677.7</v>
      </c>
      <c r="CQ276">
        <v>0</v>
      </c>
      <c r="CR276">
        <v>8</v>
      </c>
      <c r="CS276">
        <v>0</v>
      </c>
      <c r="CT276">
        <v>24.4</v>
      </c>
      <c r="CU276">
        <v>16280.8</v>
      </c>
      <c r="CV276">
        <v>0</v>
      </c>
      <c r="CW276">
        <v>0</v>
      </c>
      <c r="CX276">
        <v>134.69999999999999</v>
      </c>
      <c r="CY276">
        <v>8067.3</v>
      </c>
      <c r="CZ276">
        <v>0</v>
      </c>
      <c r="DA276">
        <v>8118.8</v>
      </c>
      <c r="DB276">
        <v>0</v>
      </c>
      <c r="DC276">
        <v>3563</v>
      </c>
      <c r="DD276">
        <v>4522.7</v>
      </c>
      <c r="DE276">
        <v>69</v>
      </c>
      <c r="DF276">
        <v>1616.3</v>
      </c>
      <c r="DG276">
        <v>582.4</v>
      </c>
      <c r="DH276">
        <v>0</v>
      </c>
      <c r="DI276">
        <v>29.1</v>
      </c>
      <c r="DJ276">
        <v>0</v>
      </c>
      <c r="DK276">
        <v>16</v>
      </c>
      <c r="DL276">
        <v>16163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</row>
    <row r="277" spans="1:122" x14ac:dyDescent="0.3">
      <c r="A277" t="s">
        <v>175</v>
      </c>
      <c r="B277">
        <v>2024</v>
      </c>
      <c r="C277">
        <v>206160648.30000001</v>
      </c>
      <c r="D277">
        <v>203018899.5</v>
      </c>
      <c r="E277">
        <v>195718951.5</v>
      </c>
      <c r="F277">
        <v>0</v>
      </c>
      <c r="G277">
        <v>1817192.8</v>
      </c>
      <c r="H277">
        <v>201485037.40000001</v>
      </c>
      <c r="I277">
        <v>6926.4</v>
      </c>
      <c r="J277">
        <v>1810266.6</v>
      </c>
      <c r="K277">
        <v>1324555.8999999999</v>
      </c>
      <c r="L277">
        <v>3.5900000000000001E-2</v>
      </c>
      <c r="M277">
        <v>5.3999999999999999E-2</v>
      </c>
      <c r="N277">
        <v>0.15</v>
      </c>
      <c r="O277">
        <v>40863.79</v>
      </c>
      <c r="P277">
        <v>43407</v>
      </c>
      <c r="Q277">
        <v>577.70000000000005</v>
      </c>
      <c r="R277">
        <v>57.1</v>
      </c>
      <c r="S277">
        <v>8.23</v>
      </c>
      <c r="T277">
        <v>28.2</v>
      </c>
      <c r="U277">
        <v>1562</v>
      </c>
      <c r="V277">
        <v>0.32</v>
      </c>
      <c r="W277">
        <v>581.5</v>
      </c>
      <c r="X277">
        <v>72</v>
      </c>
      <c r="Y277">
        <v>653.5</v>
      </c>
      <c r="Z277">
        <v>580.6</v>
      </c>
      <c r="AA277">
        <v>57.2</v>
      </c>
      <c r="AB277">
        <v>8.24</v>
      </c>
      <c r="AC277">
        <v>28.7</v>
      </c>
      <c r="AD277">
        <v>1571.3</v>
      </c>
      <c r="AE277">
        <v>0.33</v>
      </c>
      <c r="AF277">
        <v>584.4</v>
      </c>
      <c r="AG277">
        <v>72.8</v>
      </c>
      <c r="AH277">
        <v>657.1</v>
      </c>
      <c r="AI277">
        <v>568.5</v>
      </c>
      <c r="AJ277">
        <v>36.9</v>
      </c>
      <c r="AK277">
        <v>5.16</v>
      </c>
      <c r="AL277">
        <v>44.1</v>
      </c>
      <c r="AM277">
        <v>2098.9</v>
      </c>
      <c r="AN277">
        <v>0.3</v>
      </c>
      <c r="AO277">
        <v>570.9</v>
      </c>
      <c r="AP277">
        <v>102.9</v>
      </c>
      <c r="AQ277">
        <v>673.8</v>
      </c>
      <c r="AR277">
        <v>834.7</v>
      </c>
      <c r="AS277">
        <v>68.599999999999994</v>
      </c>
      <c r="AT277">
        <v>9.8699999999999992</v>
      </c>
      <c r="AU277">
        <v>52.2</v>
      </c>
      <c r="AV277">
        <v>2572.5</v>
      </c>
      <c r="AW277">
        <v>0.48</v>
      </c>
      <c r="AX277">
        <v>839.2</v>
      </c>
      <c r="AY277">
        <v>124.3</v>
      </c>
      <c r="AZ277">
        <v>963.5</v>
      </c>
      <c r="BA277">
        <v>100601488.90000001</v>
      </c>
      <c r="BB277">
        <v>9943.6</v>
      </c>
      <c r="BC277">
        <v>1431.8</v>
      </c>
      <c r="BD277">
        <v>4905494.8</v>
      </c>
      <c r="BE277">
        <v>272074.59999999998</v>
      </c>
      <c r="BF277">
        <v>56.1</v>
      </c>
      <c r="BG277">
        <v>101259327.7</v>
      </c>
      <c r="BH277">
        <v>12538452.800000001</v>
      </c>
      <c r="BI277">
        <v>113797780.59999999</v>
      </c>
      <c r="BJ277">
        <v>0</v>
      </c>
      <c r="BK277">
        <v>0</v>
      </c>
      <c r="BL277">
        <v>100601488.90000001</v>
      </c>
      <c r="BM277">
        <v>105506983.8</v>
      </c>
      <c r="BN277">
        <v>113797780.59999999</v>
      </c>
      <c r="BO277">
        <v>34.47</v>
      </c>
      <c r="BP277">
        <v>8.27</v>
      </c>
      <c r="BQ277">
        <v>0</v>
      </c>
      <c r="BR277">
        <v>42.74</v>
      </c>
      <c r="BS277">
        <v>36.56</v>
      </c>
      <c r="BT277">
        <v>8.99</v>
      </c>
      <c r="BU277">
        <v>0</v>
      </c>
      <c r="BV277">
        <v>45.55</v>
      </c>
      <c r="BW277">
        <v>175187440</v>
      </c>
      <c r="BX277">
        <v>1533862.1</v>
      </c>
      <c r="BY277">
        <v>36124468</v>
      </c>
      <c r="BZ277">
        <v>78731520</v>
      </c>
      <c r="CA277">
        <v>0</v>
      </c>
      <c r="CB277">
        <v>6436.3</v>
      </c>
      <c r="CC277">
        <v>44190670</v>
      </c>
      <c r="CD277">
        <v>0</v>
      </c>
      <c r="CE277">
        <v>1270110.5</v>
      </c>
      <c r="CF277">
        <v>11732776</v>
      </c>
      <c r="CG277">
        <v>0</v>
      </c>
      <c r="CH277">
        <v>111681.2</v>
      </c>
      <c r="CI277">
        <v>0</v>
      </c>
      <c r="CJ277">
        <v>59296.1</v>
      </c>
      <c r="CK277">
        <v>0</v>
      </c>
      <c r="CL277">
        <v>0</v>
      </c>
      <c r="CM277">
        <v>1239961.2</v>
      </c>
      <c r="CN277">
        <v>234604.79999999999</v>
      </c>
      <c r="CO277">
        <v>1479997.5</v>
      </c>
      <c r="CP277">
        <v>5913</v>
      </c>
      <c r="CQ277">
        <v>0</v>
      </c>
      <c r="CR277">
        <v>8</v>
      </c>
      <c r="CS277">
        <v>0</v>
      </c>
      <c r="CT277">
        <v>24.4</v>
      </c>
      <c r="CU277">
        <v>13444.8</v>
      </c>
      <c r="CV277">
        <v>0</v>
      </c>
      <c r="CW277">
        <v>0</v>
      </c>
      <c r="CX277">
        <v>161.30000000000001</v>
      </c>
      <c r="CY277">
        <v>8067.3</v>
      </c>
      <c r="CZ277">
        <v>0</v>
      </c>
      <c r="DA277">
        <v>8199.6</v>
      </c>
      <c r="DB277">
        <v>0</v>
      </c>
      <c r="DC277">
        <v>3563</v>
      </c>
      <c r="DD277">
        <v>4522.7</v>
      </c>
      <c r="DE277">
        <v>61.2</v>
      </c>
      <c r="DF277">
        <v>1616.3</v>
      </c>
      <c r="DG277">
        <v>582.4</v>
      </c>
      <c r="DH277">
        <v>0</v>
      </c>
      <c r="DI277">
        <v>29.1</v>
      </c>
      <c r="DJ277">
        <v>0</v>
      </c>
      <c r="DK277">
        <v>16</v>
      </c>
      <c r="DL277">
        <v>16163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</row>
    <row r="278" spans="1:122" x14ac:dyDescent="0.3">
      <c r="A278" t="s">
        <v>175</v>
      </c>
      <c r="B278">
        <v>2026</v>
      </c>
      <c r="C278">
        <v>210594791.09999999</v>
      </c>
      <c r="D278">
        <v>207255112.30000001</v>
      </c>
      <c r="E278">
        <v>199802842.80000001</v>
      </c>
      <c r="F278">
        <v>0</v>
      </c>
      <c r="G278">
        <v>1887171.2</v>
      </c>
      <c r="H278">
        <v>205672225.19999999</v>
      </c>
      <c r="I278">
        <v>7374.7</v>
      </c>
      <c r="J278">
        <v>1879796.4</v>
      </c>
      <c r="K278">
        <v>1452507.7</v>
      </c>
      <c r="L278">
        <v>3.5900000000000001E-2</v>
      </c>
      <c r="M278">
        <v>5.3999999999999999E-2</v>
      </c>
      <c r="N278">
        <v>0.15</v>
      </c>
      <c r="O278">
        <v>44326.31</v>
      </c>
      <c r="P278">
        <v>44314.2</v>
      </c>
      <c r="Q278">
        <v>582.70000000000005</v>
      </c>
      <c r="R278">
        <v>58</v>
      </c>
      <c r="S278">
        <v>8.35</v>
      </c>
      <c r="T278">
        <v>28.1</v>
      </c>
      <c r="U278">
        <v>1564.4</v>
      </c>
      <c r="V278">
        <v>0.32</v>
      </c>
      <c r="W278">
        <v>586.5</v>
      </c>
      <c r="X278">
        <v>71.900000000000006</v>
      </c>
      <c r="Y278">
        <v>658.5</v>
      </c>
      <c r="Z278">
        <v>578</v>
      </c>
      <c r="AA278">
        <v>57.2</v>
      </c>
      <c r="AB278">
        <v>8.24</v>
      </c>
      <c r="AC278">
        <v>28.3</v>
      </c>
      <c r="AD278">
        <v>1556.8</v>
      </c>
      <c r="AE278">
        <v>0.33</v>
      </c>
      <c r="AF278">
        <v>581.79999999999995</v>
      </c>
      <c r="AG278">
        <v>72</v>
      </c>
      <c r="AH278">
        <v>653.79999999999995</v>
      </c>
      <c r="AI278">
        <v>433.9</v>
      </c>
      <c r="AJ278">
        <v>19.5</v>
      </c>
      <c r="AK278">
        <v>2.57</v>
      </c>
      <c r="AL278">
        <v>41.1</v>
      </c>
      <c r="AM278">
        <v>1905.3</v>
      </c>
      <c r="AN278">
        <v>0.2</v>
      </c>
      <c r="AO278">
        <v>435.1</v>
      </c>
      <c r="AP278">
        <v>94.5</v>
      </c>
      <c r="AQ278">
        <v>529.6</v>
      </c>
      <c r="AR278">
        <v>827.3</v>
      </c>
      <c r="AS278">
        <v>67.400000000000006</v>
      </c>
      <c r="AT278">
        <v>9.66</v>
      </c>
      <c r="AU278">
        <v>52.1</v>
      </c>
      <c r="AV278">
        <v>2588.1999999999998</v>
      </c>
      <c r="AW278">
        <v>0.46</v>
      </c>
      <c r="AX278">
        <v>831.8</v>
      </c>
      <c r="AY278">
        <v>124.7</v>
      </c>
      <c r="AZ278">
        <v>956.4</v>
      </c>
      <c r="BA278">
        <v>102650507.8</v>
      </c>
      <c r="BB278">
        <v>10206.9</v>
      </c>
      <c r="BC278">
        <v>1470.3</v>
      </c>
      <c r="BD278">
        <v>4945209</v>
      </c>
      <c r="BE278">
        <v>275680.7</v>
      </c>
      <c r="BF278">
        <v>57.2</v>
      </c>
      <c r="BG278">
        <v>103325934.09999999</v>
      </c>
      <c r="BH278">
        <v>12679419.9</v>
      </c>
      <c r="BI278">
        <v>116005354.09999999</v>
      </c>
      <c r="BJ278">
        <v>0</v>
      </c>
      <c r="BK278">
        <v>0</v>
      </c>
      <c r="BL278">
        <v>102650507.8</v>
      </c>
      <c r="BM278">
        <v>107595716.8</v>
      </c>
      <c r="BN278">
        <v>116005354.09999999</v>
      </c>
      <c r="BO278">
        <v>34.75</v>
      </c>
      <c r="BP278">
        <v>8.9700000000000006</v>
      </c>
      <c r="BQ278">
        <v>0</v>
      </c>
      <c r="BR278">
        <v>43.72</v>
      </c>
      <c r="BS278">
        <v>36.869999999999997</v>
      </c>
      <c r="BT278">
        <v>9.75</v>
      </c>
      <c r="BU278">
        <v>0</v>
      </c>
      <c r="BV278">
        <v>46.62</v>
      </c>
      <c r="BW278">
        <v>177230340</v>
      </c>
      <c r="BX278">
        <v>1582887.1</v>
      </c>
      <c r="BY278">
        <v>36124468</v>
      </c>
      <c r="BZ278">
        <v>80901310</v>
      </c>
      <c r="CA278">
        <v>0</v>
      </c>
      <c r="CB278">
        <v>5870.3</v>
      </c>
      <c r="CC278">
        <v>43480740</v>
      </c>
      <c r="CD278">
        <v>0</v>
      </c>
      <c r="CE278">
        <v>1350799.5</v>
      </c>
      <c r="CF278">
        <v>12149507</v>
      </c>
      <c r="CG278">
        <v>0</v>
      </c>
      <c r="CH278">
        <v>111681.2</v>
      </c>
      <c r="CI278">
        <v>0</v>
      </c>
      <c r="CJ278">
        <v>58976.3</v>
      </c>
      <c r="CK278">
        <v>0</v>
      </c>
      <c r="CL278">
        <v>0</v>
      </c>
      <c r="CM278">
        <v>1222663.1000000001</v>
      </c>
      <c r="CN278">
        <v>301247.7</v>
      </c>
      <c r="CO278">
        <v>1516784.4</v>
      </c>
      <c r="CP278">
        <v>6284.3</v>
      </c>
      <c r="CQ278">
        <v>0</v>
      </c>
      <c r="CR278">
        <v>8</v>
      </c>
      <c r="CS278">
        <v>0</v>
      </c>
      <c r="CT278">
        <v>24.4</v>
      </c>
      <c r="CU278">
        <v>13444.8</v>
      </c>
      <c r="CV278">
        <v>0</v>
      </c>
      <c r="CW278">
        <v>0</v>
      </c>
      <c r="CX278">
        <v>207.5</v>
      </c>
      <c r="CY278">
        <v>8067.3</v>
      </c>
      <c r="CZ278">
        <v>0</v>
      </c>
      <c r="DA278">
        <v>7069.4</v>
      </c>
      <c r="DB278">
        <v>0</v>
      </c>
      <c r="DC278">
        <v>3677</v>
      </c>
      <c r="DD278">
        <v>4522.7</v>
      </c>
      <c r="DE278">
        <v>61.2</v>
      </c>
      <c r="DF278">
        <v>1616.3</v>
      </c>
      <c r="DG278">
        <v>582.4</v>
      </c>
      <c r="DH278">
        <v>0</v>
      </c>
      <c r="DI278">
        <v>29.1</v>
      </c>
      <c r="DJ278">
        <v>0</v>
      </c>
      <c r="DK278">
        <v>16</v>
      </c>
      <c r="DL278">
        <v>16163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</row>
    <row r="279" spans="1:122" x14ac:dyDescent="0.3">
      <c r="A279" t="s">
        <v>175</v>
      </c>
      <c r="B279">
        <v>2028</v>
      </c>
      <c r="C279">
        <v>212763695.5</v>
      </c>
      <c r="D279">
        <v>209319999.90000001</v>
      </c>
      <c r="E279">
        <v>201793483.30000001</v>
      </c>
      <c r="F279">
        <v>0</v>
      </c>
      <c r="G279">
        <v>1957086</v>
      </c>
      <c r="H279">
        <v>207642127.69999999</v>
      </c>
      <c r="I279">
        <v>28467</v>
      </c>
      <c r="J279">
        <v>1928619.2</v>
      </c>
      <c r="K279">
        <v>1486609.6</v>
      </c>
      <c r="L279">
        <v>3.5900000000000001E-2</v>
      </c>
      <c r="M279">
        <v>5.3999999999999999E-2</v>
      </c>
      <c r="N279">
        <v>0.15</v>
      </c>
      <c r="O279">
        <v>49034.86</v>
      </c>
      <c r="P279">
        <v>44756.9</v>
      </c>
      <c r="Q279">
        <v>594.20000000000005</v>
      </c>
      <c r="R279">
        <v>59.7</v>
      </c>
      <c r="S279">
        <v>8.61</v>
      </c>
      <c r="T279">
        <v>28</v>
      </c>
      <c r="U279">
        <v>1576.4</v>
      </c>
      <c r="V279">
        <v>0.33</v>
      </c>
      <c r="W279">
        <v>598.20000000000005</v>
      </c>
      <c r="X279">
        <v>72.2</v>
      </c>
      <c r="Y279">
        <v>670.4</v>
      </c>
      <c r="Z279">
        <v>585.5</v>
      </c>
      <c r="AA279">
        <v>58.8</v>
      </c>
      <c r="AB279">
        <v>8.48</v>
      </c>
      <c r="AC279">
        <v>27.8</v>
      </c>
      <c r="AD279">
        <v>1551.1</v>
      </c>
      <c r="AE279">
        <v>0.33</v>
      </c>
      <c r="AF279">
        <v>589.4</v>
      </c>
      <c r="AG279">
        <v>71.3</v>
      </c>
      <c r="AH279">
        <v>660.7</v>
      </c>
      <c r="AI279">
        <v>322.2</v>
      </c>
      <c r="AJ279">
        <v>9.4</v>
      </c>
      <c r="AK279">
        <v>1.1299999999999999</v>
      </c>
      <c r="AL279">
        <v>35.200000000000003</v>
      </c>
      <c r="AM279">
        <v>1572.7</v>
      </c>
      <c r="AN279">
        <v>0.15</v>
      </c>
      <c r="AO279">
        <v>322.8</v>
      </c>
      <c r="AP279">
        <v>79.2</v>
      </c>
      <c r="AQ279">
        <v>402</v>
      </c>
      <c r="AR279">
        <v>804.6</v>
      </c>
      <c r="AS279">
        <v>64.599999999999994</v>
      </c>
      <c r="AT279">
        <v>9.25</v>
      </c>
      <c r="AU279">
        <v>51.3</v>
      </c>
      <c r="AV279">
        <v>2556.1999999999998</v>
      </c>
      <c r="AW279">
        <v>0.44</v>
      </c>
      <c r="AX279">
        <v>808.8</v>
      </c>
      <c r="AY279">
        <v>123</v>
      </c>
      <c r="AZ279">
        <v>931.8</v>
      </c>
      <c r="BA279">
        <v>106458249</v>
      </c>
      <c r="BB279">
        <v>10693</v>
      </c>
      <c r="BC279">
        <v>1541.4</v>
      </c>
      <c r="BD279">
        <v>5019610.5999999996</v>
      </c>
      <c r="BE279">
        <v>282478.90000000002</v>
      </c>
      <c r="BF279">
        <v>59.1</v>
      </c>
      <c r="BG279">
        <v>107166132.40000001</v>
      </c>
      <c r="BH279">
        <v>12944679.699999999</v>
      </c>
      <c r="BI279">
        <v>120110812.09999999</v>
      </c>
      <c r="BJ279">
        <v>0</v>
      </c>
      <c r="BK279">
        <v>0</v>
      </c>
      <c r="BL279">
        <v>106458249</v>
      </c>
      <c r="BM279">
        <v>111477859.59999999</v>
      </c>
      <c r="BN279">
        <v>120110812.09999999</v>
      </c>
      <c r="BO279">
        <v>35.58</v>
      </c>
      <c r="BP279">
        <v>9.92</v>
      </c>
      <c r="BQ279">
        <v>0</v>
      </c>
      <c r="BR279">
        <v>45.5</v>
      </c>
      <c r="BS279">
        <v>37.76</v>
      </c>
      <c r="BT279">
        <v>10.78</v>
      </c>
      <c r="BU279">
        <v>0</v>
      </c>
      <c r="BV279">
        <v>48.54</v>
      </c>
      <c r="BW279">
        <v>180199420</v>
      </c>
      <c r="BX279">
        <v>1677872.2</v>
      </c>
      <c r="BY279">
        <v>36124468</v>
      </c>
      <c r="BZ279">
        <v>84828380</v>
      </c>
      <c r="CA279">
        <v>0</v>
      </c>
      <c r="CB279">
        <v>5273.2</v>
      </c>
      <c r="CC279">
        <v>42398636</v>
      </c>
      <c r="CD279">
        <v>0</v>
      </c>
      <c r="CE279">
        <v>1308468.5</v>
      </c>
      <c r="CF279">
        <v>12142486</v>
      </c>
      <c r="CG279">
        <v>0</v>
      </c>
      <c r="CH279">
        <v>111681.2</v>
      </c>
      <c r="CI279">
        <v>0</v>
      </c>
      <c r="CJ279">
        <v>58658.3</v>
      </c>
      <c r="CK279">
        <v>0</v>
      </c>
      <c r="CL279">
        <v>0</v>
      </c>
      <c r="CM279">
        <v>1205605.2</v>
      </c>
      <c r="CN279">
        <v>413608.7</v>
      </c>
      <c r="CO279">
        <v>1577849.4</v>
      </c>
      <c r="CP279">
        <v>24309.7</v>
      </c>
      <c r="CQ279">
        <v>0</v>
      </c>
      <c r="CR279">
        <v>20.7</v>
      </c>
      <c r="CS279">
        <v>0</v>
      </c>
      <c r="CT279">
        <v>24.4</v>
      </c>
      <c r="CU279">
        <v>13444.8</v>
      </c>
      <c r="CV279">
        <v>0</v>
      </c>
      <c r="CW279">
        <v>0</v>
      </c>
      <c r="CX279">
        <v>284.39999999999998</v>
      </c>
      <c r="CY279">
        <v>8067.3</v>
      </c>
      <c r="CZ279">
        <v>0</v>
      </c>
      <c r="DA279">
        <v>7069.4</v>
      </c>
      <c r="DB279">
        <v>0</v>
      </c>
      <c r="DC279">
        <v>3677</v>
      </c>
      <c r="DD279">
        <v>4522.7</v>
      </c>
      <c r="DE279">
        <v>61.2</v>
      </c>
      <c r="DF279">
        <v>1616.3</v>
      </c>
      <c r="DG279">
        <v>582.4</v>
      </c>
      <c r="DH279">
        <v>0</v>
      </c>
      <c r="DI279">
        <v>29.1</v>
      </c>
      <c r="DJ279">
        <v>0</v>
      </c>
      <c r="DK279">
        <v>66.8</v>
      </c>
      <c r="DL279">
        <v>16163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</row>
    <row r="280" spans="1:122" x14ac:dyDescent="0.3">
      <c r="A280" t="s">
        <v>175</v>
      </c>
      <c r="B280">
        <v>2030</v>
      </c>
      <c r="C280">
        <v>217957460.19999999</v>
      </c>
      <c r="D280">
        <v>211448750.30000001</v>
      </c>
      <c r="E280">
        <v>203845690.19999999</v>
      </c>
      <c r="F280">
        <v>0</v>
      </c>
      <c r="G280">
        <v>4956717.5</v>
      </c>
      <c r="H280">
        <v>187962241.90000001</v>
      </c>
      <c r="I280">
        <v>770588.8</v>
      </c>
      <c r="J280">
        <v>4186128.5</v>
      </c>
      <c r="K280">
        <v>1551992.6</v>
      </c>
      <c r="L280">
        <v>3.5900000000000001E-2</v>
      </c>
      <c r="M280">
        <v>5.3999999999999999E-2</v>
      </c>
      <c r="N280">
        <v>0.15</v>
      </c>
      <c r="O280">
        <v>58870.22</v>
      </c>
      <c r="P280">
        <v>45209.7</v>
      </c>
      <c r="Q280">
        <v>491.1</v>
      </c>
      <c r="R280">
        <v>48.3</v>
      </c>
      <c r="S280">
        <v>6.95</v>
      </c>
      <c r="T280">
        <v>24.3</v>
      </c>
      <c r="U280">
        <v>1337.2</v>
      </c>
      <c r="V280">
        <v>0.28000000000000003</v>
      </c>
      <c r="W280">
        <v>494.3</v>
      </c>
      <c r="X280">
        <v>61.8</v>
      </c>
      <c r="Y280">
        <v>556.20000000000005</v>
      </c>
      <c r="Z280">
        <v>510.2</v>
      </c>
      <c r="AA280">
        <v>50.7</v>
      </c>
      <c r="AB280">
        <v>7.3</v>
      </c>
      <c r="AC280">
        <v>24.8</v>
      </c>
      <c r="AD280">
        <v>1371.1</v>
      </c>
      <c r="AE280">
        <v>0.28999999999999998</v>
      </c>
      <c r="AF280">
        <v>513.5</v>
      </c>
      <c r="AG280">
        <v>63.3</v>
      </c>
      <c r="AH280">
        <v>576.9</v>
      </c>
      <c r="AI280">
        <v>324.8</v>
      </c>
      <c r="AJ280">
        <v>8.9</v>
      </c>
      <c r="AK280">
        <v>1.05</v>
      </c>
      <c r="AL280">
        <v>35.9</v>
      </c>
      <c r="AM280">
        <v>1605.1</v>
      </c>
      <c r="AN280">
        <v>0.15</v>
      </c>
      <c r="AO280">
        <v>325.3</v>
      </c>
      <c r="AP280">
        <v>80.900000000000006</v>
      </c>
      <c r="AQ280">
        <v>406.2</v>
      </c>
      <c r="AR280">
        <v>794.9</v>
      </c>
      <c r="AS280">
        <v>64.400000000000006</v>
      </c>
      <c r="AT280">
        <v>9.25</v>
      </c>
      <c r="AU280">
        <v>50.5</v>
      </c>
      <c r="AV280">
        <v>2482.4</v>
      </c>
      <c r="AW280">
        <v>0.45</v>
      </c>
      <c r="AX280">
        <v>799.1</v>
      </c>
      <c r="AY280">
        <v>120.1</v>
      </c>
      <c r="AZ280">
        <v>919.2</v>
      </c>
      <c r="BA280">
        <v>94650500.599999994</v>
      </c>
      <c r="BB280">
        <v>9301.6</v>
      </c>
      <c r="BC280">
        <v>1338.8</v>
      </c>
      <c r="BD280">
        <v>4684997.9000000004</v>
      </c>
      <c r="BE280">
        <v>257746.9</v>
      </c>
      <c r="BF280">
        <v>53.2</v>
      </c>
      <c r="BG280">
        <v>95265714.200000003</v>
      </c>
      <c r="BH280">
        <v>11916015.800000001</v>
      </c>
      <c r="BI280">
        <v>107181730</v>
      </c>
      <c r="BJ280">
        <v>0</v>
      </c>
      <c r="BK280">
        <v>0</v>
      </c>
      <c r="BL280">
        <v>94650500.599999994</v>
      </c>
      <c r="BM280">
        <v>99335498.5</v>
      </c>
      <c r="BN280">
        <v>107181730</v>
      </c>
      <c r="BO280">
        <v>34.11</v>
      </c>
      <c r="BP280">
        <v>10.83</v>
      </c>
      <c r="BQ280">
        <v>0</v>
      </c>
      <c r="BR280">
        <v>44.95</v>
      </c>
      <c r="BS280">
        <v>36.28</v>
      </c>
      <c r="BT280">
        <v>11.9</v>
      </c>
      <c r="BU280">
        <v>0</v>
      </c>
      <c r="BV280">
        <v>48.18</v>
      </c>
      <c r="BW280">
        <v>193874400</v>
      </c>
      <c r="BX280">
        <v>23486508</v>
      </c>
      <c r="BY280">
        <v>36124468</v>
      </c>
      <c r="BZ280">
        <v>73200100</v>
      </c>
      <c r="CA280">
        <v>0</v>
      </c>
      <c r="CB280">
        <v>1922.1</v>
      </c>
      <c r="CC280">
        <v>43717904</v>
      </c>
      <c r="CD280">
        <v>0</v>
      </c>
      <c r="CE280">
        <v>1051924.6000000001</v>
      </c>
      <c r="CF280">
        <v>12146211</v>
      </c>
      <c r="CG280">
        <v>0</v>
      </c>
      <c r="CH280">
        <v>111625.60000000001</v>
      </c>
      <c r="CI280">
        <v>0</v>
      </c>
      <c r="CJ280">
        <v>58341.9</v>
      </c>
      <c r="CK280">
        <v>0</v>
      </c>
      <c r="CL280">
        <v>0</v>
      </c>
      <c r="CM280">
        <v>22800252</v>
      </c>
      <c r="CN280">
        <v>627914.1</v>
      </c>
      <c r="CO280">
        <v>3375236.5</v>
      </c>
      <c r="CP280">
        <v>658497.19999999995</v>
      </c>
      <c r="CQ280">
        <v>0</v>
      </c>
      <c r="CR280">
        <v>318.8</v>
      </c>
      <c r="CS280">
        <v>0</v>
      </c>
      <c r="CT280">
        <v>24.4</v>
      </c>
      <c r="CU280">
        <v>11899.3</v>
      </c>
      <c r="CV280">
        <v>0</v>
      </c>
      <c r="CW280">
        <v>0</v>
      </c>
      <c r="CX280">
        <v>429.8</v>
      </c>
      <c r="CY280">
        <v>8600.2000000000007</v>
      </c>
      <c r="CZ280">
        <v>0</v>
      </c>
      <c r="DA280">
        <v>6748.4</v>
      </c>
      <c r="DB280">
        <v>0</v>
      </c>
      <c r="DC280">
        <v>3677</v>
      </c>
      <c r="DD280">
        <v>4522.7</v>
      </c>
      <c r="DE280">
        <v>61.2</v>
      </c>
      <c r="DF280">
        <v>3363.6</v>
      </c>
      <c r="DG280">
        <v>9166.6</v>
      </c>
      <c r="DH280">
        <v>0</v>
      </c>
      <c r="DI280">
        <v>29.1</v>
      </c>
      <c r="DJ280">
        <v>0</v>
      </c>
      <c r="DK280">
        <v>2451.6</v>
      </c>
      <c r="DL280">
        <v>33635.599999999999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</row>
    <row r="281" spans="1:122" x14ac:dyDescent="0.3">
      <c r="A281" t="s">
        <v>175</v>
      </c>
      <c r="B281">
        <v>2032</v>
      </c>
      <c r="C281">
        <v>224419676</v>
      </c>
      <c r="D281">
        <v>213960675.30000001</v>
      </c>
      <c r="E281">
        <v>206267294</v>
      </c>
      <c r="F281">
        <v>0</v>
      </c>
      <c r="G281">
        <v>8877710</v>
      </c>
      <c r="H281">
        <v>190550270.5</v>
      </c>
      <c r="I281">
        <v>5294885.5</v>
      </c>
      <c r="J281">
        <v>3582824.5</v>
      </c>
      <c r="K281">
        <v>1581290.3</v>
      </c>
      <c r="L281">
        <v>3.5900000000000001E-2</v>
      </c>
      <c r="M281">
        <v>5.3999999999999999E-2</v>
      </c>
      <c r="N281">
        <v>0.15</v>
      </c>
      <c r="O281">
        <v>68632.44</v>
      </c>
      <c r="P281">
        <v>45746</v>
      </c>
      <c r="Q281">
        <v>467.7</v>
      </c>
      <c r="R281">
        <v>44.7</v>
      </c>
      <c r="S281">
        <v>6.41</v>
      </c>
      <c r="T281">
        <v>24.3</v>
      </c>
      <c r="U281">
        <v>1314.8</v>
      </c>
      <c r="V281">
        <v>0.26</v>
      </c>
      <c r="W281">
        <v>470.6</v>
      </c>
      <c r="X281">
        <v>61.2</v>
      </c>
      <c r="Y281">
        <v>531.79999999999995</v>
      </c>
      <c r="Z281">
        <v>495.6</v>
      </c>
      <c r="AA281">
        <v>48</v>
      </c>
      <c r="AB281">
        <v>6.9</v>
      </c>
      <c r="AC281">
        <v>25.2</v>
      </c>
      <c r="AD281">
        <v>1371.2</v>
      </c>
      <c r="AE281">
        <v>0.28000000000000003</v>
      </c>
      <c r="AF281">
        <v>498.8</v>
      </c>
      <c r="AG281">
        <v>63.7</v>
      </c>
      <c r="AH281">
        <v>562.5</v>
      </c>
      <c r="AI281">
        <v>318.10000000000002</v>
      </c>
      <c r="AJ281">
        <v>7.3</v>
      </c>
      <c r="AK281">
        <v>0.81</v>
      </c>
      <c r="AL281">
        <v>36.4</v>
      </c>
      <c r="AM281">
        <v>1618</v>
      </c>
      <c r="AN281">
        <v>0.14000000000000001</v>
      </c>
      <c r="AO281">
        <v>318.5</v>
      </c>
      <c r="AP281">
        <v>81.7</v>
      </c>
      <c r="AQ281">
        <v>400.3</v>
      </c>
      <c r="AR281">
        <v>782.7</v>
      </c>
      <c r="AS281">
        <v>64</v>
      </c>
      <c r="AT281">
        <v>9.17</v>
      </c>
      <c r="AU281">
        <v>49</v>
      </c>
      <c r="AV281">
        <v>2445.5</v>
      </c>
      <c r="AW281">
        <v>0.43</v>
      </c>
      <c r="AX281">
        <v>786.9</v>
      </c>
      <c r="AY281">
        <v>117.6</v>
      </c>
      <c r="AZ281">
        <v>904.5</v>
      </c>
      <c r="BA281">
        <v>94329823.599999994</v>
      </c>
      <c r="BB281">
        <v>9005.9</v>
      </c>
      <c r="BC281">
        <v>1293.4000000000001</v>
      </c>
      <c r="BD281">
        <v>4910040.9000000004</v>
      </c>
      <c r="BE281">
        <v>265242.7</v>
      </c>
      <c r="BF281">
        <v>52.9</v>
      </c>
      <c r="BG281">
        <v>94924751.799999997</v>
      </c>
      <c r="BH281">
        <v>12350858</v>
      </c>
      <c r="BI281">
        <v>107275609.8</v>
      </c>
      <c r="BJ281">
        <v>0</v>
      </c>
      <c r="BK281">
        <v>0</v>
      </c>
      <c r="BL281">
        <v>94329823.599999994</v>
      </c>
      <c r="BM281">
        <v>99239864.5</v>
      </c>
      <c r="BN281">
        <v>107275609.8</v>
      </c>
      <c r="BO281">
        <v>32.909999999999997</v>
      </c>
      <c r="BP281">
        <v>12.4</v>
      </c>
      <c r="BQ281">
        <v>0</v>
      </c>
      <c r="BR281">
        <v>45.31</v>
      </c>
      <c r="BS281">
        <v>35.06</v>
      </c>
      <c r="BT281">
        <v>13.88</v>
      </c>
      <c r="BU281">
        <v>0</v>
      </c>
      <c r="BV281">
        <v>48.95</v>
      </c>
      <c r="BW281">
        <v>202932060</v>
      </c>
      <c r="BX281">
        <v>23410404</v>
      </c>
      <c r="BY281">
        <v>36124468</v>
      </c>
      <c r="BZ281">
        <v>70621144</v>
      </c>
      <c r="CA281">
        <v>0</v>
      </c>
      <c r="CB281">
        <v>273.10000000000002</v>
      </c>
      <c r="CC281">
        <v>52501744</v>
      </c>
      <c r="CD281">
        <v>0</v>
      </c>
      <c r="CE281">
        <v>559948.80000000005</v>
      </c>
      <c r="CF281">
        <v>12138096</v>
      </c>
      <c r="CG281">
        <v>0</v>
      </c>
      <c r="CH281">
        <v>111681.2</v>
      </c>
      <c r="CI281">
        <v>0</v>
      </c>
      <c r="CJ281">
        <v>55392.4</v>
      </c>
      <c r="CK281">
        <v>0</v>
      </c>
      <c r="CL281">
        <v>0</v>
      </c>
      <c r="CM281">
        <v>22482114</v>
      </c>
      <c r="CN281">
        <v>872899</v>
      </c>
      <c r="CO281">
        <v>2940229.5</v>
      </c>
      <c r="CP281">
        <v>4524071.5</v>
      </c>
      <c r="CQ281">
        <v>0</v>
      </c>
      <c r="CR281">
        <v>3213.3</v>
      </c>
      <c r="CS281">
        <v>0</v>
      </c>
      <c r="CT281">
        <v>24.4</v>
      </c>
      <c r="CU281">
        <v>11509.5</v>
      </c>
      <c r="CV281">
        <v>0</v>
      </c>
      <c r="CW281">
        <v>0</v>
      </c>
      <c r="CX281">
        <v>597.4</v>
      </c>
      <c r="CY281">
        <v>10031.299999999999</v>
      </c>
      <c r="CZ281">
        <v>0</v>
      </c>
      <c r="DA281">
        <v>6797.1</v>
      </c>
      <c r="DB281">
        <v>0</v>
      </c>
      <c r="DC281">
        <v>3677</v>
      </c>
      <c r="DD281">
        <v>4522.7</v>
      </c>
      <c r="DE281">
        <v>61.2</v>
      </c>
      <c r="DF281">
        <v>3363.6</v>
      </c>
      <c r="DG281">
        <v>9158.2000000000007</v>
      </c>
      <c r="DH281">
        <v>0</v>
      </c>
      <c r="DI281">
        <v>27</v>
      </c>
      <c r="DJ281">
        <v>0</v>
      </c>
      <c r="DK281">
        <v>13832.2</v>
      </c>
      <c r="DL281">
        <v>33635.599999999999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</row>
    <row r="282" spans="1:122" x14ac:dyDescent="0.3">
      <c r="A282" t="s">
        <v>175</v>
      </c>
      <c r="B282">
        <v>2034</v>
      </c>
      <c r="C282">
        <v>226772246.59999999</v>
      </c>
      <c r="D282">
        <v>216344875.59999999</v>
      </c>
      <c r="E282">
        <v>208565765.59999999</v>
      </c>
      <c r="F282">
        <v>0</v>
      </c>
      <c r="G282">
        <v>8817219</v>
      </c>
      <c r="H282">
        <v>192995175.19999999</v>
      </c>
      <c r="I282">
        <v>5261182.5</v>
      </c>
      <c r="J282">
        <v>3556036.5</v>
      </c>
      <c r="K282">
        <v>1610152.3</v>
      </c>
      <c r="L282">
        <v>3.5900000000000001E-2</v>
      </c>
      <c r="M282">
        <v>5.3999999999999999E-2</v>
      </c>
      <c r="N282">
        <v>0.15</v>
      </c>
      <c r="O282">
        <v>72153.77</v>
      </c>
      <c r="P282">
        <v>46255.5</v>
      </c>
      <c r="Q282">
        <v>461.7</v>
      </c>
      <c r="R282">
        <v>44</v>
      </c>
      <c r="S282">
        <v>6.32</v>
      </c>
      <c r="T282">
        <v>24.1</v>
      </c>
      <c r="U282">
        <v>1299.5</v>
      </c>
      <c r="V282">
        <v>0.26</v>
      </c>
      <c r="W282">
        <v>464.6</v>
      </c>
      <c r="X282">
        <v>60.6</v>
      </c>
      <c r="Y282">
        <v>525.20000000000005</v>
      </c>
      <c r="Z282">
        <v>483.9</v>
      </c>
      <c r="AA282">
        <v>46.8</v>
      </c>
      <c r="AB282">
        <v>6.72</v>
      </c>
      <c r="AC282">
        <v>24.8</v>
      </c>
      <c r="AD282">
        <v>1342.9</v>
      </c>
      <c r="AE282">
        <v>0.27</v>
      </c>
      <c r="AF282">
        <v>487</v>
      </c>
      <c r="AG282">
        <v>62.5</v>
      </c>
      <c r="AH282">
        <v>549.5</v>
      </c>
      <c r="AI282">
        <v>371.6</v>
      </c>
      <c r="AJ282">
        <v>8</v>
      </c>
      <c r="AK282">
        <v>0.85</v>
      </c>
      <c r="AL282">
        <v>43.1</v>
      </c>
      <c r="AM282">
        <v>1912.4</v>
      </c>
      <c r="AN282">
        <v>0.16</v>
      </c>
      <c r="AO282">
        <v>372.1</v>
      </c>
      <c r="AP282">
        <v>96.6</v>
      </c>
      <c r="AQ282">
        <v>468.7</v>
      </c>
      <c r="AR282">
        <v>781.1</v>
      </c>
      <c r="AS282">
        <v>64.400000000000006</v>
      </c>
      <c r="AT282">
        <v>9.1999999999999993</v>
      </c>
      <c r="AU282">
        <v>48</v>
      </c>
      <c r="AV282">
        <v>2453.4</v>
      </c>
      <c r="AW282">
        <v>0.41</v>
      </c>
      <c r="AX282">
        <v>785.3</v>
      </c>
      <c r="AY282">
        <v>116.9</v>
      </c>
      <c r="AZ282">
        <v>902.2</v>
      </c>
      <c r="BA282">
        <v>91869258.599999994</v>
      </c>
      <c r="BB282">
        <v>8762.5</v>
      </c>
      <c r="BC282">
        <v>1258.4000000000001</v>
      </c>
      <c r="BD282">
        <v>4797699.3</v>
      </c>
      <c r="BE282">
        <v>258614.1</v>
      </c>
      <c r="BF282">
        <v>51.7</v>
      </c>
      <c r="BG282">
        <v>92448080.400000006</v>
      </c>
      <c r="BH282">
        <v>12052597.699999999</v>
      </c>
      <c r="BI282">
        <v>104500678.2</v>
      </c>
      <c r="BJ282">
        <v>0</v>
      </c>
      <c r="BK282">
        <v>0</v>
      </c>
      <c r="BL282">
        <v>91869258.599999994</v>
      </c>
      <c r="BM282">
        <v>96666958</v>
      </c>
      <c r="BN282">
        <v>104500678.2</v>
      </c>
      <c r="BO282">
        <v>32.799999999999997</v>
      </c>
      <c r="BP282">
        <v>13.05</v>
      </c>
      <c r="BQ282">
        <v>0</v>
      </c>
      <c r="BR282">
        <v>45.85</v>
      </c>
      <c r="BS282">
        <v>34.950000000000003</v>
      </c>
      <c r="BT282">
        <v>14.6</v>
      </c>
      <c r="BU282">
        <v>0</v>
      </c>
      <c r="BV282">
        <v>49.55</v>
      </c>
      <c r="BW282">
        <v>200178900</v>
      </c>
      <c r="BX282">
        <v>23349700</v>
      </c>
      <c r="BY282">
        <v>36124468</v>
      </c>
      <c r="BZ282">
        <v>68966760</v>
      </c>
      <c r="CA282">
        <v>0</v>
      </c>
      <c r="CB282">
        <v>159.30000000000001</v>
      </c>
      <c r="CC282">
        <v>51509830</v>
      </c>
      <c r="CD282">
        <v>0</v>
      </c>
      <c r="CE282">
        <v>599818.9</v>
      </c>
      <c r="CF282">
        <v>12146847</v>
      </c>
      <c r="CG282">
        <v>0</v>
      </c>
      <c r="CH282">
        <v>111647.6</v>
      </c>
      <c r="CI282">
        <v>0</v>
      </c>
      <c r="CJ282">
        <v>55093.7</v>
      </c>
      <c r="CK282">
        <v>0</v>
      </c>
      <c r="CL282">
        <v>0</v>
      </c>
      <c r="CM282">
        <v>22168522</v>
      </c>
      <c r="CN282">
        <v>1126084.5</v>
      </c>
      <c r="CO282">
        <v>2887780.2</v>
      </c>
      <c r="CP282">
        <v>4481874.5</v>
      </c>
      <c r="CQ282">
        <v>0</v>
      </c>
      <c r="CR282">
        <v>3209.2</v>
      </c>
      <c r="CS282">
        <v>0</v>
      </c>
      <c r="CT282">
        <v>24.4</v>
      </c>
      <c r="CU282">
        <v>10960.7</v>
      </c>
      <c r="CV282">
        <v>0</v>
      </c>
      <c r="CW282">
        <v>0</v>
      </c>
      <c r="CX282">
        <v>772.7</v>
      </c>
      <c r="CY282">
        <v>10056.5</v>
      </c>
      <c r="CZ282">
        <v>0</v>
      </c>
      <c r="DA282">
        <v>6850.4</v>
      </c>
      <c r="DB282">
        <v>0</v>
      </c>
      <c r="DC282">
        <v>3677</v>
      </c>
      <c r="DD282">
        <v>4522.7</v>
      </c>
      <c r="DE282">
        <v>61.2</v>
      </c>
      <c r="DF282">
        <v>3363.6</v>
      </c>
      <c r="DG282">
        <v>9150.1</v>
      </c>
      <c r="DH282">
        <v>0</v>
      </c>
      <c r="DI282">
        <v>27</v>
      </c>
      <c r="DJ282">
        <v>0</v>
      </c>
      <c r="DK282">
        <v>13799.5</v>
      </c>
      <c r="DL282">
        <v>33635.599999999999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</row>
    <row r="283" spans="1:122" x14ac:dyDescent="0.3">
      <c r="A283" t="s">
        <v>175</v>
      </c>
      <c r="B283">
        <v>2036</v>
      </c>
      <c r="C283">
        <v>229114080</v>
      </c>
      <c r="D283">
        <v>219027100.59999999</v>
      </c>
      <c r="E283">
        <v>211151545.90000001</v>
      </c>
      <c r="F283">
        <v>0</v>
      </c>
      <c r="G283">
        <v>8485885</v>
      </c>
      <c r="H283">
        <v>195798320.09999999</v>
      </c>
      <c r="I283">
        <v>5134038.5</v>
      </c>
      <c r="J283">
        <v>3351846.2</v>
      </c>
      <c r="K283">
        <v>1601094.7</v>
      </c>
      <c r="L283">
        <v>3.5900000000000001E-2</v>
      </c>
      <c r="M283">
        <v>5.3999999999999999E-2</v>
      </c>
      <c r="N283">
        <v>0.15</v>
      </c>
      <c r="O283">
        <v>74444.75</v>
      </c>
      <c r="P283">
        <v>46831.3</v>
      </c>
      <c r="Q283">
        <v>458.5</v>
      </c>
      <c r="R283">
        <v>43.4</v>
      </c>
      <c r="S283">
        <v>6.23</v>
      </c>
      <c r="T283">
        <v>24.2</v>
      </c>
      <c r="U283">
        <v>1300.5</v>
      </c>
      <c r="V283">
        <v>0.26</v>
      </c>
      <c r="W283">
        <v>461.3</v>
      </c>
      <c r="X283">
        <v>60.7</v>
      </c>
      <c r="Y283">
        <v>522</v>
      </c>
      <c r="Z283">
        <v>474.8</v>
      </c>
      <c r="AA283">
        <v>45.5</v>
      </c>
      <c r="AB283">
        <v>6.54</v>
      </c>
      <c r="AC283">
        <v>24.7</v>
      </c>
      <c r="AD283">
        <v>1329</v>
      </c>
      <c r="AE283">
        <v>0.27</v>
      </c>
      <c r="AF283">
        <v>477.8</v>
      </c>
      <c r="AG283">
        <v>61.9</v>
      </c>
      <c r="AH283">
        <v>539.79999999999995</v>
      </c>
      <c r="AI283">
        <v>372.4</v>
      </c>
      <c r="AJ283">
        <v>9</v>
      </c>
      <c r="AK283">
        <v>1.01</v>
      </c>
      <c r="AL283">
        <v>42.2</v>
      </c>
      <c r="AM283">
        <v>1884</v>
      </c>
      <c r="AN283">
        <v>0.16</v>
      </c>
      <c r="AO283">
        <v>372.9</v>
      </c>
      <c r="AP283">
        <v>95</v>
      </c>
      <c r="AQ283">
        <v>467.9</v>
      </c>
      <c r="AR283">
        <v>758.3</v>
      </c>
      <c r="AS283">
        <v>61.4</v>
      </c>
      <c r="AT283">
        <v>8.7799999999999994</v>
      </c>
      <c r="AU283">
        <v>47.6</v>
      </c>
      <c r="AV283">
        <v>2412.1999999999998</v>
      </c>
      <c r="AW283">
        <v>0.4</v>
      </c>
      <c r="AX283">
        <v>762.4</v>
      </c>
      <c r="AY283">
        <v>115.3</v>
      </c>
      <c r="AZ283">
        <v>877.6</v>
      </c>
      <c r="BA283">
        <v>91349012.599999994</v>
      </c>
      <c r="BB283">
        <v>8649.5</v>
      </c>
      <c r="BC283">
        <v>1241.5</v>
      </c>
      <c r="BD283">
        <v>4828181.9000000004</v>
      </c>
      <c r="BE283">
        <v>259155.1</v>
      </c>
      <c r="BF283">
        <v>51.4</v>
      </c>
      <c r="BG283">
        <v>91920191.599999994</v>
      </c>
      <c r="BH283">
        <v>12098140</v>
      </c>
      <c r="BI283">
        <v>104018331.59999999</v>
      </c>
      <c r="BJ283">
        <v>0</v>
      </c>
      <c r="BK283">
        <v>0</v>
      </c>
      <c r="BL283">
        <v>91349012.599999994</v>
      </c>
      <c r="BM283">
        <v>96177194.400000006</v>
      </c>
      <c r="BN283">
        <v>104018331.59999999</v>
      </c>
      <c r="BO283">
        <v>32.56</v>
      </c>
      <c r="BP283">
        <v>13.51</v>
      </c>
      <c r="BQ283">
        <v>0</v>
      </c>
      <c r="BR283">
        <v>46.07</v>
      </c>
      <c r="BS283">
        <v>34.69</v>
      </c>
      <c r="BT283">
        <v>15.08</v>
      </c>
      <c r="BU283">
        <v>0</v>
      </c>
      <c r="BV283">
        <v>49.76</v>
      </c>
      <c r="BW283">
        <v>200458000</v>
      </c>
      <c r="BX283">
        <v>23228780</v>
      </c>
      <c r="BY283">
        <v>36124468</v>
      </c>
      <c r="BZ283">
        <v>67927960</v>
      </c>
      <c r="CA283">
        <v>0</v>
      </c>
      <c r="CB283">
        <v>341.4</v>
      </c>
      <c r="CC283">
        <v>53268788</v>
      </c>
      <c r="CD283">
        <v>0</v>
      </c>
      <c r="CE283">
        <v>521112</v>
      </c>
      <c r="CF283">
        <v>12141211</v>
      </c>
      <c r="CG283">
        <v>0</v>
      </c>
      <c r="CH283">
        <v>111592</v>
      </c>
      <c r="CI283">
        <v>0</v>
      </c>
      <c r="CJ283">
        <v>0</v>
      </c>
      <c r="CK283">
        <v>0</v>
      </c>
      <c r="CL283">
        <v>0</v>
      </c>
      <c r="CM283">
        <v>21859222</v>
      </c>
      <c r="CN283">
        <v>1369558</v>
      </c>
      <c r="CO283">
        <v>2748293</v>
      </c>
      <c r="CP283">
        <v>4385449</v>
      </c>
      <c r="CQ283">
        <v>0</v>
      </c>
      <c r="CR283">
        <v>3205.1</v>
      </c>
      <c r="CS283">
        <v>0</v>
      </c>
      <c r="CT283">
        <v>24.4</v>
      </c>
      <c r="CU283">
        <v>10960.7</v>
      </c>
      <c r="CV283">
        <v>0</v>
      </c>
      <c r="CW283">
        <v>0</v>
      </c>
      <c r="CX283">
        <v>943.8</v>
      </c>
      <c r="CY283">
        <v>10412.9</v>
      </c>
      <c r="CZ283">
        <v>0</v>
      </c>
      <c r="DA283">
        <v>6889.7</v>
      </c>
      <c r="DB283">
        <v>0</v>
      </c>
      <c r="DC283">
        <v>3677</v>
      </c>
      <c r="DD283">
        <v>4522.7</v>
      </c>
      <c r="DE283">
        <v>61.2</v>
      </c>
      <c r="DF283">
        <v>3363.6</v>
      </c>
      <c r="DG283">
        <v>9142</v>
      </c>
      <c r="DH283">
        <v>0</v>
      </c>
      <c r="DI283">
        <v>0</v>
      </c>
      <c r="DJ283">
        <v>0</v>
      </c>
      <c r="DK283">
        <v>13767.1</v>
      </c>
      <c r="DL283">
        <v>33635.599999999999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</row>
    <row r="284" spans="1:122" x14ac:dyDescent="0.3">
      <c r="A284" t="s">
        <v>175</v>
      </c>
      <c r="B284">
        <v>2038</v>
      </c>
      <c r="C284">
        <v>231560823</v>
      </c>
      <c r="D284">
        <v>221943488.30000001</v>
      </c>
      <c r="E284">
        <v>213963069</v>
      </c>
      <c r="F284">
        <v>0</v>
      </c>
      <c r="G284">
        <v>8022870.5</v>
      </c>
      <c r="H284">
        <v>198773231.30000001</v>
      </c>
      <c r="I284">
        <v>4937150.5</v>
      </c>
      <c r="J284">
        <v>3085719.5</v>
      </c>
      <c r="K284">
        <v>1594464.4</v>
      </c>
      <c r="L284">
        <v>3.5900000000000001E-2</v>
      </c>
      <c r="M284">
        <v>5.3999999999999999E-2</v>
      </c>
      <c r="N284">
        <v>0.15</v>
      </c>
      <c r="O284">
        <v>77540.22</v>
      </c>
      <c r="P284">
        <v>47453</v>
      </c>
      <c r="Q284">
        <v>452.9</v>
      </c>
      <c r="R284">
        <v>42.4</v>
      </c>
      <c r="S284">
        <v>6.08</v>
      </c>
      <c r="T284">
        <v>24.4</v>
      </c>
      <c r="U284">
        <v>1300.8</v>
      </c>
      <c r="V284">
        <v>0.26</v>
      </c>
      <c r="W284">
        <v>455.7</v>
      </c>
      <c r="X284">
        <v>60.9</v>
      </c>
      <c r="Y284">
        <v>516.6</v>
      </c>
      <c r="Z284">
        <v>463.1</v>
      </c>
      <c r="AA284">
        <v>43.8</v>
      </c>
      <c r="AB284">
        <v>6.28</v>
      </c>
      <c r="AC284">
        <v>24.7</v>
      </c>
      <c r="AD284">
        <v>1316.8</v>
      </c>
      <c r="AE284">
        <v>0.26</v>
      </c>
      <c r="AF284">
        <v>466</v>
      </c>
      <c r="AG284">
        <v>61.6</v>
      </c>
      <c r="AH284">
        <v>527.6</v>
      </c>
      <c r="AI284">
        <v>395.9</v>
      </c>
      <c r="AJ284">
        <v>12.3</v>
      </c>
      <c r="AK284">
        <v>1.49</v>
      </c>
      <c r="AL284">
        <v>42.4</v>
      </c>
      <c r="AM284">
        <v>1916.2</v>
      </c>
      <c r="AN284">
        <v>0.18</v>
      </c>
      <c r="AO284">
        <v>396.6</v>
      </c>
      <c r="AP284">
        <v>96.1</v>
      </c>
      <c r="AQ284">
        <v>492.7</v>
      </c>
      <c r="AR284">
        <v>737.4</v>
      </c>
      <c r="AS284">
        <v>58.6</v>
      </c>
      <c r="AT284">
        <v>8.35</v>
      </c>
      <c r="AU284">
        <v>47.3</v>
      </c>
      <c r="AV284">
        <v>2386.6</v>
      </c>
      <c r="AW284">
        <v>0.39</v>
      </c>
      <c r="AX284">
        <v>741.2</v>
      </c>
      <c r="AY284">
        <v>114.3</v>
      </c>
      <c r="AZ284">
        <v>855.5</v>
      </c>
      <c r="BA284">
        <v>89968591.200000003</v>
      </c>
      <c r="BB284">
        <v>8417.7000000000007</v>
      </c>
      <c r="BC284">
        <v>1207.0999999999999</v>
      </c>
      <c r="BD284">
        <v>4853017.8</v>
      </c>
      <c r="BE284">
        <v>258455</v>
      </c>
      <c r="BF284">
        <v>50.7</v>
      </c>
      <c r="BG284">
        <v>90524170.900000006</v>
      </c>
      <c r="BH284">
        <v>12103187.300000001</v>
      </c>
      <c r="BI284">
        <v>102627358.2</v>
      </c>
      <c r="BJ284">
        <v>0</v>
      </c>
      <c r="BK284">
        <v>0</v>
      </c>
      <c r="BL284">
        <v>89968591.200000003</v>
      </c>
      <c r="BM284">
        <v>94821609</v>
      </c>
      <c r="BN284">
        <v>102627358.2</v>
      </c>
      <c r="BO284">
        <v>31.82</v>
      </c>
      <c r="BP284">
        <v>14.11</v>
      </c>
      <c r="BQ284">
        <v>0</v>
      </c>
      <c r="BR284">
        <v>45.93</v>
      </c>
      <c r="BS284">
        <v>33.869999999999997</v>
      </c>
      <c r="BT284">
        <v>15.71</v>
      </c>
      <c r="BU284">
        <v>0</v>
      </c>
      <c r="BV284">
        <v>49.59</v>
      </c>
      <c r="BW284">
        <v>199893840</v>
      </c>
      <c r="BX284">
        <v>23170256</v>
      </c>
      <c r="BY284">
        <v>36124468</v>
      </c>
      <c r="BZ284">
        <v>65933560</v>
      </c>
      <c r="CA284">
        <v>0</v>
      </c>
      <c r="CB284">
        <v>478</v>
      </c>
      <c r="CC284">
        <v>55275510</v>
      </c>
      <c r="CD284">
        <v>0</v>
      </c>
      <c r="CE284">
        <v>433733.4</v>
      </c>
      <c r="CF284">
        <v>12147686</v>
      </c>
      <c r="CG284">
        <v>0</v>
      </c>
      <c r="CH284">
        <v>111625.60000000001</v>
      </c>
      <c r="CI284">
        <v>0</v>
      </c>
      <c r="CJ284">
        <v>0</v>
      </c>
      <c r="CK284">
        <v>0</v>
      </c>
      <c r="CL284">
        <v>0</v>
      </c>
      <c r="CM284">
        <v>21554336</v>
      </c>
      <c r="CN284">
        <v>1615921.2</v>
      </c>
      <c r="CO284">
        <v>2489997</v>
      </c>
      <c r="CP284">
        <v>4206516</v>
      </c>
      <c r="CQ284">
        <v>0</v>
      </c>
      <c r="CR284">
        <v>3201.2</v>
      </c>
      <c r="CS284">
        <v>0</v>
      </c>
      <c r="CT284">
        <v>24.4</v>
      </c>
      <c r="CU284">
        <v>10960.7</v>
      </c>
      <c r="CV284">
        <v>0</v>
      </c>
      <c r="CW284">
        <v>0</v>
      </c>
      <c r="CX284">
        <v>1119</v>
      </c>
      <c r="CY284">
        <v>10826.1</v>
      </c>
      <c r="CZ284">
        <v>0</v>
      </c>
      <c r="DA284">
        <v>6991.3</v>
      </c>
      <c r="DB284">
        <v>0</v>
      </c>
      <c r="DC284">
        <v>3677</v>
      </c>
      <c r="DD284">
        <v>4522.7</v>
      </c>
      <c r="DE284">
        <v>61.2</v>
      </c>
      <c r="DF284">
        <v>3363.6</v>
      </c>
      <c r="DG284">
        <v>9134</v>
      </c>
      <c r="DH284">
        <v>0</v>
      </c>
      <c r="DI284">
        <v>0</v>
      </c>
      <c r="DJ284">
        <v>0</v>
      </c>
      <c r="DK284">
        <v>13735.4</v>
      </c>
      <c r="DL284">
        <v>33635.599999999999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</row>
    <row r="285" spans="1:122" x14ac:dyDescent="0.3">
      <c r="A285" t="s">
        <v>175</v>
      </c>
      <c r="B285">
        <v>2040</v>
      </c>
      <c r="C285">
        <v>234018878.90000001</v>
      </c>
      <c r="D285">
        <v>224710863.5</v>
      </c>
      <c r="E285">
        <v>216630937.69999999</v>
      </c>
      <c r="F285">
        <v>0</v>
      </c>
      <c r="G285">
        <v>7727902.5</v>
      </c>
      <c r="H285">
        <v>201590803.30000001</v>
      </c>
      <c r="I285">
        <v>4773180.5</v>
      </c>
      <c r="J285">
        <v>2954721.8</v>
      </c>
      <c r="K285">
        <v>1580113.4</v>
      </c>
      <c r="L285">
        <v>3.5900000000000001E-2</v>
      </c>
      <c r="M285">
        <v>5.3999999999999999E-2</v>
      </c>
      <c r="N285">
        <v>0.15</v>
      </c>
      <c r="O285">
        <v>79396.78</v>
      </c>
      <c r="P285">
        <v>48046.2</v>
      </c>
      <c r="Q285">
        <v>444</v>
      </c>
      <c r="R285">
        <v>40.799999999999997</v>
      </c>
      <c r="S285">
        <v>5.85</v>
      </c>
      <c r="T285">
        <v>24.6</v>
      </c>
      <c r="U285">
        <v>1298.7</v>
      </c>
      <c r="V285">
        <v>0.25</v>
      </c>
      <c r="W285">
        <v>446.7</v>
      </c>
      <c r="X285">
        <v>61</v>
      </c>
      <c r="Y285">
        <v>507.8</v>
      </c>
      <c r="Z285">
        <v>450.2</v>
      </c>
      <c r="AA285">
        <v>41.7</v>
      </c>
      <c r="AB285">
        <v>5.98</v>
      </c>
      <c r="AC285">
        <v>24.8</v>
      </c>
      <c r="AD285">
        <v>1305.9000000000001</v>
      </c>
      <c r="AE285">
        <v>0.26</v>
      </c>
      <c r="AF285">
        <v>452.9</v>
      </c>
      <c r="AG285">
        <v>61.4</v>
      </c>
      <c r="AH285">
        <v>514.29999999999995</v>
      </c>
      <c r="AI285">
        <v>392.7</v>
      </c>
      <c r="AJ285">
        <v>14.3</v>
      </c>
      <c r="AK285">
        <v>1.8</v>
      </c>
      <c r="AL285">
        <v>40.200000000000003</v>
      </c>
      <c r="AM285">
        <v>1834.7</v>
      </c>
      <c r="AN285">
        <v>0.18</v>
      </c>
      <c r="AO285">
        <v>393.6</v>
      </c>
      <c r="AP285">
        <v>91.6</v>
      </c>
      <c r="AQ285">
        <v>485.2</v>
      </c>
      <c r="AR285">
        <v>729.8</v>
      </c>
      <c r="AS285">
        <v>57.8</v>
      </c>
      <c r="AT285">
        <v>8.23</v>
      </c>
      <c r="AU285">
        <v>46.9</v>
      </c>
      <c r="AV285">
        <v>2372.5</v>
      </c>
      <c r="AW285">
        <v>0.38</v>
      </c>
      <c r="AX285">
        <v>733.6</v>
      </c>
      <c r="AY285">
        <v>113.5</v>
      </c>
      <c r="AZ285">
        <v>847</v>
      </c>
      <c r="BA285">
        <v>89168409</v>
      </c>
      <c r="BB285">
        <v>8194.9</v>
      </c>
      <c r="BC285">
        <v>1173.5</v>
      </c>
      <c r="BD285">
        <v>4944748.0999999996</v>
      </c>
      <c r="BE285">
        <v>260840.8</v>
      </c>
      <c r="BF285">
        <v>50.2</v>
      </c>
      <c r="BG285">
        <v>89708853.799999997</v>
      </c>
      <c r="BH285">
        <v>12261582.4</v>
      </c>
      <c r="BI285">
        <v>101970436.2</v>
      </c>
      <c r="BJ285">
        <v>0</v>
      </c>
      <c r="BK285">
        <v>0</v>
      </c>
      <c r="BL285">
        <v>89168409</v>
      </c>
      <c r="BM285">
        <v>94113157.099999994</v>
      </c>
      <c r="BN285">
        <v>101970436.2</v>
      </c>
      <c r="BO285">
        <v>31.4</v>
      </c>
      <c r="BP285">
        <v>14.5</v>
      </c>
      <c r="BQ285">
        <v>0</v>
      </c>
      <c r="BR285">
        <v>45.9</v>
      </c>
      <c r="BS285">
        <v>33.42</v>
      </c>
      <c r="BT285">
        <v>16.11</v>
      </c>
      <c r="BU285">
        <v>0</v>
      </c>
      <c r="BV285">
        <v>49.53</v>
      </c>
      <c r="BW285">
        <v>202094480</v>
      </c>
      <c r="BX285">
        <v>23120060</v>
      </c>
      <c r="BY285">
        <v>36124468</v>
      </c>
      <c r="BZ285">
        <v>64043160</v>
      </c>
      <c r="CA285">
        <v>0</v>
      </c>
      <c r="CB285">
        <v>591.79999999999995</v>
      </c>
      <c r="CC285">
        <v>59666530</v>
      </c>
      <c r="CD285">
        <v>0</v>
      </c>
      <c r="CE285">
        <v>378715</v>
      </c>
      <c r="CF285">
        <v>12140316</v>
      </c>
      <c r="CG285">
        <v>0</v>
      </c>
      <c r="CH285">
        <v>111647.6</v>
      </c>
      <c r="CI285">
        <v>0</v>
      </c>
      <c r="CJ285">
        <v>0</v>
      </c>
      <c r="CK285">
        <v>0</v>
      </c>
      <c r="CL285">
        <v>0</v>
      </c>
      <c r="CM285">
        <v>21253622</v>
      </c>
      <c r="CN285">
        <v>1866438</v>
      </c>
      <c r="CO285">
        <v>2425618.5</v>
      </c>
      <c r="CP285">
        <v>4083373.5</v>
      </c>
      <c r="CQ285">
        <v>0</v>
      </c>
      <c r="CR285">
        <v>3197.2</v>
      </c>
      <c r="CS285">
        <v>0</v>
      </c>
      <c r="CT285">
        <v>24.4</v>
      </c>
      <c r="CU285">
        <v>10960.7</v>
      </c>
      <c r="CV285">
        <v>0</v>
      </c>
      <c r="CW285">
        <v>0</v>
      </c>
      <c r="CX285">
        <v>1299</v>
      </c>
      <c r="CY285">
        <v>11463.4</v>
      </c>
      <c r="CZ285">
        <v>0</v>
      </c>
      <c r="DA285">
        <v>7120.5</v>
      </c>
      <c r="DB285">
        <v>0</v>
      </c>
      <c r="DC285">
        <v>3677</v>
      </c>
      <c r="DD285">
        <v>4522.7</v>
      </c>
      <c r="DE285">
        <v>61.2</v>
      </c>
      <c r="DF285">
        <v>3363.6</v>
      </c>
      <c r="DG285">
        <v>9126.2000000000007</v>
      </c>
      <c r="DH285">
        <v>0</v>
      </c>
      <c r="DI285">
        <v>0</v>
      </c>
      <c r="DJ285">
        <v>0</v>
      </c>
      <c r="DK285">
        <v>13703.9</v>
      </c>
      <c r="DL285">
        <v>33635.599999999999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</row>
    <row r="286" spans="1:122" x14ac:dyDescent="0.3">
      <c r="A286" t="s">
        <v>175</v>
      </c>
      <c r="B286">
        <v>2042</v>
      </c>
      <c r="C286">
        <v>236758896.19999999</v>
      </c>
      <c r="D286">
        <v>228116863.59999999</v>
      </c>
      <c r="E286">
        <v>219914468.40000001</v>
      </c>
      <c r="F286">
        <v>0</v>
      </c>
      <c r="G286">
        <v>7069370.5</v>
      </c>
      <c r="H286">
        <v>205038346.59999999</v>
      </c>
      <c r="I286">
        <v>4615095.5</v>
      </c>
      <c r="J286">
        <v>2454275</v>
      </c>
      <c r="K286">
        <v>1572662</v>
      </c>
      <c r="L286">
        <v>3.5900000000000001E-2</v>
      </c>
      <c r="M286">
        <v>5.3999999999999999E-2</v>
      </c>
      <c r="N286">
        <v>0.15</v>
      </c>
      <c r="O286">
        <v>80008.83</v>
      </c>
      <c r="P286">
        <v>48772.5</v>
      </c>
      <c r="Q286">
        <v>444.2</v>
      </c>
      <c r="R286">
        <v>40.6</v>
      </c>
      <c r="S286">
        <v>5.81</v>
      </c>
      <c r="T286">
        <v>24.8</v>
      </c>
      <c r="U286">
        <v>1307.2</v>
      </c>
      <c r="V286">
        <v>0.25</v>
      </c>
      <c r="W286">
        <v>446.9</v>
      </c>
      <c r="X286">
        <v>61.5</v>
      </c>
      <c r="Y286">
        <v>508.4</v>
      </c>
      <c r="Z286">
        <v>445.9</v>
      </c>
      <c r="AA286">
        <v>41.1</v>
      </c>
      <c r="AB286">
        <v>5.88</v>
      </c>
      <c r="AC286">
        <v>24.8</v>
      </c>
      <c r="AD286">
        <v>1302.0999999999999</v>
      </c>
      <c r="AE286">
        <v>0.25</v>
      </c>
      <c r="AF286">
        <v>448.6</v>
      </c>
      <c r="AG286">
        <v>61.3</v>
      </c>
      <c r="AH286">
        <v>509.9</v>
      </c>
      <c r="AI286">
        <v>416.6</v>
      </c>
      <c r="AJ286">
        <v>18.399999999999999</v>
      </c>
      <c r="AK286">
        <v>2.42</v>
      </c>
      <c r="AL286">
        <v>39.6</v>
      </c>
      <c r="AM286">
        <v>1842.3</v>
      </c>
      <c r="AN286">
        <v>0.19</v>
      </c>
      <c r="AO286">
        <v>417.8</v>
      </c>
      <c r="AP286">
        <v>91.3</v>
      </c>
      <c r="AQ286">
        <v>509</v>
      </c>
      <c r="AR286">
        <v>743.2</v>
      </c>
      <c r="AS286">
        <v>60.5</v>
      </c>
      <c r="AT286">
        <v>8.6199999999999992</v>
      </c>
      <c r="AU286">
        <v>46.2</v>
      </c>
      <c r="AV286">
        <v>2374.6</v>
      </c>
      <c r="AW286">
        <v>0.38</v>
      </c>
      <c r="AX286">
        <v>747.2</v>
      </c>
      <c r="AY286">
        <v>112.8</v>
      </c>
      <c r="AZ286">
        <v>860.1</v>
      </c>
      <c r="BA286">
        <v>89779078.099999994</v>
      </c>
      <c r="BB286">
        <v>8199.9</v>
      </c>
      <c r="BC286">
        <v>1173.7</v>
      </c>
      <c r="BD286">
        <v>5022621.4000000004</v>
      </c>
      <c r="BE286">
        <v>264239.8</v>
      </c>
      <c r="BF286">
        <v>50.4</v>
      </c>
      <c r="BG286">
        <v>90319702.799999997</v>
      </c>
      <c r="BH286">
        <v>12434696</v>
      </c>
      <c r="BI286">
        <v>102754398.8</v>
      </c>
      <c r="BJ286">
        <v>0</v>
      </c>
      <c r="BK286">
        <v>0</v>
      </c>
      <c r="BL286">
        <v>89779078.099999994</v>
      </c>
      <c r="BM286">
        <v>94801699.5</v>
      </c>
      <c r="BN286">
        <v>102754398.8</v>
      </c>
      <c r="BO286">
        <v>31.01</v>
      </c>
      <c r="BP286">
        <v>14.63</v>
      </c>
      <c r="BQ286">
        <v>0</v>
      </c>
      <c r="BR286">
        <v>45.63</v>
      </c>
      <c r="BS286">
        <v>32.96</v>
      </c>
      <c r="BT286">
        <v>16.2</v>
      </c>
      <c r="BU286">
        <v>0</v>
      </c>
      <c r="BV286">
        <v>49.16</v>
      </c>
      <c r="BW286">
        <v>203392210</v>
      </c>
      <c r="BX286">
        <v>23078518</v>
      </c>
      <c r="BY286">
        <v>36124468</v>
      </c>
      <c r="BZ286">
        <v>63955340</v>
      </c>
      <c r="CA286">
        <v>0</v>
      </c>
      <c r="CB286">
        <v>341.4</v>
      </c>
      <c r="CC286">
        <v>61734390</v>
      </c>
      <c r="CD286">
        <v>0</v>
      </c>
      <c r="CE286">
        <v>309901</v>
      </c>
      <c r="CF286">
        <v>12151050</v>
      </c>
      <c r="CG286">
        <v>0</v>
      </c>
      <c r="CH286">
        <v>111681.2</v>
      </c>
      <c r="CI286">
        <v>0</v>
      </c>
      <c r="CJ286">
        <v>0</v>
      </c>
      <c r="CK286">
        <v>0</v>
      </c>
      <c r="CL286">
        <v>0</v>
      </c>
      <c r="CM286">
        <v>20936032</v>
      </c>
      <c r="CN286">
        <v>2142484.5</v>
      </c>
      <c r="CO286">
        <v>1993626.2</v>
      </c>
      <c r="CP286">
        <v>3932888</v>
      </c>
      <c r="CQ286">
        <v>0</v>
      </c>
      <c r="CR286">
        <v>3286.4</v>
      </c>
      <c r="CS286">
        <v>0</v>
      </c>
      <c r="CT286">
        <v>24.4</v>
      </c>
      <c r="CU286">
        <v>10960.7</v>
      </c>
      <c r="CV286">
        <v>0</v>
      </c>
      <c r="CW286">
        <v>0</v>
      </c>
      <c r="CX286">
        <v>1498.2</v>
      </c>
      <c r="CY286">
        <v>11807.7</v>
      </c>
      <c r="CZ286">
        <v>0</v>
      </c>
      <c r="DA286">
        <v>7241.4</v>
      </c>
      <c r="DB286">
        <v>0</v>
      </c>
      <c r="DC286">
        <v>3677</v>
      </c>
      <c r="DD286">
        <v>4522.7</v>
      </c>
      <c r="DE286">
        <v>61.2</v>
      </c>
      <c r="DF286">
        <v>3363.6</v>
      </c>
      <c r="DG286">
        <v>9106.6</v>
      </c>
      <c r="DH286">
        <v>0</v>
      </c>
      <c r="DI286">
        <v>0</v>
      </c>
      <c r="DJ286">
        <v>0</v>
      </c>
      <c r="DK286">
        <v>14231.3</v>
      </c>
      <c r="DL286">
        <v>33635.599999999999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</row>
    <row r="287" spans="1:122" x14ac:dyDescent="0.3">
      <c r="A287" t="s">
        <v>175</v>
      </c>
      <c r="B287">
        <v>2044</v>
      </c>
      <c r="C287">
        <v>240489758.5</v>
      </c>
      <c r="D287">
        <v>232012476.30000001</v>
      </c>
      <c r="E287">
        <v>223670006.59999999</v>
      </c>
      <c r="F287">
        <v>0</v>
      </c>
      <c r="G287">
        <v>6881554.5</v>
      </c>
      <c r="H287">
        <v>208955072.30000001</v>
      </c>
      <c r="I287">
        <v>4477128.5</v>
      </c>
      <c r="J287">
        <v>2404426</v>
      </c>
      <c r="K287">
        <v>1595727.6</v>
      </c>
      <c r="L287">
        <v>3.5900000000000001E-2</v>
      </c>
      <c r="M287">
        <v>5.3999999999999999E-2</v>
      </c>
      <c r="N287">
        <v>0.15</v>
      </c>
      <c r="O287">
        <v>81690.080000000002</v>
      </c>
      <c r="P287">
        <v>49609.5</v>
      </c>
      <c r="Q287">
        <v>440.6</v>
      </c>
      <c r="R287">
        <v>39.799999999999997</v>
      </c>
      <c r="S287">
        <v>5.69</v>
      </c>
      <c r="T287">
        <v>25.1</v>
      </c>
      <c r="U287">
        <v>1312.1</v>
      </c>
      <c r="V287">
        <v>0.25</v>
      </c>
      <c r="W287">
        <v>443.2</v>
      </c>
      <c r="X287">
        <v>61.9</v>
      </c>
      <c r="Y287">
        <v>505.1</v>
      </c>
      <c r="Z287">
        <v>436.8</v>
      </c>
      <c r="AA287">
        <v>39.6</v>
      </c>
      <c r="AB287">
        <v>5.67</v>
      </c>
      <c r="AC287">
        <v>24.8</v>
      </c>
      <c r="AD287">
        <v>1295.0999999999999</v>
      </c>
      <c r="AE287">
        <v>0.25</v>
      </c>
      <c r="AF287">
        <v>439.4</v>
      </c>
      <c r="AG287">
        <v>61.2</v>
      </c>
      <c r="AH287">
        <v>500.6</v>
      </c>
      <c r="AI287">
        <v>443.6</v>
      </c>
      <c r="AJ287">
        <v>22.8</v>
      </c>
      <c r="AK287">
        <v>3.06</v>
      </c>
      <c r="AL287">
        <v>39.4</v>
      </c>
      <c r="AM287">
        <v>1862</v>
      </c>
      <c r="AN287">
        <v>0.2</v>
      </c>
      <c r="AO287">
        <v>445.1</v>
      </c>
      <c r="AP287">
        <v>91.6</v>
      </c>
      <c r="AQ287">
        <v>536.70000000000005</v>
      </c>
      <c r="AR287">
        <v>721.2</v>
      </c>
      <c r="AS287">
        <v>57</v>
      </c>
      <c r="AT287">
        <v>8.1</v>
      </c>
      <c r="AU287">
        <v>46.3</v>
      </c>
      <c r="AV287">
        <v>2360</v>
      </c>
      <c r="AW287">
        <v>0.37</v>
      </c>
      <c r="AX287">
        <v>724.9</v>
      </c>
      <c r="AY287">
        <v>112.5</v>
      </c>
      <c r="AZ287">
        <v>837.4</v>
      </c>
      <c r="BA287">
        <v>89875378.299999997</v>
      </c>
      <c r="BB287">
        <v>8108.8</v>
      </c>
      <c r="BC287">
        <v>1159.5</v>
      </c>
      <c r="BD287">
        <v>5118656.9000000004</v>
      </c>
      <c r="BE287">
        <v>267684.5</v>
      </c>
      <c r="BF287">
        <v>50.4</v>
      </c>
      <c r="BG287">
        <v>90409703.299999997</v>
      </c>
      <c r="BH287">
        <v>12627180.1</v>
      </c>
      <c r="BI287">
        <v>103036883.40000001</v>
      </c>
      <c r="BJ287">
        <v>0</v>
      </c>
      <c r="BK287">
        <v>0</v>
      </c>
      <c r="BL287">
        <v>89875378.299999997</v>
      </c>
      <c r="BM287">
        <v>94994035.200000003</v>
      </c>
      <c r="BN287">
        <v>103036883.40000001</v>
      </c>
      <c r="BO287">
        <v>30.99</v>
      </c>
      <c r="BP287">
        <v>14.96</v>
      </c>
      <c r="BQ287">
        <v>0</v>
      </c>
      <c r="BR287">
        <v>45.96</v>
      </c>
      <c r="BS287">
        <v>32.950000000000003</v>
      </c>
      <c r="BT287">
        <v>16.55</v>
      </c>
      <c r="BU287">
        <v>0</v>
      </c>
      <c r="BV287">
        <v>49.5</v>
      </c>
      <c r="BW287">
        <v>205275090</v>
      </c>
      <c r="BX287">
        <v>23057404</v>
      </c>
      <c r="BY287">
        <v>36124468</v>
      </c>
      <c r="BZ287">
        <v>62973130</v>
      </c>
      <c r="CA287">
        <v>0</v>
      </c>
      <c r="CB287">
        <v>204.9</v>
      </c>
      <c r="CC287">
        <v>64700790</v>
      </c>
      <c r="CD287">
        <v>0</v>
      </c>
      <c r="CE287">
        <v>345922.4</v>
      </c>
      <c r="CF287">
        <v>12141972</v>
      </c>
      <c r="CG287">
        <v>0</v>
      </c>
      <c r="CH287">
        <v>111642.8</v>
      </c>
      <c r="CI287">
        <v>0</v>
      </c>
      <c r="CJ287">
        <v>0</v>
      </c>
      <c r="CK287">
        <v>0</v>
      </c>
      <c r="CL287">
        <v>0</v>
      </c>
      <c r="CM287">
        <v>20589018</v>
      </c>
      <c r="CN287">
        <v>2468385.2000000002</v>
      </c>
      <c r="CO287">
        <v>1991760.2</v>
      </c>
      <c r="CP287">
        <v>3827783.2</v>
      </c>
      <c r="CQ287">
        <v>0</v>
      </c>
      <c r="CR287">
        <v>3276.1</v>
      </c>
      <c r="CS287">
        <v>0</v>
      </c>
      <c r="CT287">
        <v>24.4</v>
      </c>
      <c r="CU287">
        <v>10637</v>
      </c>
      <c r="CV287">
        <v>0</v>
      </c>
      <c r="CW287">
        <v>0</v>
      </c>
      <c r="CX287">
        <v>1732.8</v>
      </c>
      <c r="CY287">
        <v>12459</v>
      </c>
      <c r="CZ287">
        <v>0</v>
      </c>
      <c r="DA287">
        <v>7794.3</v>
      </c>
      <c r="DB287">
        <v>0</v>
      </c>
      <c r="DC287">
        <v>3677</v>
      </c>
      <c r="DD287">
        <v>4522.7</v>
      </c>
      <c r="DE287">
        <v>61.2</v>
      </c>
      <c r="DF287">
        <v>3363.6</v>
      </c>
      <c r="DG287">
        <v>9067.2999999999993</v>
      </c>
      <c r="DH287">
        <v>0</v>
      </c>
      <c r="DI287">
        <v>0</v>
      </c>
      <c r="DJ287">
        <v>0</v>
      </c>
      <c r="DK287">
        <v>14187.3</v>
      </c>
      <c r="DL287">
        <v>33635.599999999999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</row>
    <row r="288" spans="1:122" x14ac:dyDescent="0.3">
      <c r="A288" t="s">
        <v>175</v>
      </c>
      <c r="B288">
        <v>2046</v>
      </c>
      <c r="C288">
        <v>244220626.19999999</v>
      </c>
      <c r="D288">
        <v>235695214.09999999</v>
      </c>
      <c r="E288">
        <v>227220324.19999999</v>
      </c>
      <c r="F288">
        <v>0</v>
      </c>
      <c r="G288">
        <v>6905375</v>
      </c>
      <c r="H288">
        <v>212609167.19999999</v>
      </c>
      <c r="I288">
        <v>4423274</v>
      </c>
      <c r="J288">
        <v>2482101</v>
      </c>
      <c r="K288">
        <v>1620036.9</v>
      </c>
      <c r="L288">
        <v>3.5900000000000001E-2</v>
      </c>
      <c r="M288">
        <v>5.3999999999999999E-2</v>
      </c>
      <c r="N288">
        <v>0.15</v>
      </c>
      <c r="O288">
        <v>83742.210000000006</v>
      </c>
      <c r="P288">
        <v>50395.6</v>
      </c>
      <c r="Q288">
        <v>428.6</v>
      </c>
      <c r="R288">
        <v>38</v>
      </c>
      <c r="S288">
        <v>5.43</v>
      </c>
      <c r="T288">
        <v>25.1</v>
      </c>
      <c r="U288">
        <v>1298</v>
      </c>
      <c r="V288">
        <v>0.24</v>
      </c>
      <c r="W288">
        <v>431.1</v>
      </c>
      <c r="X288">
        <v>61.5</v>
      </c>
      <c r="Y288">
        <v>492.6</v>
      </c>
      <c r="Z288">
        <v>419.3</v>
      </c>
      <c r="AA288">
        <v>37.299999999999997</v>
      </c>
      <c r="AB288">
        <v>5.33</v>
      </c>
      <c r="AC288">
        <v>24.6</v>
      </c>
      <c r="AD288">
        <v>1266.8</v>
      </c>
      <c r="AE288">
        <v>0.24</v>
      </c>
      <c r="AF288">
        <v>421.8</v>
      </c>
      <c r="AG288">
        <v>60.1</v>
      </c>
      <c r="AH288">
        <v>481.9</v>
      </c>
      <c r="AI288">
        <v>438.4</v>
      </c>
      <c r="AJ288">
        <v>23.7</v>
      </c>
      <c r="AK288">
        <v>3.22</v>
      </c>
      <c r="AL288">
        <v>37.799999999999997</v>
      </c>
      <c r="AM288">
        <v>1800.8</v>
      </c>
      <c r="AN288">
        <v>0.2</v>
      </c>
      <c r="AO288">
        <v>439.9</v>
      </c>
      <c r="AP288">
        <v>88.3</v>
      </c>
      <c r="AQ288">
        <v>528.20000000000005</v>
      </c>
      <c r="AR288">
        <v>685.7</v>
      </c>
      <c r="AS288">
        <v>51.5</v>
      </c>
      <c r="AT288">
        <v>7.27</v>
      </c>
      <c r="AU288">
        <v>46.3</v>
      </c>
      <c r="AV288">
        <v>2347.1</v>
      </c>
      <c r="AW288">
        <v>0.33</v>
      </c>
      <c r="AX288">
        <v>689.1</v>
      </c>
      <c r="AY288">
        <v>112.1</v>
      </c>
      <c r="AZ288">
        <v>801.2</v>
      </c>
      <c r="BA288">
        <v>86446633.200000003</v>
      </c>
      <c r="BB288">
        <v>7663.1</v>
      </c>
      <c r="BC288">
        <v>1094.3</v>
      </c>
      <c r="BD288">
        <v>5061037.4000000004</v>
      </c>
      <c r="BE288">
        <v>261823.7</v>
      </c>
      <c r="BF288">
        <v>48.7</v>
      </c>
      <c r="BG288">
        <v>86951179.200000003</v>
      </c>
      <c r="BH288">
        <v>12405009.699999999</v>
      </c>
      <c r="BI288">
        <v>99356188.900000006</v>
      </c>
      <c r="BJ288">
        <v>0</v>
      </c>
      <c r="BK288">
        <v>0</v>
      </c>
      <c r="BL288">
        <v>86446633.200000003</v>
      </c>
      <c r="BM288">
        <v>91507670.5</v>
      </c>
      <c r="BN288">
        <v>99356188.900000006</v>
      </c>
      <c r="BO288">
        <v>30.97</v>
      </c>
      <c r="BP288">
        <v>15.37</v>
      </c>
      <c r="BQ288">
        <v>0</v>
      </c>
      <c r="BR288">
        <v>46.34</v>
      </c>
      <c r="BS288">
        <v>32.93</v>
      </c>
      <c r="BT288">
        <v>17</v>
      </c>
      <c r="BU288">
        <v>0</v>
      </c>
      <c r="BV288">
        <v>49.93</v>
      </c>
      <c r="BW288">
        <v>202958100</v>
      </c>
      <c r="BX288">
        <v>23086046</v>
      </c>
      <c r="BY288">
        <v>36124468</v>
      </c>
      <c r="BZ288">
        <v>59245132</v>
      </c>
      <c r="CA288">
        <v>0</v>
      </c>
      <c r="CB288">
        <v>0</v>
      </c>
      <c r="CC288">
        <v>65692500</v>
      </c>
      <c r="CD288">
        <v>0</v>
      </c>
      <c r="CE288">
        <v>750248</v>
      </c>
      <c r="CF288">
        <v>12150751</v>
      </c>
      <c r="CG288">
        <v>0</v>
      </c>
      <c r="CH288">
        <v>111642.8</v>
      </c>
      <c r="CI288">
        <v>0</v>
      </c>
      <c r="CJ288">
        <v>0</v>
      </c>
      <c r="CK288">
        <v>0</v>
      </c>
      <c r="CL288">
        <v>0</v>
      </c>
      <c r="CM288">
        <v>20237364</v>
      </c>
      <c r="CN288">
        <v>2848682</v>
      </c>
      <c r="CO288">
        <v>2020883.2</v>
      </c>
      <c r="CP288">
        <v>3776416.8</v>
      </c>
      <c r="CQ288">
        <v>0</v>
      </c>
      <c r="CR288">
        <v>3276.5</v>
      </c>
      <c r="CS288">
        <v>0</v>
      </c>
      <c r="CT288">
        <v>24.4</v>
      </c>
      <c r="CU288">
        <v>9765.1</v>
      </c>
      <c r="CV288">
        <v>0</v>
      </c>
      <c r="CW288">
        <v>0</v>
      </c>
      <c r="CX288">
        <v>2006.4</v>
      </c>
      <c r="CY288">
        <v>12785.3</v>
      </c>
      <c r="CZ288">
        <v>0</v>
      </c>
      <c r="DA288">
        <v>10071.799999999999</v>
      </c>
      <c r="DB288">
        <v>0</v>
      </c>
      <c r="DC288">
        <v>3677</v>
      </c>
      <c r="DD288">
        <v>4522.7</v>
      </c>
      <c r="DE288">
        <v>61.2</v>
      </c>
      <c r="DF288">
        <v>3363.6</v>
      </c>
      <c r="DG288">
        <v>9022.7000000000007</v>
      </c>
      <c r="DH288">
        <v>0</v>
      </c>
      <c r="DI288">
        <v>0</v>
      </c>
      <c r="DJ288">
        <v>0</v>
      </c>
      <c r="DK288">
        <v>14181.9</v>
      </c>
      <c r="DL288">
        <v>33635.599999999999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</row>
    <row r="289" spans="1:122" x14ac:dyDescent="0.3">
      <c r="A289" t="s">
        <v>175</v>
      </c>
      <c r="B289">
        <v>2048</v>
      </c>
      <c r="C289">
        <v>247098454.09999999</v>
      </c>
      <c r="D289">
        <v>239484389.40000001</v>
      </c>
      <c r="E289">
        <v>230873252.19999999</v>
      </c>
      <c r="F289">
        <v>0</v>
      </c>
      <c r="G289">
        <v>5923696.5</v>
      </c>
      <c r="H289">
        <v>213044265.5</v>
      </c>
      <c r="I289">
        <v>3229365.5</v>
      </c>
      <c r="J289">
        <v>2694331</v>
      </c>
      <c r="K289">
        <v>1690368.2</v>
      </c>
      <c r="L289">
        <v>3.5900000000000001E-2</v>
      </c>
      <c r="M289">
        <v>5.3999999999999999E-2</v>
      </c>
      <c r="N289">
        <v>0.15</v>
      </c>
      <c r="O289">
        <v>83537.73</v>
      </c>
      <c r="P289">
        <v>51206.7</v>
      </c>
      <c r="Q289">
        <v>375.9</v>
      </c>
      <c r="R289">
        <v>30</v>
      </c>
      <c r="S289">
        <v>4.24</v>
      </c>
      <c r="T289">
        <v>25.2</v>
      </c>
      <c r="U289">
        <v>1244.5999999999999</v>
      </c>
      <c r="V289">
        <v>0.21</v>
      </c>
      <c r="W289">
        <v>377.8</v>
      </c>
      <c r="X289">
        <v>60.1</v>
      </c>
      <c r="Y289">
        <v>438</v>
      </c>
      <c r="Z289">
        <v>369.4</v>
      </c>
      <c r="AA289">
        <v>30</v>
      </c>
      <c r="AB289">
        <v>4.25</v>
      </c>
      <c r="AC289">
        <v>24.5</v>
      </c>
      <c r="AD289">
        <v>1208</v>
      </c>
      <c r="AE289">
        <v>0.21</v>
      </c>
      <c r="AF289">
        <v>371.4</v>
      </c>
      <c r="AG289">
        <v>58.4</v>
      </c>
      <c r="AH289">
        <v>429.7</v>
      </c>
      <c r="AI289">
        <v>412.2</v>
      </c>
      <c r="AJ289">
        <v>21</v>
      </c>
      <c r="AK289">
        <v>2.83</v>
      </c>
      <c r="AL289">
        <v>36.700000000000003</v>
      </c>
      <c r="AM289">
        <v>1734.5</v>
      </c>
      <c r="AN289">
        <v>0.19</v>
      </c>
      <c r="AO289">
        <v>413.6</v>
      </c>
      <c r="AP289">
        <v>85.3</v>
      </c>
      <c r="AQ289">
        <v>498.9</v>
      </c>
      <c r="AR289">
        <v>649.1</v>
      </c>
      <c r="AS289">
        <v>44.3</v>
      </c>
      <c r="AT289">
        <v>6.18</v>
      </c>
      <c r="AU289">
        <v>47.8</v>
      </c>
      <c r="AV289">
        <v>2371.8000000000002</v>
      </c>
      <c r="AW289">
        <v>0.31</v>
      </c>
      <c r="AX289">
        <v>652</v>
      </c>
      <c r="AY289">
        <v>114.3</v>
      </c>
      <c r="AZ289">
        <v>766.3</v>
      </c>
      <c r="BA289">
        <v>74787101</v>
      </c>
      <c r="BB289">
        <v>5965.6</v>
      </c>
      <c r="BC289">
        <v>844.2</v>
      </c>
      <c r="BD289">
        <v>5021632.3</v>
      </c>
      <c r="BE289">
        <v>247628.6</v>
      </c>
      <c r="BF289">
        <v>42.7</v>
      </c>
      <c r="BG289">
        <v>75177851</v>
      </c>
      <c r="BH289">
        <v>11966540.800000001</v>
      </c>
      <c r="BI289">
        <v>87144391.799999997</v>
      </c>
      <c r="BJ289">
        <v>0</v>
      </c>
      <c r="BK289">
        <v>0</v>
      </c>
      <c r="BL289">
        <v>74787101</v>
      </c>
      <c r="BM289">
        <v>79808733.400000006</v>
      </c>
      <c r="BN289">
        <v>87144391.799999997</v>
      </c>
      <c r="BO289">
        <v>32.29</v>
      </c>
      <c r="BP289">
        <v>15.36</v>
      </c>
      <c r="BQ289">
        <v>0</v>
      </c>
      <c r="BR289">
        <v>47.65</v>
      </c>
      <c r="BS289">
        <v>34.33</v>
      </c>
      <c r="BT289">
        <v>16.920000000000002</v>
      </c>
      <c r="BU289">
        <v>0</v>
      </c>
      <c r="BV289">
        <v>51.25</v>
      </c>
      <c r="BW289">
        <v>200150700</v>
      </c>
      <c r="BX289">
        <v>26440124</v>
      </c>
      <c r="BY289">
        <v>36124468</v>
      </c>
      <c r="BZ289">
        <v>44635950</v>
      </c>
      <c r="CA289">
        <v>0</v>
      </c>
      <c r="CB289">
        <v>0</v>
      </c>
      <c r="CC289">
        <v>73803880</v>
      </c>
      <c r="CD289">
        <v>0</v>
      </c>
      <c r="CE289">
        <v>1806990.8</v>
      </c>
      <c r="CF289">
        <v>12218717</v>
      </c>
      <c r="CG289">
        <v>0</v>
      </c>
      <c r="CH289">
        <v>111642.8</v>
      </c>
      <c r="CI289">
        <v>0</v>
      </c>
      <c r="CJ289">
        <v>1665</v>
      </c>
      <c r="CK289">
        <v>0</v>
      </c>
      <c r="CL289">
        <v>0</v>
      </c>
      <c r="CM289">
        <v>23162908</v>
      </c>
      <c r="CN289">
        <v>3275551</v>
      </c>
      <c r="CO289">
        <v>2231329</v>
      </c>
      <c r="CP289">
        <v>2777604.5</v>
      </c>
      <c r="CQ289">
        <v>0</v>
      </c>
      <c r="CR289">
        <v>1779.6</v>
      </c>
      <c r="CS289">
        <v>0</v>
      </c>
      <c r="CT289">
        <v>24.4</v>
      </c>
      <c r="CU289">
        <v>6993</v>
      </c>
      <c r="CV289">
        <v>0</v>
      </c>
      <c r="CW289">
        <v>0</v>
      </c>
      <c r="CX289">
        <v>2314.3000000000002</v>
      </c>
      <c r="CY289">
        <v>14161.2</v>
      </c>
      <c r="CZ289">
        <v>0</v>
      </c>
      <c r="DA289">
        <v>14548.9</v>
      </c>
      <c r="DB289">
        <v>0</v>
      </c>
      <c r="DC289">
        <v>3701</v>
      </c>
      <c r="DD289">
        <v>4522.7</v>
      </c>
      <c r="DE289">
        <v>61.2</v>
      </c>
      <c r="DF289">
        <v>3363.6</v>
      </c>
      <c r="DG289">
        <v>10885.7</v>
      </c>
      <c r="DH289">
        <v>0</v>
      </c>
      <c r="DI289">
        <v>0.5</v>
      </c>
      <c r="DJ289">
        <v>0</v>
      </c>
      <c r="DK289">
        <v>13194.5</v>
      </c>
      <c r="DL289">
        <v>33635.599999999999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</row>
    <row r="290" spans="1:122" x14ac:dyDescent="0.3">
      <c r="A290" t="s">
        <v>175</v>
      </c>
      <c r="B290">
        <v>2050</v>
      </c>
      <c r="C290">
        <v>253522539.69999999</v>
      </c>
      <c r="D290">
        <v>243678027.09999999</v>
      </c>
      <c r="E290">
        <v>234916099.30000001</v>
      </c>
      <c r="F290">
        <v>0</v>
      </c>
      <c r="G290">
        <v>8030315</v>
      </c>
      <c r="H290">
        <v>212402583.5</v>
      </c>
      <c r="I290">
        <v>5583645.5</v>
      </c>
      <c r="J290">
        <v>2446669.2000000002</v>
      </c>
      <c r="K290">
        <v>1814197.7</v>
      </c>
      <c r="L290">
        <v>3.5900000000000001E-2</v>
      </c>
      <c r="M290">
        <v>5.3999999999999999E-2</v>
      </c>
      <c r="N290">
        <v>0.15</v>
      </c>
      <c r="O290">
        <v>82883.58</v>
      </c>
      <c r="P290">
        <v>52102.2</v>
      </c>
      <c r="Q290">
        <v>348</v>
      </c>
      <c r="R290">
        <v>26.7</v>
      </c>
      <c r="S290">
        <v>3.77</v>
      </c>
      <c r="T290">
        <v>24.4</v>
      </c>
      <c r="U290">
        <v>1185.2</v>
      </c>
      <c r="V290">
        <v>0.2</v>
      </c>
      <c r="W290">
        <v>349.7</v>
      </c>
      <c r="X290">
        <v>57.6</v>
      </c>
      <c r="Y290">
        <v>407.4</v>
      </c>
      <c r="Z290">
        <v>343.4</v>
      </c>
      <c r="AA290">
        <v>26.9</v>
      </c>
      <c r="AB290">
        <v>3.79</v>
      </c>
      <c r="AC290">
        <v>23.8</v>
      </c>
      <c r="AD290">
        <v>1154.7</v>
      </c>
      <c r="AE290">
        <v>0.2</v>
      </c>
      <c r="AF290">
        <v>345.2</v>
      </c>
      <c r="AG290">
        <v>56.1</v>
      </c>
      <c r="AH290">
        <v>401.3</v>
      </c>
      <c r="AI290">
        <v>370.4</v>
      </c>
      <c r="AJ290">
        <v>16.399999999999999</v>
      </c>
      <c r="AK290">
        <v>2.15</v>
      </c>
      <c r="AL290">
        <v>35.200000000000003</v>
      </c>
      <c r="AM290">
        <v>1638.3</v>
      </c>
      <c r="AN290">
        <v>0.17</v>
      </c>
      <c r="AO290">
        <v>371.4</v>
      </c>
      <c r="AP290">
        <v>81.099999999999994</v>
      </c>
      <c r="AQ290">
        <v>452.6</v>
      </c>
      <c r="AR290">
        <v>634.9</v>
      </c>
      <c r="AS290">
        <v>41.8</v>
      </c>
      <c r="AT290">
        <v>5.81</v>
      </c>
      <c r="AU290">
        <v>48.2</v>
      </c>
      <c r="AV290">
        <v>2367.9</v>
      </c>
      <c r="AW290">
        <v>0.3</v>
      </c>
      <c r="AX290">
        <v>637.6</v>
      </c>
      <c r="AY290">
        <v>114.6</v>
      </c>
      <c r="AZ290">
        <v>752.2</v>
      </c>
      <c r="BA290">
        <v>70498035.799999997</v>
      </c>
      <c r="BB290">
        <v>5413.4</v>
      </c>
      <c r="BC290">
        <v>763.3</v>
      </c>
      <c r="BD290">
        <v>4943248.8</v>
      </c>
      <c r="BE290">
        <v>240126.3</v>
      </c>
      <c r="BF290">
        <v>40.5</v>
      </c>
      <c r="BG290">
        <v>70851897.400000006</v>
      </c>
      <c r="BH290">
        <v>11677524.1</v>
      </c>
      <c r="BI290">
        <v>82529421.5</v>
      </c>
      <c r="BJ290">
        <v>0</v>
      </c>
      <c r="BK290">
        <v>0</v>
      </c>
      <c r="BL290">
        <v>70498035.799999997</v>
      </c>
      <c r="BM290">
        <v>75441284.5</v>
      </c>
      <c r="BN290">
        <v>82529421.5</v>
      </c>
      <c r="BO290">
        <v>32.17</v>
      </c>
      <c r="BP290">
        <v>15.09</v>
      </c>
      <c r="BQ290">
        <v>0</v>
      </c>
      <c r="BR290">
        <v>47.26</v>
      </c>
      <c r="BS290">
        <v>34.270000000000003</v>
      </c>
      <c r="BT290">
        <v>16.739999999999998</v>
      </c>
      <c r="BU290">
        <v>0</v>
      </c>
      <c r="BV290">
        <v>51.02</v>
      </c>
      <c r="BW290">
        <v>203798510</v>
      </c>
      <c r="BX290">
        <v>31275444</v>
      </c>
      <c r="BY290">
        <v>36124468</v>
      </c>
      <c r="BZ290">
        <v>40160572</v>
      </c>
      <c r="CA290">
        <v>0</v>
      </c>
      <c r="CB290">
        <v>0</v>
      </c>
      <c r="CC290">
        <v>74566360</v>
      </c>
      <c r="CD290">
        <v>0</v>
      </c>
      <c r="CE290">
        <v>2548349.2000000002</v>
      </c>
      <c r="CF290">
        <v>12232540</v>
      </c>
      <c r="CG290">
        <v>0</v>
      </c>
      <c r="CH290">
        <v>111609.1</v>
      </c>
      <c r="CI290">
        <v>0</v>
      </c>
      <c r="CJ290">
        <v>1656</v>
      </c>
      <c r="CK290">
        <v>0</v>
      </c>
      <c r="CL290">
        <v>0</v>
      </c>
      <c r="CM290">
        <v>27494852</v>
      </c>
      <c r="CN290">
        <v>3778935.5</v>
      </c>
      <c r="CO290">
        <v>1995168.2</v>
      </c>
      <c r="CP290">
        <v>4784009</v>
      </c>
      <c r="CQ290">
        <v>0</v>
      </c>
      <c r="CR290">
        <v>3234</v>
      </c>
      <c r="CS290">
        <v>0</v>
      </c>
      <c r="CT290">
        <v>24.4</v>
      </c>
      <c r="CU290">
        <v>6376.3</v>
      </c>
      <c r="CV290">
        <v>0</v>
      </c>
      <c r="CW290">
        <v>0</v>
      </c>
      <c r="CX290">
        <v>2676.7</v>
      </c>
      <c r="CY290">
        <v>14227.3</v>
      </c>
      <c r="CZ290">
        <v>0</v>
      </c>
      <c r="DA290">
        <v>16482.8</v>
      </c>
      <c r="DB290">
        <v>0</v>
      </c>
      <c r="DC290">
        <v>3701</v>
      </c>
      <c r="DD290">
        <v>4522.7</v>
      </c>
      <c r="DE290">
        <v>0</v>
      </c>
      <c r="DF290">
        <v>3363.6</v>
      </c>
      <c r="DG290">
        <v>13462.6</v>
      </c>
      <c r="DH290">
        <v>0</v>
      </c>
      <c r="DI290">
        <v>0.5</v>
      </c>
      <c r="DJ290">
        <v>0</v>
      </c>
      <c r="DK290">
        <v>24434.2</v>
      </c>
      <c r="DL290">
        <v>33635.599999999999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</row>
    <row r="291" spans="1:122" x14ac:dyDescent="0.3">
      <c r="A291" t="s">
        <v>176</v>
      </c>
      <c r="B291">
        <v>2022</v>
      </c>
      <c r="C291">
        <v>335569107.30000001</v>
      </c>
      <c r="D291">
        <v>327605927.80000001</v>
      </c>
      <c r="E291">
        <v>315827099.60000002</v>
      </c>
      <c r="F291">
        <v>0</v>
      </c>
      <c r="G291">
        <v>6052682</v>
      </c>
      <c r="H291">
        <v>302542311.80000001</v>
      </c>
      <c r="I291">
        <v>363385.1</v>
      </c>
      <c r="J291">
        <v>5689297</v>
      </c>
      <c r="K291">
        <v>1910497.3</v>
      </c>
      <c r="L291">
        <v>3.5900000000000001E-2</v>
      </c>
      <c r="M291">
        <v>5.3999999999999999E-2</v>
      </c>
      <c r="N291">
        <v>0.15</v>
      </c>
      <c r="O291">
        <v>39180.120000000003</v>
      </c>
      <c r="P291">
        <v>75980.100000000006</v>
      </c>
      <c r="Q291">
        <v>327.3</v>
      </c>
      <c r="R291">
        <v>27.9</v>
      </c>
      <c r="S291">
        <v>3.97</v>
      </c>
      <c r="T291">
        <v>22.9</v>
      </c>
      <c r="U291">
        <v>1033</v>
      </c>
      <c r="V291">
        <v>0.23</v>
      </c>
      <c r="W291">
        <v>329.2</v>
      </c>
      <c r="X291">
        <v>51.9</v>
      </c>
      <c r="Y291">
        <v>381.1</v>
      </c>
      <c r="Z291">
        <v>359.8</v>
      </c>
      <c r="AA291">
        <v>30.9</v>
      </c>
      <c r="AB291">
        <v>4.41</v>
      </c>
      <c r="AC291">
        <v>24.6</v>
      </c>
      <c r="AD291">
        <v>1126</v>
      </c>
      <c r="AE291">
        <v>0.25</v>
      </c>
      <c r="AF291">
        <v>361.8</v>
      </c>
      <c r="AG291">
        <v>56.2</v>
      </c>
      <c r="AH291">
        <v>418</v>
      </c>
      <c r="AI291">
        <v>656.5</v>
      </c>
      <c r="AJ291">
        <v>56.7</v>
      </c>
      <c r="AK291">
        <v>8.11</v>
      </c>
      <c r="AL291">
        <v>37.700000000000003</v>
      </c>
      <c r="AM291">
        <v>2004.7</v>
      </c>
      <c r="AN291">
        <v>0.33</v>
      </c>
      <c r="AO291">
        <v>660.2</v>
      </c>
      <c r="AP291">
        <v>93.9</v>
      </c>
      <c r="AQ291">
        <v>754.2</v>
      </c>
      <c r="AR291">
        <v>791.6</v>
      </c>
      <c r="AS291">
        <v>64.599999999999994</v>
      </c>
      <c r="AT291">
        <v>9.26</v>
      </c>
      <c r="AU291">
        <v>49.7</v>
      </c>
      <c r="AV291">
        <v>2477</v>
      </c>
      <c r="AW291">
        <v>0.44</v>
      </c>
      <c r="AX291">
        <v>795.9</v>
      </c>
      <c r="AY291">
        <v>119.1</v>
      </c>
      <c r="AZ291">
        <v>915</v>
      </c>
      <c r="BA291">
        <v>107358238.8</v>
      </c>
      <c r="BB291">
        <v>9147</v>
      </c>
      <c r="BC291">
        <v>1301.9000000000001</v>
      </c>
      <c r="BD291">
        <v>7513567.5</v>
      </c>
      <c r="BE291">
        <v>338762.9</v>
      </c>
      <c r="BF291">
        <v>76.900000000000006</v>
      </c>
      <c r="BG291">
        <v>107959372.2</v>
      </c>
      <c r="BH291">
        <v>17019300.5</v>
      </c>
      <c r="BI291">
        <v>124978672.7</v>
      </c>
      <c r="BJ291">
        <v>0</v>
      </c>
      <c r="BK291">
        <v>0</v>
      </c>
      <c r="BL291">
        <v>107358238.8</v>
      </c>
      <c r="BM291">
        <v>114871806.3</v>
      </c>
      <c r="BN291">
        <v>124978672.7</v>
      </c>
      <c r="BO291">
        <v>37.56</v>
      </c>
      <c r="BP291">
        <v>8.19</v>
      </c>
      <c r="BQ291">
        <v>0</v>
      </c>
      <c r="BR291">
        <v>45.75</v>
      </c>
      <c r="BS291">
        <v>39.89</v>
      </c>
      <c r="BT291">
        <v>9.01</v>
      </c>
      <c r="BU291">
        <v>0</v>
      </c>
      <c r="BV291">
        <v>48.9</v>
      </c>
      <c r="BW291">
        <v>330158460</v>
      </c>
      <c r="BX291">
        <v>25063616</v>
      </c>
      <c r="BY291">
        <v>122300980</v>
      </c>
      <c r="BZ291">
        <v>74266000</v>
      </c>
      <c r="CA291">
        <v>0</v>
      </c>
      <c r="CB291">
        <v>21639.5</v>
      </c>
      <c r="CC291">
        <v>90533910</v>
      </c>
      <c r="CD291">
        <v>0</v>
      </c>
      <c r="CE291">
        <v>513820.1</v>
      </c>
      <c r="CF291">
        <v>7060897</v>
      </c>
      <c r="CG291">
        <v>0</v>
      </c>
      <c r="CH291">
        <v>5513025</v>
      </c>
      <c r="CI291">
        <v>0</v>
      </c>
      <c r="CJ291">
        <v>597530.80000000005</v>
      </c>
      <c r="CK291">
        <v>43469.3</v>
      </c>
      <c r="CL291">
        <v>0</v>
      </c>
      <c r="CM291">
        <v>22493022</v>
      </c>
      <c r="CN291">
        <v>1929593.2</v>
      </c>
      <c r="CO291">
        <v>4576002.5</v>
      </c>
      <c r="CP291">
        <v>308559.59999999998</v>
      </c>
      <c r="CQ291">
        <v>0</v>
      </c>
      <c r="CR291">
        <v>399.5</v>
      </c>
      <c r="CS291">
        <v>0</v>
      </c>
      <c r="CT291">
        <v>870</v>
      </c>
      <c r="CU291">
        <v>17523.099999999999</v>
      </c>
      <c r="CV291">
        <v>0</v>
      </c>
      <c r="CW291">
        <v>0</v>
      </c>
      <c r="CX291">
        <v>1312.1</v>
      </c>
      <c r="CY291">
        <v>18838.7</v>
      </c>
      <c r="CZ291">
        <v>0</v>
      </c>
      <c r="DA291">
        <v>12849.5</v>
      </c>
      <c r="DB291">
        <v>0</v>
      </c>
      <c r="DC291">
        <v>3524</v>
      </c>
      <c r="DD291">
        <v>15311.8</v>
      </c>
      <c r="DE291">
        <v>1948.8</v>
      </c>
      <c r="DF291">
        <v>6043</v>
      </c>
      <c r="DG291">
        <v>10561.9</v>
      </c>
      <c r="DH291">
        <v>12</v>
      </c>
      <c r="DI291">
        <v>208</v>
      </c>
      <c r="DJ291">
        <v>0</v>
      </c>
      <c r="DK291">
        <v>798.9</v>
      </c>
      <c r="DL291">
        <v>60430</v>
      </c>
      <c r="DM291">
        <v>0</v>
      </c>
      <c r="DN291">
        <v>0</v>
      </c>
      <c r="DO291">
        <v>0.02</v>
      </c>
      <c r="DP291">
        <v>0</v>
      </c>
      <c r="DQ291">
        <v>0.04</v>
      </c>
      <c r="DR291">
        <v>0</v>
      </c>
    </row>
    <row r="292" spans="1:122" x14ac:dyDescent="0.3">
      <c r="A292" t="s">
        <v>176</v>
      </c>
      <c r="B292">
        <v>2024</v>
      </c>
      <c r="C292">
        <v>345080770.30000001</v>
      </c>
      <c r="D292">
        <v>335383410.10000002</v>
      </c>
      <c r="E292">
        <v>323324948.19999999</v>
      </c>
      <c r="F292">
        <v>0</v>
      </c>
      <c r="G292">
        <v>7728531</v>
      </c>
      <c r="H292">
        <v>306572438.10000002</v>
      </c>
      <c r="I292">
        <v>726086.7</v>
      </c>
      <c r="J292">
        <v>7002445</v>
      </c>
      <c r="K292">
        <v>1968828.9</v>
      </c>
      <c r="L292">
        <v>3.5900000000000001E-2</v>
      </c>
      <c r="M292">
        <v>5.3999999999999999E-2</v>
      </c>
      <c r="N292">
        <v>0.15</v>
      </c>
      <c r="O292">
        <v>39180.120000000003</v>
      </c>
      <c r="P292">
        <v>77784.600000000006</v>
      </c>
      <c r="Q292">
        <v>286.7</v>
      </c>
      <c r="R292">
        <v>20.7</v>
      </c>
      <c r="S292">
        <v>2.89</v>
      </c>
      <c r="T292">
        <v>23.9</v>
      </c>
      <c r="U292">
        <v>1025</v>
      </c>
      <c r="V292">
        <v>0.21</v>
      </c>
      <c r="W292">
        <v>288</v>
      </c>
      <c r="X292">
        <v>52.6</v>
      </c>
      <c r="Y292">
        <v>340.7</v>
      </c>
      <c r="Z292">
        <v>309.89999999999998</v>
      </c>
      <c r="AA292">
        <v>22.4</v>
      </c>
      <c r="AB292">
        <v>3.14</v>
      </c>
      <c r="AC292">
        <v>25.6</v>
      </c>
      <c r="AD292">
        <v>1104.8</v>
      </c>
      <c r="AE292">
        <v>0.22</v>
      </c>
      <c r="AF292">
        <v>311.39999999999998</v>
      </c>
      <c r="AG292">
        <v>56.5</v>
      </c>
      <c r="AH292">
        <v>367.9</v>
      </c>
      <c r="AI292">
        <v>560.70000000000005</v>
      </c>
      <c r="AJ292">
        <v>46.5</v>
      </c>
      <c r="AK292">
        <v>6.63</v>
      </c>
      <c r="AL292">
        <v>34</v>
      </c>
      <c r="AM292">
        <v>1772.5</v>
      </c>
      <c r="AN292">
        <v>0.28000000000000003</v>
      </c>
      <c r="AO292">
        <v>563.70000000000005</v>
      </c>
      <c r="AP292">
        <v>83.7</v>
      </c>
      <c r="AQ292">
        <v>647.4</v>
      </c>
      <c r="AR292">
        <v>792.4</v>
      </c>
      <c r="AS292">
        <v>61.7</v>
      </c>
      <c r="AT292">
        <v>8.84</v>
      </c>
      <c r="AU292">
        <v>52.6</v>
      </c>
      <c r="AV292">
        <v>2552.6</v>
      </c>
      <c r="AW292">
        <v>0.45</v>
      </c>
      <c r="AX292">
        <v>796.5</v>
      </c>
      <c r="AY292">
        <v>124.2</v>
      </c>
      <c r="AZ292">
        <v>920.7</v>
      </c>
      <c r="BA292">
        <v>96541017.099999994</v>
      </c>
      <c r="BB292">
        <v>6952.3</v>
      </c>
      <c r="BC292">
        <v>974.3</v>
      </c>
      <c r="BD292">
        <v>8036888</v>
      </c>
      <c r="BE292">
        <v>345198.8</v>
      </c>
      <c r="BF292">
        <v>70.900000000000006</v>
      </c>
      <c r="BG292">
        <v>96993868.400000006</v>
      </c>
      <c r="BH292">
        <v>17721244.800000001</v>
      </c>
      <c r="BI292">
        <v>114715113.09999999</v>
      </c>
      <c r="BJ292">
        <v>0</v>
      </c>
      <c r="BK292">
        <v>0</v>
      </c>
      <c r="BL292">
        <v>96541017.099999994</v>
      </c>
      <c r="BM292">
        <v>104577905.09999999</v>
      </c>
      <c r="BN292">
        <v>114715113.09999999</v>
      </c>
      <c r="BO292">
        <v>34.93</v>
      </c>
      <c r="BP292">
        <v>8.15</v>
      </c>
      <c r="BQ292">
        <v>0</v>
      </c>
      <c r="BR292">
        <v>43.08</v>
      </c>
      <c r="BS292">
        <v>37.14</v>
      </c>
      <c r="BT292">
        <v>9.01</v>
      </c>
      <c r="BU292">
        <v>0</v>
      </c>
      <c r="BV292">
        <v>46.15</v>
      </c>
      <c r="BW292">
        <v>339012770</v>
      </c>
      <c r="BX292">
        <v>28810972</v>
      </c>
      <c r="BY292">
        <v>122300980</v>
      </c>
      <c r="BZ292">
        <v>54007052</v>
      </c>
      <c r="CA292">
        <v>0</v>
      </c>
      <c r="CB292">
        <v>28116.2</v>
      </c>
      <c r="CC292">
        <v>113816400</v>
      </c>
      <c r="CD292">
        <v>0</v>
      </c>
      <c r="CE292">
        <v>1255274.2</v>
      </c>
      <c r="CF292">
        <v>7059190.5</v>
      </c>
      <c r="CG292">
        <v>0</v>
      </c>
      <c r="CH292">
        <v>5401623.5</v>
      </c>
      <c r="CI292">
        <v>0</v>
      </c>
      <c r="CJ292">
        <v>594308.19999999995</v>
      </c>
      <c r="CK292">
        <v>3206171.5</v>
      </c>
      <c r="CL292">
        <v>0</v>
      </c>
      <c r="CM292">
        <v>22179222</v>
      </c>
      <c r="CN292">
        <v>2831271</v>
      </c>
      <c r="CO292">
        <v>5713113.5</v>
      </c>
      <c r="CP292">
        <v>620052.1</v>
      </c>
      <c r="CQ292">
        <v>0</v>
      </c>
      <c r="CR292">
        <v>757.3</v>
      </c>
      <c r="CS292">
        <v>0</v>
      </c>
      <c r="CT292">
        <v>870</v>
      </c>
      <c r="CU292">
        <v>14670.2</v>
      </c>
      <c r="CV292">
        <v>0</v>
      </c>
      <c r="CW292">
        <v>0</v>
      </c>
      <c r="CX292">
        <v>1935.1</v>
      </c>
      <c r="CY292">
        <v>18838.7</v>
      </c>
      <c r="CZ292">
        <v>0</v>
      </c>
      <c r="DA292">
        <v>13366.5</v>
      </c>
      <c r="DB292">
        <v>0</v>
      </c>
      <c r="DC292">
        <v>3524</v>
      </c>
      <c r="DD292">
        <v>15311.8</v>
      </c>
      <c r="DE292">
        <v>807.5</v>
      </c>
      <c r="DF292">
        <v>6043</v>
      </c>
      <c r="DG292">
        <v>10561.9</v>
      </c>
      <c r="DH292">
        <v>880</v>
      </c>
      <c r="DI292">
        <v>208</v>
      </c>
      <c r="DJ292">
        <v>0</v>
      </c>
      <c r="DK292">
        <v>1514.7</v>
      </c>
      <c r="DL292">
        <v>60430</v>
      </c>
      <c r="DM292">
        <v>0</v>
      </c>
      <c r="DN292">
        <v>0</v>
      </c>
      <c r="DO292">
        <v>0.02</v>
      </c>
      <c r="DP292">
        <v>0</v>
      </c>
      <c r="DQ292">
        <v>0.06</v>
      </c>
      <c r="DR292">
        <v>0</v>
      </c>
    </row>
    <row r="293" spans="1:122" x14ac:dyDescent="0.3">
      <c r="A293" t="s">
        <v>176</v>
      </c>
      <c r="B293">
        <v>2026</v>
      </c>
      <c r="C293">
        <v>353354496</v>
      </c>
      <c r="D293">
        <v>342471748.10000002</v>
      </c>
      <c r="E293">
        <v>330158430.30000001</v>
      </c>
      <c r="F293">
        <v>0</v>
      </c>
      <c r="G293">
        <v>8817503</v>
      </c>
      <c r="H293">
        <v>306795893.89999998</v>
      </c>
      <c r="I293">
        <v>1111028.8</v>
      </c>
      <c r="J293">
        <v>7706474.5</v>
      </c>
      <c r="K293">
        <v>2065244.4</v>
      </c>
      <c r="L293">
        <v>3.5900000000000001E-2</v>
      </c>
      <c r="M293">
        <v>5.3999999999999999E-2</v>
      </c>
      <c r="N293">
        <v>0.15</v>
      </c>
      <c r="O293">
        <v>42118.33</v>
      </c>
      <c r="P293">
        <v>79431.600000000006</v>
      </c>
      <c r="Q293">
        <v>271.3</v>
      </c>
      <c r="R293">
        <v>19.2</v>
      </c>
      <c r="S293">
        <v>2.68</v>
      </c>
      <c r="T293">
        <v>23.1</v>
      </c>
      <c r="U293">
        <v>981.5</v>
      </c>
      <c r="V293">
        <v>0.2</v>
      </c>
      <c r="W293">
        <v>272.5</v>
      </c>
      <c r="X293">
        <v>50.6</v>
      </c>
      <c r="Y293">
        <v>323.2</v>
      </c>
      <c r="Z293">
        <v>294.8</v>
      </c>
      <c r="AA293">
        <v>21</v>
      </c>
      <c r="AB293">
        <v>2.94</v>
      </c>
      <c r="AC293">
        <v>24.8</v>
      </c>
      <c r="AD293">
        <v>1062.0999999999999</v>
      </c>
      <c r="AE293">
        <v>0.22</v>
      </c>
      <c r="AF293">
        <v>296.2</v>
      </c>
      <c r="AG293">
        <v>54.6</v>
      </c>
      <c r="AH293">
        <v>350.8</v>
      </c>
      <c r="AI293">
        <v>454.8</v>
      </c>
      <c r="AJ293">
        <v>34.9</v>
      </c>
      <c r="AK293">
        <v>4.9400000000000004</v>
      </c>
      <c r="AL293">
        <v>30</v>
      </c>
      <c r="AM293">
        <v>1530.4</v>
      </c>
      <c r="AN293">
        <v>0.22</v>
      </c>
      <c r="AO293">
        <v>457.1</v>
      </c>
      <c r="AP293">
        <v>72.900000000000006</v>
      </c>
      <c r="AQ293">
        <v>530</v>
      </c>
      <c r="AR293">
        <v>789.8</v>
      </c>
      <c r="AS293">
        <v>61.1</v>
      </c>
      <c r="AT293">
        <v>8.73</v>
      </c>
      <c r="AU293">
        <v>52.7</v>
      </c>
      <c r="AV293">
        <v>2572.6</v>
      </c>
      <c r="AW293">
        <v>0.44</v>
      </c>
      <c r="AX293">
        <v>793.9</v>
      </c>
      <c r="AY293">
        <v>124.8</v>
      </c>
      <c r="AZ293">
        <v>918.7</v>
      </c>
      <c r="BA293">
        <v>91610146.599999994</v>
      </c>
      <c r="BB293">
        <v>6478.5</v>
      </c>
      <c r="BC293">
        <v>906.2</v>
      </c>
      <c r="BD293">
        <v>7799382</v>
      </c>
      <c r="BE293">
        <v>331466.3</v>
      </c>
      <c r="BF293">
        <v>68.5</v>
      </c>
      <c r="BG293">
        <v>92031689.700000003</v>
      </c>
      <c r="BH293">
        <v>17098597.399999999</v>
      </c>
      <c r="BI293">
        <v>109130287.09999999</v>
      </c>
      <c r="BJ293">
        <v>0</v>
      </c>
      <c r="BK293">
        <v>0</v>
      </c>
      <c r="BL293">
        <v>91610146.599999994</v>
      </c>
      <c r="BM293">
        <v>99409528.700000003</v>
      </c>
      <c r="BN293">
        <v>109130287.09999999</v>
      </c>
      <c r="BO293">
        <v>35.130000000000003</v>
      </c>
      <c r="BP293">
        <v>8.69</v>
      </c>
      <c r="BQ293">
        <v>0</v>
      </c>
      <c r="BR293">
        <v>43.82</v>
      </c>
      <c r="BS293">
        <v>37.380000000000003</v>
      </c>
      <c r="BT293">
        <v>9.6300000000000008</v>
      </c>
      <c r="BU293">
        <v>0</v>
      </c>
      <c r="BV293">
        <v>47.01</v>
      </c>
      <c r="BW293">
        <v>340019170</v>
      </c>
      <c r="BX293">
        <v>35675856</v>
      </c>
      <c r="BY293">
        <v>122300980</v>
      </c>
      <c r="BZ293">
        <v>49763556</v>
      </c>
      <c r="CA293">
        <v>0</v>
      </c>
      <c r="CB293">
        <v>30534.6</v>
      </c>
      <c r="CC293">
        <v>111309910</v>
      </c>
      <c r="CD293">
        <v>0</v>
      </c>
      <c r="CE293">
        <v>1316387.3999999999</v>
      </c>
      <c r="CF293">
        <v>7065188</v>
      </c>
      <c r="CG293">
        <v>0</v>
      </c>
      <c r="CH293">
        <v>5393573</v>
      </c>
      <c r="CI293">
        <v>0</v>
      </c>
      <c r="CJ293">
        <v>591103.4</v>
      </c>
      <c r="CK293">
        <v>9581278</v>
      </c>
      <c r="CL293">
        <v>0</v>
      </c>
      <c r="CM293">
        <v>21869804</v>
      </c>
      <c r="CN293">
        <v>3633670</v>
      </c>
      <c r="CO293">
        <v>6219135.5</v>
      </c>
      <c r="CP293">
        <v>944046.1</v>
      </c>
      <c r="CQ293">
        <v>0</v>
      </c>
      <c r="CR293">
        <v>1115.2</v>
      </c>
      <c r="CS293">
        <v>0</v>
      </c>
      <c r="CT293">
        <v>870</v>
      </c>
      <c r="CU293">
        <v>14126.2</v>
      </c>
      <c r="CV293">
        <v>0</v>
      </c>
      <c r="CW293">
        <v>0</v>
      </c>
      <c r="CX293">
        <v>2501.1999999999998</v>
      </c>
      <c r="CY293">
        <v>18838.7</v>
      </c>
      <c r="CZ293">
        <v>0</v>
      </c>
      <c r="DA293">
        <v>13366.5</v>
      </c>
      <c r="DB293">
        <v>0</v>
      </c>
      <c r="DC293">
        <v>3524</v>
      </c>
      <c r="DD293">
        <v>15311.8</v>
      </c>
      <c r="DE293">
        <v>714.5</v>
      </c>
      <c r="DF293">
        <v>6185.8</v>
      </c>
      <c r="DG293">
        <v>10561.9</v>
      </c>
      <c r="DH293">
        <v>2640</v>
      </c>
      <c r="DI293">
        <v>208</v>
      </c>
      <c r="DJ293">
        <v>0</v>
      </c>
      <c r="DK293">
        <v>2230.4</v>
      </c>
      <c r="DL293">
        <v>61857.7</v>
      </c>
      <c r="DM293">
        <v>0</v>
      </c>
      <c r="DN293">
        <v>0</v>
      </c>
      <c r="DO293">
        <v>0.02</v>
      </c>
      <c r="DP293">
        <v>0</v>
      </c>
      <c r="DQ293">
        <v>0.08</v>
      </c>
      <c r="DR293">
        <v>0</v>
      </c>
    </row>
    <row r="294" spans="1:122" x14ac:dyDescent="0.3">
      <c r="A294" t="s">
        <v>176</v>
      </c>
      <c r="B294">
        <v>2028</v>
      </c>
      <c r="C294">
        <v>358616467.80000001</v>
      </c>
      <c r="D294">
        <v>347459838.10000002</v>
      </c>
      <c r="E294">
        <v>334967177.19999999</v>
      </c>
      <c r="F294">
        <v>0</v>
      </c>
      <c r="G294">
        <v>9056451</v>
      </c>
      <c r="H294">
        <v>309681450.5</v>
      </c>
      <c r="I294">
        <v>1555096</v>
      </c>
      <c r="J294">
        <v>7501354.5</v>
      </c>
      <c r="K294">
        <v>2100179</v>
      </c>
      <c r="L294">
        <v>3.5900000000000001E-2</v>
      </c>
      <c r="M294">
        <v>5.3999999999999999E-2</v>
      </c>
      <c r="N294">
        <v>0.15</v>
      </c>
      <c r="O294">
        <v>49306.42</v>
      </c>
      <c r="P294">
        <v>80586</v>
      </c>
      <c r="Q294">
        <v>283.8</v>
      </c>
      <c r="R294">
        <v>21.7</v>
      </c>
      <c r="S294">
        <v>3.05</v>
      </c>
      <c r="T294">
        <v>22.4</v>
      </c>
      <c r="U294">
        <v>976.1</v>
      </c>
      <c r="V294">
        <v>0.21</v>
      </c>
      <c r="W294">
        <v>285.2</v>
      </c>
      <c r="X294">
        <v>49.8</v>
      </c>
      <c r="Y294">
        <v>335</v>
      </c>
      <c r="Z294">
        <v>308.3</v>
      </c>
      <c r="AA294">
        <v>23.6</v>
      </c>
      <c r="AB294">
        <v>3.32</v>
      </c>
      <c r="AC294">
        <v>24</v>
      </c>
      <c r="AD294">
        <v>1058</v>
      </c>
      <c r="AE294">
        <v>0.22</v>
      </c>
      <c r="AF294">
        <v>309.89999999999998</v>
      </c>
      <c r="AG294">
        <v>53.7</v>
      </c>
      <c r="AH294">
        <v>363.6</v>
      </c>
      <c r="AI294">
        <v>353.3</v>
      </c>
      <c r="AJ294">
        <v>21.7</v>
      </c>
      <c r="AK294">
        <v>3.01</v>
      </c>
      <c r="AL294">
        <v>28.2</v>
      </c>
      <c r="AM294">
        <v>1359.5</v>
      </c>
      <c r="AN294">
        <v>0.17</v>
      </c>
      <c r="AO294">
        <v>354.8</v>
      </c>
      <c r="AP294">
        <v>66.3</v>
      </c>
      <c r="AQ294">
        <v>421.1</v>
      </c>
      <c r="AR294">
        <v>788.6</v>
      </c>
      <c r="AS294">
        <v>62</v>
      </c>
      <c r="AT294">
        <v>8.85</v>
      </c>
      <c r="AU294">
        <v>51.5</v>
      </c>
      <c r="AV294">
        <v>2550.6</v>
      </c>
      <c r="AW294">
        <v>0.43</v>
      </c>
      <c r="AX294">
        <v>792.7</v>
      </c>
      <c r="AY294">
        <v>123.1</v>
      </c>
      <c r="AZ294">
        <v>915.8</v>
      </c>
      <c r="BA294">
        <v>95995356.599999994</v>
      </c>
      <c r="BB294">
        <v>7323.8</v>
      </c>
      <c r="BC294">
        <v>1032.2</v>
      </c>
      <c r="BD294">
        <v>7573306</v>
      </c>
      <c r="BE294">
        <v>330203.3</v>
      </c>
      <c r="BF294">
        <v>70.7</v>
      </c>
      <c r="BG294">
        <v>96473953</v>
      </c>
      <c r="BH294">
        <v>16837725.800000001</v>
      </c>
      <c r="BI294">
        <v>113311678.7</v>
      </c>
      <c r="BJ294">
        <v>0</v>
      </c>
      <c r="BK294">
        <v>0</v>
      </c>
      <c r="BL294">
        <v>95995356.599999994</v>
      </c>
      <c r="BM294">
        <v>103568662.5</v>
      </c>
      <c r="BN294">
        <v>113311678.7</v>
      </c>
      <c r="BO294">
        <v>36.03</v>
      </c>
      <c r="BP294">
        <v>10.15</v>
      </c>
      <c r="BQ294">
        <v>0</v>
      </c>
      <c r="BR294">
        <v>46.18</v>
      </c>
      <c r="BS294">
        <v>38.340000000000003</v>
      </c>
      <c r="BT294">
        <v>11.25</v>
      </c>
      <c r="BU294">
        <v>0</v>
      </c>
      <c r="BV294">
        <v>49.59</v>
      </c>
      <c r="BW294">
        <v>340662180</v>
      </c>
      <c r="BX294">
        <v>37778388</v>
      </c>
      <c r="BY294">
        <v>122300980</v>
      </c>
      <c r="BZ294">
        <v>57736790</v>
      </c>
      <c r="CA294">
        <v>0</v>
      </c>
      <c r="CB294">
        <v>25183.7</v>
      </c>
      <c r="CC294">
        <v>103045944</v>
      </c>
      <c r="CD294">
        <v>0</v>
      </c>
      <c r="CE294">
        <v>1287888.6000000001</v>
      </c>
      <c r="CF294">
        <v>7059241</v>
      </c>
      <c r="CG294">
        <v>0</v>
      </c>
      <c r="CH294">
        <v>3971758</v>
      </c>
      <c r="CI294">
        <v>0</v>
      </c>
      <c r="CJ294">
        <v>587915.6</v>
      </c>
      <c r="CK294">
        <v>10699133</v>
      </c>
      <c r="CL294">
        <v>0</v>
      </c>
      <c r="CM294">
        <v>21564692</v>
      </c>
      <c r="CN294">
        <v>4926647</v>
      </c>
      <c r="CO294">
        <v>6129414</v>
      </c>
      <c r="CP294">
        <v>1326572.6000000001</v>
      </c>
      <c r="CQ294">
        <v>0</v>
      </c>
      <c r="CR294">
        <v>1473.1</v>
      </c>
      <c r="CS294">
        <v>0</v>
      </c>
      <c r="CT294">
        <v>672.7</v>
      </c>
      <c r="CU294">
        <v>13760.2</v>
      </c>
      <c r="CV294">
        <v>0</v>
      </c>
      <c r="CW294">
        <v>0</v>
      </c>
      <c r="CX294">
        <v>3405.9</v>
      </c>
      <c r="CY294">
        <v>18838.7</v>
      </c>
      <c r="CZ294">
        <v>0</v>
      </c>
      <c r="DA294">
        <v>13366.5</v>
      </c>
      <c r="DB294">
        <v>0</v>
      </c>
      <c r="DC294">
        <v>3524</v>
      </c>
      <c r="DD294">
        <v>15311.8</v>
      </c>
      <c r="DE294">
        <v>714.5</v>
      </c>
      <c r="DF294">
        <v>6185.8</v>
      </c>
      <c r="DG294">
        <v>10561.9</v>
      </c>
      <c r="DH294">
        <v>2959.9</v>
      </c>
      <c r="DI294">
        <v>208</v>
      </c>
      <c r="DJ294">
        <v>0</v>
      </c>
      <c r="DK294">
        <v>3120.4</v>
      </c>
      <c r="DL294">
        <v>61857.7</v>
      </c>
      <c r="DM294">
        <v>0</v>
      </c>
      <c r="DN294">
        <v>0</v>
      </c>
      <c r="DO294">
        <v>0.02</v>
      </c>
      <c r="DP294">
        <v>0</v>
      </c>
      <c r="DQ294">
        <v>0.1</v>
      </c>
      <c r="DR294">
        <v>0</v>
      </c>
    </row>
    <row r="295" spans="1:122" x14ac:dyDescent="0.3">
      <c r="A295" t="s">
        <v>176</v>
      </c>
      <c r="B295">
        <v>2030</v>
      </c>
      <c r="C295">
        <v>368063615.80000001</v>
      </c>
      <c r="D295">
        <v>352349478.80000001</v>
      </c>
      <c r="E295">
        <v>339681014.5</v>
      </c>
      <c r="F295">
        <v>0</v>
      </c>
      <c r="G295">
        <v>13487405</v>
      </c>
      <c r="H295">
        <v>305675507.80000001</v>
      </c>
      <c r="I295">
        <v>6502219.5</v>
      </c>
      <c r="J295">
        <v>6985185.5</v>
      </c>
      <c r="K295">
        <v>2226731.5</v>
      </c>
      <c r="L295">
        <v>3.5900000000000001E-2</v>
      </c>
      <c r="M295">
        <v>5.3999999999999999E-2</v>
      </c>
      <c r="N295">
        <v>0.15</v>
      </c>
      <c r="O295">
        <v>59284.95</v>
      </c>
      <c r="P295">
        <v>81718.3</v>
      </c>
      <c r="Q295">
        <v>266.2</v>
      </c>
      <c r="R295">
        <v>20.3</v>
      </c>
      <c r="S295">
        <v>2.86</v>
      </c>
      <c r="T295">
        <v>21.2</v>
      </c>
      <c r="U295">
        <v>917.4</v>
      </c>
      <c r="V295">
        <v>0.2</v>
      </c>
      <c r="W295">
        <v>267.5</v>
      </c>
      <c r="X295">
        <v>46.9</v>
      </c>
      <c r="Y295">
        <v>314.39999999999998</v>
      </c>
      <c r="Z295">
        <v>290</v>
      </c>
      <c r="AA295">
        <v>22.1</v>
      </c>
      <c r="AB295">
        <v>3.11</v>
      </c>
      <c r="AC295">
        <v>22.9</v>
      </c>
      <c r="AD295">
        <v>999.4</v>
      </c>
      <c r="AE295">
        <v>0.21</v>
      </c>
      <c r="AF295">
        <v>291.39999999999998</v>
      </c>
      <c r="AG295">
        <v>50.9</v>
      </c>
      <c r="AH295">
        <v>342.4</v>
      </c>
      <c r="AI295">
        <v>340.3</v>
      </c>
      <c r="AJ295">
        <v>15.1</v>
      </c>
      <c r="AK295">
        <v>1.99</v>
      </c>
      <c r="AL295">
        <v>32.4</v>
      </c>
      <c r="AM295">
        <v>1497.9</v>
      </c>
      <c r="AN295">
        <v>0.16</v>
      </c>
      <c r="AO295">
        <v>341.3</v>
      </c>
      <c r="AP295">
        <v>74.400000000000006</v>
      </c>
      <c r="AQ295">
        <v>415.7</v>
      </c>
      <c r="AR295">
        <v>770.6</v>
      </c>
      <c r="AS295">
        <v>60.2</v>
      </c>
      <c r="AT295">
        <v>8.61</v>
      </c>
      <c r="AU295">
        <v>51</v>
      </c>
      <c r="AV295">
        <v>2482.5</v>
      </c>
      <c r="AW295">
        <v>0.44</v>
      </c>
      <c r="AX295">
        <v>774.5</v>
      </c>
      <c r="AY295">
        <v>120.6</v>
      </c>
      <c r="AZ295">
        <v>895.2</v>
      </c>
      <c r="BA295">
        <v>91398567.799999997</v>
      </c>
      <c r="BB295">
        <v>6958.5</v>
      </c>
      <c r="BC295">
        <v>980.5</v>
      </c>
      <c r="BD295">
        <v>7282146</v>
      </c>
      <c r="BE295">
        <v>315034.5</v>
      </c>
      <c r="BF295">
        <v>68.5</v>
      </c>
      <c r="BG295">
        <v>91853227.799999997</v>
      </c>
      <c r="BH295">
        <v>16121252.300000001</v>
      </c>
      <c r="BI295">
        <v>107974480.2</v>
      </c>
      <c r="BJ295">
        <v>0</v>
      </c>
      <c r="BK295">
        <v>0</v>
      </c>
      <c r="BL295">
        <v>91398567.799999997</v>
      </c>
      <c r="BM295">
        <v>98680713.799999997</v>
      </c>
      <c r="BN295">
        <v>107974480.2</v>
      </c>
      <c r="BO295">
        <v>34.69</v>
      </c>
      <c r="BP295">
        <v>11.86</v>
      </c>
      <c r="BQ295">
        <v>0</v>
      </c>
      <c r="BR295">
        <v>46.55</v>
      </c>
      <c r="BS295">
        <v>36.96</v>
      </c>
      <c r="BT295">
        <v>13.29</v>
      </c>
      <c r="BU295">
        <v>0</v>
      </c>
      <c r="BV295">
        <v>50.25</v>
      </c>
      <c r="BW295">
        <v>345944500</v>
      </c>
      <c r="BX295">
        <v>46673972</v>
      </c>
      <c r="BY295">
        <v>122300980</v>
      </c>
      <c r="BZ295">
        <v>54814092</v>
      </c>
      <c r="CA295">
        <v>0</v>
      </c>
      <c r="CB295">
        <v>7142.5</v>
      </c>
      <c r="CC295">
        <v>99094696</v>
      </c>
      <c r="CD295">
        <v>0</v>
      </c>
      <c r="CE295">
        <v>826863.8</v>
      </c>
      <c r="CF295">
        <v>7062473.5</v>
      </c>
      <c r="CG295">
        <v>0</v>
      </c>
      <c r="CH295">
        <v>3953212.8</v>
      </c>
      <c r="CI295">
        <v>0</v>
      </c>
      <c r="CJ295">
        <v>592316.6</v>
      </c>
      <c r="CK295">
        <v>10641431</v>
      </c>
      <c r="CL295">
        <v>0</v>
      </c>
      <c r="CM295">
        <v>28339764</v>
      </c>
      <c r="CN295">
        <v>7100461.5</v>
      </c>
      <c r="CO295">
        <v>5663813</v>
      </c>
      <c r="CP295">
        <v>5547271</v>
      </c>
      <c r="CQ295">
        <v>0</v>
      </c>
      <c r="CR295">
        <v>3926.2</v>
      </c>
      <c r="CS295">
        <v>0</v>
      </c>
      <c r="CT295">
        <v>672.7</v>
      </c>
      <c r="CU295">
        <v>13760.2</v>
      </c>
      <c r="CV295">
        <v>0</v>
      </c>
      <c r="CW295">
        <v>0</v>
      </c>
      <c r="CX295">
        <v>4916.7</v>
      </c>
      <c r="CY295">
        <v>18838.7</v>
      </c>
      <c r="CZ295">
        <v>0</v>
      </c>
      <c r="DA295">
        <v>12741.5</v>
      </c>
      <c r="DB295">
        <v>0</v>
      </c>
      <c r="DC295">
        <v>3524</v>
      </c>
      <c r="DD295">
        <v>15311.8</v>
      </c>
      <c r="DE295">
        <v>198.3</v>
      </c>
      <c r="DF295">
        <v>6185.8</v>
      </c>
      <c r="DG295">
        <v>14752.4</v>
      </c>
      <c r="DH295">
        <v>2959.9</v>
      </c>
      <c r="DI295">
        <v>210</v>
      </c>
      <c r="DJ295">
        <v>0</v>
      </c>
      <c r="DK295">
        <v>20598.099999999999</v>
      </c>
      <c r="DL295">
        <v>61857.7</v>
      </c>
      <c r="DM295">
        <v>0</v>
      </c>
      <c r="DN295">
        <v>0</v>
      </c>
      <c r="DO295">
        <v>0.02</v>
      </c>
      <c r="DP295">
        <v>0</v>
      </c>
      <c r="DQ295">
        <v>0.12</v>
      </c>
      <c r="DR295">
        <v>0</v>
      </c>
    </row>
    <row r="296" spans="1:122" x14ac:dyDescent="0.3">
      <c r="A296" t="s">
        <v>176</v>
      </c>
      <c r="B296">
        <v>2032</v>
      </c>
      <c r="C296">
        <v>374719249.30000001</v>
      </c>
      <c r="D296">
        <v>358354876.5</v>
      </c>
      <c r="E296">
        <v>345470492.60000002</v>
      </c>
      <c r="F296">
        <v>0</v>
      </c>
      <c r="G296">
        <v>14018294</v>
      </c>
      <c r="H296">
        <v>308398667.30000001</v>
      </c>
      <c r="I296">
        <v>7949406.5</v>
      </c>
      <c r="J296">
        <v>6068888.5</v>
      </c>
      <c r="K296">
        <v>2346078.6</v>
      </c>
      <c r="L296">
        <v>3.5900000000000001E-2</v>
      </c>
      <c r="M296">
        <v>5.3999999999999999E-2</v>
      </c>
      <c r="N296">
        <v>0.15</v>
      </c>
      <c r="O296">
        <v>70229.95</v>
      </c>
      <c r="P296">
        <v>83115</v>
      </c>
      <c r="Q296">
        <v>257.39999999999998</v>
      </c>
      <c r="R296">
        <v>19.3</v>
      </c>
      <c r="S296">
        <v>2.72</v>
      </c>
      <c r="T296">
        <v>20.9</v>
      </c>
      <c r="U296">
        <v>896.4</v>
      </c>
      <c r="V296">
        <v>0.19</v>
      </c>
      <c r="W296">
        <v>258.7</v>
      </c>
      <c r="X296">
        <v>46</v>
      </c>
      <c r="Y296">
        <v>304.7</v>
      </c>
      <c r="Z296">
        <v>281.3</v>
      </c>
      <c r="AA296">
        <v>21.1</v>
      </c>
      <c r="AB296">
        <v>2.96</v>
      </c>
      <c r="AC296">
        <v>22.6</v>
      </c>
      <c r="AD296">
        <v>980.5</v>
      </c>
      <c r="AE296">
        <v>0.21</v>
      </c>
      <c r="AF296">
        <v>282.7</v>
      </c>
      <c r="AG296">
        <v>50.1</v>
      </c>
      <c r="AH296">
        <v>332.8</v>
      </c>
      <c r="AI296">
        <v>291.2</v>
      </c>
      <c r="AJ296">
        <v>7.6</v>
      </c>
      <c r="AK296">
        <v>0.88</v>
      </c>
      <c r="AL296">
        <v>32.5</v>
      </c>
      <c r="AM296">
        <v>1453.4</v>
      </c>
      <c r="AN296">
        <v>0.13</v>
      </c>
      <c r="AO296">
        <v>291.7</v>
      </c>
      <c r="AP296">
        <v>73.2</v>
      </c>
      <c r="AQ296">
        <v>364.9</v>
      </c>
      <c r="AR296">
        <v>759.7</v>
      </c>
      <c r="AS296">
        <v>59.1</v>
      </c>
      <c r="AT296">
        <v>8.43</v>
      </c>
      <c r="AU296">
        <v>50.3</v>
      </c>
      <c r="AV296">
        <v>2474.1</v>
      </c>
      <c r="AW296">
        <v>0.42</v>
      </c>
      <c r="AX296">
        <v>763.6</v>
      </c>
      <c r="AY296">
        <v>119.6</v>
      </c>
      <c r="AZ296">
        <v>883.2</v>
      </c>
      <c r="BA296">
        <v>88655630.5</v>
      </c>
      <c r="BB296">
        <v>6652.3</v>
      </c>
      <c r="BC296">
        <v>936</v>
      </c>
      <c r="BD296">
        <v>7187700.7000000002</v>
      </c>
      <c r="BE296">
        <v>308750.40000000002</v>
      </c>
      <c r="BF296">
        <v>67.099999999999994</v>
      </c>
      <c r="BG296">
        <v>89089936.400000006</v>
      </c>
      <c r="BH296">
        <v>15850493.199999999</v>
      </c>
      <c r="BI296">
        <v>104940429.59999999</v>
      </c>
      <c r="BJ296">
        <v>0</v>
      </c>
      <c r="BK296">
        <v>0</v>
      </c>
      <c r="BL296">
        <v>88655630.5</v>
      </c>
      <c r="BM296">
        <v>95843331.200000003</v>
      </c>
      <c r="BN296">
        <v>104940429.59999999</v>
      </c>
      <c r="BO296">
        <v>34.020000000000003</v>
      </c>
      <c r="BP296">
        <v>13.98</v>
      </c>
      <c r="BQ296">
        <v>0</v>
      </c>
      <c r="BR296">
        <v>48</v>
      </c>
      <c r="BS296">
        <v>36.229999999999997</v>
      </c>
      <c r="BT296">
        <v>15.67</v>
      </c>
      <c r="BU296">
        <v>0</v>
      </c>
      <c r="BV296">
        <v>51.9</v>
      </c>
      <c r="BW296">
        <v>346987040</v>
      </c>
      <c r="BX296">
        <v>49956210</v>
      </c>
      <c r="BY296">
        <v>122300980</v>
      </c>
      <c r="BZ296">
        <v>52225060</v>
      </c>
      <c r="CA296">
        <v>0</v>
      </c>
      <c r="CB296">
        <v>5512.3</v>
      </c>
      <c r="CC296">
        <v>99062510</v>
      </c>
      <c r="CD296">
        <v>0</v>
      </c>
      <c r="CE296">
        <v>635653.9</v>
      </c>
      <c r="CF296">
        <v>7060302.5</v>
      </c>
      <c r="CG296">
        <v>0</v>
      </c>
      <c r="CH296">
        <v>3942797.2</v>
      </c>
      <c r="CI296">
        <v>0</v>
      </c>
      <c r="CJ296">
        <v>791704.9</v>
      </c>
      <c r="CK296">
        <v>10584044</v>
      </c>
      <c r="CL296">
        <v>0</v>
      </c>
      <c r="CM296">
        <v>29329012</v>
      </c>
      <c r="CN296">
        <v>9251450</v>
      </c>
      <c r="CO296">
        <v>4995720.5</v>
      </c>
      <c r="CP296">
        <v>6802298.5</v>
      </c>
      <c r="CQ296">
        <v>0</v>
      </c>
      <c r="CR296">
        <v>4894.8</v>
      </c>
      <c r="CS296">
        <v>0</v>
      </c>
      <c r="CT296">
        <v>672.7</v>
      </c>
      <c r="CU296">
        <v>13760.2</v>
      </c>
      <c r="CV296">
        <v>0</v>
      </c>
      <c r="CW296">
        <v>0</v>
      </c>
      <c r="CX296">
        <v>6433.4</v>
      </c>
      <c r="CY296">
        <v>18913</v>
      </c>
      <c r="CZ296">
        <v>0</v>
      </c>
      <c r="DA296">
        <v>12741.5</v>
      </c>
      <c r="DB296">
        <v>0</v>
      </c>
      <c r="DC296">
        <v>3524</v>
      </c>
      <c r="DD296">
        <v>15311.8</v>
      </c>
      <c r="DE296">
        <v>198.3</v>
      </c>
      <c r="DF296">
        <v>6185.8</v>
      </c>
      <c r="DG296">
        <v>15513.9</v>
      </c>
      <c r="DH296">
        <v>2959.9</v>
      </c>
      <c r="DI296">
        <v>264.5</v>
      </c>
      <c r="DJ296">
        <v>0</v>
      </c>
      <c r="DK296">
        <v>25368.3</v>
      </c>
      <c r="DL296">
        <v>61857.7</v>
      </c>
      <c r="DM296">
        <v>0</v>
      </c>
      <c r="DN296">
        <v>0</v>
      </c>
      <c r="DO296">
        <v>0.02</v>
      </c>
      <c r="DP296">
        <v>0</v>
      </c>
      <c r="DQ296">
        <v>0.14000000000000001</v>
      </c>
      <c r="DR296">
        <v>0</v>
      </c>
    </row>
    <row r="297" spans="1:122" x14ac:dyDescent="0.3">
      <c r="A297" t="s">
        <v>176</v>
      </c>
      <c r="B297">
        <v>2034</v>
      </c>
      <c r="C297">
        <v>381888668.19999999</v>
      </c>
      <c r="D297">
        <v>364491539.60000002</v>
      </c>
      <c r="E297">
        <v>351386516.60000002</v>
      </c>
      <c r="F297">
        <v>0</v>
      </c>
      <c r="G297">
        <v>15093582</v>
      </c>
      <c r="H297">
        <v>304280288</v>
      </c>
      <c r="I297">
        <v>9270413</v>
      </c>
      <c r="J297">
        <v>5823170</v>
      </c>
      <c r="K297">
        <v>2303545.7999999998</v>
      </c>
      <c r="L297">
        <v>3.5900000000000001E-2</v>
      </c>
      <c r="M297">
        <v>5.3999999999999999E-2</v>
      </c>
      <c r="N297">
        <v>0.15</v>
      </c>
      <c r="O297">
        <v>73114.600000000006</v>
      </c>
      <c r="P297">
        <v>84535.4</v>
      </c>
      <c r="Q297">
        <v>237.4</v>
      </c>
      <c r="R297">
        <v>16.899999999999999</v>
      </c>
      <c r="S297">
        <v>2.36</v>
      </c>
      <c r="T297">
        <v>20.3</v>
      </c>
      <c r="U297">
        <v>857.6</v>
      </c>
      <c r="V297">
        <v>0.18</v>
      </c>
      <c r="W297">
        <v>238.5</v>
      </c>
      <c r="X297">
        <v>44.3</v>
      </c>
      <c r="Y297">
        <v>282.8</v>
      </c>
      <c r="Z297">
        <v>261.5</v>
      </c>
      <c r="AA297">
        <v>18.600000000000001</v>
      </c>
      <c r="AB297">
        <v>2.61</v>
      </c>
      <c r="AC297">
        <v>22</v>
      </c>
      <c r="AD297">
        <v>942.2</v>
      </c>
      <c r="AE297">
        <v>0.2</v>
      </c>
      <c r="AF297">
        <v>262.7</v>
      </c>
      <c r="AG297">
        <v>48.5</v>
      </c>
      <c r="AH297">
        <v>311.2</v>
      </c>
      <c r="AI297">
        <v>285.10000000000002</v>
      </c>
      <c r="AJ297">
        <v>5.6</v>
      </c>
      <c r="AK297">
        <v>0.56999999999999995</v>
      </c>
      <c r="AL297">
        <v>33.5</v>
      </c>
      <c r="AM297">
        <v>1483.6</v>
      </c>
      <c r="AN297">
        <v>0.12</v>
      </c>
      <c r="AO297">
        <v>285.39999999999998</v>
      </c>
      <c r="AP297">
        <v>75.099999999999994</v>
      </c>
      <c r="AQ297">
        <v>360.5</v>
      </c>
      <c r="AR297">
        <v>749</v>
      </c>
      <c r="AS297">
        <v>58.5</v>
      </c>
      <c r="AT297">
        <v>8.32</v>
      </c>
      <c r="AU297">
        <v>48.9</v>
      </c>
      <c r="AV297">
        <v>2461.4</v>
      </c>
      <c r="AW297">
        <v>0.39</v>
      </c>
      <c r="AX297">
        <v>752.9</v>
      </c>
      <c r="AY297">
        <v>117.9</v>
      </c>
      <c r="AZ297">
        <v>870.8</v>
      </c>
      <c r="BA297">
        <v>84246700.400000006</v>
      </c>
      <c r="BB297">
        <v>5979.8</v>
      </c>
      <c r="BC297">
        <v>836.7</v>
      </c>
      <c r="BD297">
        <v>7201240.5999999996</v>
      </c>
      <c r="BE297">
        <v>304356.40000000002</v>
      </c>
      <c r="BF297">
        <v>64.8</v>
      </c>
      <c r="BG297">
        <v>84635862</v>
      </c>
      <c r="BH297">
        <v>15740393</v>
      </c>
      <c r="BI297">
        <v>100376255</v>
      </c>
      <c r="BJ297">
        <v>0</v>
      </c>
      <c r="BK297">
        <v>0</v>
      </c>
      <c r="BL297">
        <v>84246700.400000006</v>
      </c>
      <c r="BM297">
        <v>91447940.900000006</v>
      </c>
      <c r="BN297">
        <v>100376255</v>
      </c>
      <c r="BO297">
        <v>33.56</v>
      </c>
      <c r="BP297">
        <v>14.48</v>
      </c>
      <c r="BQ297">
        <v>0</v>
      </c>
      <c r="BR297">
        <v>48.04</v>
      </c>
      <c r="BS297">
        <v>35.76</v>
      </c>
      <c r="BT297">
        <v>16.27</v>
      </c>
      <c r="BU297">
        <v>0</v>
      </c>
      <c r="BV297">
        <v>52.03</v>
      </c>
      <c r="BW297">
        <v>357552320</v>
      </c>
      <c r="BX297">
        <v>60211252</v>
      </c>
      <c r="BY297">
        <v>122300980</v>
      </c>
      <c r="BZ297">
        <v>46083116</v>
      </c>
      <c r="CA297">
        <v>0</v>
      </c>
      <c r="CB297">
        <v>5019.1000000000004</v>
      </c>
      <c r="CC297">
        <v>104778200</v>
      </c>
      <c r="CD297">
        <v>0</v>
      </c>
      <c r="CE297">
        <v>543876</v>
      </c>
      <c r="CF297">
        <v>7065317.5</v>
      </c>
      <c r="CG297">
        <v>0</v>
      </c>
      <c r="CH297">
        <v>3928067.5</v>
      </c>
      <c r="CI297">
        <v>0</v>
      </c>
      <c r="CJ297">
        <v>7159945</v>
      </c>
      <c r="CK297">
        <v>10526973</v>
      </c>
      <c r="CL297">
        <v>0</v>
      </c>
      <c r="CM297">
        <v>31254570</v>
      </c>
      <c r="CN297">
        <v>11269763</v>
      </c>
      <c r="CO297">
        <v>4731860</v>
      </c>
      <c r="CP297">
        <v>7904623</v>
      </c>
      <c r="CQ297">
        <v>0</v>
      </c>
      <c r="CR297">
        <v>5743</v>
      </c>
      <c r="CS297">
        <v>0</v>
      </c>
      <c r="CT297">
        <v>672.7</v>
      </c>
      <c r="CU297">
        <v>12904.9</v>
      </c>
      <c r="CV297">
        <v>0</v>
      </c>
      <c r="CW297">
        <v>0</v>
      </c>
      <c r="CX297">
        <v>7881.1</v>
      </c>
      <c r="CY297">
        <v>20142.099999999999</v>
      </c>
      <c r="CZ297">
        <v>0</v>
      </c>
      <c r="DA297">
        <v>12741.5</v>
      </c>
      <c r="DB297">
        <v>0</v>
      </c>
      <c r="DC297">
        <v>3524</v>
      </c>
      <c r="DD297">
        <v>15311.8</v>
      </c>
      <c r="DE297">
        <v>198.3</v>
      </c>
      <c r="DF297">
        <v>6185.8</v>
      </c>
      <c r="DG297">
        <v>16451.099999999999</v>
      </c>
      <c r="DH297">
        <v>2959.9</v>
      </c>
      <c r="DI297">
        <v>2139.4</v>
      </c>
      <c r="DJ297">
        <v>0</v>
      </c>
      <c r="DK297">
        <v>29083.4</v>
      </c>
      <c r="DL297">
        <v>61857.7</v>
      </c>
      <c r="DM297">
        <v>0</v>
      </c>
      <c r="DN297">
        <v>0</v>
      </c>
      <c r="DO297">
        <v>0.02</v>
      </c>
      <c r="DP297">
        <v>0</v>
      </c>
      <c r="DQ297">
        <v>0.16</v>
      </c>
      <c r="DR297">
        <v>0</v>
      </c>
    </row>
    <row r="298" spans="1:122" x14ac:dyDescent="0.3">
      <c r="A298" t="s">
        <v>176</v>
      </c>
      <c r="B298">
        <v>2036</v>
      </c>
      <c r="C298">
        <v>389002965.19999999</v>
      </c>
      <c r="D298">
        <v>371382979.69999999</v>
      </c>
      <c r="E298">
        <v>358030180</v>
      </c>
      <c r="F298">
        <v>0</v>
      </c>
      <c r="G298">
        <v>15147264</v>
      </c>
      <c r="H298">
        <v>308590981.10000002</v>
      </c>
      <c r="I298">
        <v>9659667</v>
      </c>
      <c r="J298">
        <v>5487596.5</v>
      </c>
      <c r="K298">
        <v>2472721.9</v>
      </c>
      <c r="L298">
        <v>3.5900000000000001E-2</v>
      </c>
      <c r="M298">
        <v>5.3999999999999999E-2</v>
      </c>
      <c r="N298">
        <v>0.15</v>
      </c>
      <c r="O298">
        <v>77423.100000000006</v>
      </c>
      <c r="P298">
        <v>86134.3</v>
      </c>
      <c r="Q298">
        <v>233.5</v>
      </c>
      <c r="R298">
        <v>16.399999999999999</v>
      </c>
      <c r="S298">
        <v>2.29</v>
      </c>
      <c r="T298">
        <v>20.100000000000001</v>
      </c>
      <c r="U298">
        <v>849.7</v>
      </c>
      <c r="V298">
        <v>0.18</v>
      </c>
      <c r="W298">
        <v>234.5</v>
      </c>
      <c r="X298">
        <v>44</v>
      </c>
      <c r="Y298">
        <v>278.5</v>
      </c>
      <c r="Z298">
        <v>258.7</v>
      </c>
      <c r="AA298">
        <v>18.2</v>
      </c>
      <c r="AB298">
        <v>2.5499999999999998</v>
      </c>
      <c r="AC298">
        <v>21.9</v>
      </c>
      <c r="AD298">
        <v>938.3</v>
      </c>
      <c r="AE298">
        <v>0.19</v>
      </c>
      <c r="AF298">
        <v>259.89999999999998</v>
      </c>
      <c r="AG298">
        <v>48.3</v>
      </c>
      <c r="AH298">
        <v>308.2</v>
      </c>
      <c r="AI298">
        <v>266.39999999999998</v>
      </c>
      <c r="AJ298">
        <v>5.4</v>
      </c>
      <c r="AK298">
        <v>0.56000000000000005</v>
      </c>
      <c r="AL298">
        <v>31.2</v>
      </c>
      <c r="AM298">
        <v>1380.2</v>
      </c>
      <c r="AN298">
        <v>0.12</v>
      </c>
      <c r="AO298">
        <v>266.7</v>
      </c>
      <c r="AP298">
        <v>69.8</v>
      </c>
      <c r="AQ298">
        <v>336.5</v>
      </c>
      <c r="AR298">
        <v>727.4</v>
      </c>
      <c r="AS298">
        <v>55.7</v>
      </c>
      <c r="AT298">
        <v>7.92</v>
      </c>
      <c r="AU298">
        <v>48.7</v>
      </c>
      <c r="AV298">
        <v>2415.5</v>
      </c>
      <c r="AW298">
        <v>0.39</v>
      </c>
      <c r="AX298">
        <v>731.1</v>
      </c>
      <c r="AY298">
        <v>116.4</v>
      </c>
      <c r="AZ298">
        <v>847.5</v>
      </c>
      <c r="BA298">
        <v>83697136.900000006</v>
      </c>
      <c r="BB298">
        <v>5870.2</v>
      </c>
      <c r="BC298">
        <v>820.4</v>
      </c>
      <c r="BD298">
        <v>7226201.7999999998</v>
      </c>
      <c r="BE298">
        <v>304624.90000000002</v>
      </c>
      <c r="BF298">
        <v>64.5</v>
      </c>
      <c r="BG298">
        <v>84078896.099999994</v>
      </c>
      <c r="BH298">
        <v>15772791.5</v>
      </c>
      <c r="BI298">
        <v>99851687.599999994</v>
      </c>
      <c r="BJ298">
        <v>0</v>
      </c>
      <c r="BK298">
        <v>0</v>
      </c>
      <c r="BL298">
        <v>83697136.900000006</v>
      </c>
      <c r="BM298">
        <v>90923338.799999997</v>
      </c>
      <c r="BN298">
        <v>99851687.599999994</v>
      </c>
      <c r="BO298">
        <v>33.21</v>
      </c>
      <c r="BP298">
        <v>15.32</v>
      </c>
      <c r="BQ298">
        <v>0</v>
      </c>
      <c r="BR298">
        <v>48.53</v>
      </c>
      <c r="BS298">
        <v>35.369999999999997</v>
      </c>
      <c r="BT298">
        <v>17.21</v>
      </c>
      <c r="BU298">
        <v>0</v>
      </c>
      <c r="BV298">
        <v>52.59</v>
      </c>
      <c r="BW298">
        <v>361262800</v>
      </c>
      <c r="BX298">
        <v>62792000</v>
      </c>
      <c r="BY298">
        <v>122300980</v>
      </c>
      <c r="BZ298">
        <v>45001236</v>
      </c>
      <c r="CA298">
        <v>0</v>
      </c>
      <c r="CB298">
        <v>4635.2</v>
      </c>
      <c r="CC298">
        <v>106928330</v>
      </c>
      <c r="CD298">
        <v>0</v>
      </c>
      <c r="CE298">
        <v>464716</v>
      </c>
      <c r="CF298">
        <v>7059357</v>
      </c>
      <c r="CG298">
        <v>0</v>
      </c>
      <c r="CH298">
        <v>3916192.8</v>
      </c>
      <c r="CI298">
        <v>0</v>
      </c>
      <c r="CJ298">
        <v>8000470.5</v>
      </c>
      <c r="CK298">
        <v>10470199</v>
      </c>
      <c r="CL298">
        <v>0</v>
      </c>
      <c r="CM298">
        <v>31080768</v>
      </c>
      <c r="CN298">
        <v>13240561</v>
      </c>
      <c r="CO298">
        <v>4528359.5</v>
      </c>
      <c r="CP298">
        <v>8266997</v>
      </c>
      <c r="CQ298">
        <v>0</v>
      </c>
      <c r="CR298">
        <v>6096.6</v>
      </c>
      <c r="CS298">
        <v>0</v>
      </c>
      <c r="CT298">
        <v>672.7</v>
      </c>
      <c r="CU298">
        <v>12904.9</v>
      </c>
      <c r="CV298">
        <v>0</v>
      </c>
      <c r="CW298">
        <v>0</v>
      </c>
      <c r="CX298">
        <v>9315.5</v>
      </c>
      <c r="CY298">
        <v>21222.2</v>
      </c>
      <c r="CZ298">
        <v>0</v>
      </c>
      <c r="DA298">
        <v>12741.5</v>
      </c>
      <c r="DB298">
        <v>0</v>
      </c>
      <c r="DC298">
        <v>3524</v>
      </c>
      <c r="DD298">
        <v>15311.8</v>
      </c>
      <c r="DE298">
        <v>198.3</v>
      </c>
      <c r="DF298">
        <v>6185.8</v>
      </c>
      <c r="DG298">
        <v>16535.2</v>
      </c>
      <c r="DH298">
        <v>2959.9</v>
      </c>
      <c r="DI298">
        <v>2414.4</v>
      </c>
      <c r="DJ298">
        <v>0</v>
      </c>
      <c r="DK298">
        <v>30253.5</v>
      </c>
      <c r="DL298">
        <v>61857.7</v>
      </c>
      <c r="DM298">
        <v>0</v>
      </c>
      <c r="DN298">
        <v>0</v>
      </c>
      <c r="DO298">
        <v>0.02</v>
      </c>
      <c r="DP298">
        <v>0</v>
      </c>
      <c r="DQ298">
        <v>0.18</v>
      </c>
      <c r="DR298">
        <v>0</v>
      </c>
    </row>
    <row r="299" spans="1:122" x14ac:dyDescent="0.3">
      <c r="A299" t="s">
        <v>176</v>
      </c>
      <c r="B299">
        <v>2038</v>
      </c>
      <c r="C299">
        <v>399374914</v>
      </c>
      <c r="D299">
        <v>378963563.39999998</v>
      </c>
      <c r="E299">
        <v>365338209.39999998</v>
      </c>
      <c r="F299">
        <v>0</v>
      </c>
      <c r="G299">
        <v>17823706</v>
      </c>
      <c r="H299">
        <v>306773951</v>
      </c>
      <c r="I299">
        <v>12747144</v>
      </c>
      <c r="J299">
        <v>5076562</v>
      </c>
      <c r="K299">
        <v>2587644.5</v>
      </c>
      <c r="L299">
        <v>3.5900000000000001E-2</v>
      </c>
      <c r="M299">
        <v>5.3999999999999999E-2</v>
      </c>
      <c r="N299">
        <v>0.15</v>
      </c>
      <c r="O299">
        <v>80522.41</v>
      </c>
      <c r="P299">
        <v>87893.6</v>
      </c>
      <c r="Q299">
        <v>220.9</v>
      </c>
      <c r="R299">
        <v>15</v>
      </c>
      <c r="S299">
        <v>2.09</v>
      </c>
      <c r="T299">
        <v>19.5</v>
      </c>
      <c r="U299">
        <v>819.5</v>
      </c>
      <c r="V299">
        <v>0.17</v>
      </c>
      <c r="W299">
        <v>221.9</v>
      </c>
      <c r="X299">
        <v>42.5</v>
      </c>
      <c r="Y299">
        <v>264.39999999999998</v>
      </c>
      <c r="Z299">
        <v>247.3</v>
      </c>
      <c r="AA299">
        <v>16.8</v>
      </c>
      <c r="AB299">
        <v>2.34</v>
      </c>
      <c r="AC299">
        <v>21.5</v>
      </c>
      <c r="AD299">
        <v>915.9</v>
      </c>
      <c r="AE299">
        <v>0.18</v>
      </c>
      <c r="AF299">
        <v>248.4</v>
      </c>
      <c r="AG299">
        <v>47.2</v>
      </c>
      <c r="AH299">
        <v>295.5</v>
      </c>
      <c r="AI299">
        <v>273.89999999999998</v>
      </c>
      <c r="AJ299">
        <v>6.1</v>
      </c>
      <c r="AK299">
        <v>0.66</v>
      </c>
      <c r="AL299">
        <v>31.5</v>
      </c>
      <c r="AM299">
        <v>1402.2</v>
      </c>
      <c r="AN299">
        <v>0.12</v>
      </c>
      <c r="AO299">
        <v>274.2</v>
      </c>
      <c r="AP299">
        <v>70.8</v>
      </c>
      <c r="AQ299">
        <v>345</v>
      </c>
      <c r="AR299">
        <v>698.3</v>
      </c>
      <c r="AS299">
        <v>51.7</v>
      </c>
      <c r="AT299">
        <v>7.31</v>
      </c>
      <c r="AU299">
        <v>48.2</v>
      </c>
      <c r="AV299">
        <v>2387.1999999999998</v>
      </c>
      <c r="AW299">
        <v>0.36</v>
      </c>
      <c r="AX299">
        <v>701.6</v>
      </c>
      <c r="AY299">
        <v>115.1</v>
      </c>
      <c r="AZ299">
        <v>816.8</v>
      </c>
      <c r="BA299">
        <v>81351676.599999994</v>
      </c>
      <c r="BB299">
        <v>5526.8</v>
      </c>
      <c r="BC299">
        <v>769.8</v>
      </c>
      <c r="BD299">
        <v>7178506.9000000004</v>
      </c>
      <c r="BE299">
        <v>301784</v>
      </c>
      <c r="BF299">
        <v>63.1</v>
      </c>
      <c r="BG299">
        <v>81710410.599999994</v>
      </c>
      <c r="BH299">
        <v>15645179.1</v>
      </c>
      <c r="BI299">
        <v>97355589.700000003</v>
      </c>
      <c r="BJ299">
        <v>0</v>
      </c>
      <c r="BK299">
        <v>0</v>
      </c>
      <c r="BL299">
        <v>81351676.599999994</v>
      </c>
      <c r="BM299">
        <v>88530183.5</v>
      </c>
      <c r="BN299">
        <v>97355589.700000003</v>
      </c>
      <c r="BO299">
        <v>32.44</v>
      </c>
      <c r="BP299">
        <v>15.8</v>
      </c>
      <c r="BQ299">
        <v>0</v>
      </c>
      <c r="BR299">
        <v>48.24</v>
      </c>
      <c r="BS299">
        <v>34.57</v>
      </c>
      <c r="BT299">
        <v>17.86</v>
      </c>
      <c r="BU299">
        <v>0</v>
      </c>
      <c r="BV299">
        <v>52.43</v>
      </c>
      <c r="BW299">
        <v>371044860</v>
      </c>
      <c r="BX299">
        <v>72189620</v>
      </c>
      <c r="BY299">
        <v>122300980</v>
      </c>
      <c r="BZ299">
        <v>41898110</v>
      </c>
      <c r="CA299">
        <v>0</v>
      </c>
      <c r="CB299">
        <v>3520.1</v>
      </c>
      <c r="CC299">
        <v>109290130</v>
      </c>
      <c r="CD299">
        <v>0</v>
      </c>
      <c r="CE299">
        <v>392597.4</v>
      </c>
      <c r="CF299">
        <v>7067609</v>
      </c>
      <c r="CG299">
        <v>0</v>
      </c>
      <c r="CH299">
        <v>2889224.8</v>
      </c>
      <c r="CI299">
        <v>0</v>
      </c>
      <c r="CJ299">
        <v>13378201</v>
      </c>
      <c r="CK299">
        <v>10413736</v>
      </c>
      <c r="CL299">
        <v>0</v>
      </c>
      <c r="CM299">
        <v>34224596</v>
      </c>
      <c r="CN299">
        <v>14173080</v>
      </c>
      <c r="CO299">
        <v>4126838.5</v>
      </c>
      <c r="CP299">
        <v>10886242</v>
      </c>
      <c r="CQ299">
        <v>0</v>
      </c>
      <c r="CR299">
        <v>7737.9</v>
      </c>
      <c r="CS299">
        <v>0</v>
      </c>
      <c r="CT299">
        <v>530.70000000000005</v>
      </c>
      <c r="CU299">
        <v>12904.9</v>
      </c>
      <c r="CV299">
        <v>0</v>
      </c>
      <c r="CW299">
        <v>0</v>
      </c>
      <c r="CX299">
        <v>10070.4</v>
      </c>
      <c r="CY299">
        <v>21955.5</v>
      </c>
      <c r="CZ299">
        <v>0</v>
      </c>
      <c r="DA299">
        <v>12792.9</v>
      </c>
      <c r="DB299">
        <v>0</v>
      </c>
      <c r="DC299">
        <v>3524</v>
      </c>
      <c r="DD299">
        <v>15311.8</v>
      </c>
      <c r="DE299">
        <v>198.3</v>
      </c>
      <c r="DF299">
        <v>6185.8</v>
      </c>
      <c r="DG299">
        <v>18526.5</v>
      </c>
      <c r="DH299">
        <v>2959.9</v>
      </c>
      <c r="DI299">
        <v>4076.5</v>
      </c>
      <c r="DJ299">
        <v>0</v>
      </c>
      <c r="DK299">
        <v>41955.199999999997</v>
      </c>
      <c r="DL299">
        <v>61857.7</v>
      </c>
      <c r="DM299">
        <v>0</v>
      </c>
      <c r="DN299">
        <v>0</v>
      </c>
      <c r="DO299">
        <v>0.02</v>
      </c>
      <c r="DP299">
        <v>0</v>
      </c>
      <c r="DQ299">
        <v>0.2</v>
      </c>
      <c r="DR299">
        <v>0</v>
      </c>
    </row>
    <row r="300" spans="1:122" x14ac:dyDescent="0.3">
      <c r="A300" t="s">
        <v>176</v>
      </c>
      <c r="B300">
        <v>2040</v>
      </c>
      <c r="C300">
        <v>407152851.5</v>
      </c>
      <c r="D300">
        <v>386544147.39999998</v>
      </c>
      <c r="E300">
        <v>372646239.19999999</v>
      </c>
      <c r="F300">
        <v>0</v>
      </c>
      <c r="G300">
        <v>18013832</v>
      </c>
      <c r="H300">
        <v>303798318.19999999</v>
      </c>
      <c r="I300">
        <v>13072735</v>
      </c>
      <c r="J300">
        <v>4941096.5</v>
      </c>
      <c r="K300">
        <v>2594872.4</v>
      </c>
      <c r="L300">
        <v>3.5900000000000001E-2</v>
      </c>
      <c r="M300">
        <v>5.3999999999999999E-2</v>
      </c>
      <c r="N300">
        <v>0.15</v>
      </c>
      <c r="O300">
        <v>82298.759999999995</v>
      </c>
      <c r="P300">
        <v>89650.5</v>
      </c>
      <c r="Q300">
        <v>208.1</v>
      </c>
      <c r="R300">
        <v>13.3</v>
      </c>
      <c r="S300">
        <v>1.84</v>
      </c>
      <c r="T300">
        <v>19.100000000000001</v>
      </c>
      <c r="U300">
        <v>797.5</v>
      </c>
      <c r="V300">
        <v>0.16</v>
      </c>
      <c r="W300">
        <v>208.9</v>
      </c>
      <c r="X300">
        <v>41.4</v>
      </c>
      <c r="Y300">
        <v>250.4</v>
      </c>
      <c r="Z300">
        <v>234.4</v>
      </c>
      <c r="AA300">
        <v>15.1</v>
      </c>
      <c r="AB300">
        <v>2.09</v>
      </c>
      <c r="AC300">
        <v>21.1</v>
      </c>
      <c r="AD300">
        <v>894.7</v>
      </c>
      <c r="AE300">
        <v>0.18</v>
      </c>
      <c r="AF300">
        <v>235.3</v>
      </c>
      <c r="AG300">
        <v>46.2</v>
      </c>
      <c r="AH300">
        <v>281.5</v>
      </c>
      <c r="AI300">
        <v>250.1</v>
      </c>
      <c r="AJ300">
        <v>5.7</v>
      </c>
      <c r="AK300">
        <v>0.62</v>
      </c>
      <c r="AL300">
        <v>28.7</v>
      </c>
      <c r="AM300">
        <v>1278.0999999999999</v>
      </c>
      <c r="AN300">
        <v>0.11</v>
      </c>
      <c r="AO300">
        <v>250.5</v>
      </c>
      <c r="AP300">
        <v>64.5</v>
      </c>
      <c r="AQ300">
        <v>315</v>
      </c>
      <c r="AR300">
        <v>684.4</v>
      </c>
      <c r="AS300">
        <v>50</v>
      </c>
      <c r="AT300">
        <v>7.06</v>
      </c>
      <c r="AU300">
        <v>47.9</v>
      </c>
      <c r="AV300">
        <v>2359.4</v>
      </c>
      <c r="AW300">
        <v>0.35</v>
      </c>
      <c r="AX300">
        <v>687.7</v>
      </c>
      <c r="AY300">
        <v>114.1</v>
      </c>
      <c r="AZ300">
        <v>801.8</v>
      </c>
      <c r="BA300">
        <v>79183674.299999997</v>
      </c>
      <c r="BB300">
        <v>5069.5</v>
      </c>
      <c r="BC300">
        <v>701.4</v>
      </c>
      <c r="BD300">
        <v>7258453.0999999996</v>
      </c>
      <c r="BE300">
        <v>303579.3</v>
      </c>
      <c r="BF300">
        <v>61.7</v>
      </c>
      <c r="BG300">
        <v>79511488.299999997</v>
      </c>
      <c r="BH300">
        <v>15775026</v>
      </c>
      <c r="BI300">
        <v>95286514.299999997</v>
      </c>
      <c r="BJ300">
        <v>0</v>
      </c>
      <c r="BK300">
        <v>0</v>
      </c>
      <c r="BL300">
        <v>79183674.299999997</v>
      </c>
      <c r="BM300">
        <v>86442127.400000006</v>
      </c>
      <c r="BN300">
        <v>95286514.299999997</v>
      </c>
      <c r="BO300">
        <v>31.9</v>
      </c>
      <c r="BP300">
        <v>16.059999999999999</v>
      </c>
      <c r="BQ300">
        <v>0.87</v>
      </c>
      <c r="BR300">
        <v>48.82</v>
      </c>
      <c r="BS300">
        <v>34.01</v>
      </c>
      <c r="BT300">
        <v>18.12</v>
      </c>
      <c r="BU300">
        <v>0.91</v>
      </c>
      <c r="BV300">
        <v>53.04</v>
      </c>
      <c r="BW300">
        <v>383583330</v>
      </c>
      <c r="BX300">
        <v>82745830</v>
      </c>
      <c r="BY300">
        <v>122300980</v>
      </c>
      <c r="BZ300">
        <v>37624564</v>
      </c>
      <c r="CA300">
        <v>0</v>
      </c>
      <c r="CB300">
        <v>3711.1</v>
      </c>
      <c r="CC300">
        <v>116240410</v>
      </c>
      <c r="CD300">
        <v>0</v>
      </c>
      <c r="CE300">
        <v>378788.3</v>
      </c>
      <c r="CF300">
        <v>7060691</v>
      </c>
      <c r="CG300">
        <v>0</v>
      </c>
      <c r="CH300">
        <v>1943426.2</v>
      </c>
      <c r="CI300">
        <v>0</v>
      </c>
      <c r="CJ300">
        <v>15531931</v>
      </c>
      <c r="CK300">
        <v>10357580</v>
      </c>
      <c r="CL300">
        <v>0</v>
      </c>
      <c r="CM300">
        <v>41794868</v>
      </c>
      <c r="CN300">
        <v>15061450</v>
      </c>
      <c r="CO300">
        <v>4084302.5</v>
      </c>
      <c r="CP300">
        <v>11200627</v>
      </c>
      <c r="CQ300">
        <v>0</v>
      </c>
      <c r="CR300">
        <v>7688.8</v>
      </c>
      <c r="CS300">
        <v>0</v>
      </c>
      <c r="CT300">
        <v>371</v>
      </c>
      <c r="CU300">
        <v>12904.9</v>
      </c>
      <c r="CV300">
        <v>0</v>
      </c>
      <c r="CW300">
        <v>0</v>
      </c>
      <c r="CX300">
        <v>10805</v>
      </c>
      <c r="CY300">
        <v>23362.400000000001</v>
      </c>
      <c r="CZ300">
        <v>0</v>
      </c>
      <c r="DA300">
        <v>12527</v>
      </c>
      <c r="DB300">
        <v>0</v>
      </c>
      <c r="DC300">
        <v>3524</v>
      </c>
      <c r="DD300">
        <v>15311.8</v>
      </c>
      <c r="DE300">
        <v>198.3</v>
      </c>
      <c r="DF300">
        <v>6185.8</v>
      </c>
      <c r="DG300">
        <v>21681</v>
      </c>
      <c r="DH300">
        <v>2959.9</v>
      </c>
      <c r="DI300">
        <v>4704.3</v>
      </c>
      <c r="DJ300">
        <v>0</v>
      </c>
      <c r="DK300">
        <v>42930</v>
      </c>
      <c r="DL300">
        <v>61857.7</v>
      </c>
      <c r="DM300">
        <v>0</v>
      </c>
      <c r="DN300">
        <v>0</v>
      </c>
      <c r="DO300">
        <v>0.02</v>
      </c>
      <c r="DP300">
        <v>1.2</v>
      </c>
      <c r="DQ300">
        <v>0.23</v>
      </c>
      <c r="DR300">
        <v>0</v>
      </c>
    </row>
    <row r="301" spans="1:122" x14ac:dyDescent="0.3">
      <c r="A301" t="s">
        <v>176</v>
      </c>
      <c r="B301">
        <v>2042</v>
      </c>
      <c r="C301">
        <v>418529728.39999998</v>
      </c>
      <c r="D301">
        <v>395076406.5</v>
      </c>
      <c r="E301">
        <v>380871727.19999999</v>
      </c>
      <c r="F301">
        <v>0</v>
      </c>
      <c r="G301">
        <v>20787006</v>
      </c>
      <c r="H301">
        <v>298649139.5</v>
      </c>
      <c r="I301">
        <v>16329976</v>
      </c>
      <c r="J301">
        <v>4457029</v>
      </c>
      <c r="K301">
        <v>2666316.9</v>
      </c>
      <c r="L301">
        <v>3.5900000000000001E-2</v>
      </c>
      <c r="M301">
        <v>5.3999999999999999E-2</v>
      </c>
      <c r="N301">
        <v>0.15</v>
      </c>
      <c r="O301">
        <v>81475.740000000005</v>
      </c>
      <c r="P301">
        <v>91626.9</v>
      </c>
      <c r="Q301">
        <v>200</v>
      </c>
      <c r="R301">
        <v>12.7</v>
      </c>
      <c r="S301">
        <v>1.76</v>
      </c>
      <c r="T301">
        <v>18.399999999999999</v>
      </c>
      <c r="U301">
        <v>769</v>
      </c>
      <c r="V301">
        <v>0.16</v>
      </c>
      <c r="W301">
        <v>200.8</v>
      </c>
      <c r="X301">
        <v>40</v>
      </c>
      <c r="Y301">
        <v>240.8</v>
      </c>
      <c r="Z301">
        <v>227.9</v>
      </c>
      <c r="AA301">
        <v>14.5</v>
      </c>
      <c r="AB301">
        <v>2</v>
      </c>
      <c r="AC301">
        <v>20.6</v>
      </c>
      <c r="AD301">
        <v>876.4</v>
      </c>
      <c r="AE301">
        <v>0.17</v>
      </c>
      <c r="AF301">
        <v>228.8</v>
      </c>
      <c r="AG301">
        <v>45.2</v>
      </c>
      <c r="AH301">
        <v>274</v>
      </c>
      <c r="AI301">
        <v>252.2</v>
      </c>
      <c r="AJ301">
        <v>7.8</v>
      </c>
      <c r="AK301">
        <v>0.95</v>
      </c>
      <c r="AL301">
        <v>27</v>
      </c>
      <c r="AM301">
        <v>1220.8</v>
      </c>
      <c r="AN301">
        <v>0.11</v>
      </c>
      <c r="AO301">
        <v>252.6</v>
      </c>
      <c r="AP301">
        <v>61.2</v>
      </c>
      <c r="AQ301">
        <v>313.89999999999998</v>
      </c>
      <c r="AR301">
        <v>688.4</v>
      </c>
      <c r="AS301">
        <v>50.8</v>
      </c>
      <c r="AT301">
        <v>7.18</v>
      </c>
      <c r="AU301">
        <v>47.5</v>
      </c>
      <c r="AV301">
        <v>2365.9</v>
      </c>
      <c r="AW301">
        <v>0.35</v>
      </c>
      <c r="AX301">
        <v>691.7</v>
      </c>
      <c r="AY301">
        <v>113.8</v>
      </c>
      <c r="AZ301">
        <v>805.5</v>
      </c>
      <c r="BA301">
        <v>79435708.599999994</v>
      </c>
      <c r="BB301">
        <v>5056.5</v>
      </c>
      <c r="BC301">
        <v>699.1</v>
      </c>
      <c r="BD301">
        <v>7304676.2999999998</v>
      </c>
      <c r="BE301">
        <v>305463.90000000002</v>
      </c>
      <c r="BF301">
        <v>61.8</v>
      </c>
      <c r="BG301">
        <v>79762556.299999997</v>
      </c>
      <c r="BH301">
        <v>15874042.300000001</v>
      </c>
      <c r="BI301">
        <v>95636598.5</v>
      </c>
      <c r="BJ301">
        <v>0</v>
      </c>
      <c r="BK301">
        <v>0</v>
      </c>
      <c r="BL301">
        <v>79435708.599999994</v>
      </c>
      <c r="BM301">
        <v>86740384.900000006</v>
      </c>
      <c r="BN301">
        <v>95636598.5</v>
      </c>
      <c r="BO301">
        <v>31.58</v>
      </c>
      <c r="BP301">
        <v>15.66</v>
      </c>
      <c r="BQ301">
        <v>1.26</v>
      </c>
      <c r="BR301">
        <v>48.49</v>
      </c>
      <c r="BS301">
        <v>33.67</v>
      </c>
      <c r="BT301">
        <v>17.760000000000002</v>
      </c>
      <c r="BU301">
        <v>1.32</v>
      </c>
      <c r="BV301">
        <v>52.75</v>
      </c>
      <c r="BW301">
        <v>400253860</v>
      </c>
      <c r="BX301">
        <v>96427260</v>
      </c>
      <c r="BY301">
        <v>122300980</v>
      </c>
      <c r="BZ301">
        <v>37576316</v>
      </c>
      <c r="CA301">
        <v>0</v>
      </c>
      <c r="CB301">
        <v>2205.4</v>
      </c>
      <c r="CC301">
        <v>117080130</v>
      </c>
      <c r="CD301">
        <v>0</v>
      </c>
      <c r="CE301">
        <v>288029.3</v>
      </c>
      <c r="CF301">
        <v>7067978.5</v>
      </c>
      <c r="CG301">
        <v>0</v>
      </c>
      <c r="CH301">
        <v>1942913.8</v>
      </c>
      <c r="CI301">
        <v>0</v>
      </c>
      <c r="CJ301">
        <v>16253379</v>
      </c>
      <c r="CK301">
        <v>10301729</v>
      </c>
      <c r="CL301">
        <v>0</v>
      </c>
      <c r="CM301">
        <v>53846356</v>
      </c>
      <c r="CN301">
        <v>16025805</v>
      </c>
      <c r="CO301">
        <v>3630055.5</v>
      </c>
      <c r="CP301">
        <v>13937990</v>
      </c>
      <c r="CQ301">
        <v>0</v>
      </c>
      <c r="CR301">
        <v>9432.9</v>
      </c>
      <c r="CS301">
        <v>0</v>
      </c>
      <c r="CT301">
        <v>371</v>
      </c>
      <c r="CU301">
        <v>12177.9</v>
      </c>
      <c r="CV301">
        <v>0</v>
      </c>
      <c r="CW301">
        <v>0</v>
      </c>
      <c r="CX301">
        <v>11598.2</v>
      </c>
      <c r="CY301">
        <v>23648.5</v>
      </c>
      <c r="CZ301">
        <v>0</v>
      </c>
      <c r="DA301">
        <v>12237.8</v>
      </c>
      <c r="DB301">
        <v>0</v>
      </c>
      <c r="DC301">
        <v>3524</v>
      </c>
      <c r="DD301">
        <v>15311.8</v>
      </c>
      <c r="DE301">
        <v>198.3</v>
      </c>
      <c r="DF301">
        <v>6185.8</v>
      </c>
      <c r="DG301">
        <v>27361.1</v>
      </c>
      <c r="DH301">
        <v>2959.9</v>
      </c>
      <c r="DI301">
        <v>4923.2</v>
      </c>
      <c r="DJ301">
        <v>0</v>
      </c>
      <c r="DK301">
        <v>54925.2</v>
      </c>
      <c r="DL301">
        <v>61857.7</v>
      </c>
      <c r="DM301">
        <v>0</v>
      </c>
      <c r="DN301">
        <v>0</v>
      </c>
      <c r="DO301">
        <v>0.02</v>
      </c>
      <c r="DP301">
        <v>1.6</v>
      </c>
      <c r="DQ301">
        <v>0.25</v>
      </c>
      <c r="DR301">
        <v>0</v>
      </c>
    </row>
    <row r="302" spans="1:122" x14ac:dyDescent="0.3">
      <c r="A302" t="s">
        <v>176</v>
      </c>
      <c r="B302">
        <v>2044</v>
      </c>
      <c r="C302">
        <v>433270189.89999998</v>
      </c>
      <c r="D302">
        <v>404593156.89999998</v>
      </c>
      <c r="E302">
        <v>390046309.89999998</v>
      </c>
      <c r="F302">
        <v>0</v>
      </c>
      <c r="G302">
        <v>25857840</v>
      </c>
      <c r="H302">
        <v>288828265.10000002</v>
      </c>
      <c r="I302">
        <v>21447396</v>
      </c>
      <c r="J302">
        <v>4410444</v>
      </c>
      <c r="K302">
        <v>2819193</v>
      </c>
      <c r="L302">
        <v>3.5900000000000001E-2</v>
      </c>
      <c r="M302">
        <v>5.3999999999999999E-2</v>
      </c>
      <c r="N302">
        <v>0.15</v>
      </c>
      <c r="O302">
        <v>83698.28</v>
      </c>
      <c r="P302">
        <v>93835.3</v>
      </c>
      <c r="Q302">
        <v>183.6</v>
      </c>
      <c r="R302">
        <v>10.9</v>
      </c>
      <c r="S302">
        <v>1.49</v>
      </c>
      <c r="T302">
        <v>17.7</v>
      </c>
      <c r="U302">
        <v>731.6</v>
      </c>
      <c r="V302">
        <v>0.14000000000000001</v>
      </c>
      <c r="W302">
        <v>184.3</v>
      </c>
      <c r="X302">
        <v>38.200000000000003</v>
      </c>
      <c r="Y302">
        <v>222.5</v>
      </c>
      <c r="Z302">
        <v>216.6</v>
      </c>
      <c r="AA302">
        <v>12.9</v>
      </c>
      <c r="AB302">
        <v>1.77</v>
      </c>
      <c r="AC302">
        <v>20.399999999999999</v>
      </c>
      <c r="AD302">
        <v>860.7</v>
      </c>
      <c r="AE302">
        <v>0.16</v>
      </c>
      <c r="AF302">
        <v>217.4</v>
      </c>
      <c r="AG302">
        <v>44.5</v>
      </c>
      <c r="AH302">
        <v>262</v>
      </c>
      <c r="AI302">
        <v>259.60000000000002</v>
      </c>
      <c r="AJ302">
        <v>13</v>
      </c>
      <c r="AK302">
        <v>1.75</v>
      </c>
      <c r="AL302">
        <v>23.3</v>
      </c>
      <c r="AM302">
        <v>1099.8</v>
      </c>
      <c r="AN302">
        <v>0.12</v>
      </c>
      <c r="AO302">
        <v>260.5</v>
      </c>
      <c r="AP302">
        <v>54.2</v>
      </c>
      <c r="AQ302">
        <v>314.60000000000002</v>
      </c>
      <c r="AR302">
        <v>669.8</v>
      </c>
      <c r="AS302">
        <v>48.2</v>
      </c>
      <c r="AT302">
        <v>6.79</v>
      </c>
      <c r="AU302">
        <v>47.3</v>
      </c>
      <c r="AV302">
        <v>2348.6999999999998</v>
      </c>
      <c r="AW302">
        <v>0.33</v>
      </c>
      <c r="AX302">
        <v>673</v>
      </c>
      <c r="AY302">
        <v>113.2</v>
      </c>
      <c r="AZ302">
        <v>786.1</v>
      </c>
      <c r="BA302">
        <v>77933728.299999997</v>
      </c>
      <c r="BB302">
        <v>4616.8999999999996</v>
      </c>
      <c r="BC302">
        <v>632.79999999999995</v>
      </c>
      <c r="BD302">
        <v>7497784.9000000004</v>
      </c>
      <c r="BE302">
        <v>310627.5</v>
      </c>
      <c r="BF302">
        <v>60.9</v>
      </c>
      <c r="BG302">
        <v>78230696.099999994</v>
      </c>
      <c r="BH302">
        <v>16211487.699999999</v>
      </c>
      <c r="BI302">
        <v>94442183.900000006</v>
      </c>
      <c r="BJ302">
        <v>0</v>
      </c>
      <c r="BK302">
        <v>0</v>
      </c>
      <c r="BL302">
        <v>77933728.299999997</v>
      </c>
      <c r="BM302">
        <v>85431513.299999997</v>
      </c>
      <c r="BN302">
        <v>94442183.900000006</v>
      </c>
      <c r="BO302">
        <v>31.46</v>
      </c>
      <c r="BP302">
        <v>15.85</v>
      </c>
      <c r="BQ302">
        <v>0.85</v>
      </c>
      <c r="BR302">
        <v>48.16</v>
      </c>
      <c r="BS302">
        <v>33.619999999999997</v>
      </c>
      <c r="BT302">
        <v>18.16</v>
      </c>
      <c r="BU302">
        <v>0.91</v>
      </c>
      <c r="BV302">
        <v>52.68</v>
      </c>
      <c r="BW302">
        <v>427886080</v>
      </c>
      <c r="BX302">
        <v>115764890</v>
      </c>
      <c r="BY302">
        <v>122300980</v>
      </c>
      <c r="BZ302">
        <v>33240228</v>
      </c>
      <c r="CA302">
        <v>0</v>
      </c>
      <c r="CB302">
        <v>1392.8</v>
      </c>
      <c r="CC302">
        <v>125335440</v>
      </c>
      <c r="CD302">
        <v>0</v>
      </c>
      <c r="CE302">
        <v>267603.3</v>
      </c>
      <c r="CF302">
        <v>7062894.5</v>
      </c>
      <c r="CG302">
        <v>0</v>
      </c>
      <c r="CH302">
        <v>1873507.8</v>
      </c>
      <c r="CI302">
        <v>0</v>
      </c>
      <c r="CJ302">
        <v>16165730</v>
      </c>
      <c r="CK302">
        <v>10246173</v>
      </c>
      <c r="CL302">
        <v>0</v>
      </c>
      <c r="CM302">
        <v>72148936</v>
      </c>
      <c r="CN302">
        <v>17204056</v>
      </c>
      <c r="CO302">
        <v>3654747.2</v>
      </c>
      <c r="CP302">
        <v>18384414</v>
      </c>
      <c r="CQ302">
        <v>0</v>
      </c>
      <c r="CR302">
        <v>11975.6</v>
      </c>
      <c r="CS302">
        <v>0</v>
      </c>
      <c r="CT302">
        <v>365</v>
      </c>
      <c r="CU302">
        <v>10563.1</v>
      </c>
      <c r="CV302">
        <v>0</v>
      </c>
      <c r="CW302">
        <v>0</v>
      </c>
      <c r="CX302">
        <v>12542.1</v>
      </c>
      <c r="CY302">
        <v>25766.3</v>
      </c>
      <c r="CZ302">
        <v>0</v>
      </c>
      <c r="DA302">
        <v>13111</v>
      </c>
      <c r="DB302">
        <v>0</v>
      </c>
      <c r="DC302">
        <v>3524</v>
      </c>
      <c r="DD302">
        <v>15311.8</v>
      </c>
      <c r="DE302">
        <v>198.3</v>
      </c>
      <c r="DF302">
        <v>6185.8</v>
      </c>
      <c r="DG302">
        <v>35722.800000000003</v>
      </c>
      <c r="DH302">
        <v>2959.9</v>
      </c>
      <c r="DI302">
        <v>4923.2</v>
      </c>
      <c r="DJ302">
        <v>0</v>
      </c>
      <c r="DK302">
        <v>75407.399999999994</v>
      </c>
      <c r="DL302">
        <v>61857.7</v>
      </c>
      <c r="DM302">
        <v>0</v>
      </c>
      <c r="DN302">
        <v>0</v>
      </c>
      <c r="DO302">
        <v>0.02</v>
      </c>
      <c r="DP302">
        <v>1.1000000000000001</v>
      </c>
      <c r="DQ302">
        <v>0.25</v>
      </c>
      <c r="DR302">
        <v>0</v>
      </c>
    </row>
    <row r="303" spans="1:122" x14ac:dyDescent="0.3">
      <c r="A303" t="s">
        <v>176</v>
      </c>
      <c r="B303">
        <v>2046</v>
      </c>
      <c r="C303">
        <v>452987986.5</v>
      </c>
      <c r="D303">
        <v>414273989</v>
      </c>
      <c r="E303">
        <v>399379074.89999998</v>
      </c>
      <c r="F303">
        <v>0</v>
      </c>
      <c r="G303">
        <v>35226644</v>
      </c>
      <c r="H303">
        <v>263945583.90000001</v>
      </c>
      <c r="I303">
        <v>30070644</v>
      </c>
      <c r="J303">
        <v>5155999</v>
      </c>
      <c r="K303">
        <v>3487353.3</v>
      </c>
      <c r="L303">
        <v>3.5900000000000001E-2</v>
      </c>
      <c r="M303">
        <v>5.3999999999999999E-2</v>
      </c>
      <c r="N303">
        <v>0.15</v>
      </c>
      <c r="O303">
        <v>87528.45</v>
      </c>
      <c r="P303">
        <v>96083.4</v>
      </c>
      <c r="Q303">
        <v>146.80000000000001</v>
      </c>
      <c r="R303">
        <v>8.6</v>
      </c>
      <c r="S303">
        <v>1.18</v>
      </c>
      <c r="T303">
        <v>14.6</v>
      </c>
      <c r="U303">
        <v>588.5</v>
      </c>
      <c r="V303">
        <v>0.12</v>
      </c>
      <c r="W303">
        <v>147.4</v>
      </c>
      <c r="X303">
        <v>31.1</v>
      </c>
      <c r="Y303">
        <v>178.5</v>
      </c>
      <c r="Z303">
        <v>187.4</v>
      </c>
      <c r="AA303">
        <v>10.9</v>
      </c>
      <c r="AB303">
        <v>1.49</v>
      </c>
      <c r="AC303">
        <v>18.2</v>
      </c>
      <c r="AD303">
        <v>753.1</v>
      </c>
      <c r="AE303">
        <v>0.15</v>
      </c>
      <c r="AF303">
        <v>188.1</v>
      </c>
      <c r="AG303">
        <v>39.299999999999997</v>
      </c>
      <c r="AH303">
        <v>227.4</v>
      </c>
      <c r="AI303">
        <v>268.89999999999998</v>
      </c>
      <c r="AJ303">
        <v>16.5</v>
      </c>
      <c r="AK303">
        <v>2.2799999999999998</v>
      </c>
      <c r="AL303">
        <v>21.4</v>
      </c>
      <c r="AM303">
        <v>1042.9000000000001</v>
      </c>
      <c r="AN303">
        <v>0.12</v>
      </c>
      <c r="AO303">
        <v>270</v>
      </c>
      <c r="AP303">
        <v>50.6</v>
      </c>
      <c r="AQ303">
        <v>320.60000000000002</v>
      </c>
      <c r="AR303">
        <v>641.20000000000005</v>
      </c>
      <c r="AS303">
        <v>45</v>
      </c>
      <c r="AT303">
        <v>6.31</v>
      </c>
      <c r="AU303">
        <v>46.5</v>
      </c>
      <c r="AV303">
        <v>2295.8000000000002</v>
      </c>
      <c r="AW303">
        <v>0.31</v>
      </c>
      <c r="AX303">
        <v>644.1</v>
      </c>
      <c r="AY303">
        <v>110.8</v>
      </c>
      <c r="AZ303">
        <v>754.9</v>
      </c>
      <c r="BA303">
        <v>64757525.700000003</v>
      </c>
      <c r="BB303">
        <v>3801.8</v>
      </c>
      <c r="BC303">
        <v>520.5</v>
      </c>
      <c r="BD303">
        <v>6457001.2000000002</v>
      </c>
      <c r="BE303">
        <v>259677</v>
      </c>
      <c r="BF303">
        <v>54.8</v>
      </c>
      <c r="BG303">
        <v>65001903.200000003</v>
      </c>
      <c r="BH303">
        <v>13742477.800000001</v>
      </c>
      <c r="BI303">
        <v>78744380.900000006</v>
      </c>
      <c r="BJ303">
        <v>0</v>
      </c>
      <c r="BK303">
        <v>0</v>
      </c>
      <c r="BL303">
        <v>64757525.700000003</v>
      </c>
      <c r="BM303">
        <v>71214526.900000006</v>
      </c>
      <c r="BN303">
        <v>78744380.900000006</v>
      </c>
      <c r="BO303">
        <v>31.17</v>
      </c>
      <c r="BP303">
        <v>16.11</v>
      </c>
      <c r="BQ303">
        <v>1.36</v>
      </c>
      <c r="BR303">
        <v>48.64</v>
      </c>
      <c r="BS303">
        <v>33.43</v>
      </c>
      <c r="BT303">
        <v>18.79</v>
      </c>
      <c r="BU303">
        <v>1.47</v>
      </c>
      <c r="BV303">
        <v>53.7</v>
      </c>
      <c r="BW303">
        <v>444492960</v>
      </c>
      <c r="BX303">
        <v>150328400</v>
      </c>
      <c r="BY303">
        <v>122300980</v>
      </c>
      <c r="BZ303">
        <v>27152428</v>
      </c>
      <c r="CA303">
        <v>0</v>
      </c>
      <c r="CB303">
        <v>74.8</v>
      </c>
      <c r="CC303">
        <v>105488580</v>
      </c>
      <c r="CD303">
        <v>0</v>
      </c>
      <c r="CE303">
        <v>370263</v>
      </c>
      <c r="CF303">
        <v>7062156</v>
      </c>
      <c r="CG303">
        <v>0</v>
      </c>
      <c r="CH303">
        <v>1929286</v>
      </c>
      <c r="CI303">
        <v>0</v>
      </c>
      <c r="CJ303">
        <v>21938816</v>
      </c>
      <c r="CK303">
        <v>10190920</v>
      </c>
      <c r="CL303">
        <v>0</v>
      </c>
      <c r="CM303">
        <v>99807560</v>
      </c>
      <c r="CN303">
        <v>18391110</v>
      </c>
      <c r="CO303">
        <v>4175521.2</v>
      </c>
      <c r="CP303">
        <v>25685272</v>
      </c>
      <c r="CQ303">
        <v>0</v>
      </c>
      <c r="CR303">
        <v>15817.7</v>
      </c>
      <c r="CS303">
        <v>0</v>
      </c>
      <c r="CT303">
        <v>365</v>
      </c>
      <c r="CU303">
        <v>9329.7999999999993</v>
      </c>
      <c r="CV303">
        <v>0</v>
      </c>
      <c r="CW303">
        <v>0</v>
      </c>
      <c r="CX303">
        <v>13510.6</v>
      </c>
      <c r="CY303">
        <v>19702.3</v>
      </c>
      <c r="CZ303">
        <v>0</v>
      </c>
      <c r="DA303">
        <v>12897.5</v>
      </c>
      <c r="DB303">
        <v>0</v>
      </c>
      <c r="DC303">
        <v>3524</v>
      </c>
      <c r="DD303">
        <v>15311.8</v>
      </c>
      <c r="DE303">
        <v>86.1</v>
      </c>
      <c r="DF303">
        <v>6677.6</v>
      </c>
      <c r="DG303">
        <v>48951.7</v>
      </c>
      <c r="DH303">
        <v>2959.9</v>
      </c>
      <c r="DI303">
        <v>6651.3</v>
      </c>
      <c r="DJ303">
        <v>0</v>
      </c>
      <c r="DK303">
        <v>107427.3</v>
      </c>
      <c r="DL303">
        <v>66775.899999999994</v>
      </c>
      <c r="DM303">
        <v>0</v>
      </c>
      <c r="DN303">
        <v>0</v>
      </c>
      <c r="DO303">
        <v>0.02</v>
      </c>
      <c r="DP303">
        <v>1.6</v>
      </c>
      <c r="DQ303">
        <v>0.28999999999999998</v>
      </c>
      <c r="DR303">
        <v>0</v>
      </c>
    </row>
    <row r="304" spans="1:122" x14ac:dyDescent="0.3">
      <c r="A304" t="s">
        <v>176</v>
      </c>
      <c r="B304">
        <v>2048</v>
      </c>
      <c r="C304">
        <v>464292221.10000002</v>
      </c>
      <c r="D304">
        <v>424282984.69999999</v>
      </c>
      <c r="E304">
        <v>409028204.60000002</v>
      </c>
      <c r="F304">
        <v>0</v>
      </c>
      <c r="G304">
        <v>36372252</v>
      </c>
      <c r="H304">
        <v>272217724.5</v>
      </c>
      <c r="I304">
        <v>31288390</v>
      </c>
      <c r="J304">
        <v>5083861.5</v>
      </c>
      <c r="K304">
        <v>3636984.8</v>
      </c>
      <c r="L304">
        <v>3.5900000000000001E-2</v>
      </c>
      <c r="M304">
        <v>5.3999999999999999E-2</v>
      </c>
      <c r="N304">
        <v>0.15</v>
      </c>
      <c r="O304">
        <v>86910.33</v>
      </c>
      <c r="P304">
        <v>98401.9</v>
      </c>
      <c r="Q304">
        <v>149.80000000000001</v>
      </c>
      <c r="R304">
        <v>8.6999999999999993</v>
      </c>
      <c r="S304">
        <v>1.19</v>
      </c>
      <c r="T304">
        <v>14.9</v>
      </c>
      <c r="U304">
        <v>602.79999999999995</v>
      </c>
      <c r="V304">
        <v>0.12</v>
      </c>
      <c r="W304">
        <v>150.30000000000001</v>
      </c>
      <c r="X304">
        <v>31.8</v>
      </c>
      <c r="Y304">
        <v>182.1</v>
      </c>
      <c r="Z304">
        <v>187.5</v>
      </c>
      <c r="AA304">
        <v>10.6</v>
      </c>
      <c r="AB304">
        <v>1.45</v>
      </c>
      <c r="AC304">
        <v>18.399999999999999</v>
      </c>
      <c r="AD304">
        <v>762.9</v>
      </c>
      <c r="AE304">
        <v>0.14000000000000001</v>
      </c>
      <c r="AF304">
        <v>188.2</v>
      </c>
      <c r="AG304">
        <v>39.799999999999997</v>
      </c>
      <c r="AH304">
        <v>228</v>
      </c>
      <c r="AI304">
        <v>267.3</v>
      </c>
      <c r="AJ304">
        <v>16.8</v>
      </c>
      <c r="AK304">
        <v>2.33</v>
      </c>
      <c r="AL304">
        <v>20.9</v>
      </c>
      <c r="AM304">
        <v>1023.1</v>
      </c>
      <c r="AN304">
        <v>0.12</v>
      </c>
      <c r="AO304">
        <v>268.3</v>
      </c>
      <c r="AP304">
        <v>49.6</v>
      </c>
      <c r="AQ304">
        <v>317.89999999999998</v>
      </c>
      <c r="AR304">
        <v>636.1</v>
      </c>
      <c r="AS304">
        <v>43.3</v>
      </c>
      <c r="AT304">
        <v>6.04</v>
      </c>
      <c r="AU304">
        <v>47.3</v>
      </c>
      <c r="AV304">
        <v>2322.5</v>
      </c>
      <c r="AW304">
        <v>0.31</v>
      </c>
      <c r="AX304">
        <v>638.9</v>
      </c>
      <c r="AY304">
        <v>112.5</v>
      </c>
      <c r="AZ304">
        <v>751.3</v>
      </c>
      <c r="BA304">
        <v>67387797.200000003</v>
      </c>
      <c r="BB304">
        <v>3915.2</v>
      </c>
      <c r="BC304">
        <v>535.29999999999995</v>
      </c>
      <c r="BD304">
        <v>6709453.5</v>
      </c>
      <c r="BE304">
        <v>271409.7</v>
      </c>
      <c r="BF304">
        <v>56</v>
      </c>
      <c r="BG304">
        <v>67639274.599999994</v>
      </c>
      <c r="BH304">
        <v>14323759.5</v>
      </c>
      <c r="BI304">
        <v>81963034.099999994</v>
      </c>
      <c r="BJ304">
        <v>0</v>
      </c>
      <c r="BK304">
        <v>0</v>
      </c>
      <c r="BL304">
        <v>67387797.200000003</v>
      </c>
      <c r="BM304">
        <v>74097250.700000003</v>
      </c>
      <c r="BN304">
        <v>81963034.099999994</v>
      </c>
      <c r="BO304">
        <v>32.26</v>
      </c>
      <c r="BP304">
        <v>16.010000000000002</v>
      </c>
      <c r="BQ304">
        <v>1.47</v>
      </c>
      <c r="BR304">
        <v>49.74</v>
      </c>
      <c r="BS304">
        <v>34.61</v>
      </c>
      <c r="BT304">
        <v>18.68</v>
      </c>
      <c r="BU304">
        <v>1.6</v>
      </c>
      <c r="BV304">
        <v>54.89</v>
      </c>
      <c r="BW304">
        <v>453625180</v>
      </c>
      <c r="BX304">
        <v>152065260</v>
      </c>
      <c r="BY304">
        <v>122300980</v>
      </c>
      <c r="BZ304">
        <v>27861414</v>
      </c>
      <c r="CA304">
        <v>0</v>
      </c>
      <c r="CB304">
        <v>49.1</v>
      </c>
      <c r="CC304">
        <v>110897650</v>
      </c>
      <c r="CD304">
        <v>0</v>
      </c>
      <c r="CE304">
        <v>495531</v>
      </c>
      <c r="CF304">
        <v>7062686.5</v>
      </c>
      <c r="CG304">
        <v>0</v>
      </c>
      <c r="CH304">
        <v>1927736.4</v>
      </c>
      <c r="CI304">
        <v>0</v>
      </c>
      <c r="CJ304">
        <v>23783390</v>
      </c>
      <c r="CK304">
        <v>10135960</v>
      </c>
      <c r="CL304">
        <v>0</v>
      </c>
      <c r="CM304">
        <v>98909464</v>
      </c>
      <c r="CN304">
        <v>19236448</v>
      </c>
      <c r="CO304">
        <v>4196239</v>
      </c>
      <c r="CP304">
        <v>26817648</v>
      </c>
      <c r="CQ304">
        <v>0</v>
      </c>
      <c r="CR304">
        <v>16224.3</v>
      </c>
      <c r="CS304">
        <v>0</v>
      </c>
      <c r="CT304">
        <v>363.2</v>
      </c>
      <c r="CU304">
        <v>8013.7</v>
      </c>
      <c r="CV304">
        <v>0</v>
      </c>
      <c r="CW304">
        <v>0</v>
      </c>
      <c r="CX304">
        <v>14252.1</v>
      </c>
      <c r="CY304">
        <v>20308.400000000001</v>
      </c>
      <c r="CZ304">
        <v>0</v>
      </c>
      <c r="DA304">
        <v>14428.4</v>
      </c>
      <c r="DB304">
        <v>0</v>
      </c>
      <c r="DC304">
        <v>3524</v>
      </c>
      <c r="DD304">
        <v>15311.8</v>
      </c>
      <c r="DE304">
        <v>86.1</v>
      </c>
      <c r="DF304">
        <v>6677.6</v>
      </c>
      <c r="DG304">
        <v>48313.8</v>
      </c>
      <c r="DH304">
        <v>2959.9</v>
      </c>
      <c r="DI304">
        <v>7205.3</v>
      </c>
      <c r="DJ304">
        <v>0</v>
      </c>
      <c r="DK304">
        <v>112339.9</v>
      </c>
      <c r="DL304">
        <v>66775.899999999994</v>
      </c>
      <c r="DM304">
        <v>0</v>
      </c>
      <c r="DN304">
        <v>0</v>
      </c>
      <c r="DO304">
        <v>0.02</v>
      </c>
      <c r="DP304">
        <v>1.7</v>
      </c>
      <c r="DQ304">
        <v>0.28999999999999998</v>
      </c>
      <c r="DR304">
        <v>0</v>
      </c>
    </row>
    <row r="305" spans="1:122" x14ac:dyDescent="0.3">
      <c r="A305" t="s">
        <v>176</v>
      </c>
      <c r="B305">
        <v>2050</v>
      </c>
      <c r="C305">
        <v>476912127.5</v>
      </c>
      <c r="D305">
        <v>435374921.89999998</v>
      </c>
      <c r="E305">
        <v>419721339.39999998</v>
      </c>
      <c r="F305">
        <v>0</v>
      </c>
      <c r="G305">
        <v>37673450</v>
      </c>
      <c r="H305">
        <v>280687226.10000002</v>
      </c>
      <c r="I305">
        <v>32802618</v>
      </c>
      <c r="J305">
        <v>4870829.5</v>
      </c>
      <c r="K305">
        <v>3863757.4</v>
      </c>
      <c r="L305">
        <v>3.5900000000000001E-2</v>
      </c>
      <c r="M305">
        <v>5.3999999999999999E-2</v>
      </c>
      <c r="N305">
        <v>0.15</v>
      </c>
      <c r="O305">
        <v>87095.16</v>
      </c>
      <c r="P305">
        <v>100977.2</v>
      </c>
      <c r="Q305">
        <v>136</v>
      </c>
      <c r="R305">
        <v>5.7</v>
      </c>
      <c r="S305">
        <v>0.74</v>
      </c>
      <c r="T305">
        <v>15.6</v>
      </c>
      <c r="U305">
        <v>617.9</v>
      </c>
      <c r="V305">
        <v>0.11</v>
      </c>
      <c r="W305">
        <v>136.30000000000001</v>
      </c>
      <c r="X305">
        <v>32.9</v>
      </c>
      <c r="Y305">
        <v>169.3</v>
      </c>
      <c r="Z305">
        <v>168.6</v>
      </c>
      <c r="AA305">
        <v>7.1</v>
      </c>
      <c r="AB305">
        <v>0.92</v>
      </c>
      <c r="AC305">
        <v>18.899999999999999</v>
      </c>
      <c r="AD305">
        <v>764.4</v>
      </c>
      <c r="AE305">
        <v>0.13</v>
      </c>
      <c r="AF305">
        <v>169.1</v>
      </c>
      <c r="AG305">
        <v>40.299999999999997</v>
      </c>
      <c r="AH305">
        <v>209.4</v>
      </c>
      <c r="AI305">
        <v>254.8</v>
      </c>
      <c r="AJ305">
        <v>14</v>
      </c>
      <c r="AK305">
        <v>1.9</v>
      </c>
      <c r="AL305">
        <v>21.8</v>
      </c>
      <c r="AM305">
        <v>1040.7</v>
      </c>
      <c r="AN305">
        <v>0.12</v>
      </c>
      <c r="AO305">
        <v>255.7</v>
      </c>
      <c r="AP305">
        <v>50.9</v>
      </c>
      <c r="AQ305">
        <v>306.7</v>
      </c>
      <c r="AR305">
        <v>602.5</v>
      </c>
      <c r="AS305">
        <v>37.4</v>
      </c>
      <c r="AT305">
        <v>5.17</v>
      </c>
      <c r="AU305">
        <v>48.5</v>
      </c>
      <c r="AV305">
        <v>2315.1</v>
      </c>
      <c r="AW305">
        <v>0.28999999999999998</v>
      </c>
      <c r="AX305">
        <v>605</v>
      </c>
      <c r="AY305">
        <v>113.4</v>
      </c>
      <c r="AZ305">
        <v>718.3</v>
      </c>
      <c r="BA305">
        <v>62902789.899999999</v>
      </c>
      <c r="BB305">
        <v>2625.4</v>
      </c>
      <c r="BC305">
        <v>340.8</v>
      </c>
      <c r="BD305">
        <v>7234232.2999999998</v>
      </c>
      <c r="BE305">
        <v>286062</v>
      </c>
      <c r="BF305">
        <v>53.1</v>
      </c>
      <c r="BG305">
        <v>63066620.100000001</v>
      </c>
      <c r="BH305">
        <v>15258036.6</v>
      </c>
      <c r="BI305">
        <v>78324656.700000003</v>
      </c>
      <c r="BJ305">
        <v>0</v>
      </c>
      <c r="BK305">
        <v>0</v>
      </c>
      <c r="BL305">
        <v>62902789.899999999</v>
      </c>
      <c r="BM305">
        <v>70137022.299999997</v>
      </c>
      <c r="BN305">
        <v>78324656.700000003</v>
      </c>
      <c r="BO305">
        <v>32.229999999999997</v>
      </c>
      <c r="BP305">
        <v>15.99</v>
      </c>
      <c r="BQ305">
        <v>0.65</v>
      </c>
      <c r="BR305">
        <v>48.87</v>
      </c>
      <c r="BS305">
        <v>34.58</v>
      </c>
      <c r="BT305">
        <v>18.670000000000002</v>
      </c>
      <c r="BU305">
        <v>0.7</v>
      </c>
      <c r="BV305">
        <v>53.96</v>
      </c>
      <c r="BW305">
        <v>466444480</v>
      </c>
      <c r="BX305">
        <v>154687700</v>
      </c>
      <c r="BY305">
        <v>122300980</v>
      </c>
      <c r="BZ305">
        <v>14777366</v>
      </c>
      <c r="CA305">
        <v>0</v>
      </c>
      <c r="CB305">
        <v>9.9</v>
      </c>
      <c r="CC305">
        <v>133875600</v>
      </c>
      <c r="CD305">
        <v>0</v>
      </c>
      <c r="CE305">
        <v>509500.3</v>
      </c>
      <c r="CF305">
        <v>7072461</v>
      </c>
      <c r="CG305">
        <v>0</v>
      </c>
      <c r="CH305">
        <v>1262359.6000000001</v>
      </c>
      <c r="CI305">
        <v>0</v>
      </c>
      <c r="CJ305">
        <v>26084540</v>
      </c>
      <c r="CK305">
        <v>10081297</v>
      </c>
      <c r="CL305">
        <v>0</v>
      </c>
      <c r="CM305">
        <v>98073370</v>
      </c>
      <c r="CN305">
        <v>20448490</v>
      </c>
      <c r="CO305">
        <v>3956685.2</v>
      </c>
      <c r="CP305">
        <v>28001818</v>
      </c>
      <c r="CQ305">
        <v>0</v>
      </c>
      <c r="CR305">
        <v>16720.7</v>
      </c>
      <c r="CS305">
        <v>0</v>
      </c>
      <c r="CT305">
        <v>272.10000000000002</v>
      </c>
      <c r="CU305">
        <v>5563.6</v>
      </c>
      <c r="CV305">
        <v>0</v>
      </c>
      <c r="CW305">
        <v>0</v>
      </c>
      <c r="CX305">
        <v>15251.8</v>
      </c>
      <c r="CY305">
        <v>23564.9</v>
      </c>
      <c r="CZ305">
        <v>0</v>
      </c>
      <c r="DA305">
        <v>16966.2</v>
      </c>
      <c r="DB305">
        <v>0</v>
      </c>
      <c r="DC305">
        <v>3524</v>
      </c>
      <c r="DD305">
        <v>15311.8</v>
      </c>
      <c r="DE305">
        <v>86.1</v>
      </c>
      <c r="DF305">
        <v>6677.6</v>
      </c>
      <c r="DG305">
        <v>47350</v>
      </c>
      <c r="DH305">
        <v>2959.9</v>
      </c>
      <c r="DI305">
        <v>7933.8</v>
      </c>
      <c r="DJ305">
        <v>0</v>
      </c>
      <c r="DK305">
        <v>117214.8</v>
      </c>
      <c r="DL305">
        <v>66775.899999999994</v>
      </c>
      <c r="DM305">
        <v>0</v>
      </c>
      <c r="DN305">
        <v>0</v>
      </c>
      <c r="DO305">
        <v>0.02</v>
      </c>
      <c r="DP305">
        <v>0.7</v>
      </c>
      <c r="DQ305">
        <v>0.3</v>
      </c>
      <c r="DR3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proc_Cambium21_coal_gea</vt:lpstr>
      <vt:lpstr>proc_Cambium21_MidCase_gea</vt:lpstr>
      <vt:lpstr>StdScen21_MidCase_annual_gea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Joseph</dc:creator>
  <cp:lastModifiedBy>Jordan Malique Joseph</cp:lastModifiedBy>
  <dcterms:created xsi:type="dcterms:W3CDTF">2024-11-17T04:30:17Z</dcterms:created>
  <dcterms:modified xsi:type="dcterms:W3CDTF">2024-11-19T21:32:21Z</dcterms:modified>
</cp:coreProperties>
</file>