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4128\Research\cmu-tare-model\cmu_tare_model\data\marginal_social_costs\"/>
    </mc:Choice>
  </mc:AlternateContent>
  <xr:revisionPtr revIDLastSave="0" documentId="13_ncr:1_{646A7AA3-D9BE-43A0-B8A4-FE686F117240}" xr6:coauthVersionLast="47" xr6:coauthVersionMax="47" xr10:uidLastSave="{00000000-0000-0000-0000-000000000000}"/>
  <bookViews>
    <workbookView xWindow="-108" yWindow="-108" windowWidth="23256" windowHeight="13896" activeTab="3" xr2:uid="{9E84D423-0E0D-4820-8255-FAB67149DDA4}"/>
  </bookViews>
  <sheets>
    <sheet name="scc_lower" sheetId="1" r:id="rId1"/>
    <sheet name="scc_central" sheetId="3" r:id="rId2"/>
    <sheet name="scc_upper" sheetId="4" r:id="rId3"/>
    <sheet name="scc_bounds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2" i="3" l="1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C1" i="2" s="1" a="1"/>
  <c r="C1" i="2" s="1"/>
  <c r="E2" i="3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B1" i="2" s="1" a="1"/>
  <c r="B1" i="2" s="1"/>
  <c r="E4" i="1"/>
  <c r="E3" i="1"/>
  <c r="E2" i="1"/>
  <c r="E24" i="4"/>
  <c r="E25" i="4"/>
  <c r="E26" i="4"/>
  <c r="E27" i="4"/>
  <c r="E28" i="4"/>
  <c r="E29" i="4"/>
  <c r="E30" i="4"/>
  <c r="E31" i="4"/>
  <c r="E32" i="4"/>
  <c r="E23" i="4"/>
  <c r="E14" i="4"/>
  <c r="E15" i="4"/>
  <c r="E16" i="4"/>
  <c r="E17" i="4"/>
  <c r="E18" i="4"/>
  <c r="E19" i="4"/>
  <c r="E20" i="4"/>
  <c r="E21" i="4"/>
  <c r="E22" i="4"/>
  <c r="E13" i="4"/>
  <c r="E3" i="4"/>
  <c r="E4" i="4"/>
  <c r="E5" i="4"/>
  <c r="E6" i="4"/>
  <c r="E7" i="4"/>
  <c r="E8" i="4"/>
  <c r="E9" i="4"/>
  <c r="E10" i="4"/>
  <c r="E11" i="4"/>
  <c r="E12" i="4"/>
  <c r="E2" i="4"/>
  <c r="D1" i="2" l="1" a="1"/>
  <c r="H21" i="2" s="1"/>
  <c r="D1" i="2"/>
  <c r="H12" i="2"/>
  <c r="H13" i="2"/>
  <c r="H27" i="2"/>
  <c r="H28" i="2"/>
  <c r="G19" i="2"/>
  <c r="G18" i="2"/>
  <c r="G27" i="2"/>
  <c r="G25" i="2"/>
  <c r="G11" i="2"/>
  <c r="G21" i="2"/>
  <c r="G2" i="2"/>
  <c r="G3" i="2"/>
  <c r="G30" i="2"/>
  <c r="G29" i="2"/>
  <c r="G14" i="2"/>
  <c r="G13" i="2"/>
  <c r="G24" i="2"/>
  <c r="G10" i="2"/>
  <c r="G7" i="2"/>
  <c r="G20" i="2"/>
  <c r="G5" i="2"/>
  <c r="G4" i="2"/>
  <c r="G17" i="2"/>
  <c r="G15" i="2"/>
  <c r="G28" i="2"/>
  <c r="G12" i="2"/>
  <c r="G23" i="2"/>
  <c r="G9" i="2"/>
  <c r="G6" i="2"/>
  <c r="G32" i="2"/>
  <c r="G31" i="2"/>
  <c r="G16" i="2"/>
  <c r="G26" i="2"/>
  <c r="G22" i="2"/>
  <c r="G8" i="2"/>
  <c r="F21" i="2"/>
  <c r="F6" i="2"/>
  <c r="F20" i="2"/>
  <c r="F5" i="2"/>
  <c r="F2" i="2"/>
  <c r="F19" i="2"/>
  <c r="F4" i="2"/>
  <c r="F32" i="2"/>
  <c r="F18" i="2"/>
  <c r="F3" i="2"/>
  <c r="F31" i="2"/>
  <c r="F17" i="2"/>
  <c r="F30" i="2"/>
  <c r="F16" i="2"/>
  <c r="F29" i="2"/>
  <c r="F15" i="2"/>
  <c r="F28" i="2"/>
  <c r="F14" i="2"/>
  <c r="F27" i="2"/>
  <c r="F13" i="2"/>
  <c r="F26" i="2"/>
  <c r="F11" i="2"/>
  <c r="F25" i="2"/>
  <c r="F10" i="2"/>
  <c r="F24" i="2"/>
  <c r="F9" i="2"/>
  <c r="F23" i="2"/>
  <c r="F8" i="2"/>
  <c r="F22" i="2"/>
  <c r="F7" i="2"/>
  <c r="F12" i="2"/>
  <c r="H24" i="2"/>
  <c r="H10" i="2"/>
  <c r="H23" i="2"/>
  <c r="H9" i="2"/>
  <c r="H3" i="2"/>
  <c r="H30" i="2"/>
  <c r="H11" i="2" l="1"/>
  <c r="H25" i="2"/>
  <c r="H17" i="2"/>
  <c r="H31" i="2"/>
  <c r="H4" i="2"/>
  <c r="H18" i="2"/>
  <c r="H32" i="2"/>
  <c r="H5" i="2"/>
  <c r="H8" i="2"/>
  <c r="H14" i="2"/>
  <c r="H22" i="2"/>
  <c r="H26" i="2"/>
  <c r="H19" i="2"/>
  <c r="H2" i="2"/>
  <c r="H6" i="2"/>
  <c r="H15" i="2"/>
  <c r="H20" i="2"/>
  <c r="H29" i="2"/>
  <c r="H7" i="2"/>
  <c r="H1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<sst xmlns="http://schemas.openxmlformats.org/spreadsheetml/2006/main" count="29" uniqueCount="14">
  <si>
    <t>emissions_year</t>
  </si>
  <si>
    <t>scc_lower_usd2020</t>
  </si>
  <si>
    <t>scc_central_usd2020</t>
  </si>
  <si>
    <t>scc_upper_usd2020</t>
  </si>
  <si>
    <t>cpi_ratio_2023_2020</t>
  </si>
  <si>
    <t>scc_lower_usd2023</t>
  </si>
  <si>
    <t>scc_central_usd2023</t>
  </si>
  <si>
    <t>scc_upper_usd2023</t>
  </si>
  <si>
    <t>https://www.energy.gov/sites/default/files/2023-04/57.%20Social%20Cost%20of%20Carbon%202021.pdf</t>
  </si>
  <si>
    <t>URL:</t>
  </si>
  <si>
    <t>Citation:</t>
  </si>
  <si>
    <t>Interagency Working Group on Social Cost of Greenhouse Gases, United States Government 2021 Technical Support Document: Social Cost of Carbon, Methane, and Nitrous Oxide Interim Estimates under Executive Order 13990 Online: https://www.energy.gov/sites/default/files/2023-04/57.%20Social%20Cost%20of%20Carbon%202021.pdf</t>
  </si>
  <si>
    <r>
      <t xml:space="preserve">U.S. Environmental Protection Agency 2023 </t>
    </r>
    <r>
      <rPr>
        <i/>
        <sz val="12"/>
        <color theme="1"/>
        <rFont val="Aptos"/>
        <family val="2"/>
      </rPr>
      <t>EPA Report on the Social Cost of Greenhouse Gases: Estimates Incorporating Recent Scientific Advances</t>
    </r>
    <r>
      <rPr>
        <sz val="12"/>
        <color theme="1"/>
        <rFont val="Aptos"/>
        <family val="2"/>
      </rPr>
      <t xml:space="preserve"> Online: https://www.epa.gov/system/files/documents/2023-12/epa_scghg_2023_report_final.pdf</t>
    </r>
  </si>
  <si>
    <t>https://www.epa.gov/system/files/documents/2023-12/epa_scghg_2023_report_final.pdf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</si>
</sst>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i/>
      <sz val="12"/>
      <color theme="1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" fontId="0" fillId="0" borderId="0" xfId="0" applyNumberFormat="1"/>
    <xf numFmtId="164" fontId="0" fillId="0" borderId="0" xfId="0" applyNumberFormat="1"/>
    <xf numFmtId="0" fontId="1" fillId="0" borderId="0" xfId="0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3</xdr:row>
      <xdr:rowOff>137160</xdr:rowOff>
    </xdr:from>
    <xdr:to>
      <xdr:col>14</xdr:col>
      <xdr:colOff>183318</xdr:colOff>
      <xdr:row>17</xdr:row>
      <xdr:rowOff>30693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BBA756E9-337A-47F3-B5F7-538E576BB100}"/>
            </a:ext>
          </a:extLst>
        </xdr:cNvPr>
        <xdr:cNvGrpSpPr/>
      </xdr:nvGrpSpPr>
      <xdr:grpSpPr>
        <a:xfrm>
          <a:off x="6233160" y="701040"/>
          <a:ext cx="5052498" cy="2453853"/>
          <a:chOff x="6233160" y="701040"/>
          <a:chExt cx="5052498" cy="2453853"/>
        </a:xfrm>
      </xdr:grpSpPr>
      <xdr:pic>
        <xdr:nvPicPr>
          <xdr:cNvPr id="3" name="Picture 2">
            <a:extLst>
              <a:ext uri="{FF2B5EF4-FFF2-40B4-BE49-F238E27FC236}">
                <a16:creationId xmlns:a16="http://schemas.microsoft.com/office/drawing/2014/main" id="{3BFE6072-FFBC-C7F8-6AB1-5EA70580EED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6233160" y="701040"/>
            <a:ext cx="5052498" cy="2453853"/>
          </a:xfrm>
          <a:prstGeom prst="rect">
            <a:avLst/>
          </a:prstGeom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8612FE2B-D323-4C97-6D2D-8A6634D4D41F}"/>
              </a:ext>
            </a:extLst>
          </xdr:cNvPr>
          <xdr:cNvSpPr/>
        </xdr:nvSpPr>
        <xdr:spPr>
          <a:xfrm>
            <a:off x="8412480" y="1417320"/>
            <a:ext cx="624840" cy="157734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4</xdr:row>
      <xdr:rowOff>15240</xdr:rowOff>
    </xdr:from>
    <xdr:to>
      <xdr:col>16</xdr:col>
      <xdr:colOff>274869</xdr:colOff>
      <xdr:row>16</xdr:row>
      <xdr:rowOff>91637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D92BEDD-C352-4B75-8E16-7A60E0F14608}"/>
            </a:ext>
          </a:extLst>
        </xdr:cNvPr>
        <xdr:cNvGrpSpPr/>
      </xdr:nvGrpSpPr>
      <xdr:grpSpPr>
        <a:xfrm>
          <a:off x="6156960" y="762000"/>
          <a:ext cx="6332769" cy="2270957"/>
          <a:chOff x="5913120" y="137160"/>
          <a:chExt cx="6332769" cy="2270957"/>
        </a:xfrm>
      </xdr:grpSpPr>
      <xdr:pic>
        <xdr:nvPicPr>
          <xdr:cNvPr id="6" name="Picture 5">
            <a:extLst>
              <a:ext uri="{FF2B5EF4-FFF2-40B4-BE49-F238E27FC236}">
                <a16:creationId xmlns:a16="http://schemas.microsoft.com/office/drawing/2014/main" id="{E8964B44-6AAE-BB25-E7CD-ADC18635FE7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13120" y="137160"/>
            <a:ext cx="6332769" cy="2270957"/>
          </a:xfrm>
          <a:prstGeom prst="rect">
            <a:avLst/>
          </a:prstGeom>
        </xdr:spPr>
      </xdr:pic>
      <xdr:sp macro="" textlink="">
        <xdr:nvSpPr>
          <xdr:cNvPr id="7" name="Rectangle 6">
            <a:extLst>
              <a:ext uri="{FF2B5EF4-FFF2-40B4-BE49-F238E27FC236}">
                <a16:creationId xmlns:a16="http://schemas.microsoft.com/office/drawing/2014/main" id="{85D948DA-DF1F-5B98-095B-8269A99759B4}"/>
              </a:ext>
            </a:extLst>
          </xdr:cNvPr>
          <xdr:cNvSpPr/>
        </xdr:nvSpPr>
        <xdr:spPr>
          <a:xfrm>
            <a:off x="9174480" y="1005840"/>
            <a:ext cx="502920" cy="134874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4</xdr:row>
      <xdr:rowOff>15240</xdr:rowOff>
    </xdr:from>
    <xdr:to>
      <xdr:col>16</xdr:col>
      <xdr:colOff>274869</xdr:colOff>
      <xdr:row>16</xdr:row>
      <xdr:rowOff>91637</xdr:rowOff>
    </xdr:to>
    <xdr:grpSp>
      <xdr:nvGrpSpPr>
        <xdr:cNvPr id="6" name="Group 5">
          <a:extLst>
            <a:ext uri="{FF2B5EF4-FFF2-40B4-BE49-F238E27FC236}">
              <a16:creationId xmlns:a16="http://schemas.microsoft.com/office/drawing/2014/main" id="{2DE116A0-92C1-F1F3-2732-571986B62F12}"/>
            </a:ext>
          </a:extLst>
        </xdr:cNvPr>
        <xdr:cNvGrpSpPr/>
      </xdr:nvGrpSpPr>
      <xdr:grpSpPr>
        <a:xfrm>
          <a:off x="6156960" y="762000"/>
          <a:ext cx="6332769" cy="2270957"/>
          <a:chOff x="5913120" y="137160"/>
          <a:chExt cx="6332769" cy="2270957"/>
        </a:xfrm>
      </xdr:grpSpPr>
      <xdr:pic>
        <xdr:nvPicPr>
          <xdr:cNvPr id="4" name="Picture 3">
            <a:extLst>
              <a:ext uri="{FF2B5EF4-FFF2-40B4-BE49-F238E27FC236}">
                <a16:creationId xmlns:a16="http://schemas.microsoft.com/office/drawing/2014/main" id="{676B9B21-445C-70EB-0B80-8D06219CB41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913120" y="137160"/>
            <a:ext cx="6332769" cy="2270957"/>
          </a:xfrm>
          <a:prstGeom prst="rect">
            <a:avLst/>
          </a:prstGeom>
        </xdr:spPr>
      </xdr:pic>
      <xdr:sp macro="" textlink="">
        <xdr:nvSpPr>
          <xdr:cNvPr id="5" name="Rectangle 4">
            <a:extLst>
              <a:ext uri="{FF2B5EF4-FFF2-40B4-BE49-F238E27FC236}">
                <a16:creationId xmlns:a16="http://schemas.microsoft.com/office/drawing/2014/main" id="{C47B943D-4B2C-B97D-6125-732A6A37955E}"/>
              </a:ext>
            </a:extLst>
          </xdr:cNvPr>
          <xdr:cNvSpPr/>
        </xdr:nvSpPr>
        <xdr:spPr>
          <a:xfrm>
            <a:off x="9174480" y="1005840"/>
            <a:ext cx="502920" cy="1348740"/>
          </a:xfrm>
          <a:prstGeom prst="rect">
            <a:avLst/>
          </a:prstGeom>
          <a:noFill/>
          <a:ln w="38100"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C15B2-2397-4FE1-8B68-09BFA0B5EF94}">
  <dimension ref="A1:H32"/>
  <sheetViews>
    <sheetView workbookViewId="0">
      <selection activeCell="B1" sqref="B1"/>
    </sheetView>
  </sheetViews>
  <sheetFormatPr defaultRowHeight="14.4" x14ac:dyDescent="0.3"/>
  <cols>
    <col min="1" max="1" width="16.77734375" customWidth="1"/>
    <col min="2" max="2" width="18.77734375" customWidth="1"/>
    <col min="4" max="4" width="16.21875" customWidth="1"/>
    <col min="5" max="5" width="21.21875" customWidth="1"/>
  </cols>
  <sheetData>
    <row r="1" spans="1:8" x14ac:dyDescent="0.3">
      <c r="A1" t="s">
        <v>0</v>
      </c>
      <c r="B1" t="s">
        <v>1</v>
      </c>
      <c r="D1" t="s">
        <v>0</v>
      </c>
      <c r="E1" t="s">
        <v>1</v>
      </c>
    </row>
    <row r="2" spans="1:8" x14ac:dyDescent="0.3">
      <c r="A2">
        <v>2020</v>
      </c>
      <c r="B2">
        <v>51</v>
      </c>
      <c r="D2">
        <v>2020</v>
      </c>
      <c r="E2" s="2">
        <f>_xlfn.FORECAST.LINEAR(D2,$B$2:$B$3,$A$2:$A$3)</f>
        <v>51</v>
      </c>
      <c r="G2" s="3" t="s">
        <v>9</v>
      </c>
      <c r="H2" t="s">
        <v>8</v>
      </c>
    </row>
    <row r="3" spans="1:8" ht="15.6" x14ac:dyDescent="0.3">
      <c r="A3">
        <v>2025</v>
      </c>
      <c r="B3">
        <v>56</v>
      </c>
      <c r="D3">
        <v>2021</v>
      </c>
      <c r="E3" s="2">
        <f t="shared" ref="E3:E7" si="0">_xlfn.FORECAST.LINEAR(D3,$B$2:$B$3,$A$2:$A$3)</f>
        <v>52</v>
      </c>
      <c r="G3" s="3" t="s">
        <v>10</v>
      </c>
      <c r="H3" s="4" t="s">
        <v>11</v>
      </c>
    </row>
    <row r="4" spans="1:8" x14ac:dyDescent="0.3">
      <c r="A4">
        <v>2030</v>
      </c>
      <c r="B4">
        <v>62</v>
      </c>
      <c r="D4">
        <v>2022</v>
      </c>
      <c r="E4" s="2">
        <f t="shared" si="0"/>
        <v>53</v>
      </c>
    </row>
    <row r="5" spans="1:8" x14ac:dyDescent="0.3">
      <c r="A5">
        <v>2035</v>
      </c>
      <c r="B5">
        <v>67</v>
      </c>
      <c r="D5">
        <v>2023</v>
      </c>
      <c r="E5" s="2">
        <f t="shared" si="0"/>
        <v>54</v>
      </c>
    </row>
    <row r="6" spans="1:8" x14ac:dyDescent="0.3">
      <c r="A6">
        <v>2040</v>
      </c>
      <c r="B6">
        <v>73</v>
      </c>
      <c r="D6">
        <v>2024</v>
      </c>
      <c r="E6" s="2">
        <f t="shared" si="0"/>
        <v>55</v>
      </c>
    </row>
    <row r="7" spans="1:8" x14ac:dyDescent="0.3">
      <c r="A7">
        <v>2045</v>
      </c>
      <c r="B7">
        <v>79</v>
      </c>
      <c r="D7">
        <v>2025</v>
      </c>
      <c r="E7" s="2">
        <f t="shared" si="0"/>
        <v>56</v>
      </c>
    </row>
    <row r="8" spans="1:8" x14ac:dyDescent="0.3">
      <c r="A8">
        <v>2050</v>
      </c>
      <c r="B8">
        <v>85</v>
      </c>
      <c r="D8">
        <v>2026</v>
      </c>
      <c r="E8" s="2">
        <f>_xlfn.FORECAST.LINEAR(D8,$B$3:$B$4,$A$3:$A$4)</f>
        <v>57.199999999999818</v>
      </c>
    </row>
    <row r="9" spans="1:8" x14ac:dyDescent="0.3">
      <c r="D9">
        <v>2027</v>
      </c>
      <c r="E9" s="2">
        <f t="shared" ref="E9:E12" si="1">_xlfn.FORECAST.LINEAR(D9,$B$3:$B$4,$A$3:$A$4)</f>
        <v>58.400000000000091</v>
      </c>
    </row>
    <row r="10" spans="1:8" x14ac:dyDescent="0.3">
      <c r="D10">
        <v>2028</v>
      </c>
      <c r="E10" s="2">
        <f t="shared" si="1"/>
        <v>59.599999999999909</v>
      </c>
    </row>
    <row r="11" spans="1:8" x14ac:dyDescent="0.3">
      <c r="D11">
        <v>2029</v>
      </c>
      <c r="E11" s="2">
        <f t="shared" si="1"/>
        <v>60.799999999999727</v>
      </c>
    </row>
    <row r="12" spans="1:8" x14ac:dyDescent="0.3">
      <c r="D12">
        <v>2030</v>
      </c>
      <c r="E12" s="2">
        <f t="shared" si="1"/>
        <v>62</v>
      </c>
    </row>
    <row r="13" spans="1:8" x14ac:dyDescent="0.3">
      <c r="D13">
        <v>2031</v>
      </c>
      <c r="E13" s="2">
        <f>_xlfn.FORECAST.LINEAR(D13,$B$4:$B$5,$A$4:$A$5)</f>
        <v>63</v>
      </c>
    </row>
    <row r="14" spans="1:8" x14ac:dyDescent="0.3">
      <c r="D14">
        <v>2032</v>
      </c>
      <c r="E14" s="2">
        <f t="shared" ref="E14:E17" si="2">_xlfn.FORECAST.LINEAR(D14,$B$4:$B$5,$A$4:$A$5)</f>
        <v>64</v>
      </c>
    </row>
    <row r="15" spans="1:8" x14ac:dyDescent="0.3">
      <c r="D15">
        <v>2033</v>
      </c>
      <c r="E15" s="2">
        <f t="shared" si="2"/>
        <v>65</v>
      </c>
    </row>
    <row r="16" spans="1:8" x14ac:dyDescent="0.3">
      <c r="D16">
        <v>2034</v>
      </c>
      <c r="E16" s="2">
        <f t="shared" si="2"/>
        <v>66</v>
      </c>
    </row>
    <row r="17" spans="4:5" x14ac:dyDescent="0.3">
      <c r="D17">
        <v>2035</v>
      </c>
      <c r="E17" s="2">
        <f t="shared" si="2"/>
        <v>67</v>
      </c>
    </row>
    <row r="18" spans="4:5" x14ac:dyDescent="0.3">
      <c r="D18">
        <v>2036</v>
      </c>
      <c r="E18" s="2">
        <f>_xlfn.FORECAST.LINEAR(D18,$B$5:$B$6,$A$5:$A$6)</f>
        <v>68.199999999999818</v>
      </c>
    </row>
    <row r="19" spans="4:5" x14ac:dyDescent="0.3">
      <c r="D19">
        <v>2037</v>
      </c>
      <c r="E19" s="2">
        <f t="shared" ref="E19:E22" si="3">_xlfn.FORECAST.LINEAR(D19,$B$5:$B$6,$A$5:$A$6)</f>
        <v>69.400000000000091</v>
      </c>
    </row>
    <row r="20" spans="4:5" x14ac:dyDescent="0.3">
      <c r="D20">
        <v>2038</v>
      </c>
      <c r="E20" s="2">
        <f t="shared" si="3"/>
        <v>70.599999999999909</v>
      </c>
    </row>
    <row r="21" spans="4:5" x14ac:dyDescent="0.3">
      <c r="D21">
        <v>2039</v>
      </c>
      <c r="E21" s="2">
        <f t="shared" si="3"/>
        <v>71.799999999999727</v>
      </c>
    </row>
    <row r="22" spans="4:5" x14ac:dyDescent="0.3">
      <c r="D22">
        <v>2040</v>
      </c>
      <c r="E22" s="2">
        <f t="shared" si="3"/>
        <v>73</v>
      </c>
    </row>
    <row r="23" spans="4:5" x14ac:dyDescent="0.3">
      <c r="D23">
        <v>2041</v>
      </c>
      <c r="E23" s="2">
        <f>_xlfn.FORECAST.LINEAR(D23,$B$6:$B$7,$A$6:$A$7)</f>
        <v>74.199999999999818</v>
      </c>
    </row>
    <row r="24" spans="4:5" x14ac:dyDescent="0.3">
      <c r="D24">
        <v>2042</v>
      </c>
      <c r="E24" s="2">
        <f t="shared" ref="E24:E27" si="4">_xlfn.FORECAST.LINEAR(D24,$B$6:$B$7,$A$6:$A$7)</f>
        <v>75.400000000000091</v>
      </c>
    </row>
    <row r="25" spans="4:5" x14ac:dyDescent="0.3">
      <c r="D25">
        <v>2043</v>
      </c>
      <c r="E25" s="2">
        <f t="shared" si="4"/>
        <v>76.599999999999909</v>
      </c>
    </row>
    <row r="26" spans="4:5" x14ac:dyDescent="0.3">
      <c r="D26">
        <v>2044</v>
      </c>
      <c r="E26" s="2">
        <f t="shared" si="4"/>
        <v>77.799999999999727</v>
      </c>
    </row>
    <row r="27" spans="4:5" x14ac:dyDescent="0.3">
      <c r="D27">
        <v>2045</v>
      </c>
      <c r="E27" s="2">
        <f t="shared" si="4"/>
        <v>79</v>
      </c>
    </row>
    <row r="28" spans="4:5" x14ac:dyDescent="0.3">
      <c r="D28">
        <v>2046</v>
      </c>
      <c r="E28" s="2">
        <f>_xlfn.FORECAST.LINEAR(D28,$B$7:$B$8,$A$7:$A$8)</f>
        <v>80.199999999999818</v>
      </c>
    </row>
    <row r="29" spans="4:5" x14ac:dyDescent="0.3">
      <c r="D29">
        <v>2047</v>
      </c>
      <c r="E29" s="2">
        <f t="shared" ref="E29:E32" si="5">_xlfn.FORECAST.LINEAR(D29,$B$7:$B$8,$A$7:$A$8)</f>
        <v>81.400000000000091</v>
      </c>
    </row>
    <row r="30" spans="4:5" x14ac:dyDescent="0.3">
      <c r="D30">
        <v>2048</v>
      </c>
      <c r="E30" s="2">
        <f t="shared" si="5"/>
        <v>82.599999999999909</v>
      </c>
    </row>
    <row r="31" spans="4:5" x14ac:dyDescent="0.3">
      <c r="D31">
        <v>2049</v>
      </c>
      <c r="E31" s="2">
        <f t="shared" si="5"/>
        <v>83.799999999999727</v>
      </c>
    </row>
    <row r="32" spans="4:5" x14ac:dyDescent="0.3">
      <c r="D32">
        <v>2050</v>
      </c>
      <c r="E32" s="2">
        <f t="shared" si="5"/>
        <v>85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1B3AE-E1A0-40CD-8D9C-3E7FD3B3E981}">
  <dimension ref="A1:H32"/>
  <sheetViews>
    <sheetView workbookViewId="0">
      <selection activeCell="B1" sqref="B1"/>
    </sheetView>
  </sheetViews>
  <sheetFormatPr defaultRowHeight="14.4" x14ac:dyDescent="0.3"/>
  <cols>
    <col min="1" max="1" width="16.77734375" customWidth="1"/>
    <col min="2" max="2" width="17.21875" customWidth="1"/>
    <col min="4" max="4" width="16.21875" customWidth="1"/>
    <col min="5" max="5" width="21.21875" customWidth="1"/>
  </cols>
  <sheetData>
    <row r="1" spans="1:8" x14ac:dyDescent="0.3">
      <c r="A1" t="s">
        <v>0</v>
      </c>
      <c r="B1" t="s">
        <v>2</v>
      </c>
      <c r="D1" t="s">
        <v>0</v>
      </c>
      <c r="E1" t="s">
        <v>2</v>
      </c>
    </row>
    <row r="2" spans="1:8" x14ac:dyDescent="0.3">
      <c r="A2">
        <v>2020</v>
      </c>
      <c r="B2">
        <v>190</v>
      </c>
      <c r="D2">
        <v>2020</v>
      </c>
      <c r="E2" s="2">
        <f>_xlfn.FORECAST.LINEAR(D2,$B$2:$B$3,$A$2:$A$3)</f>
        <v>190</v>
      </c>
      <c r="G2" s="3" t="s">
        <v>9</v>
      </c>
      <c r="H2" t="s">
        <v>13</v>
      </c>
    </row>
    <row r="3" spans="1:8" ht="15.6" x14ac:dyDescent="0.3">
      <c r="A3">
        <v>2030</v>
      </c>
      <c r="B3">
        <v>220</v>
      </c>
      <c r="D3">
        <v>2021</v>
      </c>
      <c r="E3" s="2">
        <f t="shared" ref="E3:E12" si="0">_xlfn.FORECAST.LINEAR(D3,$B$2:$B$3,$A$2:$A$3)</f>
        <v>193</v>
      </c>
      <c r="G3" s="3" t="s">
        <v>10</v>
      </c>
      <c r="H3" s="4" t="s">
        <v>12</v>
      </c>
    </row>
    <row r="4" spans="1:8" x14ac:dyDescent="0.3">
      <c r="A4">
        <v>2040</v>
      </c>
      <c r="B4">
        <v>250</v>
      </c>
      <c r="D4">
        <v>2022</v>
      </c>
      <c r="E4" s="2">
        <f t="shared" si="0"/>
        <v>196</v>
      </c>
    </row>
    <row r="5" spans="1:8" x14ac:dyDescent="0.3">
      <c r="A5">
        <v>2050</v>
      </c>
      <c r="B5">
        <v>290</v>
      </c>
      <c r="D5">
        <v>2023</v>
      </c>
      <c r="E5" s="2">
        <f t="shared" si="0"/>
        <v>199</v>
      </c>
    </row>
    <row r="6" spans="1:8" x14ac:dyDescent="0.3">
      <c r="D6">
        <v>2024</v>
      </c>
      <c r="E6" s="2">
        <f t="shared" si="0"/>
        <v>202</v>
      </c>
    </row>
    <row r="7" spans="1:8" x14ac:dyDescent="0.3">
      <c r="D7">
        <v>2025</v>
      </c>
      <c r="E7" s="2">
        <f t="shared" si="0"/>
        <v>205</v>
      </c>
    </row>
    <row r="8" spans="1:8" x14ac:dyDescent="0.3">
      <c r="D8">
        <v>2026</v>
      </c>
      <c r="E8" s="2">
        <f t="shared" si="0"/>
        <v>208</v>
      </c>
    </row>
    <row r="9" spans="1:8" x14ac:dyDescent="0.3">
      <c r="D9">
        <v>2027</v>
      </c>
      <c r="E9" s="2">
        <f t="shared" si="0"/>
        <v>211</v>
      </c>
    </row>
    <row r="10" spans="1:8" x14ac:dyDescent="0.3">
      <c r="D10">
        <v>2028</v>
      </c>
      <c r="E10" s="2">
        <f t="shared" si="0"/>
        <v>214</v>
      </c>
    </row>
    <row r="11" spans="1:8" x14ac:dyDescent="0.3">
      <c r="D11">
        <v>2029</v>
      </c>
      <c r="E11" s="2">
        <f t="shared" si="0"/>
        <v>217</v>
      </c>
    </row>
    <row r="12" spans="1:8" x14ac:dyDescent="0.3">
      <c r="D12">
        <v>2030</v>
      </c>
      <c r="E12" s="2">
        <f t="shared" si="0"/>
        <v>220</v>
      </c>
    </row>
    <row r="13" spans="1:8" x14ac:dyDescent="0.3">
      <c r="D13">
        <v>2031</v>
      </c>
      <c r="E13" s="2">
        <f>_xlfn.FORECAST.LINEAR(D13,$B$3:$B$4,$A$3:$A$4)</f>
        <v>223</v>
      </c>
    </row>
    <row r="14" spans="1:8" x14ac:dyDescent="0.3">
      <c r="D14">
        <v>2032</v>
      </c>
      <c r="E14" s="2">
        <f t="shared" ref="E14:E22" si="1">_xlfn.FORECAST.LINEAR(D14,$B$3:$B$4,$A$3:$A$4)</f>
        <v>226</v>
      </c>
    </row>
    <row r="15" spans="1:8" x14ac:dyDescent="0.3">
      <c r="D15">
        <v>2033</v>
      </c>
      <c r="E15" s="2">
        <f t="shared" si="1"/>
        <v>229</v>
      </c>
    </row>
    <row r="16" spans="1:8" x14ac:dyDescent="0.3">
      <c r="D16">
        <v>2034</v>
      </c>
      <c r="E16" s="2">
        <f t="shared" si="1"/>
        <v>232</v>
      </c>
    </row>
    <row r="17" spans="4:5" x14ac:dyDescent="0.3">
      <c r="D17">
        <v>2035</v>
      </c>
      <c r="E17" s="2">
        <f t="shared" si="1"/>
        <v>235</v>
      </c>
    </row>
    <row r="18" spans="4:5" x14ac:dyDescent="0.3">
      <c r="D18">
        <v>2036</v>
      </c>
      <c r="E18" s="2">
        <f t="shared" si="1"/>
        <v>238</v>
      </c>
    </row>
    <row r="19" spans="4:5" x14ac:dyDescent="0.3">
      <c r="D19">
        <v>2037</v>
      </c>
      <c r="E19" s="2">
        <f t="shared" si="1"/>
        <v>241</v>
      </c>
    </row>
    <row r="20" spans="4:5" x14ac:dyDescent="0.3">
      <c r="D20">
        <v>2038</v>
      </c>
      <c r="E20" s="2">
        <f t="shared" si="1"/>
        <v>244</v>
      </c>
    </row>
    <row r="21" spans="4:5" x14ac:dyDescent="0.3">
      <c r="D21">
        <v>2039</v>
      </c>
      <c r="E21" s="2">
        <f t="shared" si="1"/>
        <v>247</v>
      </c>
    </row>
    <row r="22" spans="4:5" x14ac:dyDescent="0.3">
      <c r="D22">
        <v>2040</v>
      </c>
      <c r="E22" s="2">
        <f t="shared" si="1"/>
        <v>250</v>
      </c>
    </row>
    <row r="23" spans="4:5" x14ac:dyDescent="0.3">
      <c r="D23">
        <v>2041</v>
      </c>
      <c r="E23" s="2">
        <f>_xlfn.FORECAST.LINEAR(D23,$B$4:$B$5,$A$4:$A$5)</f>
        <v>254</v>
      </c>
    </row>
    <row r="24" spans="4:5" x14ac:dyDescent="0.3">
      <c r="D24">
        <v>2042</v>
      </c>
      <c r="E24" s="2">
        <f t="shared" ref="E24:E32" si="2">_xlfn.FORECAST.LINEAR(D24,$B$4:$B$5,$A$4:$A$5)</f>
        <v>258</v>
      </c>
    </row>
    <row r="25" spans="4:5" x14ac:dyDescent="0.3">
      <c r="D25">
        <v>2043</v>
      </c>
      <c r="E25" s="2">
        <f t="shared" si="2"/>
        <v>262</v>
      </c>
    </row>
    <row r="26" spans="4:5" x14ac:dyDescent="0.3">
      <c r="D26">
        <v>2044</v>
      </c>
      <c r="E26" s="2">
        <f t="shared" si="2"/>
        <v>266</v>
      </c>
    </row>
    <row r="27" spans="4:5" x14ac:dyDescent="0.3">
      <c r="D27">
        <v>2045</v>
      </c>
      <c r="E27" s="2">
        <f t="shared" si="2"/>
        <v>270</v>
      </c>
    </row>
    <row r="28" spans="4:5" x14ac:dyDescent="0.3">
      <c r="D28">
        <v>2046</v>
      </c>
      <c r="E28" s="2">
        <f t="shared" si="2"/>
        <v>274</v>
      </c>
    </row>
    <row r="29" spans="4:5" x14ac:dyDescent="0.3">
      <c r="D29">
        <v>2047</v>
      </c>
      <c r="E29" s="2">
        <f t="shared" si="2"/>
        <v>278</v>
      </c>
    </row>
    <row r="30" spans="4:5" x14ac:dyDescent="0.3">
      <c r="D30">
        <v>2048</v>
      </c>
      <c r="E30" s="2">
        <f t="shared" si="2"/>
        <v>282</v>
      </c>
    </row>
    <row r="31" spans="4:5" x14ac:dyDescent="0.3">
      <c r="D31">
        <v>2049</v>
      </c>
      <c r="E31" s="2">
        <f t="shared" si="2"/>
        <v>286</v>
      </c>
    </row>
    <row r="32" spans="4:5" x14ac:dyDescent="0.3">
      <c r="D32">
        <v>2050</v>
      </c>
      <c r="E32" s="2">
        <f t="shared" si="2"/>
        <v>290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4CFF6-6F51-4025-99D4-87B6BEDCE997}">
  <dimension ref="A1:H32"/>
  <sheetViews>
    <sheetView workbookViewId="0">
      <selection activeCell="D33" sqref="D33"/>
    </sheetView>
  </sheetViews>
  <sheetFormatPr defaultRowHeight="14.4" x14ac:dyDescent="0.3"/>
  <cols>
    <col min="1" max="1" width="16.77734375" customWidth="1"/>
    <col min="2" max="2" width="17.21875" customWidth="1"/>
    <col min="4" max="4" width="16.21875" customWidth="1"/>
    <col min="5" max="5" width="21.21875" customWidth="1"/>
  </cols>
  <sheetData>
    <row r="1" spans="1:8" x14ac:dyDescent="0.3">
      <c r="A1" t="s">
        <v>0</v>
      </c>
      <c r="B1" t="s">
        <v>3</v>
      </c>
      <c r="D1" t="s">
        <v>0</v>
      </c>
      <c r="E1" t="s">
        <v>3</v>
      </c>
    </row>
    <row r="2" spans="1:8" x14ac:dyDescent="0.3">
      <c r="A2">
        <v>2020</v>
      </c>
      <c r="B2">
        <v>310</v>
      </c>
      <c r="D2">
        <v>2020</v>
      </c>
      <c r="E2" s="2">
        <f>_xlfn.FORECAST.LINEAR(D2,$B$2:$B$3,$A$2:$A$3)</f>
        <v>310</v>
      </c>
      <c r="G2" s="3" t="s">
        <v>9</v>
      </c>
      <c r="H2" t="s">
        <v>13</v>
      </c>
    </row>
    <row r="3" spans="1:8" ht="15.6" x14ac:dyDescent="0.3">
      <c r="A3">
        <v>2030</v>
      </c>
      <c r="B3">
        <v>350</v>
      </c>
      <c r="D3">
        <v>2021</v>
      </c>
      <c r="E3" s="2">
        <f t="shared" ref="E3:E12" si="0">_xlfn.FORECAST.LINEAR(D3,$B$2:$B$3,$A$2:$A$3)</f>
        <v>314</v>
      </c>
      <c r="G3" s="3" t="s">
        <v>10</v>
      </c>
      <c r="H3" s="4" t="s">
        <v>12</v>
      </c>
    </row>
    <row r="4" spans="1:8" x14ac:dyDescent="0.3">
      <c r="A4">
        <v>2040</v>
      </c>
      <c r="B4">
        <v>390</v>
      </c>
      <c r="D4">
        <v>2022</v>
      </c>
      <c r="E4" s="2">
        <f t="shared" si="0"/>
        <v>318</v>
      </c>
    </row>
    <row r="5" spans="1:8" x14ac:dyDescent="0.3">
      <c r="A5">
        <v>2050</v>
      </c>
      <c r="B5">
        <v>430</v>
      </c>
      <c r="D5">
        <v>2023</v>
      </c>
      <c r="E5" s="2">
        <f t="shared" si="0"/>
        <v>322</v>
      </c>
    </row>
    <row r="6" spans="1:8" x14ac:dyDescent="0.3">
      <c r="D6">
        <v>2024</v>
      </c>
      <c r="E6" s="2">
        <f t="shared" si="0"/>
        <v>326</v>
      </c>
    </row>
    <row r="7" spans="1:8" x14ac:dyDescent="0.3">
      <c r="D7">
        <v>2025</v>
      </c>
      <c r="E7" s="2">
        <f t="shared" si="0"/>
        <v>330</v>
      </c>
    </row>
    <row r="8" spans="1:8" x14ac:dyDescent="0.3">
      <c r="D8">
        <v>2026</v>
      </c>
      <c r="E8" s="2">
        <f t="shared" si="0"/>
        <v>334</v>
      </c>
    </row>
    <row r="9" spans="1:8" x14ac:dyDescent="0.3">
      <c r="D9">
        <v>2027</v>
      </c>
      <c r="E9" s="2">
        <f t="shared" si="0"/>
        <v>338</v>
      </c>
    </row>
    <row r="10" spans="1:8" x14ac:dyDescent="0.3">
      <c r="D10">
        <v>2028</v>
      </c>
      <c r="E10" s="2">
        <f t="shared" si="0"/>
        <v>342</v>
      </c>
    </row>
    <row r="11" spans="1:8" x14ac:dyDescent="0.3">
      <c r="D11">
        <v>2029</v>
      </c>
      <c r="E11" s="2">
        <f t="shared" si="0"/>
        <v>346</v>
      </c>
    </row>
    <row r="12" spans="1:8" x14ac:dyDescent="0.3">
      <c r="D12">
        <v>2030</v>
      </c>
      <c r="E12" s="2">
        <f t="shared" si="0"/>
        <v>350</v>
      </c>
    </row>
    <row r="13" spans="1:8" x14ac:dyDescent="0.3">
      <c r="D13">
        <v>2031</v>
      </c>
      <c r="E13" s="2">
        <f>_xlfn.FORECAST.LINEAR(D13,$B$3:$B$4,$A$3:$A$4)</f>
        <v>354</v>
      </c>
    </row>
    <row r="14" spans="1:8" x14ac:dyDescent="0.3">
      <c r="D14">
        <v>2032</v>
      </c>
      <c r="E14" s="2">
        <f t="shared" ref="E14:E22" si="1">_xlfn.FORECAST.LINEAR(D14,$B$3:$B$4,$A$3:$A$4)</f>
        <v>358</v>
      </c>
    </row>
    <row r="15" spans="1:8" x14ac:dyDescent="0.3">
      <c r="D15">
        <v>2033</v>
      </c>
      <c r="E15" s="2">
        <f t="shared" si="1"/>
        <v>362</v>
      </c>
    </row>
    <row r="16" spans="1:8" x14ac:dyDescent="0.3">
      <c r="D16">
        <v>2034</v>
      </c>
      <c r="E16" s="2">
        <f t="shared" si="1"/>
        <v>366</v>
      </c>
    </row>
    <row r="17" spans="4:5" x14ac:dyDescent="0.3">
      <c r="D17">
        <v>2035</v>
      </c>
      <c r="E17" s="2">
        <f t="shared" si="1"/>
        <v>370</v>
      </c>
    </row>
    <row r="18" spans="4:5" x14ac:dyDescent="0.3">
      <c r="D18">
        <v>2036</v>
      </c>
      <c r="E18" s="2">
        <f t="shared" si="1"/>
        <v>374</v>
      </c>
    </row>
    <row r="19" spans="4:5" x14ac:dyDescent="0.3">
      <c r="D19">
        <v>2037</v>
      </c>
      <c r="E19" s="2">
        <f t="shared" si="1"/>
        <v>378</v>
      </c>
    </row>
    <row r="20" spans="4:5" x14ac:dyDescent="0.3">
      <c r="D20">
        <v>2038</v>
      </c>
      <c r="E20" s="2">
        <f t="shared" si="1"/>
        <v>382</v>
      </c>
    </row>
    <row r="21" spans="4:5" x14ac:dyDescent="0.3">
      <c r="D21">
        <v>2039</v>
      </c>
      <c r="E21" s="2">
        <f t="shared" si="1"/>
        <v>386</v>
      </c>
    </row>
    <row r="22" spans="4:5" x14ac:dyDescent="0.3">
      <c r="D22">
        <v>2040</v>
      </c>
      <c r="E22" s="2">
        <f t="shared" si="1"/>
        <v>390</v>
      </c>
    </row>
    <row r="23" spans="4:5" x14ac:dyDescent="0.3">
      <c r="D23">
        <v>2041</v>
      </c>
      <c r="E23" s="2">
        <f>_xlfn.FORECAST.LINEAR(D23,$B$4:$B$5,$A$4:$A$5)</f>
        <v>394</v>
      </c>
    </row>
    <row r="24" spans="4:5" x14ac:dyDescent="0.3">
      <c r="D24">
        <v>2042</v>
      </c>
      <c r="E24" s="2">
        <f t="shared" ref="E24:E32" si="2">_xlfn.FORECAST.LINEAR(D24,$B$4:$B$5,$A$4:$A$5)</f>
        <v>398</v>
      </c>
    </row>
    <row r="25" spans="4:5" x14ac:dyDescent="0.3">
      <c r="D25">
        <v>2043</v>
      </c>
      <c r="E25" s="2">
        <f t="shared" si="2"/>
        <v>402</v>
      </c>
    </row>
    <row r="26" spans="4:5" x14ac:dyDescent="0.3">
      <c r="D26">
        <v>2044</v>
      </c>
      <c r="E26" s="2">
        <f t="shared" si="2"/>
        <v>406</v>
      </c>
    </row>
    <row r="27" spans="4:5" x14ac:dyDescent="0.3">
      <c r="D27">
        <v>2045</v>
      </c>
      <c r="E27" s="2">
        <f t="shared" si="2"/>
        <v>410</v>
      </c>
    </row>
    <row r="28" spans="4:5" x14ac:dyDescent="0.3">
      <c r="D28">
        <v>2046</v>
      </c>
      <c r="E28" s="2">
        <f t="shared" si="2"/>
        <v>414</v>
      </c>
    </row>
    <row r="29" spans="4:5" x14ac:dyDescent="0.3">
      <c r="D29">
        <v>2047</v>
      </c>
      <c r="E29" s="2">
        <f t="shared" si="2"/>
        <v>418</v>
      </c>
    </row>
    <row r="30" spans="4:5" x14ac:dyDescent="0.3">
      <c r="D30">
        <v>2048</v>
      </c>
      <c r="E30" s="2">
        <f t="shared" si="2"/>
        <v>422</v>
      </c>
    </row>
    <row r="31" spans="4:5" x14ac:dyDescent="0.3">
      <c r="D31">
        <v>2049</v>
      </c>
      <c r="E31" s="2">
        <f t="shared" si="2"/>
        <v>426</v>
      </c>
    </row>
    <row r="32" spans="4:5" x14ac:dyDescent="0.3">
      <c r="D32">
        <v>2050</v>
      </c>
      <c r="E32" s="2">
        <f t="shared" si="2"/>
        <v>430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38A36-4C8F-4743-A26E-038C2421567B}">
  <dimension ref="A1:H32"/>
  <sheetViews>
    <sheetView tabSelected="1" workbookViewId="0">
      <selection activeCell="C1" sqref="C1"/>
    </sheetView>
  </sheetViews>
  <sheetFormatPr defaultRowHeight="14.4" x14ac:dyDescent="0.3"/>
  <cols>
    <col min="1" max="1" width="14.44140625" bestFit="1" customWidth="1"/>
    <col min="2" max="2" width="17.6640625" bestFit="1" customWidth="1"/>
    <col min="3" max="3" width="18.88671875" bestFit="1" customWidth="1"/>
    <col min="4" max="4" width="17.88671875" bestFit="1" customWidth="1"/>
    <col min="5" max="5" width="18.21875" bestFit="1" customWidth="1"/>
    <col min="6" max="6" width="17.6640625" bestFit="1" customWidth="1"/>
    <col min="7" max="7" width="18.88671875" bestFit="1" customWidth="1"/>
    <col min="8" max="8" width="17.88671875" bestFit="1" customWidth="1"/>
  </cols>
  <sheetData>
    <row r="1" spans="1:8" x14ac:dyDescent="0.3">
      <c r="A1" t="s">
        <v>0</v>
      </c>
      <c r="B1" t="str" cm="1">
        <f t="array" ref="B1:B32">scc_lower!E1:E32</f>
        <v>scc_lower_usd2020</v>
      </c>
      <c r="C1" t="str" cm="1">
        <f t="array" ref="C1:C32">scc_central!E1:E32</f>
        <v>scc_central_usd2020</v>
      </c>
      <c r="D1" t="str" cm="1">
        <f t="array" ref="D1:D32">scc_upper!E1:E32</f>
        <v>scc_upper_usd2020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2020</v>
      </c>
      <c r="B2">
        <v>51</v>
      </c>
      <c r="C2">
        <v>190</v>
      </c>
      <c r="D2">
        <v>310</v>
      </c>
      <c r="E2">
        <v>1.1773147200080301</v>
      </c>
      <c r="F2" s="1">
        <f>$B2*$E2</f>
        <v>60.043050720409532</v>
      </c>
      <c r="G2" s="1">
        <f>$C2*$E2</f>
        <v>223.68979680152572</v>
      </c>
      <c r="H2" s="1">
        <f>$D2*$E2</f>
        <v>364.96756320248932</v>
      </c>
    </row>
    <row r="3" spans="1:8" x14ac:dyDescent="0.3">
      <c r="A3">
        <v>2021</v>
      </c>
      <c r="B3">
        <v>52</v>
      </c>
      <c r="C3">
        <v>193</v>
      </c>
      <c r="D3">
        <v>314</v>
      </c>
      <c r="E3">
        <v>1.1773147200080301</v>
      </c>
      <c r="F3" s="1">
        <f t="shared" ref="F3:F32" si="0">$B3*$E3</f>
        <v>61.220365440417567</v>
      </c>
      <c r="G3" s="1">
        <f t="shared" ref="G3:G32" si="1">$C3*$E3</f>
        <v>227.22174096154981</v>
      </c>
      <c r="H3" s="1">
        <f t="shared" ref="H3:H32" si="2">$D3*$E3</f>
        <v>369.67682208252143</v>
      </c>
    </row>
    <row r="4" spans="1:8" x14ac:dyDescent="0.3">
      <c r="A4">
        <v>2022</v>
      </c>
      <c r="B4">
        <v>53</v>
      </c>
      <c r="C4">
        <v>196</v>
      </c>
      <c r="D4">
        <v>318</v>
      </c>
      <c r="E4">
        <v>1.1773147200080301</v>
      </c>
      <c r="F4" s="1">
        <f t="shared" si="0"/>
        <v>62.397680160425594</v>
      </c>
      <c r="G4" s="1">
        <f t="shared" si="1"/>
        <v>230.75368512157388</v>
      </c>
      <c r="H4" s="1">
        <f t="shared" si="2"/>
        <v>374.38608096255354</v>
      </c>
    </row>
    <row r="5" spans="1:8" x14ac:dyDescent="0.3">
      <c r="A5">
        <v>2023</v>
      </c>
      <c r="B5">
        <v>54</v>
      </c>
      <c r="C5">
        <v>199</v>
      </c>
      <c r="D5">
        <v>322</v>
      </c>
      <c r="E5">
        <v>1.1773147200080301</v>
      </c>
      <c r="F5" s="1">
        <f t="shared" si="0"/>
        <v>63.574994880433621</v>
      </c>
      <c r="G5" s="1">
        <f t="shared" si="1"/>
        <v>234.28562928159798</v>
      </c>
      <c r="H5" s="1">
        <f t="shared" si="2"/>
        <v>379.0953398425857</v>
      </c>
    </row>
    <row r="6" spans="1:8" x14ac:dyDescent="0.3">
      <c r="A6">
        <v>2024</v>
      </c>
      <c r="B6">
        <v>55</v>
      </c>
      <c r="C6">
        <v>202</v>
      </c>
      <c r="D6">
        <v>326</v>
      </c>
      <c r="E6">
        <v>1.1773147200080301</v>
      </c>
      <c r="F6" s="1">
        <f t="shared" si="0"/>
        <v>64.752309600441649</v>
      </c>
      <c r="G6" s="1">
        <f t="shared" si="1"/>
        <v>237.81757344162207</v>
      </c>
      <c r="H6" s="1">
        <f t="shared" si="2"/>
        <v>383.80459872261781</v>
      </c>
    </row>
    <row r="7" spans="1:8" x14ac:dyDescent="0.3">
      <c r="A7">
        <v>2025</v>
      </c>
      <c r="B7">
        <v>56</v>
      </c>
      <c r="C7">
        <v>205</v>
      </c>
      <c r="D7">
        <v>330</v>
      </c>
      <c r="E7">
        <v>1.1773147200080301</v>
      </c>
      <c r="F7" s="1">
        <f t="shared" si="0"/>
        <v>65.929624320449676</v>
      </c>
      <c r="G7" s="1">
        <f t="shared" si="1"/>
        <v>241.34951760164617</v>
      </c>
      <c r="H7" s="1">
        <f t="shared" si="2"/>
        <v>388.51385760264992</v>
      </c>
    </row>
    <row r="8" spans="1:8" x14ac:dyDescent="0.3">
      <c r="A8">
        <v>2026</v>
      </c>
      <c r="B8">
        <v>57.199999999999818</v>
      </c>
      <c r="C8">
        <v>208</v>
      </c>
      <c r="D8">
        <v>334</v>
      </c>
      <c r="E8">
        <v>1.1773147200080301</v>
      </c>
      <c r="F8" s="1">
        <f t="shared" si="0"/>
        <v>67.342401984459102</v>
      </c>
      <c r="G8" s="1">
        <f t="shared" si="1"/>
        <v>244.88146176167027</v>
      </c>
      <c r="H8" s="1">
        <f t="shared" si="2"/>
        <v>393.22311648268203</v>
      </c>
    </row>
    <row r="9" spans="1:8" x14ac:dyDescent="0.3">
      <c r="A9">
        <v>2027</v>
      </c>
      <c r="B9">
        <v>58.400000000000091</v>
      </c>
      <c r="C9">
        <v>211</v>
      </c>
      <c r="D9">
        <v>338</v>
      </c>
      <c r="E9">
        <v>1.1773147200080301</v>
      </c>
      <c r="F9" s="1">
        <f t="shared" si="0"/>
        <v>68.755179648469067</v>
      </c>
      <c r="G9" s="1">
        <f t="shared" si="1"/>
        <v>248.41340592169433</v>
      </c>
      <c r="H9" s="1">
        <f t="shared" si="2"/>
        <v>397.93237536271414</v>
      </c>
    </row>
    <row r="10" spans="1:8" x14ac:dyDescent="0.3">
      <c r="A10">
        <v>2028</v>
      </c>
      <c r="B10">
        <v>59.599999999999909</v>
      </c>
      <c r="C10">
        <v>214</v>
      </c>
      <c r="D10">
        <v>342</v>
      </c>
      <c r="E10">
        <v>1.1773147200080301</v>
      </c>
      <c r="F10" s="1">
        <f t="shared" si="0"/>
        <v>70.167957312478478</v>
      </c>
      <c r="G10" s="1">
        <f t="shared" si="1"/>
        <v>251.94535008171843</v>
      </c>
      <c r="H10" s="1">
        <f t="shared" si="2"/>
        <v>402.64163424274631</v>
      </c>
    </row>
    <row r="11" spans="1:8" x14ac:dyDescent="0.3">
      <c r="A11">
        <v>2029</v>
      </c>
      <c r="B11">
        <v>60.799999999999727</v>
      </c>
      <c r="C11">
        <v>217</v>
      </c>
      <c r="D11">
        <v>346</v>
      </c>
      <c r="E11">
        <v>1.1773147200080301</v>
      </c>
      <c r="F11" s="1">
        <f t="shared" si="0"/>
        <v>71.580734976487904</v>
      </c>
      <c r="G11" s="1">
        <f t="shared" si="1"/>
        <v>255.47729424174253</v>
      </c>
      <c r="H11" s="1">
        <f t="shared" si="2"/>
        <v>407.35089312277842</v>
      </c>
    </row>
    <row r="12" spans="1:8" x14ac:dyDescent="0.3">
      <c r="A12">
        <v>2030</v>
      </c>
      <c r="B12">
        <v>62</v>
      </c>
      <c r="C12">
        <v>220</v>
      </c>
      <c r="D12">
        <v>350</v>
      </c>
      <c r="E12">
        <v>1.1773147200080301</v>
      </c>
      <c r="F12" s="1">
        <f>$B12*$E12</f>
        <v>72.993512640497869</v>
      </c>
      <c r="G12" s="1">
        <f t="shared" si="1"/>
        <v>259.00923840176659</v>
      </c>
      <c r="H12" s="1">
        <f t="shared" si="2"/>
        <v>412.06015200281053</v>
      </c>
    </row>
    <row r="13" spans="1:8" x14ac:dyDescent="0.3">
      <c r="A13">
        <v>2031</v>
      </c>
      <c r="B13">
        <v>63</v>
      </c>
      <c r="C13">
        <v>223</v>
      </c>
      <c r="D13">
        <v>354</v>
      </c>
      <c r="E13">
        <v>1.1773147200080301</v>
      </c>
      <c r="F13" s="1">
        <f t="shared" si="0"/>
        <v>74.170827360505896</v>
      </c>
      <c r="G13" s="1">
        <f t="shared" si="1"/>
        <v>262.54118256179072</v>
      </c>
      <c r="H13" s="1">
        <f t="shared" si="2"/>
        <v>416.76941088284264</v>
      </c>
    </row>
    <row r="14" spans="1:8" x14ac:dyDescent="0.3">
      <c r="A14">
        <v>2032</v>
      </c>
      <c r="B14">
        <v>64</v>
      </c>
      <c r="C14">
        <v>226</v>
      </c>
      <c r="D14">
        <v>358</v>
      </c>
      <c r="E14">
        <v>1.1773147200080301</v>
      </c>
      <c r="F14" s="1">
        <f t="shared" si="0"/>
        <v>75.348142080513924</v>
      </c>
      <c r="G14" s="1">
        <f t="shared" si="1"/>
        <v>266.07312672181479</v>
      </c>
      <c r="H14" s="1">
        <f t="shared" si="2"/>
        <v>421.47866976287474</v>
      </c>
    </row>
    <row r="15" spans="1:8" x14ac:dyDescent="0.3">
      <c r="A15">
        <v>2033</v>
      </c>
      <c r="B15">
        <v>65</v>
      </c>
      <c r="C15">
        <v>229</v>
      </c>
      <c r="D15">
        <v>362</v>
      </c>
      <c r="E15">
        <v>1.1773147200080301</v>
      </c>
      <c r="F15" s="1">
        <f t="shared" si="0"/>
        <v>76.525456800521951</v>
      </c>
      <c r="G15" s="1">
        <f t="shared" si="1"/>
        <v>269.60507088183886</v>
      </c>
      <c r="H15" s="1">
        <f t="shared" si="2"/>
        <v>426.18792864290685</v>
      </c>
    </row>
    <row r="16" spans="1:8" x14ac:dyDescent="0.3">
      <c r="A16">
        <v>2034</v>
      </c>
      <c r="B16">
        <v>66</v>
      </c>
      <c r="C16">
        <v>232</v>
      </c>
      <c r="D16">
        <v>366</v>
      </c>
      <c r="E16">
        <v>1.1773147200080301</v>
      </c>
      <c r="F16" s="1">
        <f t="shared" si="0"/>
        <v>77.702771520529978</v>
      </c>
      <c r="G16" s="1">
        <f t="shared" si="1"/>
        <v>273.13701504186298</v>
      </c>
      <c r="H16" s="1">
        <f t="shared" si="2"/>
        <v>430.89718752293902</v>
      </c>
    </row>
    <row r="17" spans="1:8" x14ac:dyDescent="0.3">
      <c r="A17">
        <v>2035</v>
      </c>
      <c r="B17">
        <v>67</v>
      </c>
      <c r="C17">
        <v>235</v>
      </c>
      <c r="D17">
        <v>370</v>
      </c>
      <c r="E17">
        <v>1.1773147200080301</v>
      </c>
      <c r="F17" s="1">
        <f t="shared" si="0"/>
        <v>78.88008624053802</v>
      </c>
      <c r="G17" s="1">
        <f t="shared" si="1"/>
        <v>276.66895920188705</v>
      </c>
      <c r="H17" s="1">
        <f t="shared" si="2"/>
        <v>435.60644640297113</v>
      </c>
    </row>
    <row r="18" spans="1:8" x14ac:dyDescent="0.3">
      <c r="A18">
        <v>2036</v>
      </c>
      <c r="B18">
        <v>68.199999999999818</v>
      </c>
      <c r="C18">
        <v>238</v>
      </c>
      <c r="D18">
        <v>374</v>
      </c>
      <c r="E18">
        <v>1.1773147200080301</v>
      </c>
      <c r="F18" s="1">
        <f t="shared" si="0"/>
        <v>80.292863904547431</v>
      </c>
      <c r="G18" s="1">
        <f t="shared" si="1"/>
        <v>280.20090336191117</v>
      </c>
      <c r="H18" s="1">
        <f t="shared" si="2"/>
        <v>440.31570528300324</v>
      </c>
    </row>
    <row r="19" spans="1:8" x14ac:dyDescent="0.3">
      <c r="A19">
        <v>2037</v>
      </c>
      <c r="B19">
        <v>69.400000000000091</v>
      </c>
      <c r="C19">
        <v>241</v>
      </c>
      <c r="D19">
        <v>378</v>
      </c>
      <c r="E19">
        <v>1.1773147200080301</v>
      </c>
      <c r="F19" s="1">
        <f t="shared" si="0"/>
        <v>81.705641568557397</v>
      </c>
      <c r="G19" s="1">
        <f t="shared" si="1"/>
        <v>283.73284752193524</v>
      </c>
      <c r="H19" s="1">
        <f t="shared" si="2"/>
        <v>445.02496416303535</v>
      </c>
    </row>
    <row r="20" spans="1:8" x14ac:dyDescent="0.3">
      <c r="A20">
        <v>2038</v>
      </c>
      <c r="B20">
        <v>70.599999999999909</v>
      </c>
      <c r="C20">
        <v>244</v>
      </c>
      <c r="D20">
        <v>382</v>
      </c>
      <c r="E20">
        <v>1.1773147200080301</v>
      </c>
      <c r="F20" s="1">
        <f t="shared" si="0"/>
        <v>83.118419232566822</v>
      </c>
      <c r="G20" s="1">
        <f t="shared" si="1"/>
        <v>287.26479168195931</v>
      </c>
      <c r="H20" s="1">
        <f t="shared" si="2"/>
        <v>449.73422304306746</v>
      </c>
    </row>
    <row r="21" spans="1:8" x14ac:dyDescent="0.3">
      <c r="A21">
        <v>2039</v>
      </c>
      <c r="B21">
        <v>71.799999999999727</v>
      </c>
      <c r="C21">
        <v>247</v>
      </c>
      <c r="D21">
        <v>386</v>
      </c>
      <c r="E21">
        <v>1.1773147200080301</v>
      </c>
      <c r="F21" s="1">
        <f t="shared" si="0"/>
        <v>84.531196896576233</v>
      </c>
      <c r="G21" s="1">
        <f t="shared" si="1"/>
        <v>290.79673584198343</v>
      </c>
      <c r="H21" s="1">
        <f t="shared" si="2"/>
        <v>454.44348192309963</v>
      </c>
    </row>
    <row r="22" spans="1:8" x14ac:dyDescent="0.3">
      <c r="A22">
        <v>2040</v>
      </c>
      <c r="B22">
        <v>73</v>
      </c>
      <c r="C22">
        <v>250</v>
      </c>
      <c r="D22">
        <v>390</v>
      </c>
      <c r="E22">
        <v>1.1773147200080301</v>
      </c>
      <c r="F22" s="1">
        <f t="shared" si="0"/>
        <v>85.943974560586199</v>
      </c>
      <c r="G22" s="1">
        <f t="shared" si="1"/>
        <v>294.3286800020075</v>
      </c>
      <c r="H22" s="1">
        <f t="shared" si="2"/>
        <v>459.15274080313173</v>
      </c>
    </row>
    <row r="23" spans="1:8" x14ac:dyDescent="0.3">
      <c r="A23">
        <v>2041</v>
      </c>
      <c r="B23">
        <v>74.199999999999818</v>
      </c>
      <c r="C23">
        <v>254</v>
      </c>
      <c r="D23">
        <v>394</v>
      </c>
      <c r="E23">
        <v>1.1773147200080301</v>
      </c>
      <c r="F23" s="1">
        <f t="shared" si="0"/>
        <v>87.35675222459561</v>
      </c>
      <c r="G23" s="1">
        <f t="shared" si="1"/>
        <v>299.03793888203961</v>
      </c>
      <c r="H23" s="1">
        <f t="shared" si="2"/>
        <v>463.86199968316384</v>
      </c>
    </row>
    <row r="24" spans="1:8" x14ac:dyDescent="0.3">
      <c r="A24">
        <v>2042</v>
      </c>
      <c r="B24">
        <v>75.400000000000091</v>
      </c>
      <c r="C24">
        <v>258</v>
      </c>
      <c r="D24">
        <v>398</v>
      </c>
      <c r="E24">
        <v>1.1773147200080301</v>
      </c>
      <c r="F24" s="1">
        <f t="shared" si="0"/>
        <v>88.769529888605575</v>
      </c>
      <c r="G24" s="1">
        <f t="shared" si="1"/>
        <v>303.74719776207178</v>
      </c>
      <c r="H24" s="1">
        <f t="shared" si="2"/>
        <v>468.57125856319595</v>
      </c>
    </row>
    <row r="25" spans="1:8" x14ac:dyDescent="0.3">
      <c r="A25">
        <v>2043</v>
      </c>
      <c r="B25">
        <v>76.599999999999909</v>
      </c>
      <c r="C25">
        <v>262</v>
      </c>
      <c r="D25">
        <v>402</v>
      </c>
      <c r="E25">
        <v>1.1773147200080301</v>
      </c>
      <c r="F25" s="1">
        <f t="shared" si="0"/>
        <v>90.182307552615001</v>
      </c>
      <c r="G25" s="1">
        <f t="shared" si="1"/>
        <v>308.45645664210389</v>
      </c>
      <c r="H25" s="1">
        <f t="shared" si="2"/>
        <v>473.28051744322806</v>
      </c>
    </row>
    <row r="26" spans="1:8" x14ac:dyDescent="0.3">
      <c r="A26">
        <v>2044</v>
      </c>
      <c r="B26">
        <v>77.799999999999727</v>
      </c>
      <c r="C26">
        <v>266</v>
      </c>
      <c r="D26">
        <v>406</v>
      </c>
      <c r="E26">
        <v>1.1773147200080301</v>
      </c>
      <c r="F26" s="1">
        <f t="shared" si="0"/>
        <v>91.595085216624412</v>
      </c>
      <c r="G26" s="1">
        <f t="shared" si="1"/>
        <v>313.165715522136</v>
      </c>
      <c r="H26" s="1">
        <f t="shared" si="2"/>
        <v>477.98977632326023</v>
      </c>
    </row>
    <row r="27" spans="1:8" x14ac:dyDescent="0.3">
      <c r="A27">
        <v>2045</v>
      </c>
      <c r="B27">
        <v>79</v>
      </c>
      <c r="C27">
        <v>270</v>
      </c>
      <c r="D27">
        <v>410</v>
      </c>
      <c r="E27">
        <v>1.1773147200080301</v>
      </c>
      <c r="F27" s="1">
        <f t="shared" si="0"/>
        <v>93.007862880634377</v>
      </c>
      <c r="G27" s="1">
        <f t="shared" si="1"/>
        <v>317.87497440216811</v>
      </c>
      <c r="H27" s="1">
        <f t="shared" si="2"/>
        <v>482.69903520329234</v>
      </c>
    </row>
    <row r="28" spans="1:8" x14ac:dyDescent="0.3">
      <c r="A28">
        <v>2046</v>
      </c>
      <c r="B28">
        <v>80.199999999999818</v>
      </c>
      <c r="C28">
        <v>274</v>
      </c>
      <c r="D28">
        <v>414</v>
      </c>
      <c r="E28">
        <v>1.1773147200080301</v>
      </c>
      <c r="F28" s="1">
        <f t="shared" si="0"/>
        <v>94.420640544643803</v>
      </c>
      <c r="G28" s="1">
        <f t="shared" si="1"/>
        <v>322.58423328220022</v>
      </c>
      <c r="H28" s="1">
        <f t="shared" si="2"/>
        <v>487.40829408332445</v>
      </c>
    </row>
    <row r="29" spans="1:8" x14ac:dyDescent="0.3">
      <c r="A29">
        <v>2047</v>
      </c>
      <c r="B29">
        <v>81.400000000000091</v>
      </c>
      <c r="C29">
        <v>278</v>
      </c>
      <c r="D29">
        <v>418</v>
      </c>
      <c r="E29">
        <v>1.1773147200080301</v>
      </c>
      <c r="F29" s="1">
        <f t="shared" si="0"/>
        <v>95.833418208653754</v>
      </c>
      <c r="G29" s="1">
        <f t="shared" si="1"/>
        <v>327.29349216223238</v>
      </c>
      <c r="H29" s="1">
        <f t="shared" si="2"/>
        <v>492.11755296335656</v>
      </c>
    </row>
    <row r="30" spans="1:8" x14ac:dyDescent="0.3">
      <c r="A30">
        <v>2048</v>
      </c>
      <c r="B30">
        <v>82.599999999999909</v>
      </c>
      <c r="C30">
        <v>282</v>
      </c>
      <c r="D30">
        <v>422</v>
      </c>
      <c r="E30">
        <v>1.1773147200080301</v>
      </c>
      <c r="F30" s="1">
        <f t="shared" si="0"/>
        <v>97.246195872663179</v>
      </c>
      <c r="G30" s="1">
        <f t="shared" si="1"/>
        <v>332.00275104226449</v>
      </c>
      <c r="H30" s="1">
        <f t="shared" si="2"/>
        <v>496.82681184338867</v>
      </c>
    </row>
    <row r="31" spans="1:8" x14ac:dyDescent="0.3">
      <c r="A31">
        <v>2049</v>
      </c>
      <c r="B31">
        <v>83.799999999999727</v>
      </c>
      <c r="C31">
        <v>286</v>
      </c>
      <c r="D31">
        <v>426</v>
      </c>
      <c r="E31">
        <v>1.1773147200080301</v>
      </c>
      <c r="F31" s="1">
        <f t="shared" si="0"/>
        <v>98.658973536672605</v>
      </c>
      <c r="G31" s="1">
        <f t="shared" si="1"/>
        <v>336.7120099222966</v>
      </c>
      <c r="H31" s="1">
        <f t="shared" si="2"/>
        <v>501.53607072342078</v>
      </c>
    </row>
    <row r="32" spans="1:8" x14ac:dyDescent="0.3">
      <c r="A32">
        <v>2050</v>
      </c>
      <c r="B32">
        <v>85</v>
      </c>
      <c r="C32">
        <v>290</v>
      </c>
      <c r="D32">
        <v>430</v>
      </c>
      <c r="E32">
        <v>1.1773147200080301</v>
      </c>
      <c r="F32" s="1">
        <f t="shared" si="0"/>
        <v>100.07175120068256</v>
      </c>
      <c r="G32" s="1">
        <f t="shared" si="1"/>
        <v>341.42126880232871</v>
      </c>
      <c r="H32" s="1">
        <f t="shared" si="2"/>
        <v>506.24532960345294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scc_lower</vt:lpstr>
      <vt:lpstr>scc_central</vt:lpstr>
      <vt:lpstr>scc_upper</vt:lpstr>
      <vt:lpstr>scc_bounds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Malique Joseph</dc:creator>
  <cp:lastModifiedBy>Jordan Malique Joseph</cp:lastModifiedBy>
  <dcterms:created xsi:type="dcterms:W3CDTF">2025-04-01T20:03:04Z</dcterms:created>
  <dcterms:modified xsi:type="dcterms:W3CDTF">2025-05-25T08:23:21Z</dcterms:modified>
</cp:coreProperties>
</file>