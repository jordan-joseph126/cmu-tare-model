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jorda\Desktop\Projects\cmu-tare-model\cmu_tare_model\data\retrofit_costs\"/>
    </mc:Choice>
  </mc:AlternateContent>
  <xr:revisionPtr revIDLastSave="0" documentId="8_{61EDB2A3-C454-42E8-8AD7-A358F686AB6A}" xr6:coauthVersionLast="47" xr6:coauthVersionMax="47" xr10:uidLastSave="{00000000-0000-0000-0000-000000000000}"/>
  <bookViews>
    <workbookView xWindow="-108" yWindow="-108" windowWidth="23256" windowHeight="13896" xr2:uid="{67F05365-6176-A54C-9FB3-73F9296C3505}"/>
  </bookViews>
  <sheets>
    <sheet name="Machine Read" sheetId="10" r:id="rId1"/>
    <sheet name="Data Sources" sheetId="7" r:id="rId2"/>
  </sheets>
  <externalReferences>
    <externalReference r:id="rId3"/>
  </externalReferences>
  <definedNames>
    <definedName name="_xlnm._FilterDatabase" localSheetId="0" hidden="1">'Machine Read'!$A$2:$AF$135</definedName>
    <definedName name="CACManMU">#REF!</definedName>
    <definedName name="CNB">#REF!</definedName>
    <definedName name="CNI">#REF!</definedName>
    <definedName name="COB">#REF!</definedName>
    <definedName name="COI">#REF!</definedName>
    <definedName name="ContactList">'[1]Contact List'!$A$1:$H$252</definedName>
    <definedName name="CRB">#REF!</definedName>
    <definedName name="CRI">#REF!</definedName>
    <definedName name="FNB">#REF!</definedName>
    <definedName name="FNI">#REF!</definedName>
    <definedName name="FOB">#REF!</definedName>
    <definedName name="FOI">#REF!</definedName>
    <definedName name="FRB">#REF!</definedName>
    <definedName name="FRI">#REF!</definedName>
    <definedName name="FurnManMU">#REF!</definedName>
    <definedName name="HNB">#REF!</definedName>
    <definedName name="HNI">#REF!</definedName>
    <definedName name="HOB">#REF!</definedName>
    <definedName name="HOI">#REF!</definedName>
    <definedName name="HPManMU">#REF!</definedName>
    <definedName name="HRB">#REF!</definedName>
    <definedName name="HRI">#REF!</definedName>
    <definedName name="range_mult">'Machine Read'!$D$1</definedName>
    <definedName name="range_mult2">'Machine Read'!$B$1</definedName>
    <definedName name="Rvalue">#REF!,#REF!,#REF!,#REF!,#REF!,#REF!</definedName>
    <definedName name="WHNEB">#REF!</definedName>
    <definedName name="WHNEI">#REF!</definedName>
    <definedName name="WHNGB">#REF!</definedName>
    <definedName name="WHNGI">#REF!</definedName>
    <definedName name="WHNIB">#REF!</definedName>
    <definedName name="WHNII">#REF!</definedName>
    <definedName name="WHNOB">#REF!</definedName>
    <definedName name="WHNOI">#REF!</definedName>
    <definedName name="WHOEB">#REF!</definedName>
    <definedName name="WHOEI">#REF!</definedName>
    <definedName name="WHOGB">#REF!</definedName>
    <definedName name="WHOGI">#REF!</definedName>
    <definedName name="WHOIB">#REF!</definedName>
    <definedName name="WHOII">#REF!</definedName>
    <definedName name="WHOOB">#REF!</definedName>
    <definedName name="WHOOI">#REF!</definedName>
    <definedName name="WHREB">#REF!</definedName>
    <definedName name="WHREI">#REF!</definedName>
    <definedName name="WHRGB">#REF!</definedName>
    <definedName name="WHRGI">#REF!</definedName>
    <definedName name="WHRIB">#REF!</definedName>
    <definedName name="WHRII">#REF!</definedName>
    <definedName name="WHROB">#REF!</definedName>
    <definedName name="WHROI">#REF!</definedName>
    <definedName name="WS_Foam_Hi_Cost">#REF!,#REF!,#REF!</definedName>
    <definedName name="WS_Foam_Hi_Rvalue">#REF!,#REF!,#REF!</definedName>
    <definedName name="WS_Foam_Low_Cost">#REF!,#REF!,#REF!,#REF!,#REF!,#REF!</definedName>
    <definedName name="WS_FOAM_low_Rvalue">#REF!,#REF!,#REF!,#REF!,#REF!,#REF!</definedName>
    <definedName name="WS_Foam_Low_Thickness">#REF!,#REF!,#REF!,#REF!,#REF!,#REF!</definedName>
    <definedName name="WS_Foam_Med_Cost">#REF!,#REF!,#REF!,#REF!,#REF!,#REF!,#REF!,#REF!,#REF!</definedName>
    <definedName name="WS_Foam_Med_Rvalue">#REF!,#REF!,#REF!,#REF!,#REF!,#REF!,#REF!,#REF!,#REF!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9" i="10" l="1"/>
  <c r="S49" i="10"/>
  <c r="T7" i="10"/>
  <c r="S7" i="10" s="1"/>
  <c r="M7" i="10"/>
  <c r="L7" i="10" s="1"/>
  <c r="F7" i="10"/>
  <c r="E7" i="10" s="1"/>
  <c r="U7" i="10" l="1"/>
  <c r="N7" i="10"/>
  <c r="G7" i="10"/>
  <c r="T3" i="10"/>
  <c r="M3" i="10"/>
  <c r="F3" i="10"/>
  <c r="U3" i="10" l="1"/>
  <c r="S3" i="10"/>
  <c r="G3" i="10"/>
  <c r="E3" i="10"/>
  <c r="N3" i="10"/>
  <c r="L3" i="10"/>
  <c r="T8" i="10"/>
  <c r="M8" i="10"/>
  <c r="F8" i="10"/>
  <c r="F49" i="10"/>
  <c r="J49" i="10"/>
  <c r="T10" i="10"/>
  <c r="T9" i="10"/>
  <c r="M10" i="10"/>
  <c r="F10" i="10"/>
  <c r="M9" i="10"/>
  <c r="F9" i="10"/>
  <c r="N9" i="10" l="1"/>
  <c r="L9" i="10"/>
  <c r="E49" i="10"/>
  <c r="G49" i="10"/>
  <c r="E10" i="10"/>
  <c r="G10" i="10"/>
  <c r="G8" i="10"/>
  <c r="E8" i="10"/>
  <c r="L10" i="10"/>
  <c r="N10" i="10"/>
  <c r="L8" i="10"/>
  <c r="N8" i="10"/>
  <c r="S9" i="10"/>
  <c r="U9" i="10"/>
  <c r="S8" i="10"/>
  <c r="U8" i="10"/>
  <c r="U10" i="10"/>
  <c r="S10" i="10"/>
  <c r="E9" i="10"/>
  <c r="G9"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tc={8ED70F04-CDCC-CE45-B56E-418EEBB88E2C}</author>
    <author>tc={0E510359-A9B1-504C-B5FC-D843B5279F98}</author>
    <author>tc={C946A4E9-8EDF-3649-80CB-29AD0082042C}</author>
    <author>tc={2FF0F424-7210-0B4E-BFA8-DFD48C900ADE}</author>
    <author>tc={C793EFA6-3689-1344-A96A-C0DC6730F473}</author>
  </authors>
  <commentList>
    <comment ref="R7" authorId="0" shapeId="0" xr:uid="{8ED70F04-CDCC-CE45-B56E-418EEBB88E2C}">
      <text>
        <t>[Threaded comment]
Your version of Excel allows you to read this threaded comment; however, any edits to it will get removed if the file is opened in a newer version of Excel. Learn more: https://go.microsoft.com/fwlink/?linkid=870924
Comment:
    Updated from 20 to 24 per highest SEER1 value for centrally ducted ASHPs in https://ashp.neep.org/#!/product_list/</t>
      </text>
    </comment>
    <comment ref="X7" authorId="1" shapeId="0" xr:uid="{0E510359-A9B1-504C-B5FC-D843B5279F98}">
      <text>
        <t>[Threaded comment]
Your version of Excel allows you to read this threaded comment; however, any edits to it will get removed if the file is opened in a newer version of Excel. Learn more: https://go.microsoft.com/fwlink/?linkid=870924
Comment:
    These are the deltas between new const and retrofit for HVAC measures from Guidehouse. Using these instead of two different installation multipliers. Alternatively could use 1.48 or 1.49 instead of 1.50 for new construction multipliers.</t>
      </text>
    </comment>
    <comment ref="Y7" authorId="2" shapeId="0" xr:uid="{C946A4E9-8EDF-3649-80CB-29AD0082042C}">
      <text>
        <t>[Threaded comment]
Your version of Excel allows you to read this threaded comment; however, any edits to it will get removed if the file is opened in a newer version of Excel. Learn more: https://go.microsoft.com/fwlink/?linkid=870924
Comment:
    Average cost for ASHP projects involving fuel substitution, per LBNL database.</t>
      </text>
    </comment>
    <comment ref="J9" authorId="3" shapeId="0" xr:uid="{2FF0F424-7210-0B4E-BFA8-DFD48C900ADE}">
      <text>
        <t>[Threaded comment]
Your version of Excel allows you to read this threaded comment; however, any edits to it will get removed if the file is opened in a newer version of Excel. Learn more: https://go.microsoft.com/fwlink/?linkid=870924
Comment:
    Changed from 0.75 to 0.5 tons because 6000 Btu/hr units are common.</t>
      </text>
    </comment>
    <comment ref="K9" authorId="4" shapeId="0" xr:uid="{C793EFA6-3689-1344-A96A-C0DC6730F473}">
      <text>
        <t xml:space="preserve">[Threaded comment]
Your version of Excel allows you to read this threaded comment; however, any edits to it will get removed if the file is opened in a newer version of Excel. Learn more: https://go.microsoft.com/fwlink/?linkid=870924
Comment:
    Changed from 4.5 to 1.5 tons to represent max size of wall-mount ductless systems. While you can find single-zone units up to 4 tons in https://ashp.neep.org/#!/product_list/ they are floor mount units and are less representative of single-zone systems so costs probably won’t apply. </t>
      </text>
    </comment>
  </commentList>
</comments>
</file>

<file path=xl/sharedStrings.xml><?xml version="1.0" encoding="utf-8"?>
<sst xmlns="http://schemas.openxmlformats.org/spreadsheetml/2006/main" count="1409" uniqueCount="314">
  <si>
    <t>Retail Price Regression, Performance metric 1</t>
  </si>
  <si>
    <t>Retail Price Regression, Performance metric 2</t>
  </si>
  <si>
    <t>Retail Price Regression, Intercepts</t>
  </si>
  <si>
    <t>Installation Multiplier</t>
  </si>
  <si>
    <t>Installation Adder</t>
  </si>
  <si>
    <t>Additional Data</t>
  </si>
  <si>
    <t>Class</t>
  </si>
  <si>
    <t>Output Units</t>
  </si>
  <si>
    <t>Coefficient-Low</t>
  </si>
  <si>
    <t>Coefficient-Mid</t>
  </si>
  <si>
    <t>Coefficient-High</t>
  </si>
  <si>
    <t>Metric</t>
  </si>
  <si>
    <t>Unit</t>
  </si>
  <si>
    <t>Lower Bound</t>
  </si>
  <si>
    <t>Upper Bound</t>
  </si>
  <si>
    <t>Int-Low</t>
  </si>
  <si>
    <t>Int-Mid</t>
  </si>
  <si>
    <t>Int-High</t>
  </si>
  <si>
    <t>New Construction</t>
  </si>
  <si>
    <t>Retrofit</t>
  </si>
  <si>
    <t>Lifetime</t>
  </si>
  <si>
    <t>Cost Variation Considerations</t>
  </si>
  <si>
    <t>Data Sources</t>
  </si>
  <si>
    <t>Qualitative Rank</t>
  </si>
  <si>
    <t>Notes</t>
  </si>
  <si>
    <t>Air Sealing</t>
  </si>
  <si>
    <t>&lt;40% Reduction</t>
  </si>
  <si>
    <t>2023$/sqft</t>
  </si>
  <si>
    <t>Leakage Reduction</t>
  </si>
  <si>
    <t>Percent</t>
  </si>
  <si>
    <t>N/A</t>
  </si>
  <si>
    <t xml:space="preserve">Prevailing local wages, drive time, local code requirements, attic height, roof slope, access, presence/condition/type of existing insulation, existing construction and materials, adequacy of existing ventilation, presence of hazardous materials, nature/size of leaks </t>
  </si>
  <si>
    <t>Data inflated to 2023. High SS, Low R2</t>
  </si>
  <si>
    <t>Regression based on total installed cost</t>
  </si>
  <si>
    <t>&gt;40% Reduction</t>
  </si>
  <si>
    <t>Data inflated to 2023. Medium SS, Low R2</t>
  </si>
  <si>
    <t>2023$</t>
  </si>
  <si>
    <t>Capacity</t>
  </si>
  <si>
    <t>Tons</t>
  </si>
  <si>
    <t>Unitless</t>
  </si>
  <si>
    <t>1, 4</t>
  </si>
  <si>
    <t>Medium SS, High R2, High Source Diversity</t>
  </si>
  <si>
    <t>Electric</t>
  </si>
  <si>
    <t xml:space="preserve">Energy Capacity </t>
  </si>
  <si>
    <t>kWh</t>
  </si>
  <si>
    <t>Prevailing local wages, Drive time, Local code requirements, Access, Existing construction and materials, Condition of existing electrical system</t>
  </si>
  <si>
    <t>1, 3, 10</t>
  </si>
  <si>
    <t>Low SS, Medium R2, High Source Diversity</t>
  </si>
  <si>
    <t>Installation cost is not expected to scale with battery capacity.</t>
  </si>
  <si>
    <t>Gas (Non-Condensing)</t>
  </si>
  <si>
    <t>Heating Capacity</t>
  </si>
  <si>
    <t>BTU/hr</t>
  </si>
  <si>
    <t>AFUE</t>
  </si>
  <si>
    <t>Prevailing local wages, drive time, local code requirements, existing construction and materials, moisture issues present, condition of existing flue, need for condensate line/drain, need to bring in combustion air, condition of existing electrical system, condition of existing plumbing, condition of existing gas line, presence of hazardous materials, need for controls and/or zoning</t>
  </si>
  <si>
    <t>High SS, High R2, Medium Source Diversity</t>
  </si>
  <si>
    <t>Gas (Condensing)</t>
  </si>
  <si>
    <t>High SS, Medium R2, Medium Source Diversity</t>
  </si>
  <si>
    <t>Oil</t>
  </si>
  <si>
    <t>High SS, Medium R2, Low Source Diversity</t>
  </si>
  <si>
    <t>Clothes Dryer</t>
  </si>
  <si>
    <t>Volume</t>
  </si>
  <si>
    <t>Cubic ft</t>
  </si>
  <si>
    <t>Combined Energy Factor</t>
  </si>
  <si>
    <t>lbs/kWh</t>
  </si>
  <si>
    <t>Prevailing local wages, Drive time, Local code requirements, Access, Existing construction and materials, Condition of existing flue, Condition of existing electrical system, Type of equipment</t>
  </si>
  <si>
    <t>1, 4, 12, 13</t>
  </si>
  <si>
    <t>High SS, Low R2, Medium Source Diversity</t>
  </si>
  <si>
    <t>High banding for volume 7-8 cu. ft.</t>
  </si>
  <si>
    <t>Clothes Dryer (Compact)</t>
  </si>
  <si>
    <t>Low SS, Low R2, Medium Source Diversity</t>
  </si>
  <si>
    <t>Heat Pump</t>
  </si>
  <si>
    <t>Gas</t>
  </si>
  <si>
    <t>Medium SS, High R2, Low Source Diversity</t>
  </si>
  <si>
    <t>Clothes Washer</t>
  </si>
  <si>
    <t>Front Load</t>
  </si>
  <si>
    <t>Annual Energy Consumption</t>
  </si>
  <si>
    <t>kWh/yr</t>
  </si>
  <si>
    <t>Prevailing local wages, Drive time, Local code requirements, Access, Moisture issues present, Need for condensate line/drain, Condition of existing electrical system, Type of equipment</t>
  </si>
  <si>
    <t>Medium SS, Low R2, Low Source Diversity</t>
  </si>
  <si>
    <t>Top Load</t>
  </si>
  <si>
    <t>1 ,4</t>
  </si>
  <si>
    <t>CMU</t>
  </si>
  <si>
    <t>Batt</t>
  </si>
  <si>
    <t>R-value</t>
  </si>
  <si>
    <t>ft2·°F·h/BTU</t>
  </si>
  <si>
    <t>Prevailing local wages, Drive time, Local code requirements, Access, Presence/condition/type of existing insulation, Existing construction and materials, Moisture issues present, Adequacy of existing ventilation, Presence of hazardous materials, Extent of preparation</t>
  </si>
  <si>
    <t>1, 2, 4</t>
  </si>
  <si>
    <t>High SS, Medium R2, High Source Diversity</t>
  </si>
  <si>
    <t>Rigid Foam (EPS)</t>
  </si>
  <si>
    <t>Crawlspace (Wall)</t>
  </si>
  <si>
    <t>Prevailing local wages, Drive time, Local code requirements, Access, Presence/condition/type of existing insulation, Existing construction and materials, Moisture issues present, Adequacy of existing ventilation, Adequacy of existing ventilation, Presence of hazardous materials, Extent of preparation, Accommodation for termite inspections, Crawlspace height</t>
  </si>
  <si>
    <t>Rigid Foam (XPS)</t>
  </si>
  <si>
    <t>Medium SS, Medium R2, High Source Diversity</t>
  </si>
  <si>
    <t>Cooking Range</t>
  </si>
  <si>
    <t>Prevailing local wages, Drive time, Access, Condition of existing electrical system, Type of equipment</t>
  </si>
  <si>
    <t>High SS, Low R2, Low Source Diversity</t>
  </si>
  <si>
    <t>High banding for 30 in.</t>
  </si>
  <si>
    <t>Induction</t>
  </si>
  <si>
    <t>Low SS, Low R2, Low Source Diversity</t>
  </si>
  <si>
    <t>Metrics don't appear to scale with cost.</t>
  </si>
  <si>
    <t>Crawlspace (Ceiling)</t>
  </si>
  <si>
    <t>Spray Foam (Closed Cell)</t>
  </si>
  <si>
    <t>Spray Foam (Open Cell)</t>
  </si>
  <si>
    <t>Finished Basement (Wall)</t>
  </si>
  <si>
    <t>Prevailing local wages, Drive time, Local code requirements, Access, Presence/condition/type of existing insulation, Existing construction and materials, Moisture issues present, Presence of hazardous materials, Presence of hazardous materials, Extent of preparation, Accommodation for termite inspections</t>
  </si>
  <si>
    <t>Retrofit contains additional fixed cost of $0.39 per square feet for removal of existing drywall</t>
  </si>
  <si>
    <t>Rim Joist</t>
  </si>
  <si>
    <t>Number of Place Settings</t>
  </si>
  <si>
    <t>Prevailing local wages, Drive time, Local code requirements, Access, Existing construction and materials, Need for condensate line/drain, Condition of existing electrical system, Type of equipment</t>
  </si>
  <si>
    <t>1,3,4</t>
  </si>
  <si>
    <t>Medium SS, Medium R2, Medium Source Diversity</t>
  </si>
  <si>
    <t>High banding at 270 kWh/yr due to Energy Star requirements.</t>
  </si>
  <si>
    <t>Door</t>
  </si>
  <si>
    <t>Exterior Prehung, Fiberglass</t>
  </si>
  <si>
    <t>Prevailing local wages, Drive time, Local code requirements, Existing construction and materials, Presence of hazardous materials</t>
  </si>
  <si>
    <t>No regression ran. High SS, Low Source Diversity</t>
  </si>
  <si>
    <t>Exterior Prehung, Metal</t>
  </si>
  <si>
    <t>Exterior Prehung, Wood</t>
  </si>
  <si>
    <t>No regression ran. Medium SS, Low Source Diversity</t>
  </si>
  <si>
    <t>Sliding Patio, Fiberglass</t>
  </si>
  <si>
    <t>No regression ran. Low SS, Low Source Diversity</t>
  </si>
  <si>
    <t>Sliding Patio, Vinyl</t>
  </si>
  <si>
    <t>Sliding Patio, Wood</t>
  </si>
  <si>
    <t>Double Wood Stud</t>
  </si>
  <si>
    <t>Loose Fill</t>
  </si>
  <si>
    <t>Low SS, Low R2, High Source Diversity</t>
  </si>
  <si>
    <t>Duct</t>
  </si>
  <si>
    <t>Duct Insulation</t>
  </si>
  <si>
    <t>Prevailing local wages, Drive time, Local code requirements, Attic height, Roof slope, Access, Presence/condition/type of existing insulation, Existing construction and materials, Moisture issues present, Presence of hazardous materials, Nature/size of leaks, Crawlspace height</t>
  </si>
  <si>
    <t xml:space="preserve"> 1, 2</t>
  </si>
  <si>
    <t>Low SS, Medium R2, Low Source Diversity</t>
  </si>
  <si>
    <t xml:space="preserve">Duct </t>
  </si>
  <si>
    <t>Duct Sealing</t>
  </si>
  <si>
    <t>Electric Baseboard</t>
  </si>
  <si>
    <t>Wattage</t>
  </si>
  <si>
    <t>Prevailing local wages, Drive time, Local code requirements, Condition of existing electrical system, Need for additional wiring/switching, Presence of hazardous materials, Need for controls and/or zoning</t>
  </si>
  <si>
    <t>Low SS, High R2, High Source Diversity</t>
  </si>
  <si>
    <t>Electric Panel</t>
  </si>
  <si>
    <t>100A</t>
  </si>
  <si>
    <t>Prevailing local wages, Drive time, Local code requirements, Access, Existing construction and materials, Condition of existing electrical system, Need for additional wiring/switching</t>
  </si>
  <si>
    <t>1, 2, 4, 11</t>
  </si>
  <si>
    <t>Medium SS, Medium R2, No Clear Sources</t>
  </si>
  <si>
    <t>200A</t>
  </si>
  <si>
    <t>kW</t>
  </si>
  <si>
    <t>No retrofit scenario, relatively new product market and removal costs are not available.</t>
  </si>
  <si>
    <t>Exterior Finish</t>
  </si>
  <si>
    <t>Aluminum</t>
  </si>
  <si>
    <t xml:space="preserve"> 2023$/sqft</t>
  </si>
  <si>
    <t>Prevailing local wages, Drive time, Local code requirements, Access, Moisture issues present, Existing construction and materials</t>
  </si>
  <si>
    <t>No regression ran. Medium SS, Medium Source Diversity</t>
  </si>
  <si>
    <t>Brick Veneer</t>
  </si>
  <si>
    <t>No regression ran. Medium SS, High Source Diversity</t>
  </si>
  <si>
    <t>Cement</t>
  </si>
  <si>
    <t>Composite</t>
  </si>
  <si>
    <t>Stucco</t>
  </si>
  <si>
    <t>No regression ran. Low SS, Medium Source Diversity</t>
  </si>
  <si>
    <t>Vinyl</t>
  </si>
  <si>
    <t>Wood</t>
  </si>
  <si>
    <t>Finished Basement (Ceiling)</t>
  </si>
  <si>
    <t>Slab</t>
  </si>
  <si>
    <t>Prevailing local wages, Drive time, Local code requirements, Access, Presence/condition/type of existing insulation, Existing construction and materials, Moisture issues present, Adequacy of existing ventilation, Presence of hazardous materials, Extent of preparation, Perimeter excavation needs</t>
  </si>
  <si>
    <t>Unfinished Basement (Wall)</t>
  </si>
  <si>
    <t>Finished Roof</t>
  </si>
  <si>
    <t>Prevailing local wages, Drive time, Local code requirements, Roof slope, Access, Presence/condition/type of existing insulation, Existing construction and materials, Moisture issues present, Moisture issues present, Condition of existing electrical system, Presence of hazardous materials</t>
  </si>
  <si>
    <t>Furnaces</t>
  </si>
  <si>
    <t>Gas Furnace</t>
  </si>
  <si>
    <t>BTU/Hr</t>
  </si>
  <si>
    <t>Prevailing local wages, Drive time, Local code requirements, Access, Condition of existing flue, Need to bring in combustion air, Condition of existing electrical system, Need for additional wiring/switching, Condition of existing gas line, Presence of hazardous materials, Stand alone vs treating both heating/cooling, Need for controls and/or zoning, Condition of existing duct system, Type of equipment</t>
  </si>
  <si>
    <t>1, 2, 4, 6</t>
  </si>
  <si>
    <t>Ground Source Heat Pump</t>
  </si>
  <si>
    <t>GSHP</t>
  </si>
  <si>
    <t>9, 10</t>
  </si>
  <si>
    <t>Low SS, Medium R2, Medium Source Diversity</t>
  </si>
  <si>
    <t xml:space="preserve">ICF </t>
  </si>
  <si>
    <t>Insulating Form</t>
  </si>
  <si>
    <t>1, 2</t>
  </si>
  <si>
    <t>No regression ran. Small SS, Medium Source Diversity</t>
  </si>
  <si>
    <t>Assumes an R-23 ICF product</t>
  </si>
  <si>
    <t>LED</t>
  </si>
  <si>
    <t>A-Type</t>
  </si>
  <si>
    <t>Light Output</t>
  </si>
  <si>
    <t>Lumens</t>
  </si>
  <si>
    <t>Efficacy</t>
  </si>
  <si>
    <t>lm/W</t>
  </si>
  <si>
    <t>Brand recognition, Additonal Features (such as tunable lighting or connectivity)</t>
  </si>
  <si>
    <t>High SS, Low R2, High Source Diversity</t>
  </si>
  <si>
    <t>Assumed no installation labor required</t>
  </si>
  <si>
    <t>Decorative</t>
  </si>
  <si>
    <t>Downlight</t>
  </si>
  <si>
    <t>Assumes 1 hour labor of electrician for installing ceiling recessed fixture</t>
  </si>
  <si>
    <t>Reflector</t>
  </si>
  <si>
    <t>Mechanical Ventilation</t>
  </si>
  <si>
    <t>ERV/HRV</t>
  </si>
  <si>
    <t>Sensible Recovery Efficiency</t>
  </si>
  <si>
    <t>Max Airflow</t>
  </si>
  <si>
    <t>CFM</t>
  </si>
  <si>
    <t>Prevailing local wages, Drive time, Local code requirements, Attic height, Roof slope, Access, Presence/condition/type of existing insulation, Existing construction and materials, Moisture issues present, Condition of existing flue, Condition of existing electrical system, Need for additional wiring/switching, Adequacy of existing ventilation, Presence of hazardous materials, Condition of existing duct system, Type of equipment</t>
  </si>
  <si>
    <t>Radiant Barrier</t>
  </si>
  <si>
    <t>Prevailing local wages, Drive time, Local code requirements, Attic height, Roof slope, Access, Presence/condition/type of existing insulation, Existing construction and materials, Moisture issues present, Presence of hazardous materials</t>
  </si>
  <si>
    <t>1, 10</t>
  </si>
  <si>
    <t>Refrigerator</t>
  </si>
  <si>
    <t>French Door</t>
  </si>
  <si>
    <t>Energy Consumption</t>
  </si>
  <si>
    <t>Prevailing local wages, Drive time, Access, Need for condensate line/drain, Condition of existing electrical system, Type of equipment</t>
  </si>
  <si>
    <t>Non-French Door</t>
  </si>
  <si>
    <t>Pipe Insulation</t>
  </si>
  <si>
    <t>R-Value</t>
  </si>
  <si>
    <t>Retrofit labor is assumed to be the same as new construction</t>
  </si>
  <si>
    <t>Wall Sheathing</t>
  </si>
  <si>
    <t>Wood/Steel Stud</t>
  </si>
  <si>
    <t>CEER</t>
  </si>
  <si>
    <t>Medium SS, High R2, Medium Source Diversity</t>
  </si>
  <si>
    <t>CEER metric does not scale well with predicted cost.</t>
  </si>
  <si>
    <t>Rigid Foam (ISO)</t>
  </si>
  <si>
    <t>Prevailing local wages, Drive time, Local code requirements, Access, Presence/condition/type of existing insulation, Existing construction and materials, Moisture issues present, Adequacy of existing ventilation, Adequacy of existing ventilation, Presence of hazardous materials, Extent of preparationAccommodation for termite inspections, Crawlspace height</t>
  </si>
  <si>
    <t>Solar PV</t>
  </si>
  <si>
    <t>Power</t>
  </si>
  <si>
    <t>1, 6, 7</t>
  </si>
  <si>
    <t>Low quantity of retailer diversity</t>
  </si>
  <si>
    <t xml:space="preserve"> </t>
  </si>
  <si>
    <t>Thermostat</t>
  </si>
  <si>
    <t>Manual</t>
  </si>
  <si>
    <t>Prevailing local wages, Drive time, Local code requirements, Need for additional wiring/switching, Type of equipment</t>
  </si>
  <si>
    <t>1, 4, 10</t>
  </si>
  <si>
    <t>Digital Non-Programmable</t>
  </si>
  <si>
    <t>Digital Programmable</t>
  </si>
  <si>
    <t>Smart</t>
  </si>
  <si>
    <t>Unfinished Attic (Ceiling)</t>
  </si>
  <si>
    <t>Prevailing local wages, Drive time, Local code requirements, Attic height, Roof slope, Access, Presence/condition/type of existing insulation, Existing construction and materials, Existing construction and materials, Moisture issues present, Condition of existing electrical systemAdequacy of existing ventilation, Presence of hazardous materials</t>
  </si>
  <si>
    <t>Unfinished Attic (Roof)</t>
  </si>
  <si>
    <t>Unfinished Basement (Ceiling)</t>
  </si>
  <si>
    <t>Drywall</t>
  </si>
  <si>
    <t>No regression ran. Low SS, High Source Diversity</t>
  </si>
  <si>
    <t>OSB</t>
  </si>
  <si>
    <t>Plywood</t>
  </si>
  <si>
    <t>Water Heater</t>
  </si>
  <si>
    <t>Electric Instantaneous</t>
  </si>
  <si>
    <t>UEF</t>
  </si>
  <si>
    <t>Prevailing local wages, Drive time, Local code requirements, Access, Moisture issues present, Condition of existing flue, Need to bring in combustion air, Condition of existing electrical system, Condition of existing plumbing, Condition of existing gas line, Presence of hazardous materials, Type of equipment</t>
  </si>
  <si>
    <t>1, 2, 3</t>
  </si>
  <si>
    <t>Electric Storage</t>
  </si>
  <si>
    <t>Nominal volume</t>
  </si>
  <si>
    <t>gallons</t>
  </si>
  <si>
    <t>Medium SS, Medium SS, High Source Diversity</t>
  </si>
  <si>
    <t>HP Tank</t>
  </si>
  <si>
    <t>HP Tank w/ Gas Capping</t>
  </si>
  <si>
    <t>Gas Cap as adder in Retail Price Intercepts</t>
  </si>
  <si>
    <t>HP Tank w/ Gas Capping and 240V Wiring</t>
  </si>
  <si>
    <t>Gas Cap and Wiring as adder in Retail Price Intercepts</t>
  </si>
  <si>
    <t>Gas Inst</t>
  </si>
  <si>
    <t>Gas Storage</t>
  </si>
  <si>
    <t>Prevailing local wages, Drive time, Local code requirements, Access, Existing construction and materials, Moisture issues present, Presence of hazardous materials, Extent of preparation</t>
  </si>
  <si>
    <t>1,4</t>
  </si>
  <si>
    <t>Metal</t>
  </si>
  <si>
    <t>Storm</t>
  </si>
  <si>
    <t>Prevailing local wages, Drive time, Local code requirements, Access, Presence/condition/type of existing insulation, Existing construction and materials, Moisture issues present, Presence of hazardous materials, Extent of preparation, Accommodation for termite inspections</t>
  </si>
  <si>
    <t>Source #</t>
  </si>
  <si>
    <t>Source</t>
  </si>
  <si>
    <t>Retail/Distributor Websites</t>
  </si>
  <si>
    <t>RS Means</t>
  </si>
  <si>
    <t>DOE Rulemaking</t>
  </si>
  <si>
    <t>Homewyse</t>
  </si>
  <si>
    <t>LBNL Cost of Decarbonization</t>
  </si>
  <si>
    <t>Energy Sage</t>
  </si>
  <si>
    <t>EIA</t>
  </si>
  <si>
    <t>Home Guide</t>
  </si>
  <si>
    <t>Contractor Interview</t>
  </si>
  <si>
    <t>Energy Star</t>
  </si>
  <si>
    <t>DOE CCMS Database</t>
  </si>
  <si>
    <t>SEER1</t>
  </si>
  <si>
    <t>Cooling Capacity</t>
  </si>
  <si>
    <t>Battery</t>
  </si>
  <si>
    <t>Boiler</t>
  </si>
  <si>
    <t>Dishwasher</t>
  </si>
  <si>
    <t>EV Charger</t>
  </si>
  <si>
    <t>Structural Insulated Panel</t>
  </si>
  <si>
    <t>Window</t>
  </si>
  <si>
    <t>Not a strong correlation between U-factor, number of panes, and costs</t>
  </si>
  <si>
    <t>LBNL Regressions, August 2024</t>
  </si>
  <si>
    <t>1, 2, 3, 4, 14</t>
  </si>
  <si>
    <t xml:space="preserve">Wilson et al. 2024. https://doi.org/10.1016/j.joule.2024.01.022 </t>
  </si>
  <si>
    <t>Navigant. RES 19. https://ma-eeac.org/wp-content/uploads/RES19_Assembled_Report_2018-09-27.pdf</t>
  </si>
  <si>
    <t>https://rabbitheating.com/</t>
  </si>
  <si>
    <t>1, 2, 4, 15</t>
  </si>
  <si>
    <t>Uses previous REMDB relationship vs. capacity with zero intercept, inflated using HVAC PPI (1.436 from 2019.01$ to 2023.12$. Agrees with relationship from [1,2,4] for individual baseboard heaters but allows scaling up for whole-hole costing. Installation multiplier set to 1.5 for consistency with other HVAC categories. Low and High ranges assumed to be +/-30% based on previous REMDB ranges.</t>
  </si>
  <si>
    <t>Regression based on total installed cost. Verified using crowdsourced quote survey, filtered to remove partial replacement situations (https://www.reddit.com/r/geothermal/comments/118glok/geothermal_heat_pump_quote_and_informational/)</t>
  </si>
  <si>
    <t>1, 2, 3, 4, 6</t>
  </si>
  <si>
    <t>High AFUE banding at 84%.</t>
  </si>
  <si>
    <t>High AFUE banding at 95%.</t>
  </si>
  <si>
    <t>Significant banding based on efficiency</t>
  </si>
  <si>
    <t>Air Source Heat Pump</t>
  </si>
  <si>
    <t>Centrally ducted</t>
  </si>
  <si>
    <t>Centrally ducted, with new circuit</t>
  </si>
  <si>
    <t>Non-ducted, single-zone</t>
  </si>
  <si>
    <t>Non-ducted, multi-zone</t>
  </si>
  <si>
    <t>Air Conditioner</t>
  </si>
  <si>
    <t>Room AC (window or through-wall)</t>
  </si>
  <si>
    <t>Name</t>
  </si>
  <si>
    <t>Class - additional description</t>
  </si>
  <si>
    <t>All centrally ducted air-to-air heat pumps, including packaged, top-discharge, and side-discharge outdoor units (AHRI types: HSP-A, HRCU-A-C, and HRCU-A-CB)</t>
  </si>
  <si>
    <t>Non-ducted mini-split heat pumps with a single outdoor unit and single indoor unit (wall, floor, or ceiling mounted) serving a single dwelling unit. Note that regression is the same as "Air Source Heat Pump, Non-ducted, multi-zone" but is listed in a separate row for convenience.</t>
  </si>
  <si>
    <t>All multi-zone air-to-air heat pump systems, including multi-splits that are 100% non-ducted, a combination of non-ducted and ducted (central or compact) indoor units, and multiple single-zone non-ducted single-head units serving a single dwelling unit. Note that regression is the same as "Air Source Heat Pump, Non-ducted, single-zone" but is listed in a separate row for convenience.</t>
  </si>
  <si>
    <t>All centrally ducted air-to-air heat pumps, including packaged, top-discharge, and side-discharge outdoor units (AHRI types: HSP-A, HRCU-A-C, and HRCU-A-CB). Includes an extra $1,384 to represent cost of new 240v circuit(s), based on the average cost for ASHP projects involving fuel substitution, per LBNL database.</t>
  </si>
  <si>
    <t>2023$/ton</t>
  </si>
  <si>
    <t>Total project costs derived from LBNL database compiled from incentive program data, include many datapoints from California (TECH) and Massachusetts. Costs were divided by locations multipliers to correct for higher or lower labor and material costs. Retail and installation split backed out using assumed 1.5 ratio between installation cost and retail cost (derived from industry insider conversations) although some Mass. program data suggests this ratio may be as high as 2 in some markets. Low and High ranges assumed to be +/-40% based on previous REMDB ranges, corroborated with typical RMSE values from LBNL regressions. Source data variability (e.g., 1.5 times interquartile range) typically exceeds this range in both directions. Subtracted $1384 from retrofit cost to represent cost of new 240v circuit(s), based on the average cost for ASHP projects involving fuel substitution, per LBNL database.  Installation subtractor for new construction derived from [2].</t>
  </si>
  <si>
    <t>Total project costs derived from LBNL database compiled from incentive program data, include many datapoints from California (TECH) and Massachusetts. Costs were divided by locations multipliers to correct for higher or lower labor and material costs. Retail and installation split backed out using assumed 1.5 ratio between installation cost and retail cost (derived from industry insider conversations) although some Mass. program data suggests this ratio may be as high as 2 in some markets. Low and High ranges assumed to be +/-40% based on previous REMDB ranges, corroborated with typical RMSE values from LBNL regressions. Source data variability (e.g., 1.5 times interquartile range) typically exceeds this range in both directions. Installation subtractor for new construction derived from [2].</t>
  </si>
  <si>
    <t>Uses SEER1 coefficient for ASHPs from [14] to have consistent relationship between cost and SEER for ASHPs and Central ACs. Spot checked with [17]. Retail and installation split backed out using assumed 1.5 ratio between installation cost and retail cost, derived from industry insider conversations. Low and High ranges assumed to be +/-30% based on previous REMDB ranges, corroborated with typical RMSE values from LBNL regressions.  Installation subtractor for new construction derived from [2].</t>
  </si>
  <si>
    <t>Prevailing local wages, Drive time, Local code requirements, Need for condensate line/drain, Condition of existing electrical system, Need for additional wiring/switching, Type of equipment, Contractor experience</t>
  </si>
  <si>
    <t>Prevailing local wages, Drive time, Local code requirements, Access, Need for condensate line/drain, Condition of existing electrical system, Need for additional wiring/switching, Need for additional structural support, Condition of existing duct system, Type of equipment, Contractor experience</t>
  </si>
  <si>
    <t>Component &amp; Class</t>
  </si>
  <si>
    <t>Prevailing local wages, Drive time, Local code requirements, Location of equipment, Need for condensate line/drain, Condition of existing electrical system, Need for additional wiring/switching, Condition of existing duct system, Type of equipment, Incentive programs, Market maturity, Contractor experience, Total project cost can vary significantly based on the complexity of the installation and local market conditions. Like-for-like system replacements that do not require other infrastructure modifications will have lower overall costs. Systems requiring changes to ductwork or electric wiring can significantly increase installed costs. Contractor familiarity with heat pumps and local adoption rates will also contribute to varied pricing among other considerations listed</t>
  </si>
  <si>
    <t>Prevailing local wages, Drive time, Local code requirements, Location of equipment, Need for condensate line/drain, Condition of existing electrical system, Need for additional wiring/switching, Type of equipment, Incentive programs, Market maturity, Contractor experience, Total project cost can vary significantly based on the complexity of the installation and local market conditions. Like-for-like system replacements that do not require other infrastructure modifications will have lower overall costs. Systems requiring changes to ductwork or electric wiring can significantly increase installed costs. Contractor familiarity with heat pumps and local adoption rates will also contribute to varied pricing among other considerations listed</t>
  </si>
  <si>
    <t>Prevailing local wages, Drive time, Local code requirements, Location of equipment, Need for condensate line/drain, Condition of existing electrical system, Extent of preparation, Condition of existing duct system, Type of equipment, Market maturity, Contractor experience, Total project cost can vary significantly based on the complexity of the installation and local market conditions. Like-for-like system replacements that do not require other infrastructure modifications will have lower overall costs. Systems requiring changes to ductwork or electric wiring can significantly increase installed costs. Contractor familiarity with heat pumps and local adoption rates will also contribute to varied pricing among other considerations listed</t>
  </si>
  <si>
    <t>2023$/Watt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</si>
</sst>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43" formatCode="_(* #,##0.00_);_(* \(#,##0.00\);_(* &quot;-&quot;??_);_(@_)"/>
    <numFmt numFmtId="164" formatCode="0.0"/>
    <numFmt numFmtId="165" formatCode="_(* #,##0_);_(* \(#,##0\);_(* &quot;-&quot;??_);_(@_)"/>
  </numFmts>
  <fonts count="10">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b/>
      <i/>
      <u/>
      <sz val="11"/>
      <color theme="1"/>
      <name val="Calibri"/>
      <family val="2"/>
      <scheme val="minor"/>
    </font>
    <font>
      <b/>
      <i/>
      <u/>
      <sz val="11"/>
      <color theme="0"/>
      <name val="Calibri"/>
      <family val="2"/>
      <scheme val="minor"/>
    </font>
    <font>
      <sz val="8"/>
      <name val="Calibri"/>
      <family val="2"/>
      <scheme val="minor"/>
    </font>
    <font>
      <sz val="11"/>
      <color rgb="FF000000"/>
      <name val="Calibri"/>
      <family val="2"/>
    </font>
    <font>
      <u/>
      <sz val="11"/>
      <color theme="10"/>
      <name val="Calibri"/>
      <family val="2"/>
      <scheme val="minor"/>
    </font>
    <font>
      <sz val="11"/>
      <color theme="1"/>
      <name val="Calibri (Body)"/>
    </font>
  </fonts>
  <fills count="8">
    <fill>
      <patternFill patternType="none"/>
    </fill>
    <fill>
      <patternFill patternType="gray125"/>
    </fill>
    <fill>
      <patternFill patternType="solid">
        <fgColor rgb="FF002060"/>
        <bgColor indexed="64"/>
      </patternFill>
    </fill>
    <fill>
      <patternFill patternType="solid">
        <fgColor theme="1" tint="0.499984740745262"/>
        <bgColor indexed="64"/>
      </patternFill>
    </fill>
    <fill>
      <patternFill patternType="solid">
        <fgColor rgb="FFC00000"/>
        <bgColor indexed="64"/>
      </patternFill>
    </fill>
    <fill>
      <patternFill patternType="solid">
        <fgColor theme="0" tint="-0.249977111117893"/>
        <bgColor indexed="64"/>
      </patternFill>
    </fill>
    <fill>
      <patternFill patternType="solid">
        <fgColor rgb="FF00B050"/>
        <bgColor indexed="64"/>
      </patternFill>
    </fill>
    <fill>
      <patternFill patternType="solid">
        <fgColor theme="4"/>
        <bgColor indexed="64"/>
      </patternFill>
    </fill>
  </fills>
  <borders count="6">
    <border>
      <left/>
      <right/>
      <top/>
      <bottom/>
      <diagonal/>
    </border>
    <border>
      <left style="medium">
        <color indexed="64"/>
      </left>
      <right/>
      <top/>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s>
  <cellStyleXfs count="5">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8" fillId="0" borderId="0" applyNumberFormat="0" applyFill="0" applyBorder="0" applyAlignment="0" applyProtection="0"/>
  </cellStyleXfs>
  <cellXfs count="54">
    <xf numFmtId="0" fontId="0" fillId="0" borderId="0" xfId="0"/>
    <xf numFmtId="0" fontId="1" fillId="0" borderId="0" xfId="0" applyFont="1"/>
    <xf numFmtId="0" fontId="0" fillId="0" borderId="1" xfId="0" applyBorder="1"/>
    <xf numFmtId="0" fontId="0" fillId="0" borderId="2" xfId="0" applyBorder="1"/>
    <xf numFmtId="2" fontId="0" fillId="0" borderId="0" xfId="0" applyNumberFormat="1"/>
    <xf numFmtId="0" fontId="3" fillId="2" borderId="2" xfId="0" applyFont="1" applyFill="1" applyBorder="1" applyAlignment="1">
      <alignment horizontal="center"/>
    </xf>
    <xf numFmtId="0" fontId="3" fillId="4" borderId="2" xfId="0" applyFont="1" applyFill="1" applyBorder="1" applyAlignment="1">
      <alignment horizontal="center"/>
    </xf>
    <xf numFmtId="0" fontId="1" fillId="5" borderId="2" xfId="0" applyFont="1" applyFill="1" applyBorder="1"/>
    <xf numFmtId="0" fontId="1" fillId="5" borderId="2" xfId="0" applyFont="1" applyFill="1" applyBorder="1" applyAlignment="1">
      <alignment horizontal="center"/>
    </xf>
    <xf numFmtId="0" fontId="3" fillId="6" borderId="2" xfId="0" applyFont="1" applyFill="1" applyBorder="1" applyAlignment="1">
      <alignment horizontal="center"/>
    </xf>
    <xf numFmtId="0" fontId="3" fillId="7" borderId="2" xfId="0" applyFont="1" applyFill="1" applyBorder="1" applyAlignment="1">
      <alignment horizontal="center"/>
    </xf>
    <xf numFmtId="0" fontId="1" fillId="5" borderId="3" xfId="0" applyFont="1" applyFill="1" applyBorder="1"/>
    <xf numFmtId="0" fontId="7" fillId="0" borderId="0" xfId="0" applyFont="1"/>
    <xf numFmtId="165" fontId="0" fillId="0" borderId="0" xfId="1" applyNumberFormat="1" applyFont="1"/>
    <xf numFmtId="0" fontId="8" fillId="0" borderId="0" xfId="4"/>
    <xf numFmtId="0" fontId="9" fillId="0" borderId="1" xfId="0" applyFont="1" applyBorder="1"/>
    <xf numFmtId="0" fontId="9" fillId="0" borderId="0" xfId="0" applyFont="1"/>
    <xf numFmtId="6" fontId="9" fillId="0" borderId="0" xfId="0" applyNumberFormat="1" applyFont="1"/>
    <xf numFmtId="0" fontId="9" fillId="0" borderId="0" xfId="0" applyFont="1" applyAlignment="1">
      <alignment horizontal="left"/>
    </xf>
    <xf numFmtId="1" fontId="9" fillId="0" borderId="0" xfId="1" applyNumberFormat="1" applyFont="1" applyFill="1" applyBorder="1"/>
    <xf numFmtId="2" fontId="9" fillId="0" borderId="0" xfId="1" applyNumberFormat="1" applyFont="1" applyBorder="1" applyAlignment="1">
      <alignment horizontal="right"/>
    </xf>
    <xf numFmtId="0" fontId="9" fillId="0" borderId="0" xfId="0" applyFont="1" applyAlignment="1">
      <alignment horizontal="right"/>
    </xf>
    <xf numFmtId="2" fontId="9" fillId="0" borderId="0" xfId="0" applyNumberFormat="1" applyFont="1"/>
    <xf numFmtId="164" fontId="9" fillId="0" borderId="0" xfId="0" applyNumberFormat="1" applyFont="1"/>
    <xf numFmtId="0" fontId="9" fillId="0" borderId="0" xfId="0" applyFont="1" applyAlignment="1">
      <alignment wrapText="1"/>
    </xf>
    <xf numFmtId="164" fontId="9" fillId="0" borderId="0" xfId="0" applyNumberFormat="1" applyFont="1" applyAlignment="1">
      <alignment horizontal="right"/>
    </xf>
    <xf numFmtId="2" fontId="9" fillId="0" borderId="0" xfId="1" applyNumberFormat="1" applyFont="1"/>
    <xf numFmtId="2" fontId="9" fillId="0" borderId="0" xfId="0" applyNumberFormat="1" applyFont="1" applyAlignment="1">
      <alignment horizontal="left"/>
    </xf>
    <xf numFmtId="1" fontId="9" fillId="0" borderId="0" xfId="0" applyNumberFormat="1" applyFont="1"/>
    <xf numFmtId="44" fontId="9" fillId="0" borderId="0" xfId="2" applyFont="1"/>
    <xf numFmtId="0" fontId="9" fillId="0" borderId="0" xfId="1" applyNumberFormat="1" applyFont="1"/>
    <xf numFmtId="1" fontId="9" fillId="0" borderId="0" xfId="1" applyNumberFormat="1" applyFont="1"/>
    <xf numFmtId="2" fontId="9" fillId="0" borderId="0" xfId="1" applyNumberFormat="1" applyFont="1" applyBorder="1"/>
    <xf numFmtId="1" fontId="9" fillId="0" borderId="0" xfId="1" applyNumberFormat="1" applyFont="1" applyBorder="1"/>
    <xf numFmtId="0" fontId="5" fillId="0" borderId="0" xfId="0" applyFont="1" applyAlignment="1">
      <alignment horizontal="center"/>
    </xf>
    <xf numFmtId="0" fontId="3" fillId="0" borderId="2" xfId="0" applyFont="1" applyBorder="1" applyAlignment="1">
      <alignment horizontal="center"/>
    </xf>
    <xf numFmtId="2" fontId="3" fillId="2" borderId="2" xfId="0" applyNumberFormat="1" applyFont="1" applyFill="1" applyBorder="1"/>
    <xf numFmtId="2" fontId="3" fillId="2" borderId="2" xfId="0" applyNumberFormat="1" applyFont="1" applyFill="1" applyBorder="1" applyAlignment="1">
      <alignment horizontal="center"/>
    </xf>
    <xf numFmtId="2" fontId="9" fillId="0" borderId="0" xfId="0" applyNumberFormat="1" applyFont="1" applyAlignment="1">
      <alignment horizontal="right"/>
    </xf>
    <xf numFmtId="2" fontId="9" fillId="0" borderId="0" xfId="1" applyNumberFormat="1" applyFont="1" applyFill="1" applyBorder="1"/>
    <xf numFmtId="2" fontId="0" fillId="0" borderId="0" xfId="3" applyNumberFormat="1" applyFont="1"/>
    <xf numFmtId="2" fontId="0" fillId="0" borderId="0" xfId="1" applyNumberFormat="1" applyFont="1"/>
    <xf numFmtId="2" fontId="3" fillId="6" borderId="2" xfId="0" applyNumberFormat="1" applyFont="1" applyFill="1" applyBorder="1"/>
    <xf numFmtId="2" fontId="3" fillId="6" borderId="2" xfId="0" applyNumberFormat="1" applyFont="1" applyFill="1" applyBorder="1" applyAlignment="1">
      <alignment horizontal="center"/>
    </xf>
    <xf numFmtId="2" fontId="9" fillId="0" borderId="0" xfId="1" applyNumberFormat="1" applyFont="1" applyAlignment="1">
      <alignment horizontal="right"/>
    </xf>
    <xf numFmtId="2" fontId="3" fillId="3" borderId="2" xfId="0" applyNumberFormat="1" applyFont="1" applyFill="1" applyBorder="1" applyAlignment="1">
      <alignment horizontal="center"/>
    </xf>
    <xf numFmtId="2" fontId="7" fillId="0" borderId="0" xfId="0" applyNumberFormat="1" applyFont="1"/>
    <xf numFmtId="0" fontId="4" fillId="5" borderId="4" xfId="0" applyFont="1" applyFill="1" applyBorder="1" applyAlignment="1">
      <alignment horizontal="center"/>
    </xf>
    <xf numFmtId="0" fontId="4" fillId="5" borderId="5" xfId="0" applyFont="1" applyFill="1" applyBorder="1" applyAlignment="1">
      <alignment horizontal="center"/>
    </xf>
    <xf numFmtId="0" fontId="5" fillId="4" borderId="0" xfId="0" applyFont="1" applyFill="1" applyAlignment="1">
      <alignment horizontal="center"/>
    </xf>
    <xf numFmtId="0" fontId="5" fillId="2" borderId="5" xfId="0" applyFont="1" applyFill="1" applyBorder="1" applyAlignment="1">
      <alignment horizontal="center"/>
    </xf>
    <xf numFmtId="0" fontId="5" fillId="6" borderId="5" xfId="0" applyFont="1" applyFill="1" applyBorder="1" applyAlignment="1">
      <alignment horizontal="center"/>
    </xf>
    <xf numFmtId="2" fontId="5" fillId="3" borderId="5" xfId="0" applyNumberFormat="1" applyFont="1" applyFill="1" applyBorder="1" applyAlignment="1">
      <alignment horizontal="center"/>
    </xf>
    <xf numFmtId="0" fontId="5" fillId="7" borderId="5" xfId="0" applyFont="1" applyFill="1" applyBorder="1" applyAlignment="1">
      <alignment horizontal="center"/>
    </xf>
  </cellXfs>
  <cellStyles count="5">
    <cellStyle name="Comma" xfId="1" builtinId="3"/>
    <cellStyle name="Currency" xfId="2" builtinId="4"/>
    <cellStyle name="Hyperlink" xfId="4"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nrel.sharepoint.com/Documents%20and%20Settings/nbeaman/Local%20Settings/Temporary%20Internet%20Files/Content.Outlook/XY3NTGW0/DRAFT%20NREL%20SHW%20Interview%20Protocol%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W Interview Guide"/>
      <sheetName val="Contact List"/>
      <sheetName val="Solar Hot Water Data"/>
      <sheetName val="Notes"/>
    </sheetNames>
    <sheetDataSet>
      <sheetData sheetId="0"/>
      <sheetData sheetId="1" refreshError="1">
        <row r="1">
          <cell r="A1" t="str">
            <v>Business Name</v>
          </cell>
          <cell r="B1" t="str">
            <v>Location</v>
          </cell>
          <cell r="C1" t="str">
            <v>Contact Name</v>
          </cell>
          <cell r="D1" t="str">
            <v>Phone Number</v>
          </cell>
          <cell r="E1" t="str">
            <v>Date Called</v>
          </cell>
          <cell r="F1" t="str">
            <v xml:space="preserve">Status </v>
          </cell>
          <cell r="G1" t="str">
            <v>Comments</v>
          </cell>
          <cell r="H1" t="str">
            <v>Email</v>
          </cell>
        </row>
        <row r="5">
          <cell r="A5" t="str">
            <v>To be populated</v>
          </cell>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Wilson, Eric" id="{C996DA3E-7C66-1D41-81CA-66458528D2A7}" userId="Wilson, Eric" providerId="Non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R7" dT="2024-09-06T16:24:45.06" personId="{C996DA3E-7C66-1D41-81CA-66458528D2A7}" id="{8ED70F04-CDCC-CE45-B56E-418EEBB88E2C}">
    <text>Updated from 20 to 24 per highest SEER1 value for centrally ducted ASHPs in https://ashp.neep.org/#!/product_list/</text>
  </threadedComment>
  <threadedComment ref="X7" dT="2024-09-06T16:46:43.40" personId="{C996DA3E-7C66-1D41-81CA-66458528D2A7}" id="{0E510359-A9B1-504C-B5FC-D843B5279F98}">
    <text>These are the deltas between new const and retrofit for HVAC measures from Guidehouse. Using these instead of two different installation multipliers. Alternatively could use 1.48 or 1.49 instead of 1.50 for new construction multipliers.</text>
  </threadedComment>
  <threadedComment ref="Y7" dT="2024-09-06T17:10:05.98" personId="{C996DA3E-7C66-1D41-81CA-66458528D2A7}" id="{C946A4E9-8EDF-3649-80CB-29AD0082042C}">
    <text>Average cost for ASHP projects involving fuel substitution, per LBNL database.</text>
  </threadedComment>
  <threadedComment ref="J9" dT="2024-09-06T17:29:31.10" personId="{C996DA3E-7C66-1D41-81CA-66458528D2A7}" id="{2FF0F424-7210-0B4E-BFA8-DFD48C900ADE}">
    <text>Changed from 0.75 to 0.5 tons because 6000 Btu/hr units are common.</text>
  </threadedComment>
  <threadedComment ref="K9" dT="2024-09-06T17:27:49.00" personId="{C996DA3E-7C66-1D41-81CA-66458528D2A7}" id="{C793EFA6-3689-1344-A96A-C0DC6730F473}">
    <text xml:space="preserve">Changed from 4.5 to 1.5 tons to represent max size of wall-mount ductless systems. While you can find single-zone units up to 4 tons in https://ashp.neep.org/#!/product_list/ they are floor mount units and are less representative of single-zone systems so costs probably won’t apply. </text>
    <extLst>
      <x:ext xmlns:xltc2="http://schemas.microsoft.com/office/spreadsheetml/2020/threadedcomments2" uri="{F7C98A9C-CBB3-438F-8F68-D28B6AF4A901}">
        <xltc2:checksum>3289339904</xltc2:checksum>
        <xltc2:hyperlink startIndex="136" length="38" url="https://ashp.neep.org/#!/product_list/"/>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rabbitheating.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74241-91F9-48C0-AAFB-3138257C3A12}">
  <sheetPr codeName="Sheet1">
    <tabColor rgb="FF00B050"/>
  </sheetPr>
  <dimension ref="A1:AF144"/>
  <sheetViews>
    <sheetView tabSelected="1" zoomScale="150" zoomScaleNormal="150" workbookViewId="0">
      <pane xSplit="2" ySplit="2" topLeftCell="H3" activePane="bottomRight" state="frozen"/>
      <selection pane="topRight" activeCell="C1" sqref="C1"/>
      <selection pane="bottomLeft" activeCell="A3" sqref="A3"/>
      <selection pane="bottomRight" sqref="A1:D1"/>
    </sheetView>
  </sheetViews>
  <sheetFormatPr defaultColWidth="8.77734375" defaultRowHeight="14.4"/>
  <cols>
    <col min="1" max="1" width="36" style="2" bestFit="1" customWidth="1"/>
    <col min="2" max="2" width="33.109375" bestFit="1" customWidth="1"/>
    <col min="3" max="3" width="10.6640625" customWidth="1"/>
    <col min="4" max="4" width="13.44140625" bestFit="1" customWidth="1"/>
    <col min="5" max="6" width="15" style="4" bestFit="1" customWidth="1"/>
    <col min="7" max="7" width="15.109375" style="4" bestFit="1" customWidth="1"/>
    <col min="8" max="8" width="26.44140625" bestFit="1" customWidth="1"/>
    <col min="9" max="9" width="11.44140625" bestFit="1" customWidth="1"/>
    <col min="10" max="10" width="12.44140625" bestFit="1" customWidth="1"/>
    <col min="11" max="11" width="13.44140625" bestFit="1" customWidth="1"/>
    <col min="12" max="13" width="14.77734375" style="4" bestFit="1" customWidth="1"/>
    <col min="14" max="14" width="15.109375" style="4" bestFit="1" customWidth="1"/>
    <col min="15" max="15" width="22.44140625" customWidth="1"/>
    <col min="16" max="16" width="13.44140625" bestFit="1" customWidth="1"/>
    <col min="17" max="18" width="15.77734375" bestFit="1" customWidth="1"/>
    <col min="19" max="19" width="12.44140625" style="4" customWidth="1"/>
    <col min="20" max="20" width="12.44140625" style="4" bestFit="1" customWidth="1"/>
    <col min="21" max="21" width="12.44140625" style="4" customWidth="1"/>
    <col min="22" max="22" width="20.109375" customWidth="1"/>
    <col min="23" max="26" width="21.109375" customWidth="1"/>
    <col min="27" max="27" width="12.44140625" customWidth="1"/>
    <col min="28" max="28" width="30.44140625" bestFit="1" customWidth="1"/>
    <col min="29" max="29" width="18.109375" customWidth="1"/>
    <col min="30" max="30" width="20.109375" bestFit="1" customWidth="1"/>
    <col min="31" max="31" width="45.44140625" customWidth="1"/>
    <col min="32" max="32" width="11.6640625" bestFit="1" customWidth="1"/>
  </cols>
  <sheetData>
    <row r="1" spans="1:31" ht="15" customHeight="1">
      <c r="A1" s="47" t="s">
        <v>309</v>
      </c>
      <c r="B1" s="48"/>
      <c r="C1" s="48"/>
      <c r="D1" s="48"/>
      <c r="E1" s="50" t="s">
        <v>0</v>
      </c>
      <c r="F1" s="50"/>
      <c r="G1" s="50"/>
      <c r="H1" s="50"/>
      <c r="I1" s="50"/>
      <c r="J1" s="50"/>
      <c r="K1" s="50"/>
      <c r="L1" s="51" t="s">
        <v>1</v>
      </c>
      <c r="M1" s="51"/>
      <c r="N1" s="51"/>
      <c r="O1" s="51"/>
      <c r="P1" s="51"/>
      <c r="Q1" s="51"/>
      <c r="R1" s="51"/>
      <c r="S1" s="52" t="s">
        <v>2</v>
      </c>
      <c r="T1" s="52"/>
      <c r="U1" s="52"/>
      <c r="V1" s="53" t="s">
        <v>3</v>
      </c>
      <c r="W1" s="53"/>
      <c r="X1" s="53" t="s">
        <v>4</v>
      </c>
      <c r="Y1" s="53"/>
      <c r="Z1" s="34"/>
      <c r="AA1" s="49" t="s">
        <v>5</v>
      </c>
      <c r="AB1" s="49"/>
      <c r="AC1" s="49"/>
      <c r="AD1" s="49"/>
      <c r="AE1" s="49"/>
    </row>
    <row r="2" spans="1:31" s="3" customFormat="1" ht="48" customHeight="1" thickBot="1">
      <c r="A2" s="11" t="s">
        <v>297</v>
      </c>
      <c r="B2" s="7" t="s">
        <v>6</v>
      </c>
      <c r="C2" s="7" t="s">
        <v>298</v>
      </c>
      <c r="D2" s="8" t="s">
        <v>7</v>
      </c>
      <c r="E2" s="36" t="s">
        <v>8</v>
      </c>
      <c r="F2" s="37" t="s">
        <v>9</v>
      </c>
      <c r="G2" s="37" t="s">
        <v>10</v>
      </c>
      <c r="H2" s="5" t="s">
        <v>11</v>
      </c>
      <c r="I2" s="5" t="s">
        <v>12</v>
      </c>
      <c r="J2" s="5" t="s">
        <v>13</v>
      </c>
      <c r="K2" s="5" t="s">
        <v>14</v>
      </c>
      <c r="L2" s="42" t="s">
        <v>8</v>
      </c>
      <c r="M2" s="43" t="s">
        <v>9</v>
      </c>
      <c r="N2" s="43" t="s">
        <v>10</v>
      </c>
      <c r="O2" s="9" t="s">
        <v>11</v>
      </c>
      <c r="P2" s="9" t="s">
        <v>12</v>
      </c>
      <c r="Q2" s="9" t="s">
        <v>13</v>
      </c>
      <c r="R2" s="9" t="s">
        <v>14</v>
      </c>
      <c r="S2" s="45" t="s">
        <v>15</v>
      </c>
      <c r="T2" s="45" t="s">
        <v>16</v>
      </c>
      <c r="U2" s="45" t="s">
        <v>17</v>
      </c>
      <c r="V2" s="10" t="s">
        <v>18</v>
      </c>
      <c r="W2" s="10" t="s">
        <v>19</v>
      </c>
      <c r="X2" s="10" t="s">
        <v>18</v>
      </c>
      <c r="Y2" s="10" t="s">
        <v>19</v>
      </c>
      <c r="Z2" s="35"/>
      <c r="AA2" s="6" t="s">
        <v>20</v>
      </c>
      <c r="AB2" s="6" t="s">
        <v>21</v>
      </c>
      <c r="AC2" s="6" t="s">
        <v>22</v>
      </c>
      <c r="AD2" s="6" t="s">
        <v>23</v>
      </c>
      <c r="AE2" s="6" t="s">
        <v>24</v>
      </c>
    </row>
    <row r="3" spans="1:31" s="16" customFormat="1" ht="13.8">
      <c r="A3" s="15" t="s">
        <v>295</v>
      </c>
      <c r="B3" s="16" t="s">
        <v>291</v>
      </c>
      <c r="D3" s="17" t="s">
        <v>36</v>
      </c>
      <c r="E3" s="32">
        <f>F3*(1-0.4)</f>
        <v>196.96609519999998</v>
      </c>
      <c r="F3" s="32">
        <f>492.415238/1.5</f>
        <v>328.27682533333331</v>
      </c>
      <c r="G3" s="32">
        <f>F3*(1+0.4)</f>
        <v>459.58755546666657</v>
      </c>
      <c r="H3" s="18" t="s">
        <v>270</v>
      </c>
      <c r="I3" s="18" t="s">
        <v>38</v>
      </c>
      <c r="J3" s="19">
        <v>1.5</v>
      </c>
      <c r="K3" s="19">
        <v>5</v>
      </c>
      <c r="L3" s="32">
        <f>M3*(1-0.4)</f>
        <v>356.84399999999999</v>
      </c>
      <c r="M3" s="20">
        <f>892.11/1.5</f>
        <v>594.74</v>
      </c>
      <c r="N3" s="32">
        <f>M3*(1+0.4)</f>
        <v>832.63599999999997</v>
      </c>
      <c r="O3" s="18" t="s">
        <v>269</v>
      </c>
      <c r="P3" s="18" t="s">
        <v>39</v>
      </c>
      <c r="Q3" s="20">
        <v>13</v>
      </c>
      <c r="R3" s="21">
        <v>24</v>
      </c>
      <c r="S3" s="32">
        <f>T3*(1-0.4)</f>
        <v>-3533.3616704148158</v>
      </c>
      <c r="T3" s="22">
        <f>(2025.375721+2309.71296296296-892.11*15+14.210476*15)/1.5</f>
        <v>-5888.9361173580264</v>
      </c>
      <c r="U3" s="32">
        <f>T3*(1+0.4)</f>
        <v>-8244.5105643012357</v>
      </c>
      <c r="V3" s="22">
        <v>1.5</v>
      </c>
      <c r="W3" s="22">
        <v>1.5</v>
      </c>
      <c r="X3" s="22">
        <v>-327.40740740740739</v>
      </c>
      <c r="Y3" s="22">
        <v>0</v>
      </c>
      <c r="Z3" s="22"/>
      <c r="AA3" s="23">
        <v>22.333333333333332</v>
      </c>
      <c r="AB3" s="23" t="s">
        <v>308</v>
      </c>
      <c r="AC3" s="16" t="s">
        <v>279</v>
      </c>
      <c r="AD3" s="16" t="s">
        <v>47</v>
      </c>
      <c r="AE3" s="16" t="s">
        <v>306</v>
      </c>
    </row>
    <row r="4" spans="1:31" s="16" customFormat="1" ht="13.8">
      <c r="A4" s="15" t="s">
        <v>295</v>
      </c>
      <c r="B4" s="16" t="s">
        <v>296</v>
      </c>
      <c r="D4" s="16" t="s">
        <v>36</v>
      </c>
      <c r="E4" s="22">
        <v>350.16000000000008</v>
      </c>
      <c r="F4" s="22">
        <v>364.33200000000005</v>
      </c>
      <c r="G4" s="22">
        <v>311.64</v>
      </c>
      <c r="H4" s="18" t="s">
        <v>37</v>
      </c>
      <c r="I4" s="18" t="s">
        <v>38</v>
      </c>
      <c r="J4" s="23">
        <v>0.41666666666666669</v>
      </c>
      <c r="K4" s="23">
        <v>2.3333333333333335</v>
      </c>
      <c r="L4" s="22">
        <v>2.0825010000000002</v>
      </c>
      <c r="M4" s="22">
        <v>6.0693640000000002</v>
      </c>
      <c r="N4" s="22">
        <v>25.478424</v>
      </c>
      <c r="O4" s="18" t="s">
        <v>210</v>
      </c>
      <c r="P4" s="18" t="s">
        <v>39</v>
      </c>
      <c r="Q4" s="16">
        <v>9.4</v>
      </c>
      <c r="R4" s="16">
        <v>15</v>
      </c>
      <c r="S4" s="22">
        <v>0.19476599999999999</v>
      </c>
      <c r="T4" s="22">
        <v>13.27746</v>
      </c>
      <c r="U4" s="22">
        <v>2.0018769999999999</v>
      </c>
      <c r="V4" s="22">
        <v>1</v>
      </c>
      <c r="W4" s="22">
        <v>1</v>
      </c>
      <c r="X4" s="22">
        <v>199.55767650676509</v>
      </c>
      <c r="Y4" s="22">
        <v>352.60767650676507</v>
      </c>
      <c r="Z4" s="22"/>
      <c r="AA4" s="23">
        <v>10</v>
      </c>
      <c r="AB4" s="23" t="s">
        <v>307</v>
      </c>
      <c r="AC4" s="18" t="s">
        <v>40</v>
      </c>
      <c r="AD4" s="16" t="s">
        <v>211</v>
      </c>
      <c r="AE4" s="16" t="s">
        <v>212</v>
      </c>
    </row>
    <row r="5" spans="1:31" s="16" customFormat="1" ht="13.8">
      <c r="A5" s="15" t="s">
        <v>25</v>
      </c>
      <c r="B5" s="16" t="s">
        <v>26</v>
      </c>
      <c r="D5" s="17" t="s">
        <v>27</v>
      </c>
      <c r="E5" s="32">
        <v>0.48044999999999999</v>
      </c>
      <c r="F5" s="32">
        <v>0.89423600000000003</v>
      </c>
      <c r="G5" s="32">
        <v>1.3336589999999999</v>
      </c>
      <c r="H5" s="16" t="s">
        <v>28</v>
      </c>
      <c r="I5" s="16" t="s">
        <v>29</v>
      </c>
      <c r="J5" s="16">
        <v>0.03</v>
      </c>
      <c r="K5" s="16">
        <v>0.4</v>
      </c>
      <c r="L5" s="20">
        <v>0</v>
      </c>
      <c r="M5" s="20">
        <v>0</v>
      </c>
      <c r="N5" s="20">
        <v>0</v>
      </c>
      <c r="O5" s="18" t="s">
        <v>30</v>
      </c>
      <c r="P5" s="18" t="s">
        <v>30</v>
      </c>
      <c r="Q5" s="21">
        <v>0</v>
      </c>
      <c r="R5" s="21">
        <v>0</v>
      </c>
      <c r="S5" s="22">
        <v>0.14008100000000001</v>
      </c>
      <c r="T5" s="22">
        <v>0.22737299999999999</v>
      </c>
      <c r="U5" s="22">
        <v>0.45766800000000002</v>
      </c>
      <c r="V5" s="22">
        <v>1</v>
      </c>
      <c r="W5" s="22">
        <v>1</v>
      </c>
      <c r="X5" s="22">
        <v>0</v>
      </c>
      <c r="Y5" s="22">
        <v>0</v>
      </c>
      <c r="Z5" s="22"/>
      <c r="AA5" s="16">
        <v>999</v>
      </c>
      <c r="AB5" s="16" t="s">
        <v>31</v>
      </c>
      <c r="AC5" s="18">
        <v>6</v>
      </c>
      <c r="AD5" s="16" t="s">
        <v>32</v>
      </c>
      <c r="AE5" s="16" t="s">
        <v>33</v>
      </c>
    </row>
    <row r="6" spans="1:31" s="16" customFormat="1" ht="13.8">
      <c r="A6" s="15" t="s">
        <v>25</v>
      </c>
      <c r="B6" s="16" t="s">
        <v>34</v>
      </c>
      <c r="D6" s="17" t="s">
        <v>27</v>
      </c>
      <c r="E6" s="32">
        <v>0.107294</v>
      </c>
      <c r="F6" s="32">
        <v>0.86797899999999995</v>
      </c>
      <c r="G6" s="32">
        <v>0.78597799999999995</v>
      </c>
      <c r="H6" s="16" t="s">
        <v>28</v>
      </c>
      <c r="I6" s="16" t="s">
        <v>29</v>
      </c>
      <c r="J6" s="16">
        <v>0.4</v>
      </c>
      <c r="K6" s="16">
        <v>0.92</v>
      </c>
      <c r="L6" s="20">
        <v>0</v>
      </c>
      <c r="M6" s="20">
        <v>0</v>
      </c>
      <c r="N6" s="20">
        <v>0</v>
      </c>
      <c r="O6" s="18" t="s">
        <v>30</v>
      </c>
      <c r="P6" s="18" t="s">
        <v>30</v>
      </c>
      <c r="Q6" s="21">
        <v>0</v>
      </c>
      <c r="R6" s="21">
        <v>0</v>
      </c>
      <c r="S6" s="22">
        <v>0.252077</v>
      </c>
      <c r="T6" s="22">
        <v>0.29793500000000001</v>
      </c>
      <c r="U6" s="22">
        <v>0.87481399999999998</v>
      </c>
      <c r="V6" s="22">
        <v>1</v>
      </c>
      <c r="W6" s="22">
        <v>1</v>
      </c>
      <c r="X6" s="22">
        <v>0</v>
      </c>
      <c r="Y6" s="22">
        <v>0</v>
      </c>
      <c r="Z6" s="22"/>
      <c r="AA6" s="16">
        <v>999</v>
      </c>
      <c r="AB6" s="16" t="s">
        <v>31</v>
      </c>
      <c r="AC6" s="18">
        <v>6</v>
      </c>
      <c r="AD6" s="16" t="s">
        <v>35</v>
      </c>
      <c r="AE6" s="16" t="s">
        <v>33</v>
      </c>
    </row>
    <row r="7" spans="1:31" s="16" customFormat="1">
      <c r="A7" s="15" t="s">
        <v>290</v>
      </c>
      <c r="B7" s="16" t="s">
        <v>291</v>
      </c>
      <c r="C7" t="s">
        <v>299</v>
      </c>
      <c r="D7" s="17" t="s">
        <v>36</v>
      </c>
      <c r="E7" s="32">
        <f>F7*(1-0.4)</f>
        <v>639.16800000000001</v>
      </c>
      <c r="F7" s="32">
        <f>133.16*12/1.5</f>
        <v>1065.28</v>
      </c>
      <c r="G7" s="32">
        <f>F7*(1+0.4)</f>
        <v>1491.3919999999998</v>
      </c>
      <c r="H7" s="16" t="s">
        <v>270</v>
      </c>
      <c r="I7" s="16" t="s">
        <v>38</v>
      </c>
      <c r="J7" s="16">
        <v>1.5</v>
      </c>
      <c r="K7" s="16">
        <v>5</v>
      </c>
      <c r="L7" s="32">
        <f>M7*(1-0.4)</f>
        <v>356.84399999999999</v>
      </c>
      <c r="M7" s="20">
        <f>892.11/1.5</f>
        <v>594.74</v>
      </c>
      <c r="N7" s="32">
        <f>M7*(1+0.4)</f>
        <v>832.63599999999997</v>
      </c>
      <c r="O7" s="18" t="s">
        <v>269</v>
      </c>
      <c r="P7" s="18" t="s">
        <v>39</v>
      </c>
      <c r="Q7" s="21">
        <v>13.8</v>
      </c>
      <c r="R7" s="21">
        <v>24</v>
      </c>
      <c r="S7" s="32">
        <f>T7*(1-0.4)</f>
        <v>-1374.6</v>
      </c>
      <c r="T7" s="22">
        <f>-3436.5/1.5</f>
        <v>-2291</v>
      </c>
      <c r="U7" s="32">
        <f>T7*(1+0.4)</f>
        <v>-3207.3999999999996</v>
      </c>
      <c r="V7" s="22">
        <v>1.5</v>
      </c>
      <c r="W7" s="22">
        <v>1.5</v>
      </c>
      <c r="X7" s="22">
        <v>-191.55000000000109</v>
      </c>
      <c r="Y7" s="22">
        <v>-1384</v>
      </c>
      <c r="Z7" s="22"/>
      <c r="AA7" s="23">
        <v>15.633333333333333</v>
      </c>
      <c r="AB7" s="16" t="s">
        <v>310</v>
      </c>
      <c r="AC7" s="16">
        <v>14</v>
      </c>
      <c r="AD7" s="16" t="s">
        <v>41</v>
      </c>
      <c r="AE7" s="16" t="s">
        <v>304</v>
      </c>
    </row>
    <row r="8" spans="1:31" s="16" customFormat="1">
      <c r="A8" s="15" t="s">
        <v>290</v>
      </c>
      <c r="B8" s="16" t="s">
        <v>292</v>
      </c>
      <c r="C8" t="s">
        <v>302</v>
      </c>
      <c r="D8" s="17" t="s">
        <v>36</v>
      </c>
      <c r="E8" s="32">
        <f>F8*(1-0.4)</f>
        <v>639.16800000000001</v>
      </c>
      <c r="F8" s="32">
        <f>133.16*12/1.5</f>
        <v>1065.28</v>
      </c>
      <c r="G8" s="32">
        <f>F8*(1+0.4)</f>
        <v>1491.3919999999998</v>
      </c>
      <c r="H8" s="16" t="s">
        <v>270</v>
      </c>
      <c r="I8" s="18" t="s">
        <v>38</v>
      </c>
      <c r="J8" s="16">
        <v>1.5</v>
      </c>
      <c r="K8" s="16">
        <v>5</v>
      </c>
      <c r="L8" s="32">
        <f>M8*(1-0.4)</f>
        <v>356.84399999999999</v>
      </c>
      <c r="M8" s="20">
        <f>892.11/1.5</f>
        <v>594.74</v>
      </c>
      <c r="N8" s="32">
        <f>M8*(1+0.4)</f>
        <v>832.63599999999997</v>
      </c>
      <c r="O8" s="18" t="s">
        <v>269</v>
      </c>
      <c r="P8" s="18" t="s">
        <v>39</v>
      </c>
      <c r="Q8" s="16">
        <v>13.8</v>
      </c>
      <c r="R8" s="16">
        <v>24</v>
      </c>
      <c r="S8" s="32">
        <f>T8*(1-0.4)</f>
        <v>-1374.6</v>
      </c>
      <c r="T8" s="22">
        <f>-3436.5/1.5</f>
        <v>-2291</v>
      </c>
      <c r="U8" s="32">
        <f>T8*(1+0.4)</f>
        <v>-3207.3999999999996</v>
      </c>
      <c r="V8" s="22">
        <v>1.5</v>
      </c>
      <c r="W8" s="22">
        <v>1.5</v>
      </c>
      <c r="X8" s="22">
        <v>-191.55000000000018</v>
      </c>
      <c r="Y8" s="22">
        <v>0</v>
      </c>
      <c r="Z8" s="22"/>
      <c r="AA8" s="23">
        <v>15.633333333333333</v>
      </c>
      <c r="AB8" s="16" t="s">
        <v>310</v>
      </c>
      <c r="AC8" s="16">
        <v>14</v>
      </c>
      <c r="AD8" s="16" t="s">
        <v>41</v>
      </c>
      <c r="AE8" s="16" t="s">
        <v>305</v>
      </c>
    </row>
    <row r="9" spans="1:31" s="16" customFormat="1" ht="13.8">
      <c r="A9" s="15" t="s">
        <v>290</v>
      </c>
      <c r="B9" s="16" t="s">
        <v>293</v>
      </c>
      <c r="C9" s="16" t="s">
        <v>300</v>
      </c>
      <c r="D9" s="16" t="s">
        <v>36</v>
      </c>
      <c r="E9" s="32">
        <f>F9*(1-0.4)</f>
        <v>1878.0479999999998</v>
      </c>
      <c r="F9" s="38">
        <f>391.26*12/1.5</f>
        <v>3130.08</v>
      </c>
      <c r="G9" s="32">
        <f>F9*(1+0.4)</f>
        <v>4382.1119999999992</v>
      </c>
      <c r="H9" s="18" t="s">
        <v>270</v>
      </c>
      <c r="I9" s="18" t="s">
        <v>38</v>
      </c>
      <c r="J9" s="21">
        <v>0.5</v>
      </c>
      <c r="K9" s="21">
        <v>1.5</v>
      </c>
      <c r="L9" s="32">
        <f>M9*(1-0.4)</f>
        <v>96.24799999999999</v>
      </c>
      <c r="M9" s="38">
        <f>240.62/1.5</f>
        <v>160.41333333333333</v>
      </c>
      <c r="N9" s="32">
        <f>M9*(1+0.4)</f>
        <v>224.57866666666663</v>
      </c>
      <c r="O9" s="18" t="s">
        <v>269</v>
      </c>
      <c r="P9" s="18" t="s">
        <v>39</v>
      </c>
      <c r="Q9" s="21">
        <v>13</v>
      </c>
      <c r="R9" s="21">
        <v>28.4</v>
      </c>
      <c r="S9" s="32">
        <f>T9*(1-0.4)</f>
        <v>-805.99999999999989</v>
      </c>
      <c r="T9" s="22">
        <f>-2015/1.5</f>
        <v>-1343.3333333333333</v>
      </c>
      <c r="U9" s="32">
        <f>T9*(1+0.4)</f>
        <v>-1880.6666666666665</v>
      </c>
      <c r="V9" s="22">
        <v>1.5</v>
      </c>
      <c r="W9" s="22">
        <v>1.5</v>
      </c>
      <c r="X9" s="22">
        <v>-191.55</v>
      </c>
      <c r="Y9" s="22">
        <v>0</v>
      </c>
      <c r="Z9" s="22"/>
      <c r="AA9" s="23">
        <v>15.633333333333333</v>
      </c>
      <c r="AB9" s="16" t="s">
        <v>311</v>
      </c>
      <c r="AC9" s="16">
        <v>14</v>
      </c>
      <c r="AD9" s="16" t="s">
        <v>56</v>
      </c>
      <c r="AE9" s="16" t="s">
        <v>304</v>
      </c>
    </row>
    <row r="10" spans="1:31" s="16" customFormat="1" ht="13.95" customHeight="1">
      <c r="A10" s="15" t="s">
        <v>290</v>
      </c>
      <c r="B10" s="16" t="s">
        <v>294</v>
      </c>
      <c r="C10" s="16" t="s">
        <v>301</v>
      </c>
      <c r="D10" s="16" t="s">
        <v>36</v>
      </c>
      <c r="E10" s="32">
        <f>F10*(1-0.4)</f>
        <v>1878.0479999999998</v>
      </c>
      <c r="F10" s="38">
        <f>391.26*12/1.5</f>
        <v>3130.08</v>
      </c>
      <c r="G10" s="32">
        <f>F10*(1+0.4)</f>
        <v>4382.1119999999992</v>
      </c>
      <c r="H10" s="18" t="s">
        <v>270</v>
      </c>
      <c r="I10" s="18" t="s">
        <v>38</v>
      </c>
      <c r="J10" s="21">
        <v>1.5</v>
      </c>
      <c r="K10" s="21">
        <v>5</v>
      </c>
      <c r="L10" s="32">
        <f>M10*(1-0.4)</f>
        <v>96.24799999999999</v>
      </c>
      <c r="M10" s="38">
        <f>240.62/1.5</f>
        <v>160.41333333333333</v>
      </c>
      <c r="N10" s="32">
        <f>M10*(1+0.4)</f>
        <v>224.57866666666663</v>
      </c>
      <c r="O10" s="18" t="s">
        <v>269</v>
      </c>
      <c r="P10" s="18" t="s">
        <v>39</v>
      </c>
      <c r="Q10" s="21">
        <v>16</v>
      </c>
      <c r="R10" s="21">
        <v>23</v>
      </c>
      <c r="S10" s="32">
        <f>T10*(1-0.4)</f>
        <v>-805.99999999999989</v>
      </c>
      <c r="T10" s="22">
        <f>-2015/1.5</f>
        <v>-1343.3333333333333</v>
      </c>
      <c r="U10" s="32">
        <f>T10*(1+0.4)</f>
        <v>-1880.6666666666665</v>
      </c>
      <c r="V10" s="22">
        <v>1.5</v>
      </c>
      <c r="W10" s="22">
        <v>1.5</v>
      </c>
      <c r="X10" s="22">
        <v>-383.10000000000309</v>
      </c>
      <c r="Y10" s="22">
        <v>0</v>
      </c>
      <c r="Z10" s="22"/>
      <c r="AA10" s="23">
        <v>15.633333333333333</v>
      </c>
      <c r="AB10" s="16" t="s">
        <v>311</v>
      </c>
      <c r="AC10" s="16">
        <v>14</v>
      </c>
      <c r="AD10" s="16" t="s">
        <v>56</v>
      </c>
      <c r="AE10" s="16" t="s">
        <v>304</v>
      </c>
    </row>
    <row r="11" spans="1:31" s="16" customFormat="1" ht="13.95" customHeight="1">
      <c r="A11" s="15" t="s">
        <v>271</v>
      </c>
      <c r="B11" s="24" t="s">
        <v>42</v>
      </c>
      <c r="C11" s="24"/>
      <c r="D11" s="17" t="s">
        <v>36</v>
      </c>
      <c r="E11" s="39">
        <v>587.18077800000003</v>
      </c>
      <c r="F11" s="39">
        <v>1017.195523</v>
      </c>
      <c r="G11" s="39">
        <v>2515.1612890000001</v>
      </c>
      <c r="H11" s="18" t="s">
        <v>43</v>
      </c>
      <c r="I11" s="18" t="s">
        <v>44</v>
      </c>
      <c r="J11" s="16">
        <v>2</v>
      </c>
      <c r="K11" s="16">
        <v>20</v>
      </c>
      <c r="L11" s="20">
        <v>0</v>
      </c>
      <c r="M11" s="20">
        <v>0</v>
      </c>
      <c r="N11" s="20">
        <v>0</v>
      </c>
      <c r="O11" s="18" t="s">
        <v>30</v>
      </c>
      <c r="P11" s="18" t="s">
        <v>30</v>
      </c>
      <c r="Q11" s="21">
        <v>0</v>
      </c>
      <c r="R11" s="21">
        <v>0</v>
      </c>
      <c r="S11" s="22">
        <v>-821.74173900000005</v>
      </c>
      <c r="T11" s="22">
        <v>-1180.5529859999999</v>
      </c>
      <c r="U11" s="22">
        <v>-2328.2258019999999</v>
      </c>
      <c r="V11" s="22">
        <v>1</v>
      </c>
      <c r="W11" s="22">
        <v>1</v>
      </c>
      <c r="X11" s="22">
        <v>2500</v>
      </c>
      <c r="Y11" s="22">
        <v>2500</v>
      </c>
      <c r="Z11" s="22"/>
      <c r="AA11" s="23">
        <v>10</v>
      </c>
      <c r="AB11" s="23" t="s">
        <v>45</v>
      </c>
      <c r="AC11" s="18" t="s">
        <v>46</v>
      </c>
      <c r="AD11" s="16" t="s">
        <v>47</v>
      </c>
      <c r="AE11" s="16" t="s">
        <v>48</v>
      </c>
    </row>
    <row r="12" spans="1:31" s="16" customFormat="1" ht="13.8">
      <c r="A12" s="15" t="s">
        <v>272</v>
      </c>
      <c r="B12" s="24" t="s">
        <v>49</v>
      </c>
      <c r="C12" s="24"/>
      <c r="D12" s="17" t="s">
        <v>36</v>
      </c>
      <c r="E12" s="39">
        <v>1.3611E-2</v>
      </c>
      <c r="F12" s="39">
        <v>1.7469999999999999E-2</v>
      </c>
      <c r="G12" s="39">
        <v>2.0046000000000001E-2</v>
      </c>
      <c r="H12" s="18" t="s">
        <v>50</v>
      </c>
      <c r="I12" s="18" t="s">
        <v>51</v>
      </c>
      <c r="J12" s="16">
        <v>27000</v>
      </c>
      <c r="K12" s="16">
        <v>416000</v>
      </c>
      <c r="L12" s="39">
        <v>425.22358200000002</v>
      </c>
      <c r="M12" s="39">
        <v>774.64354400000002</v>
      </c>
      <c r="N12" s="39">
        <v>986.13607100000002</v>
      </c>
      <c r="O12" s="18" t="s">
        <v>52</v>
      </c>
      <c r="P12" s="18" t="s">
        <v>39</v>
      </c>
      <c r="Q12" s="16">
        <v>0.8</v>
      </c>
      <c r="R12" s="16">
        <v>0.87</v>
      </c>
      <c r="S12" s="22">
        <v>505.79101300000002</v>
      </c>
      <c r="T12" s="22">
        <v>922.19468099999995</v>
      </c>
      <c r="U12" s="22">
        <v>1150.273551</v>
      </c>
      <c r="V12" s="22">
        <v>1</v>
      </c>
      <c r="W12" s="22">
        <v>1</v>
      </c>
      <c r="X12" s="22">
        <v>4696.5632046463961</v>
      </c>
      <c r="Y12" s="22">
        <v>4924.1541137373051</v>
      </c>
      <c r="Z12" s="22"/>
      <c r="AA12" s="22">
        <v>24.4</v>
      </c>
      <c r="AB12" s="16" t="s">
        <v>53</v>
      </c>
      <c r="AC12" s="22" t="s">
        <v>286</v>
      </c>
      <c r="AD12" s="16" t="s">
        <v>54</v>
      </c>
      <c r="AE12" s="16" t="s">
        <v>287</v>
      </c>
    </row>
    <row r="13" spans="1:31" s="16" customFormat="1" ht="13.8">
      <c r="A13" s="15" t="s">
        <v>272</v>
      </c>
      <c r="B13" s="24" t="s">
        <v>55</v>
      </c>
      <c r="C13" s="24"/>
      <c r="D13" s="17" t="s">
        <v>36</v>
      </c>
      <c r="E13" s="39">
        <v>2.0389999999999998E-2</v>
      </c>
      <c r="F13" s="39">
        <v>3.0098E-2</v>
      </c>
      <c r="G13" s="39">
        <v>2.7623000000000002E-2</v>
      </c>
      <c r="H13" s="18" t="s">
        <v>50</v>
      </c>
      <c r="I13" s="18" t="s">
        <v>51</v>
      </c>
      <c r="J13" s="16">
        <v>45000</v>
      </c>
      <c r="K13" s="16">
        <v>387000</v>
      </c>
      <c r="L13" s="39">
        <v>-206.979502</v>
      </c>
      <c r="M13" s="39">
        <v>51.953271999999998</v>
      </c>
      <c r="N13" s="39">
        <v>1208.1130169999999</v>
      </c>
      <c r="O13" s="18" t="s">
        <v>52</v>
      </c>
      <c r="P13" s="18" t="s">
        <v>39</v>
      </c>
      <c r="Q13" s="16">
        <v>0.91</v>
      </c>
      <c r="R13" s="16">
        <v>0.97</v>
      </c>
      <c r="S13" s="22">
        <v>721.14956400000005</v>
      </c>
      <c r="T13" s="22">
        <v>55.150499000000003</v>
      </c>
      <c r="U13" s="22">
        <v>1311.335274</v>
      </c>
      <c r="V13" s="22">
        <v>1</v>
      </c>
      <c r="W13" s="22">
        <v>1</v>
      </c>
      <c r="X13" s="22">
        <v>4007.2213870857536</v>
      </c>
      <c r="Y13" s="22">
        <v>4234.812296176663</v>
      </c>
      <c r="Z13" s="22"/>
      <c r="AA13" s="22">
        <v>24.4</v>
      </c>
      <c r="AB13" s="16" t="s">
        <v>53</v>
      </c>
      <c r="AC13" s="22" t="s">
        <v>286</v>
      </c>
      <c r="AD13" s="16" t="s">
        <v>56</v>
      </c>
      <c r="AE13" s="16" t="s">
        <v>288</v>
      </c>
    </row>
    <row r="14" spans="1:31" s="16" customFormat="1" ht="13.8">
      <c r="A14" s="15" t="s">
        <v>272</v>
      </c>
      <c r="B14" s="24" t="s">
        <v>57</v>
      </c>
      <c r="C14" s="24"/>
      <c r="D14" s="17" t="s">
        <v>36</v>
      </c>
      <c r="E14" s="39">
        <v>1.3617000000000001E-2</v>
      </c>
      <c r="F14" s="39">
        <v>1.8460000000000001E-2</v>
      </c>
      <c r="G14" s="39">
        <v>2.0153999999999998E-2</v>
      </c>
      <c r="H14" s="18" t="s">
        <v>50</v>
      </c>
      <c r="I14" s="18" t="s">
        <v>51</v>
      </c>
      <c r="J14" s="16">
        <v>27000</v>
      </c>
      <c r="K14" s="16">
        <v>416000</v>
      </c>
      <c r="L14" s="39">
        <v>616.57365200000004</v>
      </c>
      <c r="M14" s="39">
        <v>-1045.493295</v>
      </c>
      <c r="N14" s="39">
        <v>13306.888083</v>
      </c>
      <c r="O14" s="18" t="s">
        <v>52</v>
      </c>
      <c r="P14" s="18" t="s">
        <v>39</v>
      </c>
      <c r="Q14" s="16">
        <v>0.8</v>
      </c>
      <c r="R14" s="16">
        <v>0.95</v>
      </c>
      <c r="S14" s="22">
        <v>713.30843800000002</v>
      </c>
      <c r="T14" s="22">
        <v>2081.5397779999998</v>
      </c>
      <c r="U14" s="22">
        <v>-9055.6063190000004</v>
      </c>
      <c r="V14" s="22">
        <v>1</v>
      </c>
      <c r="W14" s="22">
        <v>1</v>
      </c>
      <c r="X14" s="22">
        <v>3450.345404851384</v>
      </c>
      <c r="Y14" s="22">
        <v>4040.345404851384</v>
      </c>
      <c r="Z14" s="22"/>
      <c r="AA14" s="22">
        <v>24.4</v>
      </c>
      <c r="AB14" s="16" t="s">
        <v>53</v>
      </c>
      <c r="AC14" s="22" t="s">
        <v>286</v>
      </c>
      <c r="AD14" s="16" t="s">
        <v>58</v>
      </c>
    </row>
    <row r="15" spans="1:31" s="16" customFormat="1" ht="13.8">
      <c r="A15" s="15" t="s">
        <v>59</v>
      </c>
      <c r="B15" s="24" t="s">
        <v>42</v>
      </c>
      <c r="C15" s="24"/>
      <c r="D15" s="17" t="s">
        <v>36</v>
      </c>
      <c r="E15" s="32">
        <v>37.5</v>
      </c>
      <c r="F15" s="32">
        <v>-42.857154999999999</v>
      </c>
      <c r="G15" s="32">
        <v>-252.66666599999999</v>
      </c>
      <c r="H15" s="18" t="s">
        <v>60</v>
      </c>
      <c r="I15" s="18" t="s">
        <v>61</v>
      </c>
      <c r="J15" s="16">
        <v>5.9</v>
      </c>
      <c r="K15" s="16">
        <v>8.8000000000000007</v>
      </c>
      <c r="L15" s="20">
        <v>925</v>
      </c>
      <c r="M15" s="20">
        <v>1385.7143149999999</v>
      </c>
      <c r="N15" s="20">
        <v>2273.9999969999999</v>
      </c>
      <c r="O15" s="18" t="s">
        <v>62</v>
      </c>
      <c r="P15" s="18" t="s">
        <v>63</v>
      </c>
      <c r="Q15" s="21">
        <v>3.73</v>
      </c>
      <c r="R15" s="21">
        <v>3.94</v>
      </c>
      <c r="S15" s="22">
        <v>-3214.7500030000001</v>
      </c>
      <c r="T15" s="22">
        <v>-4140.7143130000004</v>
      </c>
      <c r="U15" s="22">
        <v>-5564.353325</v>
      </c>
      <c r="V15" s="22">
        <v>1</v>
      </c>
      <c r="W15" s="22">
        <v>1</v>
      </c>
      <c r="X15" s="22">
        <v>108.99641577060933</v>
      </c>
      <c r="Y15" s="22">
        <v>155.01712465153327</v>
      </c>
      <c r="Z15" s="22"/>
      <c r="AA15" s="23">
        <v>22.333333329999999</v>
      </c>
      <c r="AB15" s="23" t="s">
        <v>64</v>
      </c>
      <c r="AC15" s="16" t="s">
        <v>65</v>
      </c>
      <c r="AD15" s="16" t="s">
        <v>66</v>
      </c>
      <c r="AE15" s="16" t="s">
        <v>67</v>
      </c>
    </row>
    <row r="16" spans="1:31" s="16" customFormat="1" ht="13.8">
      <c r="A16" s="15" t="s">
        <v>59</v>
      </c>
      <c r="B16" s="16" t="s">
        <v>70</v>
      </c>
      <c r="D16" s="17" t="s">
        <v>36</v>
      </c>
      <c r="E16" s="22">
        <v>45.900353000000003</v>
      </c>
      <c r="F16" s="22">
        <v>34.365974999999999</v>
      </c>
      <c r="G16" s="39">
        <v>-101.360465</v>
      </c>
      <c r="H16" s="18" t="s">
        <v>60</v>
      </c>
      <c r="I16" s="18" t="s">
        <v>61</v>
      </c>
      <c r="J16" s="16">
        <v>3.88</v>
      </c>
      <c r="K16" s="16">
        <v>7.8</v>
      </c>
      <c r="L16" s="20">
        <v>20.923238000000001</v>
      </c>
      <c r="M16" s="20">
        <v>-4.6674870000000004</v>
      </c>
      <c r="N16" s="20">
        <v>160.08886699999999</v>
      </c>
      <c r="O16" s="18" t="s">
        <v>62</v>
      </c>
      <c r="P16" s="18" t="s">
        <v>63</v>
      </c>
      <c r="Q16" s="21">
        <v>2.68</v>
      </c>
      <c r="R16" s="21">
        <v>11</v>
      </c>
      <c r="S16" s="22">
        <v>571.30979600000001</v>
      </c>
      <c r="T16" s="22">
        <v>1295.695475</v>
      </c>
      <c r="U16" s="22">
        <v>1844.811821</v>
      </c>
      <c r="V16" s="22">
        <v>1</v>
      </c>
      <c r="W16" s="22">
        <v>1</v>
      </c>
      <c r="X16" s="22">
        <v>178.63301473516529</v>
      </c>
      <c r="Y16" s="22">
        <v>178.63301473516529</v>
      </c>
      <c r="Z16" s="22"/>
      <c r="AA16" s="25">
        <v>11</v>
      </c>
      <c r="AB16" s="23" t="s">
        <v>64</v>
      </c>
      <c r="AC16" s="16" t="s">
        <v>65</v>
      </c>
      <c r="AD16" s="16" t="s">
        <v>69</v>
      </c>
    </row>
    <row r="17" spans="1:31" s="16" customFormat="1" ht="13.8">
      <c r="A17" s="15" t="s">
        <v>59</v>
      </c>
      <c r="B17" s="16" t="s">
        <v>71</v>
      </c>
      <c r="D17" s="17" t="s">
        <v>36</v>
      </c>
      <c r="E17" s="22">
        <v>71.678321999999994</v>
      </c>
      <c r="F17" s="22">
        <v>170.121951</v>
      </c>
      <c r="G17" s="39">
        <v>389.289827</v>
      </c>
      <c r="H17" s="18" t="s">
        <v>60</v>
      </c>
      <c r="I17" s="18" t="s">
        <v>61</v>
      </c>
      <c r="J17" s="16">
        <v>6.2</v>
      </c>
      <c r="K17" s="16">
        <v>9</v>
      </c>
      <c r="L17" s="20">
        <v>751.74824999999998</v>
      </c>
      <c r="M17" s="20">
        <v>609.75610099999994</v>
      </c>
      <c r="N17" s="20">
        <v>898.84836600000006</v>
      </c>
      <c r="O17" s="18" t="s">
        <v>62</v>
      </c>
      <c r="P17" s="18" t="s">
        <v>63</v>
      </c>
      <c r="Q17" s="21">
        <v>3.3</v>
      </c>
      <c r="R17" s="21">
        <v>3.49</v>
      </c>
      <c r="S17" s="22">
        <v>-2398.8531410000001</v>
      </c>
      <c r="T17" s="22">
        <v>-2488.951231</v>
      </c>
      <c r="U17" s="22">
        <v>-4680.7965359999998</v>
      </c>
      <c r="V17" s="22">
        <v>1</v>
      </c>
      <c r="W17" s="22">
        <v>1</v>
      </c>
      <c r="X17" s="22">
        <v>125.95141377937078</v>
      </c>
      <c r="Y17" s="22">
        <v>198.615690959777</v>
      </c>
      <c r="Z17" s="22"/>
      <c r="AA17" s="25">
        <v>11</v>
      </c>
      <c r="AB17" s="23" t="s">
        <v>64</v>
      </c>
      <c r="AC17" s="16" t="s">
        <v>65</v>
      </c>
      <c r="AD17" s="16" t="s">
        <v>72</v>
      </c>
    </row>
    <row r="18" spans="1:31" s="16" customFormat="1" ht="13.8">
      <c r="A18" s="15" t="s">
        <v>68</v>
      </c>
      <c r="B18" s="24" t="s">
        <v>42</v>
      </c>
      <c r="C18" s="24"/>
      <c r="D18" s="17" t="s">
        <v>36</v>
      </c>
      <c r="E18" s="32">
        <v>-40.691057999999998</v>
      </c>
      <c r="F18" s="32">
        <v>112.665685</v>
      </c>
      <c r="G18" s="32">
        <v>277.02119599999997</v>
      </c>
      <c r="H18" s="18" t="s">
        <v>60</v>
      </c>
      <c r="I18" s="18" t="s">
        <v>61</v>
      </c>
      <c r="J18" s="16">
        <v>3.4</v>
      </c>
      <c r="K18" s="16">
        <v>5.5</v>
      </c>
      <c r="L18" s="20">
        <v>391.463416</v>
      </c>
      <c r="M18" s="20">
        <v>388.31615799999997</v>
      </c>
      <c r="N18" s="20">
        <v>366.51612999999998</v>
      </c>
      <c r="O18" s="18" t="s">
        <v>62</v>
      </c>
      <c r="P18" s="18" t="s">
        <v>63</v>
      </c>
      <c r="Q18" s="21">
        <v>2.68</v>
      </c>
      <c r="R18" s="21">
        <v>3.93</v>
      </c>
      <c r="S18" s="22">
        <v>11.642277</v>
      </c>
      <c r="T18" s="22">
        <v>419.24200000000002</v>
      </c>
      <c r="U18" s="22">
        <v>-789.00377600000002</v>
      </c>
      <c r="V18" s="22">
        <v>1</v>
      </c>
      <c r="W18" s="22">
        <v>1</v>
      </c>
      <c r="X18" s="22">
        <v>108.99641577060933</v>
      </c>
      <c r="Y18" s="22">
        <v>155.01712465153327</v>
      </c>
      <c r="Z18" s="22"/>
      <c r="AA18" s="23">
        <v>22.333333329999999</v>
      </c>
      <c r="AB18" s="23" t="s">
        <v>64</v>
      </c>
      <c r="AC18" s="16" t="s">
        <v>65</v>
      </c>
      <c r="AD18" s="16" t="s">
        <v>69</v>
      </c>
    </row>
    <row r="19" spans="1:31" s="16" customFormat="1" ht="13.8">
      <c r="A19" s="15" t="s">
        <v>73</v>
      </c>
      <c r="B19" s="16" t="s">
        <v>74</v>
      </c>
      <c r="D19" s="17" t="s">
        <v>36</v>
      </c>
      <c r="E19" s="22">
        <v>-4.5251799999999998</v>
      </c>
      <c r="F19" s="22">
        <v>47.559555000000003</v>
      </c>
      <c r="G19" s="26">
        <v>-53.467827999999997</v>
      </c>
      <c r="H19" s="18" t="s">
        <v>60</v>
      </c>
      <c r="I19" s="18" t="s">
        <v>61</v>
      </c>
      <c r="J19" s="16">
        <v>1</v>
      </c>
      <c r="K19" s="16">
        <v>6</v>
      </c>
      <c r="L19" s="38">
        <v>1.706078</v>
      </c>
      <c r="M19" s="38">
        <v>0.77014000000000005</v>
      </c>
      <c r="N19" s="38">
        <v>10.656917</v>
      </c>
      <c r="O19" s="18" t="s">
        <v>75</v>
      </c>
      <c r="P19" s="18" t="s">
        <v>76</v>
      </c>
      <c r="Q19" s="21">
        <v>50</v>
      </c>
      <c r="R19" s="21">
        <v>158</v>
      </c>
      <c r="S19" s="22">
        <v>550.16047700000001</v>
      </c>
      <c r="T19" s="22">
        <v>718.52004799999997</v>
      </c>
      <c r="U19" s="22">
        <v>510.304371</v>
      </c>
      <c r="V19" s="22">
        <v>1</v>
      </c>
      <c r="W19" s="22">
        <v>1</v>
      </c>
      <c r="X19" s="22">
        <v>201.71592619926199</v>
      </c>
      <c r="Y19" s="22">
        <v>427.27242619926199</v>
      </c>
      <c r="Z19" s="22"/>
      <c r="AA19" s="25">
        <v>11</v>
      </c>
      <c r="AB19" s="25" t="s">
        <v>77</v>
      </c>
      <c r="AC19" s="16" t="s">
        <v>40</v>
      </c>
      <c r="AD19" s="16" t="s">
        <v>78</v>
      </c>
    </row>
    <row r="20" spans="1:31" s="16" customFormat="1" ht="13.8">
      <c r="A20" s="15" t="s">
        <v>73</v>
      </c>
      <c r="B20" s="16" t="s">
        <v>79</v>
      </c>
      <c r="D20" s="17" t="s">
        <v>36</v>
      </c>
      <c r="E20" s="22">
        <v>107.461885</v>
      </c>
      <c r="F20" s="22">
        <v>158.58117100000001</v>
      </c>
      <c r="G20" s="26">
        <v>147.96793600000001</v>
      </c>
      <c r="H20" s="18" t="s">
        <v>60</v>
      </c>
      <c r="I20" s="18" t="s">
        <v>61</v>
      </c>
      <c r="J20" s="16">
        <v>0.78</v>
      </c>
      <c r="K20" s="16">
        <v>5.5</v>
      </c>
      <c r="L20" s="38">
        <v>-0.17144200000000001</v>
      </c>
      <c r="M20" s="38">
        <v>-0.60797500000000004</v>
      </c>
      <c r="N20" s="38">
        <v>0.69808000000000003</v>
      </c>
      <c r="O20" s="18" t="s">
        <v>75</v>
      </c>
      <c r="P20" s="18" t="s">
        <v>76</v>
      </c>
      <c r="Q20" s="21">
        <v>4.5599999999999996</v>
      </c>
      <c r="R20" s="21">
        <v>341</v>
      </c>
      <c r="S20" s="22">
        <v>113.677694</v>
      </c>
      <c r="T20" s="22">
        <v>151.98118600000001</v>
      </c>
      <c r="U20" s="22">
        <v>266.20352100000002</v>
      </c>
      <c r="V20" s="22">
        <v>1</v>
      </c>
      <c r="W20" s="22">
        <v>1</v>
      </c>
      <c r="X20" s="22">
        <v>201.71592619926199</v>
      </c>
      <c r="Y20" s="22">
        <v>427.27242619926199</v>
      </c>
      <c r="Z20" s="22"/>
      <c r="AA20" s="25">
        <v>11</v>
      </c>
      <c r="AB20" s="25" t="s">
        <v>77</v>
      </c>
      <c r="AC20" s="16" t="s">
        <v>80</v>
      </c>
      <c r="AD20" s="16" t="s">
        <v>58</v>
      </c>
    </row>
    <row r="21" spans="1:31" s="16" customFormat="1" ht="13.8">
      <c r="A21" s="15" t="s">
        <v>81</v>
      </c>
      <c r="B21" s="16" t="s">
        <v>82</v>
      </c>
      <c r="D21" s="16" t="s">
        <v>27</v>
      </c>
      <c r="E21" s="22">
        <v>3.1667000000000001E-2</v>
      </c>
      <c r="F21" s="22">
        <v>4.1599999999999998E-2</v>
      </c>
      <c r="G21" s="22">
        <v>4.9167000000000002E-2</v>
      </c>
      <c r="H21" s="16" t="s">
        <v>83</v>
      </c>
      <c r="I21" s="16" t="s">
        <v>84</v>
      </c>
      <c r="J21" s="16">
        <v>6</v>
      </c>
      <c r="K21" s="16">
        <v>49</v>
      </c>
      <c r="L21" s="20">
        <v>0</v>
      </c>
      <c r="M21" s="20">
        <v>0</v>
      </c>
      <c r="N21" s="20">
        <v>0</v>
      </c>
      <c r="O21" s="16" t="s">
        <v>30</v>
      </c>
      <c r="P21" s="16" t="s">
        <v>30</v>
      </c>
      <c r="Q21" s="21">
        <v>0</v>
      </c>
      <c r="R21" s="21">
        <v>0</v>
      </c>
      <c r="S21" s="22">
        <v>0.158332</v>
      </c>
      <c r="T21" s="22">
        <v>0.2392</v>
      </c>
      <c r="U21" s="22">
        <v>1.5749979999999999</v>
      </c>
      <c r="V21" s="22">
        <v>1</v>
      </c>
      <c r="W21" s="22">
        <v>1</v>
      </c>
      <c r="X21" s="22">
        <v>0.58609756097560994</v>
      </c>
      <c r="Y21" s="22">
        <v>0.75609756097560998</v>
      </c>
      <c r="Z21" s="22"/>
      <c r="AA21" s="16">
        <v>999</v>
      </c>
      <c r="AB21" s="16" t="s">
        <v>85</v>
      </c>
      <c r="AC21" s="16" t="s">
        <v>86</v>
      </c>
      <c r="AD21" s="16" t="s">
        <v>87</v>
      </c>
    </row>
    <row r="22" spans="1:31" s="16" customFormat="1" ht="13.8">
      <c r="A22" s="15" t="s">
        <v>81</v>
      </c>
      <c r="B22" s="16" t="s">
        <v>88</v>
      </c>
      <c r="D22" s="16" t="s">
        <v>27</v>
      </c>
      <c r="E22" s="22">
        <v>6.8807999999999994E-2</v>
      </c>
      <c r="F22" s="22">
        <v>0.13142799999999999</v>
      </c>
      <c r="G22" s="22">
        <v>0.29178500000000002</v>
      </c>
      <c r="H22" s="16" t="s">
        <v>83</v>
      </c>
      <c r="I22" s="16" t="s">
        <v>84</v>
      </c>
      <c r="J22" s="16">
        <v>1.44</v>
      </c>
      <c r="K22" s="16">
        <v>10</v>
      </c>
      <c r="L22" s="20">
        <v>0</v>
      </c>
      <c r="M22" s="20">
        <v>0</v>
      </c>
      <c r="N22" s="20">
        <v>0</v>
      </c>
      <c r="O22" s="16" t="s">
        <v>30</v>
      </c>
      <c r="P22" s="16" t="s">
        <v>30</v>
      </c>
      <c r="Q22" s="21">
        <v>0</v>
      </c>
      <c r="R22" s="21">
        <v>0</v>
      </c>
      <c r="S22" s="22">
        <v>0.13047400000000001</v>
      </c>
      <c r="T22" s="22">
        <v>7.2905999999999999E-2</v>
      </c>
      <c r="U22" s="22">
        <v>4.2856999999999999E-2</v>
      </c>
      <c r="V22" s="22">
        <v>1</v>
      </c>
      <c r="W22" s="22">
        <v>1</v>
      </c>
      <c r="X22" s="22">
        <v>0.45500000000000002</v>
      </c>
      <c r="Y22" s="22">
        <v>0.52500000000000002</v>
      </c>
      <c r="Z22" s="22"/>
      <c r="AA22" s="16">
        <v>999</v>
      </c>
      <c r="AB22" s="16" t="s">
        <v>85</v>
      </c>
      <c r="AC22" s="16" t="s">
        <v>86</v>
      </c>
      <c r="AD22" s="16" t="s">
        <v>47</v>
      </c>
    </row>
    <row r="23" spans="1:31" s="16" customFormat="1" ht="13.8">
      <c r="A23" s="15" t="s">
        <v>81</v>
      </c>
      <c r="B23" s="16" t="s">
        <v>91</v>
      </c>
      <c r="D23" s="16" t="s">
        <v>27</v>
      </c>
      <c r="E23" s="22">
        <v>0.12371699999999999</v>
      </c>
      <c r="F23" s="22">
        <v>0.17549999999999999</v>
      </c>
      <c r="G23" s="22">
        <v>0.22850000000000001</v>
      </c>
      <c r="H23" s="16" t="s">
        <v>83</v>
      </c>
      <c r="I23" s="16" t="s">
        <v>84</v>
      </c>
      <c r="J23" s="16">
        <v>1</v>
      </c>
      <c r="K23" s="16">
        <v>20</v>
      </c>
      <c r="L23" s="20">
        <v>0</v>
      </c>
      <c r="M23" s="20">
        <v>0</v>
      </c>
      <c r="N23" s="20">
        <v>0</v>
      </c>
      <c r="O23" s="16" t="s">
        <v>30</v>
      </c>
      <c r="P23" s="16" t="s">
        <v>30</v>
      </c>
      <c r="Q23" s="21">
        <v>0</v>
      </c>
      <c r="R23" s="21">
        <v>0</v>
      </c>
      <c r="S23" s="22">
        <v>6.5725000000000006E-2</v>
      </c>
      <c r="T23" s="22">
        <v>0.10125199999999999</v>
      </c>
      <c r="U23" s="22">
        <v>2.7075</v>
      </c>
      <c r="V23" s="22">
        <v>1</v>
      </c>
      <c r="W23" s="22">
        <v>1</v>
      </c>
      <c r="X23" s="22">
        <v>0.45500000000000002</v>
      </c>
      <c r="Y23" s="22">
        <v>0.52500000000000002</v>
      </c>
      <c r="Z23" s="22"/>
      <c r="AA23" s="16">
        <v>999</v>
      </c>
      <c r="AB23" s="16" t="s">
        <v>85</v>
      </c>
      <c r="AC23" s="16" t="s">
        <v>86</v>
      </c>
      <c r="AD23" s="16" t="s">
        <v>92</v>
      </c>
    </row>
    <row r="24" spans="1:31" s="16" customFormat="1" ht="13.8">
      <c r="A24" s="15" t="s">
        <v>81</v>
      </c>
      <c r="B24" s="16" t="s">
        <v>213</v>
      </c>
      <c r="D24" s="16" t="s">
        <v>27</v>
      </c>
      <c r="E24" s="22">
        <v>2.6870999999999999E-2</v>
      </c>
      <c r="F24" s="22">
        <v>0.101739</v>
      </c>
      <c r="G24" s="22">
        <v>0.144589</v>
      </c>
      <c r="H24" s="16" t="s">
        <v>83</v>
      </c>
      <c r="I24" s="16" t="s">
        <v>84</v>
      </c>
      <c r="J24" s="16">
        <v>2.7</v>
      </c>
      <c r="K24" s="16">
        <v>31</v>
      </c>
      <c r="L24" s="20">
        <v>0</v>
      </c>
      <c r="M24" s="20">
        <v>0</v>
      </c>
      <c r="N24" s="20">
        <v>0</v>
      </c>
      <c r="O24" s="16" t="s">
        <v>30</v>
      </c>
      <c r="P24" s="16" t="s">
        <v>30</v>
      </c>
      <c r="Q24" s="21">
        <v>0</v>
      </c>
      <c r="R24" s="21">
        <v>0</v>
      </c>
      <c r="S24" s="22">
        <v>0.53651300000000002</v>
      </c>
      <c r="T24" s="22">
        <v>0.49099100000000001</v>
      </c>
      <c r="U24" s="22">
        <v>0.67023500000000003</v>
      </c>
      <c r="V24" s="22">
        <v>1</v>
      </c>
      <c r="W24" s="22">
        <v>1</v>
      </c>
      <c r="X24" s="22">
        <v>0.40875</v>
      </c>
      <c r="Y24" s="22">
        <v>0.47875000000000001</v>
      </c>
      <c r="Z24" s="22"/>
      <c r="AA24" s="16">
        <v>999</v>
      </c>
      <c r="AB24" s="16" t="s">
        <v>85</v>
      </c>
      <c r="AC24" s="18" t="s">
        <v>86</v>
      </c>
      <c r="AD24" s="16" t="s">
        <v>136</v>
      </c>
    </row>
    <row r="25" spans="1:31" s="16" customFormat="1" ht="13.8">
      <c r="A25" s="15" t="s">
        <v>93</v>
      </c>
      <c r="B25" s="16" t="s">
        <v>42</v>
      </c>
      <c r="D25" s="17" t="s">
        <v>36</v>
      </c>
      <c r="E25" s="22">
        <v>27.703333000000001</v>
      </c>
      <c r="F25" s="22">
        <v>127.969233</v>
      </c>
      <c r="G25" s="39">
        <v>380.38518299999998</v>
      </c>
      <c r="H25" s="18" t="s">
        <v>60</v>
      </c>
      <c r="I25" s="18" t="s">
        <v>61</v>
      </c>
      <c r="J25" s="16">
        <v>1.6</v>
      </c>
      <c r="K25" s="16">
        <v>7.3</v>
      </c>
      <c r="L25" s="38">
        <v>0</v>
      </c>
      <c r="M25" s="38">
        <v>0</v>
      </c>
      <c r="N25" s="38">
        <v>0</v>
      </c>
      <c r="O25" s="18" t="s">
        <v>30</v>
      </c>
      <c r="P25" s="18" t="s">
        <v>30</v>
      </c>
      <c r="Q25" s="21">
        <v>0</v>
      </c>
      <c r="R25" s="21">
        <v>0</v>
      </c>
      <c r="S25" s="22">
        <v>531.17233499999998</v>
      </c>
      <c r="T25" s="22">
        <v>588.18383700000004</v>
      </c>
      <c r="U25" s="22">
        <v>691.37370599999997</v>
      </c>
      <c r="V25" s="22">
        <v>1</v>
      </c>
      <c r="W25" s="22">
        <v>1</v>
      </c>
      <c r="X25" s="22">
        <v>143.71</v>
      </c>
      <c r="Y25" s="22">
        <v>279.36</v>
      </c>
      <c r="Z25" s="22"/>
      <c r="AA25" s="25">
        <v>11</v>
      </c>
      <c r="AB25" s="25" t="s">
        <v>94</v>
      </c>
      <c r="AC25" s="16" t="s">
        <v>40</v>
      </c>
      <c r="AD25" s="16" t="s">
        <v>95</v>
      </c>
      <c r="AE25" s="16" t="s">
        <v>96</v>
      </c>
    </row>
    <row r="26" spans="1:31" s="16" customFormat="1" ht="13.8">
      <c r="A26" s="15" t="s">
        <v>93</v>
      </c>
      <c r="B26" s="16" t="s">
        <v>97</v>
      </c>
      <c r="D26" s="17" t="s">
        <v>36</v>
      </c>
      <c r="E26" s="22">
        <v>1048.8888890000001</v>
      </c>
      <c r="F26" s="22">
        <v>49</v>
      </c>
      <c r="G26" s="39">
        <v>107.14285700000001</v>
      </c>
      <c r="H26" s="18" t="s">
        <v>60</v>
      </c>
      <c r="I26" s="18" t="s">
        <v>61</v>
      </c>
      <c r="J26" s="16">
        <v>4.5999999999999996</v>
      </c>
      <c r="K26" s="16">
        <v>6.7</v>
      </c>
      <c r="L26" s="38">
        <v>0</v>
      </c>
      <c r="M26" s="38">
        <v>0</v>
      </c>
      <c r="N26" s="38">
        <v>0</v>
      </c>
      <c r="O26" s="18" t="s">
        <v>30</v>
      </c>
      <c r="P26" s="18" t="s">
        <v>30</v>
      </c>
      <c r="Q26" s="21">
        <v>0</v>
      </c>
      <c r="R26" s="21">
        <v>0</v>
      </c>
      <c r="S26" s="22">
        <v>-4359.9999980000002</v>
      </c>
      <c r="T26" s="22">
        <v>3139.3000029999998</v>
      </c>
      <c r="U26" s="22">
        <v>3881.1428569999998</v>
      </c>
      <c r="V26" s="22">
        <v>1</v>
      </c>
      <c r="W26" s="22">
        <v>1</v>
      </c>
      <c r="X26" s="22">
        <v>143.71</v>
      </c>
      <c r="Y26" s="22">
        <v>279.36</v>
      </c>
      <c r="Z26" s="22"/>
      <c r="AA26" s="25">
        <v>11</v>
      </c>
      <c r="AB26" s="25" t="s">
        <v>94</v>
      </c>
      <c r="AC26" s="16" t="s">
        <v>40</v>
      </c>
      <c r="AD26" s="16" t="s">
        <v>98</v>
      </c>
      <c r="AE26" s="16" t="s">
        <v>99</v>
      </c>
    </row>
    <row r="27" spans="1:31" s="16" customFormat="1" ht="13.8">
      <c r="A27" s="15" t="s">
        <v>93</v>
      </c>
      <c r="B27" s="16" t="s">
        <v>71</v>
      </c>
      <c r="D27" s="17" t="s">
        <v>36</v>
      </c>
      <c r="E27" s="22">
        <v>111.854839</v>
      </c>
      <c r="F27" s="22">
        <v>674.41860299999996</v>
      </c>
      <c r="G27" s="39">
        <v>635.55555600000002</v>
      </c>
      <c r="H27" s="18" t="s">
        <v>60</v>
      </c>
      <c r="I27" s="18" t="s">
        <v>61</v>
      </c>
      <c r="J27" s="16">
        <v>1.9</v>
      </c>
      <c r="K27" s="16">
        <v>8.6</v>
      </c>
      <c r="L27" s="38">
        <v>0</v>
      </c>
      <c r="M27" s="38">
        <v>0</v>
      </c>
      <c r="N27" s="38">
        <v>0</v>
      </c>
      <c r="O27" s="18" t="s">
        <v>30</v>
      </c>
      <c r="P27" s="18" t="s">
        <v>30</v>
      </c>
      <c r="Q27" s="21">
        <v>0</v>
      </c>
      <c r="R27" s="21">
        <v>0</v>
      </c>
      <c r="S27" s="22">
        <v>326.870969</v>
      </c>
      <c r="T27" s="22">
        <v>-452.16278699999998</v>
      </c>
      <c r="U27" s="22">
        <v>1533.222221</v>
      </c>
      <c r="V27" s="22">
        <v>1</v>
      </c>
      <c r="W27" s="22">
        <v>1</v>
      </c>
      <c r="X27" s="22">
        <v>218.3</v>
      </c>
      <c r="Y27" s="22">
        <v>353.95000000000005</v>
      </c>
      <c r="Z27" s="22"/>
      <c r="AA27" s="23">
        <v>11</v>
      </c>
      <c r="AB27" s="25" t="s">
        <v>94</v>
      </c>
      <c r="AC27" s="16" t="s">
        <v>80</v>
      </c>
      <c r="AD27" s="16" t="s">
        <v>58</v>
      </c>
    </row>
    <row r="28" spans="1:31" s="16" customFormat="1" ht="13.8">
      <c r="A28" s="15" t="s">
        <v>100</v>
      </c>
      <c r="B28" s="16" t="s">
        <v>82</v>
      </c>
      <c r="D28" s="16" t="s">
        <v>27</v>
      </c>
      <c r="E28" s="22">
        <v>3.1667000000000001E-2</v>
      </c>
      <c r="F28" s="22">
        <v>4.2999999999999997E-2</v>
      </c>
      <c r="G28" s="22">
        <v>5.1999999999999998E-2</v>
      </c>
      <c r="H28" s="16" t="s">
        <v>83</v>
      </c>
      <c r="I28" s="16" t="s">
        <v>84</v>
      </c>
      <c r="J28" s="16">
        <v>6</v>
      </c>
      <c r="K28" s="16">
        <v>49</v>
      </c>
      <c r="L28" s="20">
        <v>0</v>
      </c>
      <c r="M28" s="20">
        <v>0</v>
      </c>
      <c r="N28" s="20">
        <v>0</v>
      </c>
      <c r="O28" s="16" t="s">
        <v>30</v>
      </c>
      <c r="P28" s="16" t="s">
        <v>30</v>
      </c>
      <c r="Q28" s="21">
        <v>0</v>
      </c>
      <c r="R28" s="21">
        <v>0</v>
      </c>
      <c r="S28" s="22">
        <v>0.158334</v>
      </c>
      <c r="T28" s="22">
        <v>0.26300400000000002</v>
      </c>
      <c r="U28" s="22">
        <v>1.5580369999999999</v>
      </c>
      <c r="V28" s="22">
        <v>1</v>
      </c>
      <c r="W28" s="22">
        <v>1</v>
      </c>
      <c r="X28" s="22">
        <v>1.0440385120756885</v>
      </c>
      <c r="Y28" s="22">
        <v>1.2648928127070842</v>
      </c>
      <c r="Z28" s="22"/>
      <c r="AA28" s="16">
        <v>999</v>
      </c>
      <c r="AB28" s="16" t="s">
        <v>90</v>
      </c>
      <c r="AC28" s="16" t="s">
        <v>86</v>
      </c>
      <c r="AD28" s="16" t="s">
        <v>92</v>
      </c>
    </row>
    <row r="29" spans="1:31" s="16" customFormat="1" ht="13.8">
      <c r="A29" s="15" t="s">
        <v>100</v>
      </c>
      <c r="B29" s="16" t="s">
        <v>101</v>
      </c>
      <c r="D29" s="16" t="s">
        <v>27</v>
      </c>
      <c r="E29" s="22">
        <v>0.209286</v>
      </c>
      <c r="F29" s="22">
        <v>0.30105500000000002</v>
      </c>
      <c r="G29" s="22">
        <v>0.61853499999999995</v>
      </c>
      <c r="H29" s="16" t="s">
        <v>83</v>
      </c>
      <c r="I29" s="16" t="s">
        <v>84</v>
      </c>
      <c r="J29" s="16">
        <v>5.5</v>
      </c>
      <c r="K29" s="16">
        <v>42</v>
      </c>
      <c r="L29" s="20">
        <v>0</v>
      </c>
      <c r="M29" s="20">
        <v>0</v>
      </c>
      <c r="N29" s="20">
        <v>0</v>
      </c>
      <c r="O29" s="16" t="s">
        <v>30</v>
      </c>
      <c r="P29" s="16" t="s">
        <v>30</v>
      </c>
      <c r="Q29" s="21">
        <v>0</v>
      </c>
      <c r="R29" s="21">
        <v>0</v>
      </c>
      <c r="S29" s="22">
        <v>3.9999999999999998E-6</v>
      </c>
      <c r="T29" s="22">
        <v>3.1016999999999999E-2</v>
      </c>
      <c r="U29" s="22">
        <v>-3.0620000000000001E-3</v>
      </c>
      <c r="V29" s="22">
        <v>1.1366795366795368</v>
      </c>
      <c r="W29" s="22">
        <v>1.2849420849420852</v>
      </c>
      <c r="X29" s="22">
        <v>0</v>
      </c>
      <c r="Y29" s="22">
        <v>0</v>
      </c>
      <c r="Z29" s="22"/>
      <c r="AA29" s="16">
        <v>999</v>
      </c>
      <c r="AB29" s="16" t="s">
        <v>90</v>
      </c>
      <c r="AC29" s="16" t="s">
        <v>86</v>
      </c>
      <c r="AD29" s="16" t="s">
        <v>87</v>
      </c>
    </row>
    <row r="30" spans="1:31" s="16" customFormat="1" ht="13.8">
      <c r="A30" s="15" t="s">
        <v>100</v>
      </c>
      <c r="B30" s="16" t="s">
        <v>102</v>
      </c>
      <c r="D30" s="16" t="s">
        <v>27</v>
      </c>
      <c r="E30" s="22">
        <v>0.146427</v>
      </c>
      <c r="F30" s="22">
        <v>0.27345000000000003</v>
      </c>
      <c r="G30" s="22">
        <v>0.42841000000000001</v>
      </c>
      <c r="H30" s="16" t="s">
        <v>83</v>
      </c>
      <c r="I30" s="16" t="s">
        <v>84</v>
      </c>
      <c r="J30" s="16">
        <v>3.7</v>
      </c>
      <c r="K30" s="16">
        <v>25.8</v>
      </c>
      <c r="L30" s="20">
        <v>0</v>
      </c>
      <c r="M30" s="20">
        <v>0</v>
      </c>
      <c r="N30" s="20">
        <v>0</v>
      </c>
      <c r="O30" s="16" t="s">
        <v>30</v>
      </c>
      <c r="P30" s="16" t="s">
        <v>30</v>
      </c>
      <c r="Q30" s="21">
        <v>0</v>
      </c>
      <c r="R30" s="21">
        <v>0</v>
      </c>
      <c r="S30" s="22">
        <v>0.68786899999999995</v>
      </c>
      <c r="T30" s="22">
        <v>1.360557</v>
      </c>
      <c r="U30" s="22">
        <v>3.7054010000000002</v>
      </c>
      <c r="V30" s="22">
        <v>1.1366795366795368</v>
      </c>
      <c r="W30" s="22">
        <v>1.2853438804658319</v>
      </c>
      <c r="X30" s="22">
        <v>0</v>
      </c>
      <c r="Y30" s="22">
        <v>0</v>
      </c>
      <c r="Z30" s="22"/>
      <c r="AA30" s="16">
        <v>999</v>
      </c>
      <c r="AB30" s="16" t="s">
        <v>90</v>
      </c>
      <c r="AC30" s="16" t="s">
        <v>86</v>
      </c>
      <c r="AD30" s="16" t="s">
        <v>41</v>
      </c>
    </row>
    <row r="31" spans="1:31" s="16" customFormat="1" ht="13.8">
      <c r="A31" s="15" t="s">
        <v>89</v>
      </c>
      <c r="B31" s="16" t="s">
        <v>88</v>
      </c>
      <c r="D31" s="16" t="s">
        <v>27</v>
      </c>
      <c r="E31" s="22">
        <v>6.8807999999999994E-2</v>
      </c>
      <c r="F31" s="22">
        <v>0.13142799999999999</v>
      </c>
      <c r="G31" s="22">
        <v>0.29178500000000002</v>
      </c>
      <c r="H31" s="16" t="s">
        <v>83</v>
      </c>
      <c r="I31" s="16" t="s">
        <v>84</v>
      </c>
      <c r="J31" s="16">
        <v>1.44</v>
      </c>
      <c r="K31" s="16">
        <v>10</v>
      </c>
      <c r="L31" s="20">
        <v>0</v>
      </c>
      <c r="M31" s="20">
        <v>0</v>
      </c>
      <c r="N31" s="20">
        <v>0</v>
      </c>
      <c r="O31" s="16" t="s">
        <v>30</v>
      </c>
      <c r="P31" s="16" t="s">
        <v>30</v>
      </c>
      <c r="Q31" s="21">
        <v>0</v>
      </c>
      <c r="R31" s="21">
        <v>0</v>
      </c>
      <c r="S31" s="22">
        <v>0.13047400000000001</v>
      </c>
      <c r="T31" s="22">
        <v>7.2905999999999999E-2</v>
      </c>
      <c r="U31" s="22">
        <v>4.2856999999999999E-2</v>
      </c>
      <c r="V31" s="22">
        <v>1</v>
      </c>
      <c r="W31" s="22">
        <v>1</v>
      </c>
      <c r="X31" s="22">
        <v>0.59111003992520594</v>
      </c>
      <c r="Y31" s="22">
        <v>0.68205004606754538</v>
      </c>
      <c r="Z31" s="22"/>
      <c r="AA31" s="16">
        <v>999</v>
      </c>
      <c r="AB31" s="16" t="s">
        <v>90</v>
      </c>
      <c r="AC31" s="16" t="s">
        <v>86</v>
      </c>
      <c r="AD31" s="16" t="s">
        <v>47</v>
      </c>
    </row>
    <row r="32" spans="1:31" s="16" customFormat="1" ht="13.8">
      <c r="A32" s="15" t="s">
        <v>89</v>
      </c>
      <c r="B32" s="16" t="s">
        <v>82</v>
      </c>
      <c r="D32" s="16" t="s">
        <v>27</v>
      </c>
      <c r="E32" s="22">
        <v>3.1667000000000001E-2</v>
      </c>
      <c r="F32" s="22">
        <v>4.1599999999999998E-2</v>
      </c>
      <c r="G32" s="22">
        <v>4.9167000000000002E-2</v>
      </c>
      <c r="H32" s="16" t="s">
        <v>83</v>
      </c>
      <c r="I32" s="16" t="s">
        <v>84</v>
      </c>
      <c r="J32" s="16">
        <v>6</v>
      </c>
      <c r="K32" s="16">
        <v>49</v>
      </c>
      <c r="L32" s="20">
        <v>0</v>
      </c>
      <c r="M32" s="20">
        <v>0</v>
      </c>
      <c r="N32" s="20">
        <v>0</v>
      </c>
      <c r="O32" s="16" t="s">
        <v>30</v>
      </c>
      <c r="P32" s="16" t="s">
        <v>30</v>
      </c>
      <c r="Q32" s="21">
        <v>0</v>
      </c>
      <c r="R32" s="21">
        <v>0</v>
      </c>
      <c r="S32" s="22">
        <v>0.158332</v>
      </c>
      <c r="T32" s="22">
        <v>0.2392</v>
      </c>
      <c r="U32" s="22">
        <v>1.5749979999999999</v>
      </c>
      <c r="V32" s="22">
        <v>1</v>
      </c>
      <c r="W32" s="22">
        <v>1</v>
      </c>
      <c r="X32" s="22">
        <v>0.76142451135902989</v>
      </c>
      <c r="Y32" s="22">
        <v>0.98227881199042555</v>
      </c>
      <c r="Z32" s="22"/>
      <c r="AA32" s="16">
        <v>999</v>
      </c>
      <c r="AB32" s="16" t="s">
        <v>90</v>
      </c>
      <c r="AC32" s="16" t="s">
        <v>86</v>
      </c>
      <c r="AD32" s="16" t="s">
        <v>87</v>
      </c>
    </row>
    <row r="33" spans="1:31" s="16" customFormat="1" ht="13.8">
      <c r="A33" s="15" t="s">
        <v>89</v>
      </c>
      <c r="B33" s="16" t="s">
        <v>91</v>
      </c>
      <c r="D33" s="16" t="s">
        <v>27</v>
      </c>
      <c r="E33" s="22">
        <v>0.12371699999999999</v>
      </c>
      <c r="F33" s="22">
        <v>0.17549999999999999</v>
      </c>
      <c r="G33" s="22">
        <v>0.22850000000000001</v>
      </c>
      <c r="H33" s="16" t="s">
        <v>83</v>
      </c>
      <c r="I33" s="16" t="s">
        <v>84</v>
      </c>
      <c r="J33" s="16">
        <v>1</v>
      </c>
      <c r="K33" s="16">
        <v>20</v>
      </c>
      <c r="L33" s="20">
        <v>0</v>
      </c>
      <c r="M33" s="20">
        <v>0</v>
      </c>
      <c r="N33" s="20">
        <v>0</v>
      </c>
      <c r="O33" s="16" t="s">
        <v>30</v>
      </c>
      <c r="P33" s="16" t="s">
        <v>30</v>
      </c>
      <c r="Q33" s="21">
        <v>0</v>
      </c>
      <c r="R33" s="21">
        <v>0</v>
      </c>
      <c r="S33" s="22">
        <v>6.5725000000000006E-2</v>
      </c>
      <c r="T33" s="22">
        <v>0.10125199999999999</v>
      </c>
      <c r="U33" s="22">
        <v>2.7075</v>
      </c>
      <c r="V33" s="22">
        <v>1</v>
      </c>
      <c r="W33" s="22">
        <v>1</v>
      </c>
      <c r="X33" s="22">
        <v>0.59111003992520594</v>
      </c>
      <c r="Y33" s="22">
        <v>0.68205004606754538</v>
      </c>
      <c r="Z33" s="22"/>
      <c r="AA33" s="16">
        <v>999</v>
      </c>
      <c r="AB33" s="16" t="s">
        <v>90</v>
      </c>
      <c r="AC33" s="16" t="s">
        <v>86</v>
      </c>
      <c r="AD33" s="16" t="s">
        <v>92</v>
      </c>
    </row>
    <row r="34" spans="1:31" s="16" customFormat="1" ht="13.8">
      <c r="A34" s="15" t="s">
        <v>89</v>
      </c>
      <c r="B34" s="16" t="s">
        <v>101</v>
      </c>
      <c r="D34" s="16" t="s">
        <v>27</v>
      </c>
      <c r="E34" s="22">
        <v>0.209286</v>
      </c>
      <c r="F34" s="22">
        <v>0.30105500000000002</v>
      </c>
      <c r="G34" s="22">
        <v>0.61853499999999995</v>
      </c>
      <c r="H34" s="16" t="s">
        <v>83</v>
      </c>
      <c r="I34" s="16" t="s">
        <v>84</v>
      </c>
      <c r="J34" s="16">
        <v>5.5</v>
      </c>
      <c r="K34" s="16">
        <v>42</v>
      </c>
      <c r="L34" s="20">
        <v>0</v>
      </c>
      <c r="M34" s="20">
        <v>0</v>
      </c>
      <c r="N34" s="20">
        <v>0</v>
      </c>
      <c r="O34" s="16" t="s">
        <v>30</v>
      </c>
      <c r="P34" s="16" t="s">
        <v>30</v>
      </c>
      <c r="Q34" s="21">
        <v>0</v>
      </c>
      <c r="R34" s="21">
        <v>0</v>
      </c>
      <c r="S34" s="22">
        <v>3.9999999999999998E-6</v>
      </c>
      <c r="T34" s="22">
        <v>3.1016999999999999E-2</v>
      </c>
      <c r="U34" s="22">
        <v>-3.0620000000000001E-3</v>
      </c>
      <c r="V34" s="22">
        <v>1.1366795366795368</v>
      </c>
      <c r="W34" s="22">
        <v>1.2849420849420852</v>
      </c>
      <c r="X34" s="22">
        <v>0</v>
      </c>
      <c r="Y34" s="22">
        <v>0</v>
      </c>
      <c r="Z34" s="22"/>
      <c r="AA34" s="16">
        <v>999</v>
      </c>
      <c r="AB34" s="16" t="s">
        <v>90</v>
      </c>
      <c r="AC34" s="16" t="s">
        <v>86</v>
      </c>
      <c r="AD34" s="16" t="s">
        <v>87</v>
      </c>
    </row>
    <row r="35" spans="1:31" s="16" customFormat="1" ht="13.8">
      <c r="A35" s="15" t="s">
        <v>89</v>
      </c>
      <c r="B35" s="16" t="s">
        <v>102</v>
      </c>
      <c r="D35" s="16" t="s">
        <v>27</v>
      </c>
      <c r="E35" s="22">
        <v>0.146427</v>
      </c>
      <c r="F35" s="22">
        <v>0.27345000000000003</v>
      </c>
      <c r="G35" s="22">
        <v>0.42841000000000001</v>
      </c>
      <c r="H35" s="16" t="s">
        <v>83</v>
      </c>
      <c r="I35" s="16" t="s">
        <v>84</v>
      </c>
      <c r="J35" s="16">
        <v>3.7</v>
      </c>
      <c r="K35" s="16">
        <v>25.8</v>
      </c>
      <c r="L35" s="20">
        <v>0</v>
      </c>
      <c r="M35" s="20">
        <v>0</v>
      </c>
      <c r="N35" s="20">
        <v>0</v>
      </c>
      <c r="O35" s="16" t="s">
        <v>30</v>
      </c>
      <c r="P35" s="16" t="s">
        <v>30</v>
      </c>
      <c r="Q35" s="21">
        <v>0</v>
      </c>
      <c r="R35" s="21">
        <v>0</v>
      </c>
      <c r="S35" s="22">
        <v>0.68786899999999995</v>
      </c>
      <c r="T35" s="22">
        <v>1.360557</v>
      </c>
      <c r="U35" s="22">
        <v>3.7054010000000002</v>
      </c>
      <c r="V35" s="22">
        <v>1.1366795366795368</v>
      </c>
      <c r="W35" s="22">
        <v>1.2853438804658319</v>
      </c>
      <c r="X35" s="22">
        <v>0</v>
      </c>
      <c r="Y35" s="22">
        <v>0</v>
      </c>
      <c r="Z35" s="22"/>
      <c r="AA35" s="16">
        <v>999</v>
      </c>
      <c r="AB35" s="16" t="s">
        <v>90</v>
      </c>
      <c r="AC35" s="16" t="s">
        <v>86</v>
      </c>
      <c r="AD35" s="16" t="s">
        <v>41</v>
      </c>
    </row>
    <row r="36" spans="1:31" s="16" customFormat="1" ht="13.8">
      <c r="A36" s="15" t="s">
        <v>89</v>
      </c>
      <c r="B36" s="16" t="s">
        <v>213</v>
      </c>
      <c r="D36" s="16" t="s">
        <v>27</v>
      </c>
      <c r="E36" s="22">
        <v>2.6870999999999999E-2</v>
      </c>
      <c r="F36" s="22">
        <v>0.101739</v>
      </c>
      <c r="G36" s="22">
        <v>0.144589</v>
      </c>
      <c r="H36" s="16" t="s">
        <v>83</v>
      </c>
      <c r="I36" s="16" t="s">
        <v>84</v>
      </c>
      <c r="J36" s="16">
        <v>2.7</v>
      </c>
      <c r="K36" s="16">
        <v>31</v>
      </c>
      <c r="L36" s="20">
        <v>0</v>
      </c>
      <c r="M36" s="20">
        <v>0</v>
      </c>
      <c r="N36" s="20">
        <v>0</v>
      </c>
      <c r="O36" s="16" t="s">
        <v>30</v>
      </c>
      <c r="P36" s="16" t="s">
        <v>30</v>
      </c>
      <c r="Q36" s="21">
        <v>0</v>
      </c>
      <c r="R36" s="21">
        <v>0</v>
      </c>
      <c r="S36" s="22">
        <v>0.53651300000000002</v>
      </c>
      <c r="T36" s="22">
        <v>0.49099100000000001</v>
      </c>
      <c r="U36" s="22">
        <v>0.67023500000000003</v>
      </c>
      <c r="V36" s="22">
        <v>1</v>
      </c>
      <c r="W36" s="22">
        <v>1</v>
      </c>
      <c r="X36" s="22">
        <v>0.53</v>
      </c>
      <c r="Y36" s="22">
        <v>0.62</v>
      </c>
      <c r="Z36" s="22"/>
      <c r="AA36" s="16">
        <v>999</v>
      </c>
      <c r="AB36" s="16" t="s">
        <v>214</v>
      </c>
      <c r="AC36" s="18" t="s">
        <v>86</v>
      </c>
      <c r="AD36" s="16" t="s">
        <v>136</v>
      </c>
    </row>
    <row r="37" spans="1:31" s="16" customFormat="1" ht="13.8">
      <c r="A37" s="16" t="s">
        <v>273</v>
      </c>
      <c r="D37" s="17" t="s">
        <v>36</v>
      </c>
      <c r="E37" s="38">
        <v>-4.5999999999999996</v>
      </c>
      <c r="F37" s="38">
        <v>-4.6507940000000003</v>
      </c>
      <c r="G37" s="38">
        <v>5.3157889999999997</v>
      </c>
      <c r="H37" s="18" t="s">
        <v>75</v>
      </c>
      <c r="I37" s="18" t="s">
        <v>76</v>
      </c>
      <c r="J37" s="21">
        <v>234</v>
      </c>
      <c r="K37" s="21">
        <v>270</v>
      </c>
      <c r="L37" s="38">
        <v>31</v>
      </c>
      <c r="M37" s="38">
        <v>54.825397000000002</v>
      </c>
      <c r="N37" s="38">
        <v>47.255639000000002</v>
      </c>
      <c r="O37" s="18" t="s">
        <v>107</v>
      </c>
      <c r="P37" s="18" t="s">
        <v>39</v>
      </c>
      <c r="Q37" s="21">
        <v>8</v>
      </c>
      <c r="R37" s="21">
        <v>16</v>
      </c>
      <c r="S37" s="22">
        <v>1256.000008</v>
      </c>
      <c r="T37" s="22">
        <v>1132.507961</v>
      </c>
      <c r="U37" s="22">
        <v>-981.30826100000002</v>
      </c>
      <c r="V37" s="22">
        <v>1</v>
      </c>
      <c r="W37" s="22">
        <v>1</v>
      </c>
      <c r="X37" s="22">
        <v>199.66</v>
      </c>
      <c r="Y37" s="22">
        <v>377.65999999999997</v>
      </c>
      <c r="Z37" s="22"/>
      <c r="AA37" s="23">
        <v>15.2</v>
      </c>
      <c r="AB37" s="23" t="s">
        <v>108</v>
      </c>
      <c r="AC37" s="16" t="s">
        <v>109</v>
      </c>
      <c r="AD37" s="16" t="s">
        <v>110</v>
      </c>
      <c r="AE37" s="16" t="s">
        <v>111</v>
      </c>
    </row>
    <row r="38" spans="1:31" s="16" customFormat="1" ht="13.8">
      <c r="A38" s="16" t="s">
        <v>112</v>
      </c>
      <c r="B38" s="16" t="s">
        <v>113</v>
      </c>
      <c r="D38" s="16" t="s">
        <v>27</v>
      </c>
      <c r="E38" s="20">
        <v>0</v>
      </c>
      <c r="F38" s="20">
        <v>0</v>
      </c>
      <c r="G38" s="20">
        <v>0</v>
      </c>
      <c r="H38" s="18" t="s">
        <v>30</v>
      </c>
      <c r="I38" s="18" t="s">
        <v>30</v>
      </c>
      <c r="J38" s="16">
        <v>0</v>
      </c>
      <c r="K38" s="16">
        <v>0</v>
      </c>
      <c r="L38" s="20">
        <v>0</v>
      </c>
      <c r="M38" s="20">
        <v>0</v>
      </c>
      <c r="N38" s="20">
        <v>0</v>
      </c>
      <c r="O38" s="16" t="s">
        <v>30</v>
      </c>
      <c r="P38" s="16" t="s">
        <v>30</v>
      </c>
      <c r="Q38" s="21">
        <v>0</v>
      </c>
      <c r="R38" s="21">
        <v>0</v>
      </c>
      <c r="S38" s="22">
        <v>37.863500000000002</v>
      </c>
      <c r="T38" s="22">
        <v>55.491</v>
      </c>
      <c r="U38" s="22">
        <v>55.491</v>
      </c>
      <c r="V38" s="26">
        <v>2.38968748147082</v>
      </c>
      <c r="W38" s="26">
        <v>2.6632582560981044</v>
      </c>
      <c r="X38" s="22">
        <v>0</v>
      </c>
      <c r="Y38" s="22">
        <v>0</v>
      </c>
      <c r="Z38" s="22"/>
      <c r="AA38" s="16">
        <v>50</v>
      </c>
      <c r="AB38" s="16" t="s">
        <v>114</v>
      </c>
      <c r="AC38" s="16" t="s">
        <v>40</v>
      </c>
      <c r="AD38" s="16" t="s">
        <v>115</v>
      </c>
    </row>
    <row r="39" spans="1:31" s="16" customFormat="1" ht="13.8">
      <c r="A39" s="16" t="s">
        <v>112</v>
      </c>
      <c r="B39" s="16" t="s">
        <v>116</v>
      </c>
      <c r="D39" s="16" t="s">
        <v>27</v>
      </c>
      <c r="E39" s="20">
        <v>0</v>
      </c>
      <c r="F39" s="20">
        <v>0</v>
      </c>
      <c r="G39" s="20">
        <v>0</v>
      </c>
      <c r="H39" s="18" t="s">
        <v>30</v>
      </c>
      <c r="I39" s="18" t="s">
        <v>30</v>
      </c>
      <c r="J39" s="16">
        <v>0</v>
      </c>
      <c r="K39" s="16">
        <v>0</v>
      </c>
      <c r="L39" s="20">
        <v>0</v>
      </c>
      <c r="M39" s="20">
        <v>0</v>
      </c>
      <c r="N39" s="20">
        <v>0</v>
      </c>
      <c r="O39" s="16" t="s">
        <v>30</v>
      </c>
      <c r="P39" s="16" t="s">
        <v>30</v>
      </c>
      <c r="Q39" s="21">
        <v>0</v>
      </c>
      <c r="R39" s="21">
        <v>0</v>
      </c>
      <c r="S39" s="22">
        <v>15.88771</v>
      </c>
      <c r="T39" s="22">
        <v>41.994230000000002</v>
      </c>
      <c r="U39" s="22">
        <v>80.784630000000007</v>
      </c>
      <c r="V39" s="26">
        <v>2.3896874814708235</v>
      </c>
      <c r="W39" s="26">
        <v>2.6632582560981044</v>
      </c>
      <c r="X39" s="22">
        <v>0</v>
      </c>
      <c r="Y39" s="22">
        <v>0</v>
      </c>
      <c r="Z39" s="22"/>
      <c r="AA39" s="16">
        <v>30</v>
      </c>
      <c r="AB39" s="16" t="s">
        <v>114</v>
      </c>
      <c r="AC39" s="16" t="s">
        <v>40</v>
      </c>
      <c r="AD39" s="16" t="s">
        <v>115</v>
      </c>
    </row>
    <row r="40" spans="1:31" s="16" customFormat="1" ht="13.8">
      <c r="A40" s="16" t="s">
        <v>112</v>
      </c>
      <c r="B40" s="16" t="s">
        <v>117</v>
      </c>
      <c r="D40" s="16" t="s">
        <v>27</v>
      </c>
      <c r="E40" s="20">
        <v>0</v>
      </c>
      <c r="F40" s="20">
        <v>0</v>
      </c>
      <c r="G40" s="20">
        <v>0</v>
      </c>
      <c r="H40" s="18" t="s">
        <v>30</v>
      </c>
      <c r="I40" s="18" t="s">
        <v>30</v>
      </c>
      <c r="J40" s="16">
        <v>0</v>
      </c>
      <c r="K40" s="16">
        <v>0</v>
      </c>
      <c r="L40" s="20">
        <v>0</v>
      </c>
      <c r="M40" s="20">
        <v>0</v>
      </c>
      <c r="N40" s="20">
        <v>0</v>
      </c>
      <c r="O40" s="16" t="s">
        <v>30</v>
      </c>
      <c r="P40" s="16" t="s">
        <v>30</v>
      </c>
      <c r="Q40" s="21">
        <v>0</v>
      </c>
      <c r="R40" s="21">
        <v>0</v>
      </c>
      <c r="S40" s="22">
        <v>55.970359999999999</v>
      </c>
      <c r="T40" s="22">
        <v>77.287499999999994</v>
      </c>
      <c r="U40" s="22">
        <v>119.0682</v>
      </c>
      <c r="V40" s="26">
        <v>2.3896874814708235</v>
      </c>
      <c r="W40" s="26">
        <v>2.6632582560981044</v>
      </c>
      <c r="X40" s="22">
        <v>0</v>
      </c>
      <c r="Y40" s="22">
        <v>0</v>
      </c>
      <c r="Z40" s="22"/>
      <c r="AA40" s="16">
        <v>70</v>
      </c>
      <c r="AB40" s="16" t="s">
        <v>114</v>
      </c>
      <c r="AC40" s="16" t="s">
        <v>40</v>
      </c>
      <c r="AD40" s="16" t="s">
        <v>118</v>
      </c>
    </row>
    <row r="41" spans="1:31" s="16" customFormat="1" ht="13.8">
      <c r="A41" s="16" t="s">
        <v>112</v>
      </c>
      <c r="B41" s="16" t="s">
        <v>119</v>
      </c>
      <c r="D41" s="16" t="s">
        <v>27</v>
      </c>
      <c r="E41" s="20">
        <v>0</v>
      </c>
      <c r="F41" s="20">
        <v>0</v>
      </c>
      <c r="G41" s="20">
        <v>0</v>
      </c>
      <c r="H41" s="18" t="s">
        <v>30</v>
      </c>
      <c r="I41" s="18" t="s">
        <v>30</v>
      </c>
      <c r="J41" s="16">
        <v>0</v>
      </c>
      <c r="K41" s="16">
        <v>0</v>
      </c>
      <c r="L41" s="20">
        <v>0</v>
      </c>
      <c r="M41" s="20">
        <v>0</v>
      </c>
      <c r="N41" s="20">
        <v>0</v>
      </c>
      <c r="O41" s="16" t="s">
        <v>30</v>
      </c>
      <c r="P41" s="16" t="s">
        <v>30</v>
      </c>
      <c r="Q41" s="21">
        <v>0</v>
      </c>
      <c r="R41" s="21">
        <v>0</v>
      </c>
      <c r="S41" s="22">
        <v>18.82</v>
      </c>
      <c r="T41" s="22">
        <v>32.950000000000003</v>
      </c>
      <c r="U41" s="22">
        <v>46.05</v>
      </c>
      <c r="V41" s="26">
        <v>2.3896874814708235</v>
      </c>
      <c r="W41" s="26">
        <v>2.6632582560981044</v>
      </c>
      <c r="X41" s="22">
        <v>0</v>
      </c>
      <c r="Y41" s="22">
        <v>0</v>
      </c>
      <c r="Z41" s="22"/>
      <c r="AA41" s="16">
        <v>100</v>
      </c>
      <c r="AB41" s="16" t="s">
        <v>114</v>
      </c>
      <c r="AC41" s="16" t="s">
        <v>40</v>
      </c>
      <c r="AD41" s="16" t="s">
        <v>120</v>
      </c>
    </row>
    <row r="42" spans="1:31" s="16" customFormat="1" ht="13.8">
      <c r="A42" s="16" t="s">
        <v>112</v>
      </c>
      <c r="B42" s="16" t="s">
        <v>121</v>
      </c>
      <c r="D42" s="16" t="s">
        <v>27</v>
      </c>
      <c r="E42" s="20">
        <v>0</v>
      </c>
      <c r="F42" s="20">
        <v>0</v>
      </c>
      <c r="G42" s="20">
        <v>0</v>
      </c>
      <c r="H42" s="18" t="s">
        <v>30</v>
      </c>
      <c r="I42" s="18" t="s">
        <v>30</v>
      </c>
      <c r="J42" s="16">
        <v>0</v>
      </c>
      <c r="K42" s="16">
        <v>0</v>
      </c>
      <c r="L42" s="20">
        <v>0</v>
      </c>
      <c r="M42" s="20">
        <v>0</v>
      </c>
      <c r="N42" s="20">
        <v>0</v>
      </c>
      <c r="O42" s="16" t="s">
        <v>30</v>
      </c>
      <c r="P42" s="16" t="s">
        <v>30</v>
      </c>
      <c r="Q42" s="21">
        <v>0</v>
      </c>
      <c r="R42" s="21">
        <v>0</v>
      </c>
      <c r="S42" s="22">
        <v>23.776879999999998</v>
      </c>
      <c r="T42" s="22">
        <v>62.45</v>
      </c>
      <c r="U42" s="22">
        <v>98.898290000000003</v>
      </c>
      <c r="V42" s="26">
        <v>2.3896874814708235</v>
      </c>
      <c r="W42" s="26">
        <v>2.6632582560981044</v>
      </c>
      <c r="X42" s="22">
        <v>0</v>
      </c>
      <c r="Y42" s="22">
        <v>0</v>
      </c>
      <c r="Z42" s="22"/>
      <c r="AA42" s="16">
        <v>100</v>
      </c>
      <c r="AB42" s="16" t="s">
        <v>114</v>
      </c>
      <c r="AC42" s="16" t="s">
        <v>40</v>
      </c>
      <c r="AD42" s="16" t="s">
        <v>120</v>
      </c>
    </row>
    <row r="43" spans="1:31" s="16" customFormat="1" ht="13.8">
      <c r="A43" s="16" t="s">
        <v>112</v>
      </c>
      <c r="B43" s="16" t="s">
        <v>122</v>
      </c>
      <c r="D43" s="16" t="s">
        <v>27</v>
      </c>
      <c r="E43" s="20">
        <v>0</v>
      </c>
      <c r="F43" s="20">
        <v>0</v>
      </c>
      <c r="G43" s="20">
        <v>0</v>
      </c>
      <c r="H43" s="18" t="s">
        <v>30</v>
      </c>
      <c r="I43" s="18" t="s">
        <v>30</v>
      </c>
      <c r="J43" s="16">
        <v>0</v>
      </c>
      <c r="K43" s="16">
        <v>0</v>
      </c>
      <c r="L43" s="20">
        <v>0</v>
      </c>
      <c r="M43" s="20">
        <v>0</v>
      </c>
      <c r="N43" s="20">
        <v>0</v>
      </c>
      <c r="O43" s="16" t="s">
        <v>30</v>
      </c>
      <c r="P43" s="16" t="s">
        <v>30</v>
      </c>
      <c r="Q43" s="21">
        <v>0</v>
      </c>
      <c r="R43" s="21">
        <v>0</v>
      </c>
      <c r="S43" s="22">
        <v>47.244160000000001</v>
      </c>
      <c r="T43" s="22">
        <v>76.255319999999998</v>
      </c>
      <c r="U43" s="22">
        <v>103.2107</v>
      </c>
      <c r="V43" s="26">
        <v>2.3896874814708235</v>
      </c>
      <c r="W43" s="26">
        <v>2.6632582560981044</v>
      </c>
      <c r="X43" s="22">
        <v>0</v>
      </c>
      <c r="Y43" s="22">
        <v>0</v>
      </c>
      <c r="Z43" s="22"/>
      <c r="AA43" s="16">
        <v>30</v>
      </c>
      <c r="AB43" s="16" t="s">
        <v>114</v>
      </c>
      <c r="AC43" s="16" t="s">
        <v>40</v>
      </c>
      <c r="AD43" s="16" t="s">
        <v>120</v>
      </c>
    </row>
    <row r="44" spans="1:31" s="16" customFormat="1" ht="13.8">
      <c r="A44" s="16" t="s">
        <v>123</v>
      </c>
      <c r="B44" s="16" t="s">
        <v>124</v>
      </c>
      <c r="D44" s="16" t="s">
        <v>27</v>
      </c>
      <c r="E44" s="22">
        <v>3.6189999999999998E-3</v>
      </c>
      <c r="F44" s="22">
        <v>7.0400000000000003E-3</v>
      </c>
      <c r="G44" s="22">
        <v>1.0169999999999999E-3</v>
      </c>
      <c r="H44" s="16" t="s">
        <v>83</v>
      </c>
      <c r="I44" s="16" t="s">
        <v>84</v>
      </c>
      <c r="J44" s="16">
        <v>2.78</v>
      </c>
      <c r="K44" s="16">
        <v>38</v>
      </c>
      <c r="L44" s="20">
        <v>0</v>
      </c>
      <c r="M44" s="20">
        <v>0</v>
      </c>
      <c r="N44" s="20">
        <v>0</v>
      </c>
      <c r="O44" s="16" t="s">
        <v>30</v>
      </c>
      <c r="P44" s="16" t="s">
        <v>30</v>
      </c>
      <c r="Q44" s="21">
        <v>0</v>
      </c>
      <c r="R44" s="21">
        <v>0</v>
      </c>
      <c r="S44" s="22">
        <v>0.156253</v>
      </c>
      <c r="T44" s="22">
        <v>0.27888200000000002</v>
      </c>
      <c r="U44" s="22">
        <v>0.95593399999999995</v>
      </c>
      <c r="V44" s="22">
        <v>1.7305785123966939</v>
      </c>
      <c r="W44" s="22">
        <v>1.8099173553719006</v>
      </c>
      <c r="X44" s="22">
        <v>0</v>
      </c>
      <c r="Y44" s="22">
        <v>0</v>
      </c>
      <c r="Z44" s="22"/>
      <c r="AA44" s="16">
        <v>999</v>
      </c>
      <c r="AB44" s="16" t="s">
        <v>104</v>
      </c>
      <c r="AC44" s="16" t="s">
        <v>86</v>
      </c>
      <c r="AD44" s="16" t="s">
        <v>125</v>
      </c>
    </row>
    <row r="45" spans="1:31" s="16" customFormat="1" ht="13.8">
      <c r="A45" s="16" t="s">
        <v>123</v>
      </c>
      <c r="B45" s="16" t="s">
        <v>101</v>
      </c>
      <c r="D45" s="16" t="s">
        <v>27</v>
      </c>
      <c r="E45" s="22">
        <v>0.209286</v>
      </c>
      <c r="F45" s="22">
        <v>0.30105500000000002</v>
      </c>
      <c r="G45" s="22">
        <v>0.61853499999999995</v>
      </c>
      <c r="H45" s="16" t="s">
        <v>83</v>
      </c>
      <c r="I45" s="16" t="s">
        <v>84</v>
      </c>
      <c r="J45" s="16">
        <v>5.5</v>
      </c>
      <c r="K45" s="16">
        <v>42</v>
      </c>
      <c r="L45" s="20">
        <v>0</v>
      </c>
      <c r="M45" s="20">
        <v>0</v>
      </c>
      <c r="N45" s="20">
        <v>0</v>
      </c>
      <c r="O45" s="16" t="s">
        <v>30</v>
      </c>
      <c r="P45" s="16" t="s">
        <v>30</v>
      </c>
      <c r="Q45" s="21">
        <v>0</v>
      </c>
      <c r="R45" s="21">
        <v>0</v>
      </c>
      <c r="S45" s="22">
        <v>3.9999999999999998E-6</v>
      </c>
      <c r="T45" s="22">
        <v>3.1016999999999999E-2</v>
      </c>
      <c r="U45" s="22">
        <v>-3.0620000000000001E-3</v>
      </c>
      <c r="V45" s="22">
        <v>1.1366795366795368</v>
      </c>
      <c r="W45" s="22">
        <v>1.2849420849420852</v>
      </c>
      <c r="X45" s="22">
        <v>0</v>
      </c>
      <c r="Y45" s="22">
        <v>0</v>
      </c>
      <c r="Z45" s="22"/>
      <c r="AA45" s="16">
        <v>999</v>
      </c>
      <c r="AB45" s="16" t="s">
        <v>104</v>
      </c>
      <c r="AC45" s="16" t="s">
        <v>86</v>
      </c>
      <c r="AD45" s="16" t="s">
        <v>87</v>
      </c>
    </row>
    <row r="46" spans="1:31" s="16" customFormat="1" ht="13.8">
      <c r="A46" s="15" t="s">
        <v>123</v>
      </c>
      <c r="B46" s="16" t="s">
        <v>102</v>
      </c>
      <c r="D46" s="16" t="s">
        <v>27</v>
      </c>
      <c r="E46" s="22">
        <v>0.146427</v>
      </c>
      <c r="F46" s="22">
        <v>0.27345000000000003</v>
      </c>
      <c r="G46" s="22">
        <v>0.42841000000000001</v>
      </c>
      <c r="H46" s="16" t="s">
        <v>83</v>
      </c>
      <c r="I46" s="16" t="s">
        <v>84</v>
      </c>
      <c r="J46" s="16">
        <v>3.7</v>
      </c>
      <c r="K46" s="16">
        <v>25.8</v>
      </c>
      <c r="L46" s="20">
        <v>0</v>
      </c>
      <c r="M46" s="20">
        <v>0</v>
      </c>
      <c r="N46" s="20">
        <v>0</v>
      </c>
      <c r="O46" s="16" t="s">
        <v>30</v>
      </c>
      <c r="P46" s="16" t="s">
        <v>30</v>
      </c>
      <c r="Q46" s="21">
        <v>0</v>
      </c>
      <c r="R46" s="21">
        <v>0</v>
      </c>
      <c r="S46" s="22">
        <v>0.10636900000000001</v>
      </c>
      <c r="T46" s="22">
        <v>-5.6141999999999997E-2</v>
      </c>
      <c r="U46" s="22">
        <v>-0.192549</v>
      </c>
      <c r="V46" s="22">
        <v>1.1366795366795368</v>
      </c>
      <c r="W46" s="22">
        <v>1.2853438804658319</v>
      </c>
      <c r="X46" s="22">
        <v>0</v>
      </c>
      <c r="Y46" s="22">
        <v>0</v>
      </c>
      <c r="Z46" s="22"/>
      <c r="AA46" s="16">
        <v>999</v>
      </c>
      <c r="AB46" s="16" t="s">
        <v>104</v>
      </c>
      <c r="AC46" s="16" t="s">
        <v>86</v>
      </c>
      <c r="AD46" s="16" t="s">
        <v>41</v>
      </c>
    </row>
    <row r="47" spans="1:31" s="16" customFormat="1" ht="13.8">
      <c r="A47" s="15" t="s">
        <v>126</v>
      </c>
      <c r="B47" s="16" t="s">
        <v>127</v>
      </c>
      <c r="D47" s="16" t="s">
        <v>27</v>
      </c>
      <c r="E47" s="22">
        <v>0.25099900000000003</v>
      </c>
      <c r="F47" s="22">
        <v>0.163885</v>
      </c>
      <c r="G47" s="22">
        <v>4.1077000000000002E-2</v>
      </c>
      <c r="H47" s="16" t="s">
        <v>83</v>
      </c>
      <c r="I47" s="16" t="s">
        <v>84</v>
      </c>
      <c r="J47" s="16">
        <v>2.1</v>
      </c>
      <c r="K47" s="16">
        <v>8</v>
      </c>
      <c r="L47" s="20">
        <v>0</v>
      </c>
      <c r="M47" s="20">
        <v>0</v>
      </c>
      <c r="N47" s="20">
        <v>0</v>
      </c>
      <c r="O47" s="16" t="s">
        <v>30</v>
      </c>
      <c r="P47" s="16" t="s">
        <v>30</v>
      </c>
      <c r="Q47" s="21">
        <v>0</v>
      </c>
      <c r="R47" s="21">
        <v>0</v>
      </c>
      <c r="S47" s="22">
        <v>0.156496</v>
      </c>
      <c r="T47" s="22">
        <v>1.1694450000000001</v>
      </c>
      <c r="U47" s="22">
        <v>2.4636140000000002</v>
      </c>
      <c r="V47" s="22">
        <v>3.5755627479132697</v>
      </c>
      <c r="W47" s="22">
        <v>3.58</v>
      </c>
      <c r="X47" s="22">
        <v>0</v>
      </c>
      <c r="Y47" s="22">
        <v>0</v>
      </c>
      <c r="Z47" s="22"/>
      <c r="AA47" s="16">
        <v>999</v>
      </c>
      <c r="AB47" s="16" t="s">
        <v>128</v>
      </c>
      <c r="AC47" s="18" t="s">
        <v>129</v>
      </c>
      <c r="AD47" s="16" t="s">
        <v>130</v>
      </c>
    </row>
    <row r="48" spans="1:31" s="16" customFormat="1" ht="13.8">
      <c r="A48" s="16" t="s">
        <v>131</v>
      </c>
      <c r="B48" s="16" t="s">
        <v>132</v>
      </c>
      <c r="D48" s="16" t="s">
        <v>27</v>
      </c>
      <c r="E48" s="22">
        <v>0.151667</v>
      </c>
      <c r="F48" s="22">
        <v>0.29858800000000002</v>
      </c>
      <c r="G48" s="22">
        <v>0.70672299999999999</v>
      </c>
      <c r="H48" s="16" t="s">
        <v>28</v>
      </c>
      <c r="I48" s="16" t="s">
        <v>29</v>
      </c>
      <c r="J48" s="16">
        <v>0</v>
      </c>
      <c r="K48" s="16">
        <v>0.97</v>
      </c>
      <c r="L48" s="20">
        <v>0</v>
      </c>
      <c r="M48" s="20">
        <v>0</v>
      </c>
      <c r="N48" s="20">
        <v>0</v>
      </c>
      <c r="O48" s="16" t="s">
        <v>30</v>
      </c>
      <c r="P48" s="16" t="s">
        <v>30</v>
      </c>
      <c r="Q48" s="21">
        <v>0</v>
      </c>
      <c r="R48" s="21">
        <v>0</v>
      </c>
      <c r="S48" s="22">
        <v>0.19558800000000001</v>
      </c>
      <c r="T48" s="22">
        <v>0.37568499999999999</v>
      </c>
      <c r="U48" s="22">
        <v>0.74518499999999999</v>
      </c>
      <c r="V48" s="22">
        <v>1</v>
      </c>
      <c r="W48" s="22">
        <v>1</v>
      </c>
      <c r="X48" s="22">
        <v>0</v>
      </c>
      <c r="Y48" s="22">
        <v>0</v>
      </c>
      <c r="Z48" s="22"/>
      <c r="AA48" s="16">
        <v>999</v>
      </c>
      <c r="AB48" s="16" t="s">
        <v>128</v>
      </c>
      <c r="AC48" s="18">
        <v>6</v>
      </c>
      <c r="AD48" s="16" t="s">
        <v>32</v>
      </c>
      <c r="AE48" s="16" t="s">
        <v>33</v>
      </c>
    </row>
    <row r="49" spans="1:31" s="16" customFormat="1" ht="13.8">
      <c r="A49" s="16" t="s">
        <v>133</v>
      </c>
      <c r="D49" s="16" t="s">
        <v>36</v>
      </c>
      <c r="E49" s="32">
        <f>F49*(1-0.4)</f>
        <v>3.4056176000000001E-2</v>
      </c>
      <c r="F49" s="32">
        <f>0.05929/1.5*1.436</f>
        <v>5.6760293333333336E-2</v>
      </c>
      <c r="G49" s="32">
        <f>F49*(1+0.4)</f>
        <v>7.9464410666666666E-2</v>
      </c>
      <c r="H49" s="16" t="s">
        <v>37</v>
      </c>
      <c r="I49" s="27" t="s">
        <v>166</v>
      </c>
      <c r="J49" s="16">
        <f>350*3.412</f>
        <v>1194.2</v>
      </c>
      <c r="K49" s="16">
        <v>416000</v>
      </c>
      <c r="L49" s="22">
        <v>0</v>
      </c>
      <c r="M49" s="22">
        <v>0</v>
      </c>
      <c r="N49" s="22">
        <v>0</v>
      </c>
      <c r="O49" s="16" t="s">
        <v>30</v>
      </c>
      <c r="P49" s="16" t="s">
        <v>30</v>
      </c>
      <c r="Q49" s="16">
        <v>0</v>
      </c>
      <c r="R49" s="16">
        <v>0</v>
      </c>
      <c r="S49" s="32">
        <f>T49*(1-0.4)</f>
        <v>0</v>
      </c>
      <c r="T49" s="22">
        <v>0</v>
      </c>
      <c r="U49" s="32">
        <f>T49*(1+0.4)</f>
        <v>0</v>
      </c>
      <c r="V49" s="22">
        <v>1.5</v>
      </c>
      <c r="W49" s="22">
        <v>1.5</v>
      </c>
      <c r="X49" s="22">
        <v>0</v>
      </c>
      <c r="Y49" s="22">
        <v>0</v>
      </c>
      <c r="Z49" s="22"/>
      <c r="AA49" s="16">
        <v>20</v>
      </c>
      <c r="AB49" s="16" t="s">
        <v>135</v>
      </c>
      <c r="AC49" s="18" t="s">
        <v>283</v>
      </c>
      <c r="AD49" s="16" t="s">
        <v>136</v>
      </c>
      <c r="AE49" s="16" t="s">
        <v>284</v>
      </c>
    </row>
    <row r="50" spans="1:31" s="16" customFormat="1" ht="13.8">
      <c r="A50" s="16" t="s">
        <v>137</v>
      </c>
      <c r="B50" s="16" t="s">
        <v>138</v>
      </c>
      <c r="D50" s="16" t="s">
        <v>36</v>
      </c>
      <c r="E50" s="22">
        <v>0</v>
      </c>
      <c r="F50" s="22">
        <v>0</v>
      </c>
      <c r="G50" s="22">
        <v>0</v>
      </c>
      <c r="H50" s="16" t="s">
        <v>30</v>
      </c>
      <c r="I50" s="16" t="s">
        <v>30</v>
      </c>
      <c r="J50" s="16">
        <v>0</v>
      </c>
      <c r="K50" s="16">
        <v>0</v>
      </c>
      <c r="L50" s="22">
        <v>0</v>
      </c>
      <c r="M50" s="22">
        <v>0</v>
      </c>
      <c r="N50" s="22">
        <v>0</v>
      </c>
      <c r="O50" s="16" t="s">
        <v>30</v>
      </c>
      <c r="P50" s="16" t="s">
        <v>30</v>
      </c>
      <c r="Q50" s="16">
        <v>0</v>
      </c>
      <c r="R50" s="16">
        <v>0</v>
      </c>
      <c r="S50" s="22">
        <v>77.442000000000007</v>
      </c>
      <c r="T50" s="22">
        <v>114</v>
      </c>
      <c r="U50" s="22">
        <v>154.80000000000004</v>
      </c>
      <c r="V50" s="22">
        <v>6.6290575025518885</v>
      </c>
      <c r="W50" s="22">
        <v>6.6290575025518885</v>
      </c>
      <c r="X50" s="22">
        <v>0</v>
      </c>
      <c r="Y50" s="22">
        <v>0</v>
      </c>
      <c r="Z50" s="22"/>
      <c r="AA50" s="16">
        <v>40</v>
      </c>
      <c r="AB50" s="16" t="s">
        <v>139</v>
      </c>
      <c r="AC50" s="18" t="s">
        <v>140</v>
      </c>
      <c r="AD50" s="16" t="s">
        <v>141</v>
      </c>
    </row>
    <row r="51" spans="1:31" s="16" customFormat="1" ht="13.8">
      <c r="A51" s="16" t="s">
        <v>137</v>
      </c>
      <c r="B51" s="16" t="s">
        <v>142</v>
      </c>
      <c r="D51" s="17" t="s">
        <v>36</v>
      </c>
      <c r="E51" s="22">
        <v>0</v>
      </c>
      <c r="F51" s="22">
        <v>0</v>
      </c>
      <c r="G51" s="22">
        <v>0</v>
      </c>
      <c r="H51" s="27" t="s">
        <v>30</v>
      </c>
      <c r="I51" s="27" t="s">
        <v>30</v>
      </c>
      <c r="J51" s="28">
        <v>0</v>
      </c>
      <c r="K51" s="28">
        <v>0</v>
      </c>
      <c r="L51" s="22">
        <v>0</v>
      </c>
      <c r="M51" s="22">
        <v>0</v>
      </c>
      <c r="N51" s="22">
        <v>0</v>
      </c>
      <c r="O51" s="18" t="s">
        <v>30</v>
      </c>
      <c r="P51" s="18" t="s">
        <v>30</v>
      </c>
      <c r="Q51" s="16">
        <v>0</v>
      </c>
      <c r="R51" s="16">
        <v>0</v>
      </c>
      <c r="S51" s="22">
        <v>152.20000000000002</v>
      </c>
      <c r="T51" s="22">
        <v>225.08999999999997</v>
      </c>
      <c r="U51" s="22">
        <v>470.738</v>
      </c>
      <c r="V51" s="22">
        <v>6.6290575025518885</v>
      </c>
      <c r="W51" s="22">
        <v>6.6290575025518885</v>
      </c>
      <c r="X51" s="22">
        <v>0</v>
      </c>
      <c r="Y51" s="22">
        <v>0</v>
      </c>
      <c r="Z51" s="22"/>
      <c r="AA51" s="22">
        <v>40</v>
      </c>
      <c r="AB51" s="22" t="s">
        <v>139</v>
      </c>
      <c r="AC51" s="22" t="s">
        <v>140</v>
      </c>
      <c r="AD51" s="23" t="s">
        <v>141</v>
      </c>
    </row>
    <row r="52" spans="1:31" s="16" customFormat="1" ht="13.8">
      <c r="A52" s="16" t="s">
        <v>274</v>
      </c>
      <c r="B52" s="16" t="s">
        <v>42</v>
      </c>
      <c r="D52" s="17" t="s">
        <v>36</v>
      </c>
      <c r="E52" s="22">
        <v>20.265153999999999</v>
      </c>
      <c r="F52" s="22">
        <v>53.011574000000003</v>
      </c>
      <c r="G52" s="22">
        <v>52.083333000000003</v>
      </c>
      <c r="H52" s="27" t="s">
        <v>143</v>
      </c>
      <c r="I52" s="27" t="s">
        <v>143</v>
      </c>
      <c r="J52" s="28">
        <v>1.65</v>
      </c>
      <c r="K52" s="28">
        <v>14.4</v>
      </c>
      <c r="L52" s="20">
        <v>0</v>
      </c>
      <c r="M52" s="20">
        <v>0</v>
      </c>
      <c r="N52" s="20">
        <v>0</v>
      </c>
      <c r="O52" s="18" t="s">
        <v>30</v>
      </c>
      <c r="P52" s="18" t="s">
        <v>30</v>
      </c>
      <c r="Q52" s="21">
        <v>0</v>
      </c>
      <c r="R52" s="21">
        <v>0</v>
      </c>
      <c r="S52" s="22">
        <v>38.171807999999999</v>
      </c>
      <c r="T52" s="22">
        <v>12.861112</v>
      </c>
      <c r="U52" s="22">
        <v>148.999999</v>
      </c>
      <c r="V52" s="22">
        <v>1.8574391975746523</v>
      </c>
      <c r="W52" s="22">
        <v>1.86</v>
      </c>
      <c r="X52" s="22">
        <v>0</v>
      </c>
      <c r="Y52" s="22">
        <v>0</v>
      </c>
      <c r="Z52" s="22"/>
      <c r="AA52" s="23">
        <v>10</v>
      </c>
      <c r="AB52" s="23" t="s">
        <v>139</v>
      </c>
      <c r="AC52" s="18">
        <v>1</v>
      </c>
      <c r="AD52" s="16" t="s">
        <v>92</v>
      </c>
      <c r="AE52" s="16" t="s">
        <v>144</v>
      </c>
    </row>
    <row r="53" spans="1:31" s="16" customFormat="1" ht="13.8">
      <c r="A53" s="16" t="s">
        <v>145</v>
      </c>
      <c r="B53" s="16" t="s">
        <v>146</v>
      </c>
      <c r="D53" s="16" t="s">
        <v>147</v>
      </c>
      <c r="E53" s="20">
        <v>0</v>
      </c>
      <c r="F53" s="20">
        <v>0</v>
      </c>
      <c r="G53" s="20">
        <v>0</v>
      </c>
      <c r="H53" s="16" t="s">
        <v>30</v>
      </c>
      <c r="I53" s="16" t="s">
        <v>30</v>
      </c>
      <c r="J53" s="16">
        <v>0</v>
      </c>
      <c r="K53" s="16">
        <v>0</v>
      </c>
      <c r="L53" s="20">
        <v>0</v>
      </c>
      <c r="M53" s="20">
        <v>0</v>
      </c>
      <c r="N53" s="20">
        <v>0</v>
      </c>
      <c r="O53" s="16" t="s">
        <v>30</v>
      </c>
      <c r="P53" s="16" t="s">
        <v>30</v>
      </c>
      <c r="Q53" s="21">
        <v>0</v>
      </c>
      <c r="R53" s="21">
        <v>0</v>
      </c>
      <c r="S53" s="22">
        <v>1.075</v>
      </c>
      <c r="T53" s="22">
        <v>1.125</v>
      </c>
      <c r="U53" s="22">
        <v>24.94</v>
      </c>
      <c r="V53" s="22">
        <v>3.2496900570295066</v>
      </c>
      <c r="W53" s="22">
        <v>3.5444954128440367</v>
      </c>
      <c r="X53" s="22">
        <v>0</v>
      </c>
      <c r="Y53" s="22">
        <v>0</v>
      </c>
      <c r="Z53" s="22"/>
      <c r="AA53" s="16">
        <v>30</v>
      </c>
      <c r="AB53" s="16" t="s">
        <v>148</v>
      </c>
      <c r="AC53" s="18" t="s">
        <v>40</v>
      </c>
      <c r="AD53" s="16" t="s">
        <v>149</v>
      </c>
    </row>
    <row r="54" spans="1:31" s="16" customFormat="1" ht="13.8">
      <c r="A54" s="16" t="s">
        <v>145</v>
      </c>
      <c r="B54" s="16" t="s">
        <v>150</v>
      </c>
      <c r="D54" s="16" t="s">
        <v>27</v>
      </c>
      <c r="E54" s="20">
        <v>0</v>
      </c>
      <c r="F54" s="20">
        <v>0</v>
      </c>
      <c r="G54" s="20">
        <v>0</v>
      </c>
      <c r="H54" s="16" t="s">
        <v>30</v>
      </c>
      <c r="I54" s="16" t="s">
        <v>30</v>
      </c>
      <c r="J54" s="16">
        <v>0</v>
      </c>
      <c r="K54" s="16">
        <v>0</v>
      </c>
      <c r="L54" s="20">
        <v>0</v>
      </c>
      <c r="M54" s="20">
        <v>0</v>
      </c>
      <c r="N54" s="20">
        <v>0</v>
      </c>
      <c r="O54" s="16" t="s">
        <v>30</v>
      </c>
      <c r="P54" s="16" t="s">
        <v>30</v>
      </c>
      <c r="Q54" s="21">
        <v>0</v>
      </c>
      <c r="R54" s="21">
        <v>0</v>
      </c>
      <c r="S54" s="22">
        <v>4.49</v>
      </c>
      <c r="T54" s="22">
        <v>11.405480000000001</v>
      </c>
      <c r="U54" s="22">
        <v>15.99733</v>
      </c>
      <c r="V54" s="22">
        <v>2.7232002983961205</v>
      </c>
      <c r="W54" s="22">
        <v>2.8588082804923531</v>
      </c>
      <c r="X54" s="22">
        <v>0</v>
      </c>
      <c r="Y54" s="22">
        <v>0</v>
      </c>
      <c r="Z54" s="22"/>
      <c r="AA54" s="16">
        <v>50</v>
      </c>
      <c r="AB54" s="16" t="s">
        <v>148</v>
      </c>
      <c r="AC54" s="18" t="s">
        <v>40</v>
      </c>
      <c r="AD54" s="16" t="s">
        <v>151</v>
      </c>
    </row>
    <row r="55" spans="1:31" s="16" customFormat="1" ht="13.8">
      <c r="A55" s="16" t="s">
        <v>145</v>
      </c>
      <c r="B55" s="16" t="s">
        <v>152</v>
      </c>
      <c r="D55" s="16" t="s">
        <v>27</v>
      </c>
      <c r="E55" s="20">
        <v>0</v>
      </c>
      <c r="F55" s="20">
        <v>0</v>
      </c>
      <c r="G55" s="20">
        <v>0</v>
      </c>
      <c r="H55" s="16" t="s">
        <v>30</v>
      </c>
      <c r="I55" s="16" t="s">
        <v>30</v>
      </c>
      <c r="J55" s="16">
        <v>0</v>
      </c>
      <c r="K55" s="16">
        <v>0</v>
      </c>
      <c r="L55" s="20">
        <v>0</v>
      </c>
      <c r="M55" s="20">
        <v>0</v>
      </c>
      <c r="N55" s="20">
        <v>0</v>
      </c>
      <c r="O55" s="16" t="s">
        <v>30</v>
      </c>
      <c r="P55" s="16" t="s">
        <v>30</v>
      </c>
      <c r="Q55" s="21">
        <v>0</v>
      </c>
      <c r="R55" s="21">
        <v>0</v>
      </c>
      <c r="S55" s="22">
        <v>4.8643770000000002</v>
      </c>
      <c r="T55" s="22">
        <v>11.35688</v>
      </c>
      <c r="U55" s="22">
        <v>25.309709999999999</v>
      </c>
      <c r="V55" s="22">
        <v>3.1295981452859349</v>
      </c>
      <c r="W55" s="22">
        <v>3.4105602782071096</v>
      </c>
      <c r="X55" s="22">
        <v>0</v>
      </c>
      <c r="Y55" s="22">
        <v>0</v>
      </c>
      <c r="Z55" s="22"/>
      <c r="AA55" s="16">
        <v>50</v>
      </c>
      <c r="AB55" s="16" t="s">
        <v>148</v>
      </c>
      <c r="AC55" s="18" t="s">
        <v>40</v>
      </c>
      <c r="AD55" s="16" t="s">
        <v>118</v>
      </c>
    </row>
    <row r="56" spans="1:31" s="16" customFormat="1" ht="13.8">
      <c r="A56" s="16" t="s">
        <v>145</v>
      </c>
      <c r="B56" s="16" t="s">
        <v>153</v>
      </c>
      <c r="D56" s="16" t="s">
        <v>27</v>
      </c>
      <c r="E56" s="20">
        <v>0</v>
      </c>
      <c r="F56" s="20">
        <v>0</v>
      </c>
      <c r="G56" s="20">
        <v>0</v>
      </c>
      <c r="H56" s="16" t="s">
        <v>30</v>
      </c>
      <c r="I56" s="16" t="s">
        <v>30</v>
      </c>
      <c r="J56" s="16">
        <v>0</v>
      </c>
      <c r="K56" s="16">
        <v>0</v>
      </c>
      <c r="L56" s="20">
        <v>0</v>
      </c>
      <c r="M56" s="20">
        <v>0</v>
      </c>
      <c r="N56" s="20">
        <v>0</v>
      </c>
      <c r="O56" s="16" t="s">
        <v>30</v>
      </c>
      <c r="P56" s="16" t="s">
        <v>30</v>
      </c>
      <c r="Q56" s="21">
        <v>0</v>
      </c>
      <c r="R56" s="21">
        <v>0</v>
      </c>
      <c r="S56" s="22">
        <v>3.9616150000000001</v>
      </c>
      <c r="T56" s="22">
        <v>11.738300000000001</v>
      </c>
      <c r="U56" s="22">
        <v>20.610530000000001</v>
      </c>
      <c r="V56" s="22">
        <v>2.9039934743189955</v>
      </c>
      <c r="W56" s="22">
        <v>3.1343956893133624</v>
      </c>
      <c r="X56" s="22">
        <v>0</v>
      </c>
      <c r="Y56" s="22">
        <v>0</v>
      </c>
      <c r="Z56" s="22"/>
      <c r="AA56" s="16">
        <v>30</v>
      </c>
      <c r="AB56" s="16" t="s">
        <v>148</v>
      </c>
      <c r="AC56" s="18" t="s">
        <v>40</v>
      </c>
      <c r="AD56" s="16" t="s">
        <v>115</v>
      </c>
    </row>
    <row r="57" spans="1:31" s="16" customFormat="1" ht="13.8">
      <c r="A57" s="16" t="s">
        <v>145</v>
      </c>
      <c r="B57" s="16" t="s">
        <v>154</v>
      </c>
      <c r="D57" s="16" t="s">
        <v>27</v>
      </c>
      <c r="E57" s="20">
        <v>0</v>
      </c>
      <c r="F57" s="20">
        <v>0</v>
      </c>
      <c r="G57" s="20">
        <v>0</v>
      </c>
      <c r="H57" s="16" t="s">
        <v>30</v>
      </c>
      <c r="I57" s="16" t="s">
        <v>30</v>
      </c>
      <c r="J57" s="16">
        <v>0</v>
      </c>
      <c r="K57" s="16">
        <v>0</v>
      </c>
      <c r="L57" s="20">
        <v>0</v>
      </c>
      <c r="M57" s="20">
        <v>0</v>
      </c>
      <c r="N57" s="20">
        <v>0</v>
      </c>
      <c r="O57" s="16" t="s">
        <v>30</v>
      </c>
      <c r="P57" s="16" t="s">
        <v>30</v>
      </c>
      <c r="Q57" s="21">
        <v>0</v>
      </c>
      <c r="R57" s="21">
        <v>0</v>
      </c>
      <c r="S57" s="22">
        <v>1.7060004347826092</v>
      </c>
      <c r="T57" s="22">
        <v>2.2286956521739127</v>
      </c>
      <c r="U57" s="22">
        <v>2.6137391304347819</v>
      </c>
      <c r="V57" s="22">
        <v>2.7567239101717309</v>
      </c>
      <c r="W57" s="22">
        <v>2.9488322324966978</v>
      </c>
      <c r="X57" s="22">
        <v>0</v>
      </c>
      <c r="Y57" s="22">
        <v>0</v>
      </c>
      <c r="Z57" s="22"/>
      <c r="AA57" s="16">
        <v>65</v>
      </c>
      <c r="AB57" s="16" t="s">
        <v>148</v>
      </c>
      <c r="AC57" s="18" t="s">
        <v>40</v>
      </c>
      <c r="AD57" s="16" t="s">
        <v>155</v>
      </c>
    </row>
    <row r="58" spans="1:31" s="16" customFormat="1" ht="13.8">
      <c r="A58" s="16" t="s">
        <v>145</v>
      </c>
      <c r="B58" s="16" t="s">
        <v>156</v>
      </c>
      <c r="D58" s="16" t="s">
        <v>27</v>
      </c>
      <c r="E58" s="20">
        <v>0</v>
      </c>
      <c r="F58" s="20">
        <v>0</v>
      </c>
      <c r="G58" s="20">
        <v>0</v>
      </c>
      <c r="H58" s="16" t="s">
        <v>30</v>
      </c>
      <c r="I58" s="16" t="s">
        <v>30</v>
      </c>
      <c r="J58" s="16">
        <v>0</v>
      </c>
      <c r="K58" s="16">
        <v>0</v>
      </c>
      <c r="L58" s="20">
        <v>0</v>
      </c>
      <c r="M58" s="20">
        <v>0</v>
      </c>
      <c r="N58" s="20">
        <v>0</v>
      </c>
      <c r="O58" s="16" t="s">
        <v>30</v>
      </c>
      <c r="P58" s="16" t="s">
        <v>30</v>
      </c>
      <c r="Q58" s="21">
        <v>0</v>
      </c>
      <c r="R58" s="21">
        <v>0</v>
      </c>
      <c r="S58" s="22">
        <v>4.4655019999999999</v>
      </c>
      <c r="T58" s="22">
        <v>6.9767530000000004</v>
      </c>
      <c r="U58" s="22">
        <v>14.025969999999999</v>
      </c>
      <c r="V58" s="22">
        <v>3.8123706319249973</v>
      </c>
      <c r="W58" s="22">
        <v>4.261254622004909</v>
      </c>
      <c r="X58" s="22">
        <v>0</v>
      </c>
      <c r="Y58" s="22">
        <v>0</v>
      </c>
      <c r="Z58" s="22"/>
      <c r="AA58" s="16">
        <v>30</v>
      </c>
      <c r="AB58" s="16" t="s">
        <v>148</v>
      </c>
      <c r="AC58" s="18" t="s">
        <v>40</v>
      </c>
      <c r="AD58" s="16" t="s">
        <v>149</v>
      </c>
    </row>
    <row r="59" spans="1:31" s="16" customFormat="1" ht="13.8">
      <c r="A59" s="16" t="s">
        <v>145</v>
      </c>
      <c r="B59" s="16" t="s">
        <v>157</v>
      </c>
      <c r="D59" s="16" t="s">
        <v>27</v>
      </c>
      <c r="E59" s="20">
        <v>0</v>
      </c>
      <c r="F59" s="20">
        <v>0</v>
      </c>
      <c r="G59" s="20">
        <v>0</v>
      </c>
      <c r="H59" s="16" t="s">
        <v>30</v>
      </c>
      <c r="I59" s="16" t="s">
        <v>30</v>
      </c>
      <c r="J59" s="16">
        <v>0</v>
      </c>
      <c r="K59" s="16">
        <v>0</v>
      </c>
      <c r="L59" s="20">
        <v>0</v>
      </c>
      <c r="M59" s="20">
        <v>0</v>
      </c>
      <c r="N59" s="20">
        <v>0</v>
      </c>
      <c r="O59" s="16" t="s">
        <v>30</v>
      </c>
      <c r="P59" s="16" t="s">
        <v>30</v>
      </c>
      <c r="Q59" s="21">
        <v>0</v>
      </c>
      <c r="R59" s="21">
        <v>0</v>
      </c>
      <c r="S59" s="22">
        <v>1.8151189999999999</v>
      </c>
      <c r="T59" s="22">
        <v>8.1136359999999996</v>
      </c>
      <c r="U59" s="22">
        <v>30.928570000000001</v>
      </c>
      <c r="V59" s="22">
        <v>2.6602632137550417</v>
      </c>
      <c r="W59" s="22">
        <v>2.8520868711526219</v>
      </c>
      <c r="X59" s="22">
        <v>0</v>
      </c>
      <c r="Y59" s="22">
        <v>0</v>
      </c>
      <c r="Z59" s="22"/>
      <c r="AA59" s="16">
        <v>30</v>
      </c>
      <c r="AB59" s="16" t="s">
        <v>148</v>
      </c>
      <c r="AC59" s="18" t="s">
        <v>40</v>
      </c>
      <c r="AD59" s="16" t="s">
        <v>149</v>
      </c>
    </row>
    <row r="60" spans="1:31" s="16" customFormat="1" ht="13.8">
      <c r="A60" s="16" t="s">
        <v>158</v>
      </c>
      <c r="B60" s="16" t="s">
        <v>82</v>
      </c>
      <c r="D60" s="16" t="s">
        <v>27</v>
      </c>
      <c r="E60" s="22">
        <v>3.1667000000000001E-2</v>
      </c>
      <c r="F60" s="22">
        <v>4.2999999999999997E-2</v>
      </c>
      <c r="G60" s="22">
        <v>5.1999999999999998E-2</v>
      </c>
      <c r="H60" s="16" t="s">
        <v>83</v>
      </c>
      <c r="I60" s="16" t="s">
        <v>84</v>
      </c>
      <c r="J60" s="16">
        <v>6</v>
      </c>
      <c r="K60" s="16">
        <v>49</v>
      </c>
      <c r="L60" s="20">
        <v>0</v>
      </c>
      <c r="M60" s="20">
        <v>0</v>
      </c>
      <c r="N60" s="20">
        <v>0</v>
      </c>
      <c r="O60" s="16" t="s">
        <v>30</v>
      </c>
      <c r="P60" s="16" t="s">
        <v>30</v>
      </c>
      <c r="Q60" s="21">
        <v>0</v>
      </c>
      <c r="R60" s="21">
        <v>0</v>
      </c>
      <c r="S60" s="22">
        <v>0.158334</v>
      </c>
      <c r="T60" s="22">
        <v>0.26300400000000002</v>
      </c>
      <c r="U60" s="22">
        <v>1.5580369999999999</v>
      </c>
      <c r="V60" s="22">
        <v>1.7148913619501853</v>
      </c>
      <c r="W60" s="22">
        <v>1.8060413354531</v>
      </c>
      <c r="X60" s="22">
        <v>0.8036363636363637</v>
      </c>
      <c r="Y60" s="22">
        <v>1.3636363636363638</v>
      </c>
      <c r="Z60" s="22"/>
      <c r="AA60" s="16">
        <v>999</v>
      </c>
      <c r="AB60" s="16" t="s">
        <v>104</v>
      </c>
      <c r="AC60" s="18" t="s">
        <v>86</v>
      </c>
      <c r="AD60" s="16" t="s">
        <v>92</v>
      </c>
      <c r="AE60" s="16" t="s">
        <v>105</v>
      </c>
    </row>
    <row r="61" spans="1:31" s="16" customFormat="1" ht="13.8">
      <c r="A61" s="16" t="s">
        <v>158</v>
      </c>
      <c r="B61" s="16" t="s">
        <v>124</v>
      </c>
      <c r="D61" s="16" t="s">
        <v>27</v>
      </c>
      <c r="E61" s="22">
        <v>8.6960000000000006E-3</v>
      </c>
      <c r="F61" s="22">
        <v>1.7857000000000001E-2</v>
      </c>
      <c r="G61" s="22">
        <v>1.1494000000000001E-2</v>
      </c>
      <c r="H61" s="16" t="s">
        <v>83</v>
      </c>
      <c r="I61" s="16" t="s">
        <v>84</v>
      </c>
      <c r="J61" s="16">
        <v>2.78</v>
      </c>
      <c r="K61" s="16">
        <v>49</v>
      </c>
      <c r="L61" s="20">
        <v>0</v>
      </c>
      <c r="M61" s="20">
        <v>0</v>
      </c>
      <c r="N61" s="20">
        <v>0</v>
      </c>
      <c r="O61" s="16" t="s">
        <v>30</v>
      </c>
      <c r="P61" s="16" t="s">
        <v>30</v>
      </c>
      <c r="Q61" s="21">
        <v>0</v>
      </c>
      <c r="R61" s="21">
        <v>0</v>
      </c>
      <c r="S61" s="22">
        <v>0.13695599999999999</v>
      </c>
      <c r="T61" s="22">
        <v>0.135715</v>
      </c>
      <c r="U61" s="22">
        <v>0.61674600000000002</v>
      </c>
      <c r="V61" s="22">
        <v>1.7148913619501853</v>
      </c>
      <c r="W61" s="22">
        <v>1.8060413354531</v>
      </c>
      <c r="X61" s="22">
        <v>0</v>
      </c>
      <c r="Y61" s="22">
        <v>0</v>
      </c>
      <c r="Z61" s="22"/>
      <c r="AA61" s="16">
        <v>999</v>
      </c>
      <c r="AB61" s="16" t="s">
        <v>104</v>
      </c>
      <c r="AC61" s="18" t="s">
        <v>86</v>
      </c>
      <c r="AD61" s="16" t="s">
        <v>92</v>
      </c>
    </row>
    <row r="62" spans="1:31" s="16" customFormat="1" ht="13.8">
      <c r="A62" s="16" t="s">
        <v>158</v>
      </c>
      <c r="B62" s="16" t="s">
        <v>101</v>
      </c>
      <c r="D62" s="16" t="s">
        <v>27</v>
      </c>
      <c r="E62" s="22">
        <v>0.209286</v>
      </c>
      <c r="F62" s="22">
        <v>0.30105500000000002</v>
      </c>
      <c r="G62" s="22">
        <v>0.61853499999999995</v>
      </c>
      <c r="H62" s="16" t="s">
        <v>83</v>
      </c>
      <c r="I62" s="16" t="s">
        <v>84</v>
      </c>
      <c r="J62" s="16">
        <v>5.5</v>
      </c>
      <c r="K62" s="16">
        <v>42</v>
      </c>
      <c r="L62" s="20">
        <v>0</v>
      </c>
      <c r="M62" s="20">
        <v>0</v>
      </c>
      <c r="N62" s="20">
        <v>0</v>
      </c>
      <c r="O62" s="16" t="s">
        <v>30</v>
      </c>
      <c r="P62" s="16" t="s">
        <v>30</v>
      </c>
      <c r="Q62" s="21">
        <v>0</v>
      </c>
      <c r="R62" s="21">
        <v>0</v>
      </c>
      <c r="S62" s="22">
        <v>3.9999999999999998E-6</v>
      </c>
      <c r="T62" s="22">
        <v>3.1016999999999999E-2</v>
      </c>
      <c r="U62" s="22">
        <v>-3.0620000000000001E-3</v>
      </c>
      <c r="V62" s="22">
        <v>1.1366795366795368</v>
      </c>
      <c r="W62" s="22">
        <v>1.2849420849420852</v>
      </c>
      <c r="X62" s="22">
        <v>0</v>
      </c>
      <c r="Y62" s="22">
        <v>0</v>
      </c>
      <c r="Z62" s="22"/>
      <c r="AA62" s="16">
        <v>999</v>
      </c>
      <c r="AB62" s="16" t="s">
        <v>104</v>
      </c>
      <c r="AC62" s="18" t="s">
        <v>86</v>
      </c>
      <c r="AD62" s="16" t="s">
        <v>87</v>
      </c>
    </row>
    <row r="63" spans="1:31" s="16" customFormat="1" ht="13.8">
      <c r="A63" s="16" t="s">
        <v>158</v>
      </c>
      <c r="B63" s="16" t="s">
        <v>102</v>
      </c>
      <c r="D63" s="16" t="s">
        <v>27</v>
      </c>
      <c r="E63" s="22">
        <v>0.146427</v>
      </c>
      <c r="F63" s="22">
        <v>0.27345000000000003</v>
      </c>
      <c r="G63" s="22">
        <v>0.42841000000000001</v>
      </c>
      <c r="H63" s="16" t="s">
        <v>83</v>
      </c>
      <c r="I63" s="16" t="s">
        <v>84</v>
      </c>
      <c r="J63" s="16">
        <v>3.7</v>
      </c>
      <c r="K63" s="16">
        <v>25.8</v>
      </c>
      <c r="L63" s="20">
        <v>0</v>
      </c>
      <c r="M63" s="20">
        <v>0</v>
      </c>
      <c r="N63" s="20">
        <v>0</v>
      </c>
      <c r="O63" s="16" t="s">
        <v>30</v>
      </c>
      <c r="P63" s="16" t="s">
        <v>30</v>
      </c>
      <c r="Q63" s="21">
        <v>0</v>
      </c>
      <c r="R63" s="21">
        <v>0</v>
      </c>
      <c r="S63" s="22">
        <v>0.13695599999999999</v>
      </c>
      <c r="T63" s="22">
        <v>0.135715</v>
      </c>
      <c r="U63" s="22">
        <v>0.61674600000000002</v>
      </c>
      <c r="V63" s="22">
        <v>1.1366795366795368</v>
      </c>
      <c r="W63" s="22">
        <v>1.2853438804658319</v>
      </c>
      <c r="X63" s="22">
        <v>0</v>
      </c>
      <c r="Y63" s="22">
        <v>0</v>
      </c>
      <c r="Z63" s="22"/>
      <c r="AA63" s="16">
        <v>999</v>
      </c>
      <c r="AB63" s="16" t="s">
        <v>104</v>
      </c>
      <c r="AC63" s="18" t="s">
        <v>86</v>
      </c>
      <c r="AD63" s="16" t="s">
        <v>41</v>
      </c>
    </row>
    <row r="64" spans="1:31" s="16" customFormat="1" ht="13.8">
      <c r="A64" s="16" t="s">
        <v>103</v>
      </c>
      <c r="B64" s="16" t="s">
        <v>88</v>
      </c>
      <c r="D64" s="16" t="s">
        <v>27</v>
      </c>
      <c r="E64" s="22">
        <v>6.8807999999999994E-2</v>
      </c>
      <c r="F64" s="22">
        <v>0.13142799999999999</v>
      </c>
      <c r="G64" s="22">
        <v>0.29178500000000002</v>
      </c>
      <c r="H64" s="16" t="s">
        <v>83</v>
      </c>
      <c r="I64" s="16" t="s">
        <v>84</v>
      </c>
      <c r="J64" s="16">
        <v>1.44</v>
      </c>
      <c r="K64" s="16">
        <v>10</v>
      </c>
      <c r="L64" s="20">
        <v>0</v>
      </c>
      <c r="M64" s="20">
        <v>0</v>
      </c>
      <c r="N64" s="20">
        <v>0</v>
      </c>
      <c r="O64" s="16" t="s">
        <v>30</v>
      </c>
      <c r="P64" s="16" t="s">
        <v>30</v>
      </c>
      <c r="Q64" s="21">
        <v>0</v>
      </c>
      <c r="R64" s="21">
        <v>0</v>
      </c>
      <c r="S64" s="22">
        <v>0.13047400000000001</v>
      </c>
      <c r="T64" s="22">
        <v>7.2905999999999999E-2</v>
      </c>
      <c r="U64" s="22">
        <v>4.2856999999999999E-2</v>
      </c>
      <c r="V64" s="22">
        <v>1</v>
      </c>
      <c r="W64" s="22">
        <v>1</v>
      </c>
      <c r="X64" s="22">
        <v>0.45500000000000002</v>
      </c>
      <c r="Y64" s="22">
        <v>0.91500000000000004</v>
      </c>
      <c r="Z64" s="22"/>
      <c r="AA64" s="16">
        <v>999</v>
      </c>
      <c r="AB64" s="16" t="s">
        <v>104</v>
      </c>
      <c r="AC64" s="16" t="s">
        <v>86</v>
      </c>
      <c r="AD64" s="16" t="s">
        <v>47</v>
      </c>
      <c r="AE64" s="16" t="s">
        <v>105</v>
      </c>
    </row>
    <row r="65" spans="1:32" s="16" customFormat="1" ht="13.8">
      <c r="A65" s="16" t="s">
        <v>103</v>
      </c>
      <c r="B65" s="16" t="s">
        <v>82</v>
      </c>
      <c r="D65" s="16" t="s">
        <v>27</v>
      </c>
      <c r="E65" s="22">
        <v>3.1667000000000001E-2</v>
      </c>
      <c r="F65" s="22">
        <v>4.1599999999999998E-2</v>
      </c>
      <c r="G65" s="22">
        <v>4.9167000000000002E-2</v>
      </c>
      <c r="H65" s="16" t="s">
        <v>83</v>
      </c>
      <c r="I65" s="16" t="s">
        <v>84</v>
      </c>
      <c r="J65" s="16">
        <v>6</v>
      </c>
      <c r="K65" s="16">
        <v>49</v>
      </c>
      <c r="L65" s="20">
        <v>0</v>
      </c>
      <c r="M65" s="20">
        <v>0</v>
      </c>
      <c r="N65" s="20">
        <v>0</v>
      </c>
      <c r="O65" s="16" t="s">
        <v>30</v>
      </c>
      <c r="P65" s="16" t="s">
        <v>30</v>
      </c>
      <c r="Q65" s="21">
        <v>0</v>
      </c>
      <c r="R65" s="21">
        <v>0</v>
      </c>
      <c r="S65" s="22">
        <v>0.158332</v>
      </c>
      <c r="T65" s="22">
        <v>0.2392</v>
      </c>
      <c r="U65" s="22">
        <v>1.5749979999999999</v>
      </c>
      <c r="V65" s="22">
        <v>1</v>
      </c>
      <c r="W65" s="22">
        <v>1</v>
      </c>
      <c r="X65" s="22">
        <v>0.58609756097560994</v>
      </c>
      <c r="Y65" s="22">
        <v>1.1460975609756101</v>
      </c>
      <c r="Z65" s="22"/>
      <c r="AA65" s="16">
        <v>999</v>
      </c>
      <c r="AB65" s="16" t="s">
        <v>104</v>
      </c>
      <c r="AC65" s="18" t="s">
        <v>86</v>
      </c>
      <c r="AD65" s="16" t="s">
        <v>87</v>
      </c>
      <c r="AE65" s="16" t="s">
        <v>105</v>
      </c>
    </row>
    <row r="66" spans="1:32" s="16" customFormat="1" ht="13.8">
      <c r="A66" s="16" t="s">
        <v>103</v>
      </c>
      <c r="B66" s="16" t="s">
        <v>124</v>
      </c>
      <c r="D66" s="16" t="s">
        <v>27</v>
      </c>
      <c r="E66" s="22">
        <v>3.6189999999999998E-3</v>
      </c>
      <c r="F66" s="22">
        <v>7.0400000000000003E-3</v>
      </c>
      <c r="G66" s="22">
        <v>1.0169999999999999E-3</v>
      </c>
      <c r="H66" s="16" t="s">
        <v>83</v>
      </c>
      <c r="I66" s="16" t="s">
        <v>84</v>
      </c>
      <c r="J66" s="16">
        <v>2.78</v>
      </c>
      <c r="K66" s="16">
        <v>38</v>
      </c>
      <c r="L66" s="20">
        <v>0</v>
      </c>
      <c r="M66" s="20">
        <v>0</v>
      </c>
      <c r="N66" s="20">
        <v>0</v>
      </c>
      <c r="O66" s="16" t="s">
        <v>30</v>
      </c>
      <c r="P66" s="16" t="s">
        <v>30</v>
      </c>
      <c r="Q66" s="21">
        <v>0</v>
      </c>
      <c r="R66" s="21">
        <v>0</v>
      </c>
      <c r="S66" s="22">
        <v>0.156253</v>
      </c>
      <c r="T66" s="22">
        <v>0.27888200000000002</v>
      </c>
      <c r="U66" s="22">
        <v>0.95593399999999995</v>
      </c>
      <c r="V66" s="22">
        <v>1.7305785123966939</v>
      </c>
      <c r="W66" s="22">
        <v>1.8099173553719006</v>
      </c>
      <c r="X66" s="22">
        <v>0</v>
      </c>
      <c r="Y66" s="22">
        <v>0</v>
      </c>
      <c r="Z66" s="22"/>
      <c r="AA66" s="16">
        <v>999</v>
      </c>
      <c r="AB66" s="16" t="s">
        <v>104</v>
      </c>
      <c r="AC66" s="18" t="s">
        <v>86</v>
      </c>
      <c r="AD66" s="16" t="s">
        <v>125</v>
      </c>
    </row>
    <row r="67" spans="1:32" s="16" customFormat="1" ht="13.8">
      <c r="A67" s="16" t="s">
        <v>103</v>
      </c>
      <c r="B67" s="16" t="s">
        <v>91</v>
      </c>
      <c r="D67" s="16" t="s">
        <v>27</v>
      </c>
      <c r="E67" s="22">
        <v>0.12371699999999999</v>
      </c>
      <c r="F67" s="22">
        <v>0.17549999999999999</v>
      </c>
      <c r="G67" s="22">
        <v>0.22850000000000001</v>
      </c>
      <c r="H67" s="16" t="s">
        <v>83</v>
      </c>
      <c r="I67" s="16" t="s">
        <v>84</v>
      </c>
      <c r="J67" s="16">
        <v>1</v>
      </c>
      <c r="K67" s="16">
        <v>20</v>
      </c>
      <c r="L67" s="20">
        <v>0</v>
      </c>
      <c r="M67" s="20">
        <v>0</v>
      </c>
      <c r="N67" s="20">
        <v>0</v>
      </c>
      <c r="O67" s="16" t="s">
        <v>30</v>
      </c>
      <c r="P67" s="16" t="s">
        <v>30</v>
      </c>
      <c r="Q67" s="21">
        <v>0</v>
      </c>
      <c r="R67" s="21">
        <v>0</v>
      </c>
      <c r="S67" s="22">
        <v>6.5725000000000006E-2</v>
      </c>
      <c r="T67" s="22">
        <v>0.10125199999999999</v>
      </c>
      <c r="U67" s="22">
        <v>2.7075</v>
      </c>
      <c r="V67" s="22">
        <v>1</v>
      </c>
      <c r="W67" s="22">
        <v>1</v>
      </c>
      <c r="X67" s="22">
        <v>0.45500000000000002</v>
      </c>
      <c r="Y67" s="22">
        <v>0.91500000000000004</v>
      </c>
      <c r="Z67" s="22"/>
      <c r="AA67" s="16">
        <v>999</v>
      </c>
      <c r="AB67" s="16" t="s">
        <v>104</v>
      </c>
      <c r="AC67" s="18" t="s">
        <v>86</v>
      </c>
      <c r="AD67" s="16" t="s">
        <v>92</v>
      </c>
      <c r="AE67" s="16" t="s">
        <v>105</v>
      </c>
    </row>
    <row r="68" spans="1:32" s="16" customFormat="1" ht="13.8">
      <c r="A68" s="16" t="s">
        <v>103</v>
      </c>
      <c r="B68" s="16" t="s">
        <v>101</v>
      </c>
      <c r="D68" s="16" t="s">
        <v>27</v>
      </c>
      <c r="E68" s="22">
        <v>0.209286</v>
      </c>
      <c r="F68" s="22">
        <v>0.30105500000000002</v>
      </c>
      <c r="G68" s="22">
        <v>0.61853499999999995</v>
      </c>
      <c r="H68" s="16" t="s">
        <v>83</v>
      </c>
      <c r="I68" s="16" t="s">
        <v>84</v>
      </c>
      <c r="J68" s="16">
        <v>5.5</v>
      </c>
      <c r="K68" s="16">
        <v>42</v>
      </c>
      <c r="L68" s="20">
        <v>0</v>
      </c>
      <c r="M68" s="20">
        <v>0</v>
      </c>
      <c r="N68" s="20">
        <v>0</v>
      </c>
      <c r="O68" s="16" t="s">
        <v>30</v>
      </c>
      <c r="P68" s="16" t="s">
        <v>30</v>
      </c>
      <c r="Q68" s="21">
        <v>0</v>
      </c>
      <c r="R68" s="21">
        <v>0</v>
      </c>
      <c r="S68" s="22">
        <v>3.9999999999999998E-6</v>
      </c>
      <c r="T68" s="22">
        <v>3.1016999999999999E-2</v>
      </c>
      <c r="U68" s="22">
        <v>-3.0620000000000001E-3</v>
      </c>
      <c r="V68" s="22">
        <v>1.1366795366795368</v>
      </c>
      <c r="W68" s="22">
        <v>1.2849420849420852</v>
      </c>
      <c r="X68" s="22">
        <v>0</v>
      </c>
      <c r="Y68" s="22">
        <v>0</v>
      </c>
      <c r="Z68" s="22"/>
      <c r="AA68" s="16">
        <v>999</v>
      </c>
      <c r="AB68" s="16" t="s">
        <v>104</v>
      </c>
      <c r="AC68" s="18" t="s">
        <v>86</v>
      </c>
      <c r="AD68" s="16" t="s">
        <v>87</v>
      </c>
    </row>
    <row r="69" spans="1:32" s="16" customFormat="1" ht="13.8">
      <c r="A69" s="16" t="s">
        <v>103</v>
      </c>
      <c r="B69" s="16" t="s">
        <v>102</v>
      </c>
      <c r="D69" s="16" t="s">
        <v>27</v>
      </c>
      <c r="E69" s="22">
        <v>0.146427</v>
      </c>
      <c r="F69" s="22">
        <v>0.27345000000000003</v>
      </c>
      <c r="G69" s="22">
        <v>0.42841000000000001</v>
      </c>
      <c r="H69" s="16" t="s">
        <v>83</v>
      </c>
      <c r="I69" s="16" t="s">
        <v>84</v>
      </c>
      <c r="J69" s="16">
        <v>3.7</v>
      </c>
      <c r="K69" s="16">
        <v>25.8</v>
      </c>
      <c r="L69" s="20">
        <v>0</v>
      </c>
      <c r="M69" s="20">
        <v>0</v>
      </c>
      <c r="N69" s="20">
        <v>0</v>
      </c>
      <c r="O69" s="16" t="s">
        <v>30</v>
      </c>
      <c r="P69" s="16" t="s">
        <v>30</v>
      </c>
      <c r="Q69" s="21">
        <v>0</v>
      </c>
      <c r="R69" s="21">
        <v>0</v>
      </c>
      <c r="S69" s="22">
        <v>0.10636900000000001</v>
      </c>
      <c r="T69" s="22">
        <v>-5.6141999999999997E-2</v>
      </c>
      <c r="U69" s="22">
        <v>-0.192549</v>
      </c>
      <c r="V69" s="22">
        <v>1.1366795366795368</v>
      </c>
      <c r="W69" s="22">
        <v>1.2853438804658319</v>
      </c>
      <c r="X69" s="22">
        <v>0</v>
      </c>
      <c r="Y69" s="22">
        <v>0</v>
      </c>
      <c r="Z69" s="22"/>
      <c r="AA69" s="16">
        <v>999</v>
      </c>
      <c r="AB69" s="16" t="s">
        <v>104</v>
      </c>
      <c r="AC69" s="18" t="s">
        <v>86</v>
      </c>
      <c r="AD69" s="16" t="s">
        <v>41</v>
      </c>
    </row>
    <row r="70" spans="1:32" s="16" customFormat="1" ht="13.8">
      <c r="A70" s="16" t="s">
        <v>103</v>
      </c>
      <c r="B70" s="16" t="s">
        <v>213</v>
      </c>
      <c r="D70" s="16" t="s">
        <v>27</v>
      </c>
      <c r="E70" s="22">
        <v>2.6870999999999999E-2</v>
      </c>
      <c r="F70" s="22">
        <v>0.101739</v>
      </c>
      <c r="G70" s="22">
        <v>0.144589</v>
      </c>
      <c r="H70" s="16" t="s">
        <v>83</v>
      </c>
      <c r="I70" s="16" t="s">
        <v>84</v>
      </c>
      <c r="J70" s="16">
        <v>2.7</v>
      </c>
      <c r="K70" s="16">
        <v>31</v>
      </c>
      <c r="L70" s="20">
        <v>0</v>
      </c>
      <c r="M70" s="20">
        <v>0</v>
      </c>
      <c r="N70" s="20">
        <v>0</v>
      </c>
      <c r="O70" s="16" t="s">
        <v>30</v>
      </c>
      <c r="P70" s="16" t="s">
        <v>30</v>
      </c>
      <c r="Q70" s="21">
        <v>0</v>
      </c>
      <c r="R70" s="21">
        <v>0</v>
      </c>
      <c r="S70" s="22">
        <v>0.53651300000000002</v>
      </c>
      <c r="T70" s="22">
        <v>0.49099100000000001</v>
      </c>
      <c r="U70" s="22">
        <v>0.67023500000000003</v>
      </c>
      <c r="V70" s="22">
        <v>1</v>
      </c>
      <c r="W70" s="22">
        <v>1</v>
      </c>
      <c r="X70" s="22">
        <v>0.40875</v>
      </c>
      <c r="Y70" s="22">
        <v>0.87</v>
      </c>
      <c r="Z70" s="22"/>
      <c r="AA70" s="16">
        <v>999</v>
      </c>
      <c r="AB70" s="16" t="s">
        <v>104</v>
      </c>
      <c r="AC70" s="18" t="s">
        <v>86</v>
      </c>
      <c r="AD70" s="16" t="s">
        <v>136</v>
      </c>
      <c r="AE70" s="16" t="s">
        <v>105</v>
      </c>
    </row>
    <row r="71" spans="1:32" s="16" customFormat="1" ht="13.8">
      <c r="A71" s="16" t="s">
        <v>162</v>
      </c>
      <c r="B71" s="16" t="s">
        <v>124</v>
      </c>
      <c r="D71" s="16" t="s">
        <v>27</v>
      </c>
      <c r="E71" s="22">
        <v>8.6960000000000006E-3</v>
      </c>
      <c r="F71" s="22">
        <v>1.7857000000000001E-2</v>
      </c>
      <c r="G71" s="22">
        <v>1.1494000000000001E-2</v>
      </c>
      <c r="H71" s="16" t="s">
        <v>83</v>
      </c>
      <c r="I71" s="16" t="s">
        <v>84</v>
      </c>
      <c r="J71" s="16">
        <v>2.78</v>
      </c>
      <c r="K71" s="16">
        <v>49</v>
      </c>
      <c r="L71" s="20">
        <v>0</v>
      </c>
      <c r="M71" s="20">
        <v>0</v>
      </c>
      <c r="N71" s="20">
        <v>0</v>
      </c>
      <c r="O71" s="16" t="s">
        <v>30</v>
      </c>
      <c r="P71" s="16" t="s">
        <v>30</v>
      </c>
      <c r="Q71" s="21">
        <v>0</v>
      </c>
      <c r="R71" s="21">
        <v>0</v>
      </c>
      <c r="S71" s="22">
        <v>0.13695599999999999</v>
      </c>
      <c r="T71" s="22">
        <v>0.135715</v>
      </c>
      <c r="U71" s="22">
        <v>0.61674600000000002</v>
      </c>
      <c r="V71" s="22">
        <v>1.71</v>
      </c>
      <c r="W71" s="22">
        <v>1.81</v>
      </c>
      <c r="X71" s="22">
        <v>0</v>
      </c>
      <c r="Y71" s="22">
        <v>0</v>
      </c>
      <c r="Z71" s="22"/>
      <c r="AA71" s="16">
        <v>999</v>
      </c>
      <c r="AB71" s="16" t="s">
        <v>163</v>
      </c>
      <c r="AC71" s="18" t="s">
        <v>86</v>
      </c>
      <c r="AD71" s="16" t="s">
        <v>92</v>
      </c>
    </row>
    <row r="72" spans="1:32" s="16" customFormat="1" ht="13.8">
      <c r="A72" s="16" t="s">
        <v>162</v>
      </c>
      <c r="B72" s="16" t="s">
        <v>101</v>
      </c>
      <c r="D72" s="16" t="s">
        <v>27</v>
      </c>
      <c r="E72" s="22">
        <v>0.209286</v>
      </c>
      <c r="F72" s="22">
        <v>0.30105500000000002</v>
      </c>
      <c r="G72" s="22">
        <v>0.61853499999999995</v>
      </c>
      <c r="H72" s="16" t="s">
        <v>83</v>
      </c>
      <c r="I72" s="16" t="s">
        <v>84</v>
      </c>
      <c r="J72" s="16">
        <v>5.5</v>
      </c>
      <c r="K72" s="16">
        <v>42</v>
      </c>
      <c r="L72" s="20">
        <v>0</v>
      </c>
      <c r="M72" s="20">
        <v>0</v>
      </c>
      <c r="N72" s="20">
        <v>0</v>
      </c>
      <c r="O72" s="16" t="s">
        <v>30</v>
      </c>
      <c r="P72" s="16" t="s">
        <v>30</v>
      </c>
      <c r="Q72" s="21">
        <v>0</v>
      </c>
      <c r="R72" s="21">
        <v>0</v>
      </c>
      <c r="S72" s="22">
        <v>3.9999999999999998E-6</v>
      </c>
      <c r="T72" s="22">
        <v>3.1016999999999999E-2</v>
      </c>
      <c r="U72" s="22">
        <v>-3.0620000000000001E-3</v>
      </c>
      <c r="V72" s="22">
        <v>1.1366795366795368</v>
      </c>
      <c r="W72" s="22">
        <v>1.2849420849420852</v>
      </c>
      <c r="X72" s="22">
        <v>0</v>
      </c>
      <c r="Y72" s="22">
        <v>0</v>
      </c>
      <c r="Z72" s="22"/>
      <c r="AA72" s="16">
        <v>999</v>
      </c>
      <c r="AB72" s="16" t="s">
        <v>163</v>
      </c>
      <c r="AC72" s="18" t="s">
        <v>86</v>
      </c>
      <c r="AD72" s="16" t="s">
        <v>87</v>
      </c>
    </row>
    <row r="73" spans="1:32" s="16" customFormat="1" ht="13.8">
      <c r="A73" s="16" t="s">
        <v>162</v>
      </c>
      <c r="B73" s="16" t="s">
        <v>102</v>
      </c>
      <c r="D73" s="16" t="s">
        <v>27</v>
      </c>
      <c r="E73" s="22">
        <v>0.146427</v>
      </c>
      <c r="F73" s="22">
        <v>0.27345000000000003</v>
      </c>
      <c r="G73" s="22">
        <v>0.42841000000000001</v>
      </c>
      <c r="H73" s="16" t="s">
        <v>83</v>
      </c>
      <c r="I73" s="16" t="s">
        <v>84</v>
      </c>
      <c r="J73" s="16">
        <v>3.7</v>
      </c>
      <c r="K73" s="16">
        <v>25.8</v>
      </c>
      <c r="L73" s="20">
        <v>0</v>
      </c>
      <c r="M73" s="20">
        <v>0</v>
      </c>
      <c r="N73" s="20">
        <v>0</v>
      </c>
      <c r="O73" s="16" t="s">
        <v>30</v>
      </c>
      <c r="P73" s="16" t="s">
        <v>30</v>
      </c>
      <c r="Q73" s="21">
        <v>0</v>
      </c>
      <c r="R73" s="21">
        <v>0</v>
      </c>
      <c r="S73" s="22">
        <v>0.10636900000000001</v>
      </c>
      <c r="T73" s="22">
        <v>-5.6141999999999997E-2</v>
      </c>
      <c r="U73" s="22">
        <v>-0.192549</v>
      </c>
      <c r="V73" s="22">
        <v>1.1366795366795368</v>
      </c>
      <c r="W73" s="22">
        <v>1.2853438804658319</v>
      </c>
      <c r="X73" s="22">
        <v>0</v>
      </c>
      <c r="Y73" s="22">
        <v>0</v>
      </c>
      <c r="Z73" s="22"/>
      <c r="AA73" s="16">
        <v>999</v>
      </c>
      <c r="AB73" s="16" t="s">
        <v>163</v>
      </c>
      <c r="AC73" s="18" t="s">
        <v>86</v>
      </c>
      <c r="AD73" s="16" t="s">
        <v>41</v>
      </c>
    </row>
    <row r="74" spans="1:32" s="16" customFormat="1" ht="13.8">
      <c r="A74" s="16" t="s">
        <v>164</v>
      </c>
      <c r="B74" s="16" t="s">
        <v>165</v>
      </c>
      <c r="D74" s="16" t="s">
        <v>36</v>
      </c>
      <c r="E74" s="22">
        <v>4.744E-3</v>
      </c>
      <c r="F74" s="22">
        <v>6.45E-3</v>
      </c>
      <c r="G74" s="22">
        <v>1.1050000000000001E-2</v>
      </c>
      <c r="H74" s="27" t="s">
        <v>50</v>
      </c>
      <c r="I74" s="27" t="s">
        <v>166</v>
      </c>
      <c r="J74" s="28">
        <v>30000</v>
      </c>
      <c r="K74" s="28">
        <v>156250</v>
      </c>
      <c r="L74" s="22">
        <v>3309.8270240000002</v>
      </c>
      <c r="M74" s="22">
        <v>4325.0000250000003</v>
      </c>
      <c r="N74" s="22">
        <v>4862.6875</v>
      </c>
      <c r="O74" s="18" t="s">
        <v>52</v>
      </c>
      <c r="P74" s="18" t="s">
        <v>39</v>
      </c>
      <c r="Q74" s="16">
        <v>0.8</v>
      </c>
      <c r="R74" s="16">
        <v>0.97</v>
      </c>
      <c r="S74" s="22">
        <v>-2009.2249529999999</v>
      </c>
      <c r="T74" s="22">
        <v>-2780.0000190000001</v>
      </c>
      <c r="U74" s="22">
        <v>-2910.150001</v>
      </c>
      <c r="V74" s="22">
        <v>1</v>
      </c>
      <c r="W74" s="22">
        <v>1</v>
      </c>
      <c r="X74" s="22">
        <v>2025.6030000000001</v>
      </c>
      <c r="Y74" s="22">
        <v>2217.7530000000002</v>
      </c>
      <c r="Z74" s="22"/>
      <c r="AA74" s="23">
        <v>21.4</v>
      </c>
      <c r="AB74" s="23" t="s">
        <v>167</v>
      </c>
      <c r="AC74" s="18" t="s">
        <v>168</v>
      </c>
      <c r="AD74" s="16" t="s">
        <v>87</v>
      </c>
      <c r="AE74" s="16" t="s">
        <v>289</v>
      </c>
    </row>
    <row r="75" spans="1:32" s="16" customFormat="1">
      <c r="A75" s="16" t="s">
        <v>169</v>
      </c>
      <c r="B75" s="16" t="s">
        <v>170</v>
      </c>
      <c r="D75" s="16" t="s">
        <v>303</v>
      </c>
      <c r="E75" s="22">
        <v>0</v>
      </c>
      <c r="F75" s="22">
        <v>0</v>
      </c>
      <c r="G75" s="22">
        <v>0</v>
      </c>
      <c r="H75" s="27" t="s">
        <v>270</v>
      </c>
      <c r="I75" s="27" t="s">
        <v>38</v>
      </c>
      <c r="J75" s="28">
        <v>3</v>
      </c>
      <c r="K75" s="28">
        <v>6</v>
      </c>
      <c r="L75" s="44">
        <v>0</v>
      </c>
      <c r="M75" s="44">
        <v>0</v>
      </c>
      <c r="N75" s="44">
        <v>0</v>
      </c>
      <c r="O75" s="18" t="s">
        <v>30</v>
      </c>
      <c r="P75" s="18" t="s">
        <v>30</v>
      </c>
      <c r="Q75" s="21">
        <v>3.1</v>
      </c>
      <c r="R75" s="21">
        <v>3.7</v>
      </c>
      <c r="S75" s="46">
        <v>5922.08</v>
      </c>
      <c r="T75" s="46">
        <v>9630.59</v>
      </c>
      <c r="U75" s="46">
        <v>13339.1</v>
      </c>
      <c r="V75" s="22">
        <v>1</v>
      </c>
      <c r="W75" s="22">
        <v>1</v>
      </c>
      <c r="X75" s="12">
        <v>1037.1300000000001</v>
      </c>
      <c r="Y75" s="12">
        <v>1121.81</v>
      </c>
      <c r="Z75" s="12"/>
      <c r="AA75" s="23">
        <v>20</v>
      </c>
      <c r="AB75" s="23" t="s">
        <v>312</v>
      </c>
      <c r="AC75" s="18" t="s">
        <v>171</v>
      </c>
      <c r="AD75" s="16" t="s">
        <v>172</v>
      </c>
      <c r="AE75" s="16" t="s">
        <v>285</v>
      </c>
      <c r="AF75" s="29"/>
    </row>
    <row r="76" spans="1:32" s="16" customFormat="1" ht="13.8">
      <c r="A76" s="16" t="s">
        <v>173</v>
      </c>
      <c r="B76" s="16" t="s">
        <v>174</v>
      </c>
      <c r="D76" s="16" t="s">
        <v>147</v>
      </c>
      <c r="E76" s="20">
        <v>0</v>
      </c>
      <c r="F76" s="20">
        <v>0</v>
      </c>
      <c r="G76" s="20">
        <v>0</v>
      </c>
      <c r="H76" s="27" t="s">
        <v>30</v>
      </c>
      <c r="I76" s="27" t="s">
        <v>30</v>
      </c>
      <c r="J76" s="16">
        <v>0</v>
      </c>
      <c r="K76" s="16">
        <v>0</v>
      </c>
      <c r="L76" s="20">
        <v>0</v>
      </c>
      <c r="M76" s="20">
        <v>0</v>
      </c>
      <c r="N76" s="20">
        <v>0</v>
      </c>
      <c r="O76" s="18" t="s">
        <v>30</v>
      </c>
      <c r="P76" s="18" t="s">
        <v>30</v>
      </c>
      <c r="Q76" s="21">
        <v>0</v>
      </c>
      <c r="R76" s="21">
        <v>0</v>
      </c>
      <c r="S76" s="22">
        <v>4.343</v>
      </c>
      <c r="T76" s="22">
        <v>6.3125</v>
      </c>
      <c r="U76" s="22">
        <v>12.99</v>
      </c>
      <c r="V76" s="22">
        <v>1.19</v>
      </c>
      <c r="W76" s="22">
        <v>1.19</v>
      </c>
      <c r="X76" s="22">
        <v>0</v>
      </c>
      <c r="Y76" s="22">
        <v>0</v>
      </c>
      <c r="Z76" s="22"/>
      <c r="AA76" s="23">
        <v>999</v>
      </c>
      <c r="AB76" s="23" t="s">
        <v>85</v>
      </c>
      <c r="AC76" s="18" t="s">
        <v>175</v>
      </c>
      <c r="AD76" s="16" t="s">
        <v>176</v>
      </c>
      <c r="AE76" s="16" t="s">
        <v>177</v>
      </c>
    </row>
    <row r="77" spans="1:32" s="16" customFormat="1" ht="13.8">
      <c r="A77" s="16" t="s">
        <v>178</v>
      </c>
      <c r="B77" s="16" t="s">
        <v>179</v>
      </c>
      <c r="D77" s="16" t="s">
        <v>36</v>
      </c>
      <c r="E77" s="22">
        <v>3.4770000000000001E-3</v>
      </c>
      <c r="F77" s="22">
        <v>7.2519999999999998E-3</v>
      </c>
      <c r="G77" s="22">
        <v>1.1657000000000001E-2</v>
      </c>
      <c r="H77" s="27" t="s">
        <v>180</v>
      </c>
      <c r="I77" s="27" t="s">
        <v>181</v>
      </c>
      <c r="J77" s="28">
        <v>300</v>
      </c>
      <c r="K77" s="28">
        <v>3200</v>
      </c>
      <c r="L77" s="22">
        <v>-1.8401000000000001E-2</v>
      </c>
      <c r="M77" s="22">
        <v>-9.7680000000000006E-3</v>
      </c>
      <c r="N77" s="22">
        <v>1.1433E-2</v>
      </c>
      <c r="O77" s="18" t="s">
        <v>182</v>
      </c>
      <c r="P77" s="18" t="s">
        <v>183</v>
      </c>
      <c r="Q77" s="16">
        <v>50</v>
      </c>
      <c r="R77" s="16">
        <v>165</v>
      </c>
      <c r="S77" s="22">
        <v>1.7878069999999999</v>
      </c>
      <c r="T77" s="22">
        <v>0.91944000000000004</v>
      </c>
      <c r="U77" s="22">
        <v>8.2890979999999992</v>
      </c>
      <c r="V77" s="22">
        <v>1</v>
      </c>
      <c r="W77" s="22">
        <v>1</v>
      </c>
      <c r="X77" s="22">
        <v>0</v>
      </c>
      <c r="Y77" s="22">
        <v>0</v>
      </c>
      <c r="Z77" s="22"/>
      <c r="AA77" s="23">
        <v>18.674219424904358</v>
      </c>
      <c r="AB77" s="23" t="s">
        <v>184</v>
      </c>
      <c r="AC77" s="18">
        <v>1</v>
      </c>
      <c r="AD77" s="16" t="s">
        <v>185</v>
      </c>
      <c r="AE77" s="16" t="s">
        <v>186</v>
      </c>
    </row>
    <row r="78" spans="1:32" s="16" customFormat="1" ht="13.8">
      <c r="A78" s="16" t="s">
        <v>178</v>
      </c>
      <c r="B78" s="16" t="s">
        <v>187</v>
      </c>
      <c r="D78" s="16" t="s">
        <v>36</v>
      </c>
      <c r="E78" s="26">
        <v>8.9300000000000004E-3</v>
      </c>
      <c r="F78" s="26">
        <v>1.3429E-2</v>
      </c>
      <c r="G78" s="26">
        <v>3.4450000000000001E-2</v>
      </c>
      <c r="H78" s="27" t="s">
        <v>180</v>
      </c>
      <c r="I78" s="18" t="s">
        <v>181</v>
      </c>
      <c r="J78" s="30">
        <v>50</v>
      </c>
      <c r="K78" s="30">
        <v>2600</v>
      </c>
      <c r="L78" s="44">
        <v>-8.1077999999999997E-2</v>
      </c>
      <c r="M78" s="44">
        <v>-5.0358E-2</v>
      </c>
      <c r="N78" s="44">
        <v>-0.207061</v>
      </c>
      <c r="O78" s="18" t="s">
        <v>182</v>
      </c>
      <c r="P78" s="18" t="s">
        <v>183</v>
      </c>
      <c r="Q78" s="16">
        <v>50</v>
      </c>
      <c r="R78" s="21">
        <v>162</v>
      </c>
      <c r="S78" s="22">
        <v>7.4380160000000002</v>
      </c>
      <c r="T78" s="22">
        <v>7.1593159999999996</v>
      </c>
      <c r="U78" s="22">
        <v>24.022479000000001</v>
      </c>
      <c r="V78" s="22">
        <v>1</v>
      </c>
      <c r="W78" s="22">
        <v>1</v>
      </c>
      <c r="X78" s="22">
        <v>0</v>
      </c>
      <c r="Y78" s="22">
        <v>0</v>
      </c>
      <c r="Z78" s="22"/>
      <c r="AA78" s="23">
        <v>21.03223156759902</v>
      </c>
      <c r="AB78" s="23" t="s">
        <v>184</v>
      </c>
      <c r="AC78" s="18">
        <v>1</v>
      </c>
      <c r="AD78" s="16" t="s">
        <v>185</v>
      </c>
      <c r="AE78" s="16" t="s">
        <v>186</v>
      </c>
    </row>
    <row r="79" spans="1:32" s="16" customFormat="1" ht="13.8">
      <c r="A79" s="16" t="s">
        <v>178</v>
      </c>
      <c r="B79" s="16" t="s">
        <v>188</v>
      </c>
      <c r="D79" s="16" t="s">
        <v>36</v>
      </c>
      <c r="E79" s="26">
        <v>1.3055000000000001E-2</v>
      </c>
      <c r="F79" s="26">
        <v>3.5931999999999999E-2</v>
      </c>
      <c r="G79" s="26">
        <v>5.3185000000000003E-2</v>
      </c>
      <c r="H79" s="27" t="s">
        <v>180</v>
      </c>
      <c r="I79" s="18" t="s">
        <v>181</v>
      </c>
      <c r="J79" s="16">
        <v>302</v>
      </c>
      <c r="K79" s="16">
        <v>5000</v>
      </c>
      <c r="L79" s="26">
        <v>-6.0958999999999999E-2</v>
      </c>
      <c r="M79" s="26">
        <v>-0.26464500000000002</v>
      </c>
      <c r="N79" s="26">
        <v>-5.8566E-2</v>
      </c>
      <c r="O79" s="18" t="s">
        <v>182</v>
      </c>
      <c r="P79" s="18" t="s">
        <v>183</v>
      </c>
      <c r="Q79" s="16">
        <v>50</v>
      </c>
      <c r="R79" s="16">
        <v>170</v>
      </c>
      <c r="S79" s="22">
        <v>8.5168730000000004</v>
      </c>
      <c r="T79" s="22">
        <v>28.630264</v>
      </c>
      <c r="U79" s="22">
        <v>87.504891000000001</v>
      </c>
      <c r="V79" s="22">
        <v>1</v>
      </c>
      <c r="W79" s="22">
        <v>1</v>
      </c>
      <c r="X79" s="22">
        <v>45</v>
      </c>
      <c r="Y79" s="22">
        <v>45</v>
      </c>
      <c r="Z79" s="22"/>
      <c r="AA79" s="23">
        <v>41.909846430531715</v>
      </c>
      <c r="AB79" s="23" t="s">
        <v>184</v>
      </c>
      <c r="AC79" s="18" t="s">
        <v>175</v>
      </c>
      <c r="AD79" s="16" t="s">
        <v>87</v>
      </c>
      <c r="AE79" s="16" t="s">
        <v>189</v>
      </c>
    </row>
    <row r="80" spans="1:32" s="16" customFormat="1" ht="13.8">
      <c r="A80" s="16" t="s">
        <v>178</v>
      </c>
      <c r="B80" s="16" t="s">
        <v>190</v>
      </c>
      <c r="D80" s="16" t="s">
        <v>36</v>
      </c>
      <c r="E80" s="26">
        <v>4.8910000000000004E-3</v>
      </c>
      <c r="F80" s="26">
        <v>1.6039999999999999E-2</v>
      </c>
      <c r="G80" s="26">
        <v>1.7804E-2</v>
      </c>
      <c r="H80" s="27" t="s">
        <v>180</v>
      </c>
      <c r="I80" s="18" t="s">
        <v>181</v>
      </c>
      <c r="J80" s="16">
        <v>200</v>
      </c>
      <c r="K80" s="16">
        <v>4000</v>
      </c>
      <c r="L80" s="26">
        <v>-5.6589E-2</v>
      </c>
      <c r="M80" s="26">
        <v>-0.25895400000000002</v>
      </c>
      <c r="N80" s="26">
        <v>-0.26159100000000002</v>
      </c>
      <c r="O80" s="18" t="s">
        <v>182</v>
      </c>
      <c r="P80" s="18" t="s">
        <v>183</v>
      </c>
      <c r="Q80" s="16">
        <v>50</v>
      </c>
      <c r="R80" s="31">
        <v>170</v>
      </c>
      <c r="S80" s="22">
        <v>7.2278520000000004</v>
      </c>
      <c r="T80" s="22">
        <v>22.663709999999998</v>
      </c>
      <c r="U80" s="22">
        <v>33.518946999999997</v>
      </c>
      <c r="V80" s="22">
        <v>1</v>
      </c>
      <c r="W80" s="22">
        <v>1</v>
      </c>
      <c r="X80" s="22">
        <v>0</v>
      </c>
      <c r="Y80" s="22">
        <v>0</v>
      </c>
      <c r="Z80" s="22"/>
      <c r="AA80" s="23">
        <v>25.12737554693966</v>
      </c>
      <c r="AB80" s="23" t="s">
        <v>184</v>
      </c>
      <c r="AC80" s="18">
        <v>1</v>
      </c>
      <c r="AD80" s="16" t="s">
        <v>185</v>
      </c>
      <c r="AE80" s="16" t="s">
        <v>186</v>
      </c>
    </row>
    <row r="81" spans="1:32" s="16" customFormat="1" ht="13.8">
      <c r="A81" s="16" t="s">
        <v>191</v>
      </c>
      <c r="B81" s="16" t="s">
        <v>192</v>
      </c>
      <c r="D81" s="16" t="s">
        <v>36</v>
      </c>
      <c r="E81" s="32">
        <v>270.13559199999997</v>
      </c>
      <c r="F81" s="32">
        <v>-841.455332</v>
      </c>
      <c r="G81" s="32">
        <v>-3099.8157419999998</v>
      </c>
      <c r="H81" s="18" t="s">
        <v>193</v>
      </c>
      <c r="I81" s="18" t="s">
        <v>39</v>
      </c>
      <c r="J81" s="16">
        <v>0.54</v>
      </c>
      <c r="K81" s="16">
        <v>0.88</v>
      </c>
      <c r="L81" s="32">
        <v>3.5370050000000002</v>
      </c>
      <c r="M81" s="32">
        <v>5.3303560000000001</v>
      </c>
      <c r="N81" s="32">
        <v>13.958345</v>
      </c>
      <c r="O81" s="18" t="s">
        <v>194</v>
      </c>
      <c r="P81" s="18" t="s">
        <v>195</v>
      </c>
      <c r="Q81" s="32">
        <v>35.299999999999997</v>
      </c>
      <c r="R81" s="33">
        <v>700</v>
      </c>
      <c r="S81" s="22">
        <v>197.21332899999999</v>
      </c>
      <c r="T81" s="22">
        <v>1156.434757</v>
      </c>
      <c r="U81" s="22">
        <v>2422.8553390000002</v>
      </c>
      <c r="V81" s="22">
        <v>1.7795161901155083</v>
      </c>
      <c r="W81" s="22">
        <v>1.8701950388184054</v>
      </c>
      <c r="X81" s="22">
        <v>0</v>
      </c>
      <c r="Y81" s="22">
        <v>0</v>
      </c>
      <c r="Z81" s="22"/>
      <c r="AA81" s="23">
        <v>19.399999999999999</v>
      </c>
      <c r="AB81" s="23" t="s">
        <v>196</v>
      </c>
      <c r="AC81" s="18" t="s">
        <v>40</v>
      </c>
      <c r="AD81" s="16" t="s">
        <v>92</v>
      </c>
    </row>
    <row r="82" spans="1:32" s="16" customFormat="1" ht="13.8">
      <c r="A82" s="16" t="s">
        <v>205</v>
      </c>
      <c r="D82" s="16" t="s">
        <v>27</v>
      </c>
      <c r="E82" s="22">
        <v>0.14163000000000001</v>
      </c>
      <c r="F82" s="22">
        <v>0.29477599999999998</v>
      </c>
      <c r="G82" s="22">
        <v>0.34620299999999998</v>
      </c>
      <c r="H82" s="16" t="s">
        <v>83</v>
      </c>
      <c r="I82" s="16" t="s">
        <v>84</v>
      </c>
      <c r="J82" s="16">
        <v>1.2</v>
      </c>
      <c r="K82" s="16">
        <v>17.600000000000001</v>
      </c>
      <c r="L82" s="20">
        <v>0</v>
      </c>
      <c r="M82" s="20">
        <v>0</v>
      </c>
      <c r="N82" s="20">
        <v>0</v>
      </c>
      <c r="O82" s="16" t="s">
        <v>30</v>
      </c>
      <c r="P82" s="16" t="s">
        <v>30</v>
      </c>
      <c r="Q82" s="21">
        <v>0</v>
      </c>
      <c r="R82" s="21">
        <v>0</v>
      </c>
      <c r="S82" s="22">
        <v>0.80463799999999996</v>
      </c>
      <c r="T82" s="22">
        <v>0.99008799999999997</v>
      </c>
      <c r="U82" s="22">
        <v>2.533318</v>
      </c>
      <c r="V82" s="22">
        <v>2.2823117915013329</v>
      </c>
      <c r="W82" s="22">
        <v>2.2823117915013329</v>
      </c>
      <c r="X82" s="22">
        <v>0</v>
      </c>
      <c r="Y82" s="22">
        <v>0</v>
      </c>
      <c r="Z82" s="22"/>
      <c r="AA82" s="16">
        <v>999</v>
      </c>
      <c r="AB82" s="16" t="s">
        <v>128</v>
      </c>
      <c r="AC82" s="18" t="s">
        <v>175</v>
      </c>
      <c r="AD82" s="16" t="s">
        <v>58</v>
      </c>
      <c r="AE82" s="16" t="s">
        <v>207</v>
      </c>
    </row>
    <row r="83" spans="1:32" s="16" customFormat="1" ht="13.8">
      <c r="A83" s="16" t="s">
        <v>197</v>
      </c>
      <c r="D83" s="16" t="s">
        <v>27</v>
      </c>
      <c r="E83" s="20">
        <v>0</v>
      </c>
      <c r="F83" s="20">
        <v>0</v>
      </c>
      <c r="G83" s="20">
        <v>0</v>
      </c>
      <c r="H83" s="16" t="s">
        <v>30</v>
      </c>
      <c r="I83" s="16" t="s">
        <v>30</v>
      </c>
      <c r="J83" s="16">
        <v>0</v>
      </c>
      <c r="K83" s="16">
        <v>0</v>
      </c>
      <c r="L83" s="20">
        <v>0</v>
      </c>
      <c r="M83" s="20">
        <v>0</v>
      </c>
      <c r="N83" s="20">
        <v>0</v>
      </c>
      <c r="O83" s="16" t="s">
        <v>30</v>
      </c>
      <c r="P83" s="16" t="s">
        <v>30</v>
      </c>
      <c r="Q83" s="21">
        <v>0</v>
      </c>
      <c r="R83" s="21">
        <v>0</v>
      </c>
      <c r="S83" s="22">
        <v>0.25096000000000002</v>
      </c>
      <c r="T83" s="22">
        <v>0.46167499999999995</v>
      </c>
      <c r="U83" s="22">
        <v>0.56352000000000024</v>
      </c>
      <c r="V83" s="22">
        <v>2.6666666666666665</v>
      </c>
      <c r="W83" s="22">
        <v>2.67</v>
      </c>
      <c r="X83" s="22">
        <v>0</v>
      </c>
      <c r="Y83" s="22">
        <v>0</v>
      </c>
      <c r="Z83" s="22"/>
      <c r="AA83" s="16">
        <v>999</v>
      </c>
      <c r="AB83" s="16" t="s">
        <v>198</v>
      </c>
      <c r="AC83" s="18" t="s">
        <v>199</v>
      </c>
      <c r="AD83" s="16" t="s">
        <v>155</v>
      </c>
    </row>
    <row r="84" spans="1:32" s="16" customFormat="1" ht="13.8">
      <c r="A84" s="16" t="s">
        <v>200</v>
      </c>
      <c r="B84" s="16" t="s">
        <v>201</v>
      </c>
      <c r="D84" s="16" t="s">
        <v>36</v>
      </c>
      <c r="E84" s="22">
        <v>-25.788388999999999</v>
      </c>
      <c r="F84" s="22">
        <v>-63.262196000000003</v>
      </c>
      <c r="G84" s="22">
        <v>-16.358226999999999</v>
      </c>
      <c r="H84" s="18" t="s">
        <v>60</v>
      </c>
      <c r="I84" s="18" t="s">
        <v>61</v>
      </c>
      <c r="J84" s="16">
        <v>17.7</v>
      </c>
      <c r="K84" s="16">
        <v>43</v>
      </c>
      <c r="L84" s="22">
        <v>4.3683170000000002</v>
      </c>
      <c r="M84" s="22">
        <v>8.0844330000000006</v>
      </c>
      <c r="N84" s="22">
        <v>2.2743769999999999</v>
      </c>
      <c r="O84" s="18" t="s">
        <v>202</v>
      </c>
      <c r="P84" s="18" t="s">
        <v>76</v>
      </c>
      <c r="Q84" s="16">
        <v>321</v>
      </c>
      <c r="R84" s="16">
        <v>807</v>
      </c>
      <c r="S84" s="22">
        <v>-337.21796799999998</v>
      </c>
      <c r="T84" s="22">
        <v>-641.509319</v>
      </c>
      <c r="U84" s="22">
        <v>3437.744948</v>
      </c>
      <c r="V84" s="22">
        <v>1</v>
      </c>
      <c r="W84" s="22">
        <v>1</v>
      </c>
      <c r="X84" s="22">
        <v>194.49810810810814</v>
      </c>
      <c r="Y84" s="22">
        <v>420.10560810810813</v>
      </c>
      <c r="Z84" s="22"/>
      <c r="AA84" s="23">
        <v>14.6</v>
      </c>
      <c r="AB84" s="23" t="s">
        <v>203</v>
      </c>
      <c r="AC84" s="18" t="s">
        <v>168</v>
      </c>
      <c r="AD84" s="16" t="s">
        <v>66</v>
      </c>
    </row>
    <row r="85" spans="1:32" s="16" customFormat="1" ht="13.8">
      <c r="A85" s="16" t="s">
        <v>200</v>
      </c>
      <c r="B85" s="16" t="s">
        <v>204</v>
      </c>
      <c r="D85" s="16" t="s">
        <v>36</v>
      </c>
      <c r="E85" s="22">
        <v>-1.814746</v>
      </c>
      <c r="F85" s="22">
        <v>-18.678773</v>
      </c>
      <c r="G85" s="22">
        <v>-68.031178999999995</v>
      </c>
      <c r="H85" s="18" t="s">
        <v>60</v>
      </c>
      <c r="I85" s="18" t="s">
        <v>61</v>
      </c>
      <c r="J85" s="28">
        <v>5.5</v>
      </c>
      <c r="K85" s="28">
        <v>45.1</v>
      </c>
      <c r="L85" s="22">
        <v>1.777358</v>
      </c>
      <c r="M85" s="22">
        <v>2.8394240000000002</v>
      </c>
      <c r="N85" s="22">
        <v>7.4124600000000003</v>
      </c>
      <c r="O85" s="18" t="s">
        <v>202</v>
      </c>
      <c r="P85" s="18" t="s">
        <v>76</v>
      </c>
      <c r="Q85" s="16">
        <v>115</v>
      </c>
      <c r="R85" s="16">
        <v>885</v>
      </c>
      <c r="S85" s="22">
        <v>6.3414989999999998</v>
      </c>
      <c r="T85" s="22">
        <v>222.77045699999999</v>
      </c>
      <c r="U85" s="22">
        <v>789.67108299999995</v>
      </c>
      <c r="V85" s="22">
        <v>1</v>
      </c>
      <c r="W85" s="22">
        <v>1</v>
      </c>
      <c r="X85" s="22">
        <v>194.49810810810814</v>
      </c>
      <c r="Y85" s="22">
        <v>420.10560810810813</v>
      </c>
      <c r="Z85" s="22"/>
      <c r="AA85" s="23">
        <v>16.8</v>
      </c>
      <c r="AB85" s="23" t="s">
        <v>203</v>
      </c>
      <c r="AC85" s="18" t="s">
        <v>168</v>
      </c>
      <c r="AD85" s="16" t="s">
        <v>56</v>
      </c>
    </row>
    <row r="86" spans="1:32" s="16" customFormat="1" ht="13.8">
      <c r="A86" s="16" t="s">
        <v>106</v>
      </c>
      <c r="B86" s="16" t="s">
        <v>88</v>
      </c>
      <c r="D86" s="16" t="s">
        <v>27</v>
      </c>
      <c r="E86" s="22">
        <v>6.8807999999999994E-2</v>
      </c>
      <c r="F86" s="22">
        <v>0.13142799999999999</v>
      </c>
      <c r="G86" s="22">
        <v>0.29178500000000002</v>
      </c>
      <c r="H86" s="16" t="s">
        <v>83</v>
      </c>
      <c r="I86" s="16" t="s">
        <v>84</v>
      </c>
      <c r="J86" s="16">
        <v>1.44</v>
      </c>
      <c r="K86" s="16">
        <v>10</v>
      </c>
      <c r="L86" s="20">
        <v>0</v>
      </c>
      <c r="M86" s="20">
        <v>0</v>
      </c>
      <c r="N86" s="20">
        <v>0</v>
      </c>
      <c r="O86" s="16" t="s">
        <v>30</v>
      </c>
      <c r="P86" s="16" t="s">
        <v>30</v>
      </c>
      <c r="Q86" s="21">
        <v>0</v>
      </c>
      <c r="R86" s="21">
        <v>0</v>
      </c>
      <c r="S86" s="22">
        <v>0.13047400000000001</v>
      </c>
      <c r="T86" s="22">
        <v>7.2905999999999999E-2</v>
      </c>
      <c r="U86" s="22">
        <v>4.2856999999999999E-2</v>
      </c>
      <c r="V86" s="22">
        <v>1</v>
      </c>
      <c r="W86" s="22">
        <v>1</v>
      </c>
      <c r="X86" s="22">
        <v>0.45500000000000002</v>
      </c>
      <c r="Y86" s="22">
        <v>0.52500000000000002</v>
      </c>
      <c r="Z86" s="22"/>
      <c r="AA86" s="16">
        <v>999</v>
      </c>
      <c r="AB86" s="16" t="s">
        <v>104</v>
      </c>
      <c r="AC86" s="16" t="s">
        <v>86</v>
      </c>
      <c r="AD86" s="16" t="s">
        <v>47</v>
      </c>
    </row>
    <row r="87" spans="1:32" s="16" customFormat="1" ht="13.8">
      <c r="A87" s="16" t="s">
        <v>106</v>
      </c>
      <c r="B87" s="16" t="s">
        <v>82</v>
      </c>
      <c r="D87" s="16" t="s">
        <v>27</v>
      </c>
      <c r="E87" s="22">
        <v>3.1667000000000001E-2</v>
      </c>
      <c r="F87" s="22">
        <v>4.1599999999999998E-2</v>
      </c>
      <c r="G87" s="22">
        <v>4.9167000000000002E-2</v>
      </c>
      <c r="H87" s="16" t="s">
        <v>83</v>
      </c>
      <c r="I87" s="16" t="s">
        <v>84</v>
      </c>
      <c r="J87" s="16">
        <v>6</v>
      </c>
      <c r="K87" s="16">
        <v>49</v>
      </c>
      <c r="L87" s="20">
        <v>0</v>
      </c>
      <c r="M87" s="20">
        <v>0</v>
      </c>
      <c r="N87" s="20">
        <v>0</v>
      </c>
      <c r="O87" s="16" t="s">
        <v>30</v>
      </c>
      <c r="P87" s="16" t="s">
        <v>30</v>
      </c>
      <c r="Q87" s="21">
        <v>0</v>
      </c>
      <c r="R87" s="21">
        <v>0</v>
      </c>
      <c r="S87" s="22">
        <v>0.158332</v>
      </c>
      <c r="T87" s="22">
        <v>0.2392</v>
      </c>
      <c r="U87" s="22">
        <v>1.5749979999999999</v>
      </c>
      <c r="V87" s="22">
        <v>1</v>
      </c>
      <c r="W87" s="22">
        <v>1</v>
      </c>
      <c r="X87" s="22">
        <v>0.58609756097560994</v>
      </c>
      <c r="Y87" s="22">
        <v>0.75609756097560998</v>
      </c>
      <c r="Z87" s="22"/>
      <c r="AA87" s="16">
        <v>999</v>
      </c>
      <c r="AB87" s="16" t="s">
        <v>104</v>
      </c>
      <c r="AC87" s="18" t="s">
        <v>86</v>
      </c>
      <c r="AD87" s="16" t="s">
        <v>87</v>
      </c>
    </row>
    <row r="88" spans="1:32" s="16" customFormat="1" ht="13.8">
      <c r="A88" s="16" t="s">
        <v>106</v>
      </c>
      <c r="B88" s="16" t="s">
        <v>91</v>
      </c>
      <c r="D88" s="16" t="s">
        <v>27</v>
      </c>
      <c r="E88" s="22">
        <v>0.12371699999999999</v>
      </c>
      <c r="F88" s="22">
        <v>0.17549999999999999</v>
      </c>
      <c r="G88" s="22">
        <v>0.22850000000000001</v>
      </c>
      <c r="H88" s="16" t="s">
        <v>83</v>
      </c>
      <c r="I88" s="16" t="s">
        <v>84</v>
      </c>
      <c r="J88" s="16">
        <v>1</v>
      </c>
      <c r="K88" s="16">
        <v>20</v>
      </c>
      <c r="L88" s="20">
        <v>0</v>
      </c>
      <c r="M88" s="20">
        <v>0</v>
      </c>
      <c r="N88" s="20">
        <v>0</v>
      </c>
      <c r="O88" s="16" t="s">
        <v>30</v>
      </c>
      <c r="P88" s="16" t="s">
        <v>30</v>
      </c>
      <c r="Q88" s="21">
        <v>0</v>
      </c>
      <c r="R88" s="21">
        <v>0</v>
      </c>
      <c r="S88" s="22">
        <v>6.5725000000000006E-2</v>
      </c>
      <c r="T88" s="22">
        <v>0.10125199999999999</v>
      </c>
      <c r="U88" s="22">
        <v>2.7075</v>
      </c>
      <c r="V88" s="22">
        <v>1</v>
      </c>
      <c r="W88" s="22">
        <v>1</v>
      </c>
      <c r="X88" s="22">
        <v>0.45500000000000002</v>
      </c>
      <c r="Y88" s="22">
        <v>0.52500000000000002</v>
      </c>
      <c r="Z88" s="22"/>
      <c r="AA88" s="16">
        <v>999</v>
      </c>
      <c r="AB88" s="16" t="s">
        <v>104</v>
      </c>
      <c r="AC88" s="18" t="s">
        <v>86</v>
      </c>
      <c r="AD88" s="16" t="s">
        <v>92</v>
      </c>
    </row>
    <row r="89" spans="1:32" s="16" customFormat="1" ht="13.8">
      <c r="A89" s="16" t="s">
        <v>106</v>
      </c>
      <c r="B89" s="16" t="s">
        <v>213</v>
      </c>
      <c r="D89" s="16" t="s">
        <v>27</v>
      </c>
      <c r="E89" s="22">
        <v>2.6870999999999999E-2</v>
      </c>
      <c r="F89" s="22">
        <v>0.101739</v>
      </c>
      <c r="G89" s="22">
        <v>0.144589</v>
      </c>
      <c r="H89" s="16" t="s">
        <v>83</v>
      </c>
      <c r="I89" s="16" t="s">
        <v>84</v>
      </c>
      <c r="J89" s="16">
        <v>2.7</v>
      </c>
      <c r="K89" s="16">
        <v>31</v>
      </c>
      <c r="L89" s="20">
        <v>0</v>
      </c>
      <c r="M89" s="20">
        <v>0</v>
      </c>
      <c r="N89" s="20">
        <v>0</v>
      </c>
      <c r="O89" s="16" t="s">
        <v>30</v>
      </c>
      <c r="P89" s="16" t="s">
        <v>30</v>
      </c>
      <c r="Q89" s="21">
        <v>0</v>
      </c>
      <c r="R89" s="21">
        <v>0</v>
      </c>
      <c r="S89" s="22">
        <v>0.53651300000000002</v>
      </c>
      <c r="T89" s="22">
        <v>0.49099100000000001</v>
      </c>
      <c r="U89" s="22">
        <v>0.67023500000000003</v>
      </c>
      <c r="V89" s="22">
        <v>1</v>
      </c>
      <c r="W89" s="22">
        <v>1</v>
      </c>
      <c r="X89" s="22">
        <v>0.40875</v>
      </c>
      <c r="Y89" s="22">
        <v>0.47875000000000001</v>
      </c>
      <c r="Z89" s="22"/>
      <c r="AA89" s="16">
        <v>999</v>
      </c>
      <c r="AB89" s="16" t="s">
        <v>104</v>
      </c>
      <c r="AC89" s="18" t="s">
        <v>86</v>
      </c>
      <c r="AD89" s="16" t="s">
        <v>136</v>
      </c>
    </row>
    <row r="90" spans="1:32" s="16" customFormat="1" ht="13.8">
      <c r="A90" s="16" t="s">
        <v>159</v>
      </c>
      <c r="B90" s="16" t="s">
        <v>88</v>
      </c>
      <c r="D90" s="16" t="s">
        <v>27</v>
      </c>
      <c r="E90" s="22">
        <v>6.8807999999999994E-2</v>
      </c>
      <c r="F90" s="22">
        <v>0.13142799999999999</v>
      </c>
      <c r="G90" s="22">
        <v>0.29178500000000002</v>
      </c>
      <c r="H90" s="16" t="s">
        <v>83</v>
      </c>
      <c r="I90" s="16" t="s">
        <v>84</v>
      </c>
      <c r="J90" s="16">
        <v>1.44</v>
      </c>
      <c r="K90" s="16">
        <v>10</v>
      </c>
      <c r="L90" s="20">
        <v>0</v>
      </c>
      <c r="M90" s="20">
        <v>0</v>
      </c>
      <c r="N90" s="20">
        <v>0</v>
      </c>
      <c r="O90" s="16" t="s">
        <v>30</v>
      </c>
      <c r="P90" s="16" t="s">
        <v>30</v>
      </c>
      <c r="Q90" s="21">
        <v>0</v>
      </c>
      <c r="R90" s="21">
        <v>0</v>
      </c>
      <c r="S90" s="22">
        <v>0.13047400000000001</v>
      </c>
      <c r="T90" s="22">
        <v>7.2905999999999999E-2</v>
      </c>
      <c r="U90" s="22">
        <v>4.2856999999999999E-2</v>
      </c>
      <c r="V90" s="22">
        <v>1</v>
      </c>
      <c r="W90" s="22">
        <v>1</v>
      </c>
      <c r="X90" s="22">
        <v>0.45500000000000002</v>
      </c>
      <c r="Y90" s="22">
        <v>0.52500000000000002</v>
      </c>
      <c r="Z90" s="22"/>
      <c r="AA90" s="16">
        <v>999</v>
      </c>
      <c r="AB90" s="16" t="s">
        <v>160</v>
      </c>
      <c r="AC90" s="18" t="s">
        <v>86</v>
      </c>
      <c r="AD90" s="16" t="s">
        <v>47</v>
      </c>
    </row>
    <row r="91" spans="1:32" s="16" customFormat="1" ht="13.8">
      <c r="A91" s="16" t="s">
        <v>159</v>
      </c>
      <c r="B91" s="16" t="s">
        <v>91</v>
      </c>
      <c r="D91" s="16" t="s">
        <v>27</v>
      </c>
      <c r="E91" s="22">
        <v>0.12371699999999999</v>
      </c>
      <c r="F91" s="22">
        <v>0.17549999999999999</v>
      </c>
      <c r="G91" s="22">
        <v>0.22850000000000001</v>
      </c>
      <c r="H91" s="16" t="s">
        <v>83</v>
      </c>
      <c r="I91" s="16" t="s">
        <v>84</v>
      </c>
      <c r="J91" s="16">
        <v>1</v>
      </c>
      <c r="K91" s="16">
        <v>20</v>
      </c>
      <c r="L91" s="20">
        <v>0</v>
      </c>
      <c r="M91" s="20">
        <v>0</v>
      </c>
      <c r="N91" s="20">
        <v>0</v>
      </c>
      <c r="O91" s="16" t="s">
        <v>30</v>
      </c>
      <c r="P91" s="16" t="s">
        <v>30</v>
      </c>
      <c r="Q91" s="21">
        <v>0</v>
      </c>
      <c r="R91" s="21">
        <v>0</v>
      </c>
      <c r="S91" s="22">
        <v>6.5725000000000006E-2</v>
      </c>
      <c r="T91" s="22">
        <v>0.10125199999999999</v>
      </c>
      <c r="U91" s="22">
        <v>2.7075</v>
      </c>
      <c r="V91" s="22">
        <v>1</v>
      </c>
      <c r="W91" s="22">
        <v>1</v>
      </c>
      <c r="X91" s="22">
        <v>0.45500000000000002</v>
      </c>
      <c r="Y91" s="22">
        <v>0.52500000000000002</v>
      </c>
      <c r="Z91" s="22"/>
      <c r="AA91" s="16">
        <v>999</v>
      </c>
      <c r="AB91" s="16" t="s">
        <v>160</v>
      </c>
      <c r="AC91" s="18" t="s">
        <v>86</v>
      </c>
      <c r="AD91" s="16" t="s">
        <v>92</v>
      </c>
    </row>
    <row r="92" spans="1:32" s="16" customFormat="1" ht="13.8">
      <c r="A92" s="16" t="s">
        <v>159</v>
      </c>
      <c r="B92" s="16" t="s">
        <v>213</v>
      </c>
      <c r="D92" s="16" t="s">
        <v>27</v>
      </c>
      <c r="E92" s="22">
        <v>2.6870999999999999E-2</v>
      </c>
      <c r="F92" s="22">
        <v>0.101739</v>
      </c>
      <c r="G92" s="22">
        <v>0.144589</v>
      </c>
      <c r="H92" s="16" t="s">
        <v>83</v>
      </c>
      <c r="I92" s="16" t="s">
        <v>84</v>
      </c>
      <c r="J92" s="16">
        <v>2.7</v>
      </c>
      <c r="K92" s="16">
        <v>31</v>
      </c>
      <c r="L92" s="20">
        <v>0</v>
      </c>
      <c r="M92" s="20">
        <v>0</v>
      </c>
      <c r="N92" s="20">
        <v>0</v>
      </c>
      <c r="O92" s="16" t="s">
        <v>30</v>
      </c>
      <c r="P92" s="16" t="s">
        <v>30</v>
      </c>
      <c r="Q92" s="21">
        <v>0</v>
      </c>
      <c r="R92" s="21">
        <v>0</v>
      </c>
      <c r="S92" s="22">
        <v>0.53651300000000002</v>
      </c>
      <c r="T92" s="22">
        <v>0.49099100000000001</v>
      </c>
      <c r="U92" s="22">
        <v>0.67023500000000003</v>
      </c>
      <c r="V92" s="22">
        <v>1</v>
      </c>
      <c r="W92" s="22">
        <v>1</v>
      </c>
      <c r="X92" s="22">
        <v>0.40875</v>
      </c>
      <c r="Y92" s="22">
        <v>0.47875000000000001</v>
      </c>
      <c r="Z92" s="22"/>
      <c r="AA92" s="16">
        <v>999</v>
      </c>
      <c r="AB92" s="16" t="s">
        <v>160</v>
      </c>
      <c r="AC92" s="18" t="s">
        <v>86</v>
      </c>
      <c r="AD92" s="16" t="s">
        <v>136</v>
      </c>
    </row>
    <row r="93" spans="1:32" s="16" customFormat="1" ht="13.8">
      <c r="A93" s="16" t="s">
        <v>215</v>
      </c>
      <c r="D93" s="16" t="s">
        <v>313</v>
      </c>
      <c r="E93" s="22">
        <v>-1.8E-5</v>
      </c>
      <c r="F93" s="22">
        <v>-9.1000000000000003E-5</v>
      </c>
      <c r="G93" s="22">
        <v>-1.6200000000000001E-4</v>
      </c>
      <c r="H93" s="18" t="s">
        <v>216</v>
      </c>
      <c r="I93" s="18" t="s">
        <v>134</v>
      </c>
      <c r="J93" s="16">
        <v>880</v>
      </c>
      <c r="K93" s="16">
        <v>14080</v>
      </c>
      <c r="L93" s="20">
        <v>0</v>
      </c>
      <c r="M93" s="20">
        <v>0</v>
      </c>
      <c r="N93" s="20">
        <v>0</v>
      </c>
      <c r="O93" s="18" t="s">
        <v>30</v>
      </c>
      <c r="P93" s="18" t="s">
        <v>30</v>
      </c>
      <c r="Q93" s="21">
        <v>0</v>
      </c>
      <c r="R93" s="21">
        <v>0</v>
      </c>
      <c r="S93" s="22">
        <v>1.1268020000000001</v>
      </c>
      <c r="T93" s="22">
        <v>2.2000009999999999</v>
      </c>
      <c r="U93" s="22">
        <v>3.9233169999999999</v>
      </c>
      <c r="V93" s="22">
        <v>2.0220303295194677</v>
      </c>
      <c r="W93" s="22">
        <v>2.0220303295194677</v>
      </c>
      <c r="X93" s="22">
        <v>0</v>
      </c>
      <c r="Y93" s="22">
        <v>0</v>
      </c>
      <c r="Z93" s="22"/>
      <c r="AA93" s="23">
        <v>30</v>
      </c>
      <c r="AB93" s="23" t="s">
        <v>139</v>
      </c>
      <c r="AC93" s="18" t="s">
        <v>217</v>
      </c>
      <c r="AD93" s="16" t="s">
        <v>110</v>
      </c>
    </row>
    <row r="94" spans="1:32" s="16" customFormat="1" ht="13.8">
      <c r="A94" s="16" t="s">
        <v>275</v>
      </c>
      <c r="D94" s="16" t="s">
        <v>27</v>
      </c>
      <c r="E94" s="22">
        <v>0.11</v>
      </c>
      <c r="F94" s="22">
        <v>7.3749999999999996E-2</v>
      </c>
      <c r="G94" s="22">
        <v>6.1212000000000003E-2</v>
      </c>
      <c r="H94" s="16" t="s">
        <v>206</v>
      </c>
      <c r="I94" s="16" t="s">
        <v>84</v>
      </c>
      <c r="J94" s="16">
        <v>12</v>
      </c>
      <c r="K94" s="16">
        <v>46</v>
      </c>
      <c r="L94" s="20">
        <v>0</v>
      </c>
      <c r="M94" s="20">
        <v>0</v>
      </c>
      <c r="N94" s="20">
        <v>0</v>
      </c>
      <c r="O94" s="16" t="s">
        <v>30</v>
      </c>
      <c r="P94" s="16" t="s">
        <v>30</v>
      </c>
      <c r="Q94" s="21">
        <v>0</v>
      </c>
      <c r="R94" s="21">
        <v>0</v>
      </c>
      <c r="S94" s="22">
        <v>3.0700029999999998</v>
      </c>
      <c r="T94" s="22">
        <v>7.9600020000000002</v>
      </c>
      <c r="U94" s="22">
        <v>8.5318170000000002</v>
      </c>
      <c r="V94" s="22">
        <v>1.1128305105397831</v>
      </c>
      <c r="W94" s="22">
        <v>1.1100000000000001</v>
      </c>
      <c r="X94" s="22">
        <v>0</v>
      </c>
      <c r="Y94" s="22">
        <v>0</v>
      </c>
      <c r="Z94" s="22"/>
      <c r="AA94" s="16">
        <v>999</v>
      </c>
      <c r="AB94" s="16" t="s">
        <v>85</v>
      </c>
      <c r="AC94" s="18" t="s">
        <v>175</v>
      </c>
      <c r="AD94" s="16" t="s">
        <v>110</v>
      </c>
      <c r="AE94" s="16" t="s">
        <v>218</v>
      </c>
      <c r="AF94" s="16" t="s">
        <v>219</v>
      </c>
    </row>
    <row r="95" spans="1:32" s="16" customFormat="1" ht="13.8">
      <c r="A95" s="16" t="s">
        <v>220</v>
      </c>
      <c r="B95" s="16" t="s">
        <v>221</v>
      </c>
      <c r="D95" s="16" t="s">
        <v>36</v>
      </c>
      <c r="E95" s="20">
        <v>0</v>
      </c>
      <c r="F95" s="20">
        <v>0</v>
      </c>
      <c r="G95" s="20">
        <v>0</v>
      </c>
      <c r="H95" s="18" t="s">
        <v>30</v>
      </c>
      <c r="I95" s="18" t="s">
        <v>30</v>
      </c>
      <c r="J95" s="16">
        <v>0</v>
      </c>
      <c r="K95" s="16">
        <v>0</v>
      </c>
      <c r="L95" s="20">
        <v>0</v>
      </c>
      <c r="M95" s="20">
        <v>0</v>
      </c>
      <c r="N95" s="20">
        <v>0</v>
      </c>
      <c r="O95" s="18" t="s">
        <v>30</v>
      </c>
      <c r="P95" s="18" t="s">
        <v>30</v>
      </c>
      <c r="Q95" s="21">
        <v>0</v>
      </c>
      <c r="R95" s="21">
        <v>0</v>
      </c>
      <c r="S95" s="22">
        <v>25</v>
      </c>
      <c r="T95" s="22">
        <v>32</v>
      </c>
      <c r="U95" s="22">
        <v>50</v>
      </c>
      <c r="V95" s="22">
        <v>2.209961685823755</v>
      </c>
      <c r="W95" s="22">
        <v>2.2329501915708816</v>
      </c>
      <c r="X95" s="22">
        <v>0</v>
      </c>
      <c r="Y95" s="22">
        <v>0</v>
      </c>
      <c r="Z95" s="22"/>
      <c r="AA95" s="23">
        <v>11</v>
      </c>
      <c r="AB95" s="23" t="s">
        <v>222</v>
      </c>
      <c r="AC95" s="18" t="s">
        <v>223</v>
      </c>
      <c r="AD95" s="16" t="s">
        <v>155</v>
      </c>
    </row>
    <row r="96" spans="1:32" s="16" customFormat="1" ht="13.8">
      <c r="A96" s="16" t="s">
        <v>220</v>
      </c>
      <c r="B96" s="16" t="s">
        <v>224</v>
      </c>
      <c r="D96" s="16" t="s">
        <v>36</v>
      </c>
      <c r="E96" s="20">
        <v>0</v>
      </c>
      <c r="F96" s="20">
        <v>0</v>
      </c>
      <c r="G96" s="20">
        <v>0</v>
      </c>
      <c r="H96" s="18" t="s">
        <v>30</v>
      </c>
      <c r="I96" s="18" t="s">
        <v>30</v>
      </c>
      <c r="J96" s="16">
        <v>0</v>
      </c>
      <c r="K96" s="16">
        <v>0</v>
      </c>
      <c r="L96" s="20">
        <v>0</v>
      </c>
      <c r="M96" s="20">
        <v>0</v>
      </c>
      <c r="N96" s="20">
        <v>0</v>
      </c>
      <c r="O96" s="18" t="s">
        <v>30</v>
      </c>
      <c r="P96" s="18" t="s">
        <v>30</v>
      </c>
      <c r="Q96" s="21">
        <v>0</v>
      </c>
      <c r="R96" s="21">
        <v>0</v>
      </c>
      <c r="S96" s="22">
        <v>21</v>
      </c>
      <c r="T96" s="22">
        <v>44</v>
      </c>
      <c r="U96" s="22">
        <v>115</v>
      </c>
      <c r="V96" s="22">
        <v>2.209961685823755</v>
      </c>
      <c r="W96" s="22">
        <v>2.2329501915708816</v>
      </c>
      <c r="X96" s="22">
        <v>0</v>
      </c>
      <c r="Y96" s="22">
        <v>0</v>
      </c>
      <c r="Z96" s="22"/>
      <c r="AA96" s="23">
        <v>11</v>
      </c>
      <c r="AB96" s="23" t="s">
        <v>222</v>
      </c>
      <c r="AC96" s="18" t="s">
        <v>223</v>
      </c>
      <c r="AD96" s="16" t="s">
        <v>155</v>
      </c>
    </row>
    <row r="97" spans="1:30" s="16" customFormat="1" ht="13.8">
      <c r="A97" s="16" t="s">
        <v>220</v>
      </c>
      <c r="B97" s="16" t="s">
        <v>225</v>
      </c>
      <c r="D97" s="16" t="s">
        <v>36</v>
      </c>
      <c r="E97" s="20">
        <v>0</v>
      </c>
      <c r="F97" s="20">
        <v>0</v>
      </c>
      <c r="G97" s="20">
        <v>0</v>
      </c>
      <c r="H97" s="18" t="s">
        <v>30</v>
      </c>
      <c r="I97" s="18" t="s">
        <v>30</v>
      </c>
      <c r="J97" s="16">
        <v>0</v>
      </c>
      <c r="K97" s="16">
        <v>0</v>
      </c>
      <c r="L97" s="20">
        <v>0</v>
      </c>
      <c r="M97" s="20">
        <v>0</v>
      </c>
      <c r="N97" s="20">
        <v>0</v>
      </c>
      <c r="O97" s="18" t="s">
        <v>30</v>
      </c>
      <c r="P97" s="18" t="s">
        <v>30</v>
      </c>
      <c r="Q97" s="21">
        <v>0</v>
      </c>
      <c r="R97" s="21">
        <v>0</v>
      </c>
      <c r="S97" s="22">
        <v>30</v>
      </c>
      <c r="T97" s="22">
        <v>54</v>
      </c>
      <c r="U97" s="22">
        <v>158.5</v>
      </c>
      <c r="V97" s="22">
        <v>2.209961685823755</v>
      </c>
      <c r="W97" s="22">
        <v>2.2329501915708816</v>
      </c>
      <c r="X97" s="22">
        <v>0</v>
      </c>
      <c r="Y97" s="22">
        <v>0</v>
      </c>
      <c r="Z97" s="22"/>
      <c r="AA97" s="23">
        <v>11</v>
      </c>
      <c r="AB97" s="23" t="s">
        <v>222</v>
      </c>
      <c r="AC97" s="18" t="s">
        <v>223</v>
      </c>
      <c r="AD97" s="16" t="s">
        <v>155</v>
      </c>
    </row>
    <row r="98" spans="1:30" s="16" customFormat="1" ht="13.8">
      <c r="A98" s="16" t="s">
        <v>220</v>
      </c>
      <c r="B98" s="16" t="s">
        <v>226</v>
      </c>
      <c r="D98" s="16" t="s">
        <v>36</v>
      </c>
      <c r="E98" s="20">
        <v>0</v>
      </c>
      <c r="F98" s="20">
        <v>0</v>
      </c>
      <c r="G98" s="20">
        <v>0</v>
      </c>
      <c r="H98" s="18" t="s">
        <v>30</v>
      </c>
      <c r="I98" s="18" t="s">
        <v>30</v>
      </c>
      <c r="J98" s="16">
        <v>0</v>
      </c>
      <c r="K98" s="16">
        <v>0</v>
      </c>
      <c r="L98" s="20">
        <v>0</v>
      </c>
      <c r="M98" s="20">
        <v>0</v>
      </c>
      <c r="N98" s="20">
        <v>0</v>
      </c>
      <c r="O98" s="18" t="s">
        <v>30</v>
      </c>
      <c r="P98" s="18" t="s">
        <v>30</v>
      </c>
      <c r="Q98" s="21">
        <v>0</v>
      </c>
      <c r="R98" s="21">
        <v>0</v>
      </c>
      <c r="S98" s="22">
        <v>100</v>
      </c>
      <c r="T98" s="22">
        <v>150</v>
      </c>
      <c r="U98" s="22">
        <v>252.39999999999998</v>
      </c>
      <c r="V98" s="22">
        <v>2.209961685823755</v>
      </c>
      <c r="W98" s="22">
        <v>2.2329501915708816</v>
      </c>
      <c r="X98" s="22">
        <v>0</v>
      </c>
      <c r="Y98" s="22">
        <v>0</v>
      </c>
      <c r="Z98" s="22"/>
      <c r="AA98" s="23">
        <v>11</v>
      </c>
      <c r="AB98" s="23" t="s">
        <v>222</v>
      </c>
      <c r="AC98" s="18" t="s">
        <v>223</v>
      </c>
      <c r="AD98" s="16" t="s">
        <v>155</v>
      </c>
    </row>
    <row r="99" spans="1:30" s="16" customFormat="1" ht="13.8">
      <c r="A99" s="16" t="s">
        <v>227</v>
      </c>
      <c r="B99" s="16" t="s">
        <v>82</v>
      </c>
      <c r="D99" s="16" t="s">
        <v>27</v>
      </c>
      <c r="E99" s="22">
        <v>3.1667000000000001E-2</v>
      </c>
      <c r="F99" s="22">
        <v>4.2999999999999997E-2</v>
      </c>
      <c r="G99" s="22">
        <v>5.1999999999999998E-2</v>
      </c>
      <c r="H99" s="16" t="s">
        <v>83</v>
      </c>
      <c r="I99" s="16" t="s">
        <v>84</v>
      </c>
      <c r="J99" s="16">
        <v>6</v>
      </c>
      <c r="K99" s="16">
        <v>49</v>
      </c>
      <c r="L99" s="20">
        <v>0</v>
      </c>
      <c r="M99" s="20">
        <v>0</v>
      </c>
      <c r="N99" s="20">
        <v>0</v>
      </c>
      <c r="O99" s="16" t="s">
        <v>30</v>
      </c>
      <c r="P99" s="16" t="s">
        <v>30</v>
      </c>
      <c r="Q99" s="21">
        <v>0</v>
      </c>
      <c r="R99" s="21">
        <v>0</v>
      </c>
      <c r="S99" s="22">
        <v>0.158334</v>
      </c>
      <c r="T99" s="22">
        <v>0.26300400000000002</v>
      </c>
      <c r="U99" s="22">
        <v>1.5580369999999999</v>
      </c>
      <c r="V99" s="22">
        <v>1</v>
      </c>
      <c r="W99" s="22">
        <v>1</v>
      </c>
      <c r="X99" s="22">
        <v>0.82687226726941454</v>
      </c>
      <c r="Y99" s="22">
        <v>1.0017875545764061</v>
      </c>
      <c r="Z99" s="22"/>
      <c r="AA99" s="16">
        <v>999</v>
      </c>
      <c r="AB99" s="16" t="s">
        <v>228</v>
      </c>
      <c r="AC99" s="18" t="s">
        <v>86</v>
      </c>
      <c r="AD99" s="16" t="s">
        <v>92</v>
      </c>
    </row>
    <row r="100" spans="1:30" s="16" customFormat="1" ht="13.8">
      <c r="A100" s="16" t="s">
        <v>227</v>
      </c>
      <c r="B100" s="16" t="s">
        <v>124</v>
      </c>
      <c r="D100" s="16" t="s">
        <v>27</v>
      </c>
      <c r="E100" s="22">
        <v>8.6960000000000006E-3</v>
      </c>
      <c r="F100" s="22">
        <v>1.7857000000000001E-2</v>
      </c>
      <c r="G100" s="22">
        <v>1.1494000000000001E-2</v>
      </c>
      <c r="H100" s="16" t="s">
        <v>83</v>
      </c>
      <c r="I100" s="16" t="s">
        <v>84</v>
      </c>
      <c r="J100" s="16">
        <v>2.78</v>
      </c>
      <c r="K100" s="16">
        <v>49</v>
      </c>
      <c r="L100" s="20">
        <v>0</v>
      </c>
      <c r="M100" s="20">
        <v>0</v>
      </c>
      <c r="N100" s="20">
        <v>0</v>
      </c>
      <c r="O100" s="16" t="s">
        <v>30</v>
      </c>
      <c r="P100" s="16" t="s">
        <v>30</v>
      </c>
      <c r="Q100" s="21">
        <v>0</v>
      </c>
      <c r="R100" s="21">
        <v>0</v>
      </c>
      <c r="S100" s="22">
        <v>0.13695599999999999</v>
      </c>
      <c r="T100" s="22">
        <v>0.135715</v>
      </c>
      <c r="U100" s="22">
        <v>0.61674600000000002</v>
      </c>
      <c r="V100" s="22">
        <v>1.7148913619501853</v>
      </c>
      <c r="W100" s="22">
        <v>1.8060413354531</v>
      </c>
      <c r="X100" s="22">
        <v>0</v>
      </c>
      <c r="Y100" s="22">
        <v>0</v>
      </c>
      <c r="Z100" s="22"/>
      <c r="AA100" s="16">
        <v>999</v>
      </c>
      <c r="AB100" s="16" t="s">
        <v>228</v>
      </c>
      <c r="AC100" s="18" t="s">
        <v>86</v>
      </c>
      <c r="AD100" s="16" t="s">
        <v>92</v>
      </c>
    </row>
    <row r="101" spans="1:30" s="16" customFormat="1" ht="13.8">
      <c r="A101" s="16" t="s">
        <v>227</v>
      </c>
      <c r="B101" s="16" t="s">
        <v>101</v>
      </c>
      <c r="D101" s="16" t="s">
        <v>27</v>
      </c>
      <c r="E101" s="22">
        <v>0.209286</v>
      </c>
      <c r="F101" s="22">
        <v>0.30105500000000002</v>
      </c>
      <c r="G101" s="22">
        <v>0.61853499999999995</v>
      </c>
      <c r="H101" s="16" t="s">
        <v>83</v>
      </c>
      <c r="I101" s="16" t="s">
        <v>84</v>
      </c>
      <c r="J101" s="16">
        <v>5.5</v>
      </c>
      <c r="K101" s="16">
        <v>42</v>
      </c>
      <c r="L101" s="20">
        <v>0</v>
      </c>
      <c r="M101" s="20">
        <v>0</v>
      </c>
      <c r="N101" s="20">
        <v>0</v>
      </c>
      <c r="O101" s="16" t="s">
        <v>30</v>
      </c>
      <c r="P101" s="16" t="s">
        <v>30</v>
      </c>
      <c r="Q101" s="21">
        <v>0</v>
      </c>
      <c r="R101" s="21">
        <v>0</v>
      </c>
      <c r="S101" s="22">
        <v>3.9999999999999998E-6</v>
      </c>
      <c r="T101" s="22">
        <v>3.1016999999999999E-2</v>
      </c>
      <c r="U101" s="22">
        <v>-3.0620000000000001E-3</v>
      </c>
      <c r="V101" s="22">
        <v>1.1366795366795368</v>
      </c>
      <c r="W101" s="22">
        <v>1.2849420849420852</v>
      </c>
      <c r="X101" s="22">
        <v>0</v>
      </c>
      <c r="Y101" s="22">
        <v>0</v>
      </c>
      <c r="Z101" s="22"/>
      <c r="AA101" s="16">
        <v>999</v>
      </c>
      <c r="AB101" s="16" t="s">
        <v>228</v>
      </c>
      <c r="AC101" s="18" t="s">
        <v>86</v>
      </c>
      <c r="AD101" s="16" t="s">
        <v>87</v>
      </c>
    </row>
    <row r="102" spans="1:30" s="16" customFormat="1" ht="13.8">
      <c r="A102" s="15" t="s">
        <v>227</v>
      </c>
      <c r="B102" s="16" t="s">
        <v>102</v>
      </c>
      <c r="D102" s="16" t="s">
        <v>27</v>
      </c>
      <c r="E102" s="22">
        <v>0.146427</v>
      </c>
      <c r="F102" s="22">
        <v>0.27345000000000003</v>
      </c>
      <c r="G102" s="22">
        <v>0.42841000000000001</v>
      </c>
      <c r="H102" s="16" t="s">
        <v>83</v>
      </c>
      <c r="I102" s="16" t="s">
        <v>84</v>
      </c>
      <c r="J102" s="16">
        <v>3.7</v>
      </c>
      <c r="K102" s="16">
        <v>25.8</v>
      </c>
      <c r="L102" s="20">
        <v>0</v>
      </c>
      <c r="M102" s="20">
        <v>0</v>
      </c>
      <c r="N102" s="20">
        <v>0</v>
      </c>
      <c r="O102" s="16" t="s">
        <v>30</v>
      </c>
      <c r="P102" s="16" t="s">
        <v>30</v>
      </c>
      <c r="Q102" s="21">
        <v>0</v>
      </c>
      <c r="R102" s="21">
        <v>0</v>
      </c>
      <c r="S102" s="22">
        <v>0.10636900000000001</v>
      </c>
      <c r="T102" s="22">
        <v>-5.6141999999999997E-2</v>
      </c>
      <c r="U102" s="22">
        <v>-0.192549</v>
      </c>
      <c r="V102" s="22">
        <v>1.1366795366795368</v>
      </c>
      <c r="W102" s="22">
        <v>1.2853438804658319</v>
      </c>
      <c r="X102" s="22">
        <v>0</v>
      </c>
      <c r="Y102" s="22">
        <v>0</v>
      </c>
      <c r="Z102" s="22"/>
      <c r="AA102" s="16">
        <v>999</v>
      </c>
      <c r="AB102" s="16" t="s">
        <v>228</v>
      </c>
      <c r="AC102" s="18" t="s">
        <v>86</v>
      </c>
      <c r="AD102" s="16" t="s">
        <v>41</v>
      </c>
    </row>
    <row r="103" spans="1:30" s="16" customFormat="1" ht="13.8">
      <c r="A103" s="15" t="s">
        <v>229</v>
      </c>
      <c r="B103" s="16" t="s">
        <v>82</v>
      </c>
      <c r="D103" s="16" t="s">
        <v>27</v>
      </c>
      <c r="E103" s="22">
        <v>3.1667000000000001E-2</v>
      </c>
      <c r="F103" s="22">
        <v>4.2999999999999997E-2</v>
      </c>
      <c r="G103" s="22">
        <v>5.1999999999999998E-2</v>
      </c>
      <c r="H103" s="16" t="s">
        <v>83</v>
      </c>
      <c r="I103" s="16" t="s">
        <v>84</v>
      </c>
      <c r="J103" s="16">
        <v>6</v>
      </c>
      <c r="K103" s="16">
        <v>49</v>
      </c>
      <c r="L103" s="20">
        <v>0</v>
      </c>
      <c r="M103" s="20">
        <v>0</v>
      </c>
      <c r="N103" s="20">
        <v>0</v>
      </c>
      <c r="O103" s="16" t="s">
        <v>30</v>
      </c>
      <c r="P103" s="16" t="s">
        <v>30</v>
      </c>
      <c r="Q103" s="21">
        <v>0</v>
      </c>
      <c r="R103" s="21">
        <v>0</v>
      </c>
      <c r="S103" s="22">
        <v>0.158334</v>
      </c>
      <c r="T103" s="22">
        <v>0.26300400000000002</v>
      </c>
      <c r="U103" s="22">
        <v>1.5580369999999999</v>
      </c>
      <c r="V103" s="22">
        <v>1</v>
      </c>
      <c r="W103" s="22">
        <v>1</v>
      </c>
      <c r="X103" s="22">
        <v>0.82687226726941454</v>
      </c>
      <c r="Y103" s="22">
        <v>1.0017875545764061</v>
      </c>
      <c r="Z103" s="22"/>
      <c r="AA103" s="16">
        <v>999</v>
      </c>
      <c r="AB103" s="16" t="s">
        <v>228</v>
      </c>
      <c r="AC103" s="18" t="s">
        <v>86</v>
      </c>
      <c r="AD103" s="16" t="s">
        <v>92</v>
      </c>
    </row>
    <row r="104" spans="1:30" s="16" customFormat="1" ht="13.8">
      <c r="A104" s="15" t="s">
        <v>229</v>
      </c>
      <c r="B104" s="16" t="s">
        <v>101</v>
      </c>
      <c r="D104" s="16" t="s">
        <v>27</v>
      </c>
      <c r="E104" s="22">
        <v>0.209286</v>
      </c>
      <c r="F104" s="22">
        <v>0.30105500000000002</v>
      </c>
      <c r="G104" s="22">
        <v>0.61853499999999995</v>
      </c>
      <c r="H104" s="16" t="s">
        <v>83</v>
      </c>
      <c r="I104" s="16" t="s">
        <v>84</v>
      </c>
      <c r="J104" s="16">
        <v>5.5</v>
      </c>
      <c r="K104" s="16">
        <v>42</v>
      </c>
      <c r="L104" s="20">
        <v>0</v>
      </c>
      <c r="M104" s="20">
        <v>0</v>
      </c>
      <c r="N104" s="20">
        <v>0</v>
      </c>
      <c r="O104" s="16" t="s">
        <v>30</v>
      </c>
      <c r="P104" s="16" t="s">
        <v>30</v>
      </c>
      <c r="Q104" s="21">
        <v>0</v>
      </c>
      <c r="R104" s="21">
        <v>0</v>
      </c>
      <c r="S104" s="22">
        <v>3.9999999999999998E-6</v>
      </c>
      <c r="T104" s="22">
        <v>3.1016999999999999E-2</v>
      </c>
      <c r="U104" s="22">
        <v>-3.0620000000000001E-3</v>
      </c>
      <c r="V104" s="22">
        <v>1.1366795366795368</v>
      </c>
      <c r="W104" s="22">
        <v>1.2849420849420852</v>
      </c>
      <c r="X104" s="22">
        <v>0</v>
      </c>
      <c r="Y104" s="22">
        <v>0</v>
      </c>
      <c r="Z104" s="22"/>
      <c r="AA104" s="16">
        <v>999</v>
      </c>
      <c r="AB104" s="16" t="s">
        <v>228</v>
      </c>
      <c r="AC104" s="18" t="s">
        <v>86</v>
      </c>
      <c r="AD104" s="16" t="s">
        <v>87</v>
      </c>
    </row>
    <row r="105" spans="1:30" s="16" customFormat="1" ht="13.8">
      <c r="A105" s="15" t="s">
        <v>229</v>
      </c>
      <c r="B105" s="16" t="s">
        <v>102</v>
      </c>
      <c r="D105" s="16" t="s">
        <v>27</v>
      </c>
      <c r="E105" s="22">
        <v>0.146427</v>
      </c>
      <c r="F105" s="22">
        <v>0.27345000000000003</v>
      </c>
      <c r="G105" s="22">
        <v>0.42841000000000001</v>
      </c>
      <c r="H105" s="16" t="s">
        <v>83</v>
      </c>
      <c r="I105" s="16" t="s">
        <v>84</v>
      </c>
      <c r="J105" s="16">
        <v>3.7</v>
      </c>
      <c r="K105" s="16">
        <v>25.8</v>
      </c>
      <c r="L105" s="20">
        <v>0</v>
      </c>
      <c r="M105" s="20">
        <v>0</v>
      </c>
      <c r="N105" s="20">
        <v>0</v>
      </c>
      <c r="O105" s="16" t="s">
        <v>30</v>
      </c>
      <c r="P105" s="16" t="s">
        <v>30</v>
      </c>
      <c r="Q105" s="21">
        <v>0</v>
      </c>
      <c r="R105" s="21">
        <v>0</v>
      </c>
      <c r="S105" s="22">
        <v>0.10636900000000001</v>
      </c>
      <c r="T105" s="22">
        <v>-5.6141999999999997E-2</v>
      </c>
      <c r="U105" s="22">
        <v>-0.192549</v>
      </c>
      <c r="V105" s="22">
        <v>1.1366795366795368</v>
      </c>
      <c r="W105" s="22">
        <v>1.2853438804658319</v>
      </c>
      <c r="X105" s="22">
        <v>0</v>
      </c>
      <c r="Y105" s="22">
        <v>0</v>
      </c>
      <c r="Z105" s="22"/>
      <c r="AA105" s="16">
        <v>999</v>
      </c>
      <c r="AB105" s="16" t="s">
        <v>228</v>
      </c>
      <c r="AC105" s="18" t="s">
        <v>86</v>
      </c>
      <c r="AD105" s="16" t="s">
        <v>41</v>
      </c>
    </row>
    <row r="106" spans="1:30" s="16" customFormat="1" ht="13.8">
      <c r="A106" s="15" t="s">
        <v>230</v>
      </c>
      <c r="B106" s="16" t="s">
        <v>82</v>
      </c>
      <c r="D106" s="16" t="s">
        <v>27</v>
      </c>
      <c r="E106" s="22">
        <v>3.1667000000000001E-2</v>
      </c>
      <c r="F106" s="22">
        <v>4.2999999999999997E-2</v>
      </c>
      <c r="G106" s="22">
        <v>5.1999999999999998E-2</v>
      </c>
      <c r="H106" s="16" t="s">
        <v>83</v>
      </c>
      <c r="I106" s="16" t="s">
        <v>84</v>
      </c>
      <c r="J106" s="16">
        <v>6</v>
      </c>
      <c r="K106" s="16">
        <v>49</v>
      </c>
      <c r="L106" s="20">
        <v>0</v>
      </c>
      <c r="M106" s="20">
        <v>0</v>
      </c>
      <c r="N106" s="20">
        <v>0</v>
      </c>
      <c r="O106" s="16" t="s">
        <v>30</v>
      </c>
      <c r="P106" s="16" t="s">
        <v>30</v>
      </c>
      <c r="Q106" s="21">
        <v>0</v>
      </c>
      <c r="R106" s="21">
        <v>0</v>
      </c>
      <c r="S106" s="22">
        <v>0.158334</v>
      </c>
      <c r="T106" s="22">
        <v>0.26300400000000002</v>
      </c>
      <c r="U106" s="22">
        <v>1.5580369999999999</v>
      </c>
      <c r="V106" s="22">
        <v>1</v>
      </c>
      <c r="W106" s="22">
        <v>1</v>
      </c>
      <c r="X106" s="22">
        <v>0.8036363636363637</v>
      </c>
      <c r="Y106" s="22">
        <v>0.97363636363636374</v>
      </c>
      <c r="Z106" s="22"/>
      <c r="AA106" s="16">
        <v>999</v>
      </c>
      <c r="AB106" s="16" t="s">
        <v>104</v>
      </c>
      <c r="AC106" s="18" t="s">
        <v>86</v>
      </c>
      <c r="AD106" s="16" t="s">
        <v>92</v>
      </c>
    </row>
    <row r="107" spans="1:30" s="16" customFormat="1" ht="13.8">
      <c r="A107" s="15" t="s">
        <v>230</v>
      </c>
      <c r="B107" s="16" t="s">
        <v>101</v>
      </c>
      <c r="D107" s="16" t="s">
        <v>27</v>
      </c>
      <c r="E107" s="22">
        <v>0.209286</v>
      </c>
      <c r="F107" s="22">
        <v>0.30105500000000002</v>
      </c>
      <c r="G107" s="22">
        <v>0.61853499999999995</v>
      </c>
      <c r="H107" s="16" t="s">
        <v>83</v>
      </c>
      <c r="I107" s="16" t="s">
        <v>84</v>
      </c>
      <c r="J107" s="16">
        <v>5.5</v>
      </c>
      <c r="K107" s="16">
        <v>42</v>
      </c>
      <c r="L107" s="20">
        <v>0</v>
      </c>
      <c r="M107" s="20">
        <v>0</v>
      </c>
      <c r="N107" s="20">
        <v>0</v>
      </c>
      <c r="O107" s="16" t="s">
        <v>30</v>
      </c>
      <c r="P107" s="16" t="s">
        <v>30</v>
      </c>
      <c r="Q107" s="21">
        <v>0</v>
      </c>
      <c r="R107" s="21">
        <v>0</v>
      </c>
      <c r="S107" s="22">
        <v>3.9999999999999998E-6</v>
      </c>
      <c r="T107" s="22">
        <v>3.1016999999999999E-2</v>
      </c>
      <c r="U107" s="22">
        <v>-3.0620000000000001E-3</v>
      </c>
      <c r="V107" s="22">
        <v>1.1366795366795368</v>
      </c>
      <c r="W107" s="22">
        <v>1.2849420849420852</v>
      </c>
      <c r="X107" s="22">
        <v>0</v>
      </c>
      <c r="Y107" s="22">
        <v>0</v>
      </c>
      <c r="Z107" s="22"/>
      <c r="AA107" s="16">
        <v>999</v>
      </c>
      <c r="AB107" s="16" t="s">
        <v>104</v>
      </c>
      <c r="AC107" s="18" t="s">
        <v>86</v>
      </c>
      <c r="AD107" s="16" t="s">
        <v>87</v>
      </c>
    </row>
    <row r="108" spans="1:30" s="16" customFormat="1" ht="13.8">
      <c r="A108" s="15" t="s">
        <v>230</v>
      </c>
      <c r="B108" s="16" t="s">
        <v>102</v>
      </c>
      <c r="D108" s="16" t="s">
        <v>27</v>
      </c>
      <c r="E108" s="22">
        <v>0.146427</v>
      </c>
      <c r="F108" s="22">
        <v>0.27345000000000003</v>
      </c>
      <c r="G108" s="22">
        <v>0.42841000000000001</v>
      </c>
      <c r="H108" s="16" t="s">
        <v>83</v>
      </c>
      <c r="I108" s="16" t="s">
        <v>84</v>
      </c>
      <c r="J108" s="16">
        <v>3.7</v>
      </c>
      <c r="K108" s="16">
        <v>25.8</v>
      </c>
      <c r="L108" s="20">
        <v>0</v>
      </c>
      <c r="M108" s="20">
        <v>0</v>
      </c>
      <c r="N108" s="20">
        <v>0</v>
      </c>
      <c r="O108" s="16" t="s">
        <v>30</v>
      </c>
      <c r="P108" s="16" t="s">
        <v>30</v>
      </c>
      <c r="Q108" s="21">
        <v>0</v>
      </c>
      <c r="R108" s="21">
        <v>0</v>
      </c>
      <c r="S108" s="22">
        <v>0.10636900000000001</v>
      </c>
      <c r="T108" s="22">
        <v>-5.6141999999999997E-2</v>
      </c>
      <c r="U108" s="22">
        <v>-0.192549</v>
      </c>
      <c r="V108" s="22">
        <v>1.1366795366795368</v>
      </c>
      <c r="W108" s="22">
        <v>1.2853438804658319</v>
      </c>
      <c r="X108" s="22">
        <v>0</v>
      </c>
      <c r="Y108" s="22">
        <v>0</v>
      </c>
      <c r="Z108" s="22"/>
      <c r="AA108" s="16">
        <v>999</v>
      </c>
      <c r="AB108" s="16" t="s">
        <v>104</v>
      </c>
      <c r="AC108" s="18" t="s">
        <v>86</v>
      </c>
      <c r="AD108" s="16" t="s">
        <v>41</v>
      </c>
    </row>
    <row r="109" spans="1:30" s="16" customFormat="1" ht="13.8">
      <c r="A109" s="15" t="s">
        <v>161</v>
      </c>
      <c r="B109" s="16" t="s">
        <v>88</v>
      </c>
      <c r="D109" s="16" t="s">
        <v>27</v>
      </c>
      <c r="E109" s="22">
        <v>6.8807999999999994E-2</v>
      </c>
      <c r="F109" s="22">
        <v>0.13142799999999999</v>
      </c>
      <c r="G109" s="22">
        <v>0.29178500000000002</v>
      </c>
      <c r="H109" s="16" t="s">
        <v>83</v>
      </c>
      <c r="I109" s="16" t="s">
        <v>84</v>
      </c>
      <c r="J109" s="16">
        <v>1.44</v>
      </c>
      <c r="K109" s="16">
        <v>10</v>
      </c>
      <c r="L109" s="20">
        <v>0</v>
      </c>
      <c r="M109" s="20">
        <v>0</v>
      </c>
      <c r="N109" s="20">
        <v>0</v>
      </c>
      <c r="O109" s="16" t="s">
        <v>30</v>
      </c>
      <c r="P109" s="16" t="s">
        <v>30</v>
      </c>
      <c r="Q109" s="21">
        <v>0</v>
      </c>
      <c r="R109" s="21">
        <v>0</v>
      </c>
      <c r="S109" s="22">
        <v>0.13047400000000001</v>
      </c>
      <c r="T109" s="22">
        <v>7.2905999999999999E-2</v>
      </c>
      <c r="U109" s="22">
        <v>4.2856999999999999E-2</v>
      </c>
      <c r="V109" s="22">
        <v>1</v>
      </c>
      <c r="W109" s="22">
        <v>1</v>
      </c>
      <c r="X109" s="22">
        <v>0.45500000000000002</v>
      </c>
      <c r="Y109" s="22">
        <v>0.52500000000000002</v>
      </c>
      <c r="Z109" s="22"/>
      <c r="AA109" s="16">
        <v>999</v>
      </c>
      <c r="AB109" s="16" t="s">
        <v>104</v>
      </c>
      <c r="AC109" s="18" t="s">
        <v>86</v>
      </c>
      <c r="AD109" s="16" t="s">
        <v>47</v>
      </c>
    </row>
    <row r="110" spans="1:30" s="16" customFormat="1" ht="13.8">
      <c r="A110" s="15" t="s">
        <v>161</v>
      </c>
      <c r="B110" s="16" t="s">
        <v>82</v>
      </c>
      <c r="D110" s="16" t="s">
        <v>27</v>
      </c>
      <c r="E110" s="22">
        <v>3.1667000000000001E-2</v>
      </c>
      <c r="F110" s="22">
        <v>4.1599999999999998E-2</v>
      </c>
      <c r="G110" s="22">
        <v>4.9167000000000002E-2</v>
      </c>
      <c r="H110" s="16" t="s">
        <v>83</v>
      </c>
      <c r="I110" s="16" t="s">
        <v>84</v>
      </c>
      <c r="J110" s="16">
        <v>6</v>
      </c>
      <c r="K110" s="16">
        <v>49</v>
      </c>
      <c r="L110" s="20">
        <v>0</v>
      </c>
      <c r="M110" s="20">
        <v>0</v>
      </c>
      <c r="N110" s="20">
        <v>0</v>
      </c>
      <c r="O110" s="16" t="s">
        <v>30</v>
      </c>
      <c r="P110" s="16" t="s">
        <v>30</v>
      </c>
      <c r="Q110" s="21">
        <v>0</v>
      </c>
      <c r="R110" s="21">
        <v>0</v>
      </c>
      <c r="S110" s="22">
        <v>0.158332</v>
      </c>
      <c r="T110" s="22">
        <v>0.2392</v>
      </c>
      <c r="U110" s="22">
        <v>1.5749979999999999</v>
      </c>
      <c r="V110" s="22">
        <v>1</v>
      </c>
      <c r="W110" s="22">
        <v>1</v>
      </c>
      <c r="X110" s="22">
        <v>0.58609756097560994</v>
      </c>
      <c r="Y110" s="22">
        <v>0.75609756097560998</v>
      </c>
      <c r="Z110" s="22"/>
      <c r="AA110" s="16">
        <v>999</v>
      </c>
      <c r="AB110" s="16" t="s">
        <v>104</v>
      </c>
      <c r="AC110" s="18" t="s">
        <v>86</v>
      </c>
      <c r="AD110" s="16" t="s">
        <v>87</v>
      </c>
    </row>
    <row r="111" spans="1:30" s="16" customFormat="1" ht="13.8">
      <c r="A111" s="15" t="s">
        <v>161</v>
      </c>
      <c r="B111" s="16" t="s">
        <v>91</v>
      </c>
      <c r="D111" s="16" t="s">
        <v>27</v>
      </c>
      <c r="E111" s="22">
        <v>0.12371699999999999</v>
      </c>
      <c r="F111" s="22">
        <v>0.17549999999999999</v>
      </c>
      <c r="G111" s="22">
        <v>0.22850000000000001</v>
      </c>
      <c r="H111" s="16" t="s">
        <v>83</v>
      </c>
      <c r="I111" s="16" t="s">
        <v>84</v>
      </c>
      <c r="J111" s="16">
        <v>1</v>
      </c>
      <c r="K111" s="16">
        <v>20</v>
      </c>
      <c r="L111" s="20">
        <v>0</v>
      </c>
      <c r="M111" s="20">
        <v>0</v>
      </c>
      <c r="N111" s="20">
        <v>0</v>
      </c>
      <c r="O111" s="16" t="s">
        <v>30</v>
      </c>
      <c r="P111" s="16" t="s">
        <v>30</v>
      </c>
      <c r="Q111" s="21">
        <v>0</v>
      </c>
      <c r="R111" s="21">
        <v>0</v>
      </c>
      <c r="S111" s="22">
        <v>6.5725000000000006E-2</v>
      </c>
      <c r="T111" s="22">
        <v>0.10125199999999999</v>
      </c>
      <c r="U111" s="22">
        <v>2.7075</v>
      </c>
      <c r="V111" s="22">
        <v>1</v>
      </c>
      <c r="W111" s="22">
        <v>1</v>
      </c>
      <c r="X111" s="22">
        <v>0.45500000000000002</v>
      </c>
      <c r="Y111" s="22">
        <v>0.52500000000000002</v>
      </c>
      <c r="Z111" s="22"/>
      <c r="AA111" s="16">
        <v>999</v>
      </c>
      <c r="AB111" s="16" t="s">
        <v>104</v>
      </c>
      <c r="AC111" s="18" t="s">
        <v>86</v>
      </c>
      <c r="AD111" s="16" t="s">
        <v>92</v>
      </c>
    </row>
    <row r="112" spans="1:30" s="16" customFormat="1" ht="13.8">
      <c r="A112" s="15" t="s">
        <v>161</v>
      </c>
      <c r="B112" s="16" t="s">
        <v>213</v>
      </c>
      <c r="D112" s="16" t="s">
        <v>27</v>
      </c>
      <c r="E112" s="22">
        <v>2.6870999999999999E-2</v>
      </c>
      <c r="F112" s="22">
        <v>0.101739</v>
      </c>
      <c r="G112" s="22">
        <v>0.144589</v>
      </c>
      <c r="H112" s="16" t="s">
        <v>83</v>
      </c>
      <c r="I112" s="16" t="s">
        <v>84</v>
      </c>
      <c r="J112" s="16">
        <v>2.7</v>
      </c>
      <c r="K112" s="16">
        <v>31</v>
      </c>
      <c r="L112" s="20">
        <v>0</v>
      </c>
      <c r="M112" s="20">
        <v>0</v>
      </c>
      <c r="N112" s="20">
        <v>0</v>
      </c>
      <c r="O112" s="16" t="s">
        <v>30</v>
      </c>
      <c r="P112" s="16" t="s">
        <v>30</v>
      </c>
      <c r="Q112" s="21">
        <v>0</v>
      </c>
      <c r="R112" s="21">
        <v>0</v>
      </c>
      <c r="S112" s="22">
        <v>0.53651300000000002</v>
      </c>
      <c r="T112" s="22">
        <v>0.49099100000000001</v>
      </c>
      <c r="U112" s="22">
        <v>0.67023500000000003</v>
      </c>
      <c r="V112" s="22">
        <v>1</v>
      </c>
      <c r="W112" s="22">
        <v>1</v>
      </c>
      <c r="X112" s="22">
        <v>0.40875</v>
      </c>
      <c r="Y112" s="22">
        <v>0.47875000000000001</v>
      </c>
      <c r="Z112" s="22"/>
      <c r="AA112" s="16">
        <v>999</v>
      </c>
      <c r="AB112" s="16" t="s">
        <v>104</v>
      </c>
      <c r="AC112" s="18" t="s">
        <v>86</v>
      </c>
      <c r="AD112" s="16" t="s">
        <v>136</v>
      </c>
    </row>
    <row r="113" spans="1:31" s="16" customFormat="1" ht="13.8">
      <c r="A113" s="15" t="s">
        <v>208</v>
      </c>
      <c r="B113" s="16" t="s">
        <v>88</v>
      </c>
      <c r="D113" s="16" t="s">
        <v>27</v>
      </c>
      <c r="E113" s="22">
        <v>6.8807999999999994E-2</v>
      </c>
      <c r="F113" s="22">
        <v>0.13142799999999999</v>
      </c>
      <c r="G113" s="22">
        <v>0.29178500000000002</v>
      </c>
      <c r="H113" s="16" t="s">
        <v>83</v>
      </c>
      <c r="I113" s="16" t="s">
        <v>84</v>
      </c>
      <c r="J113" s="16">
        <v>1.44</v>
      </c>
      <c r="K113" s="16">
        <v>10</v>
      </c>
      <c r="L113" s="20">
        <v>0</v>
      </c>
      <c r="M113" s="20">
        <v>0</v>
      </c>
      <c r="N113" s="20">
        <v>0</v>
      </c>
      <c r="O113" s="16" t="s">
        <v>30</v>
      </c>
      <c r="P113" s="16" t="s">
        <v>30</v>
      </c>
      <c r="Q113" s="21">
        <v>0</v>
      </c>
      <c r="R113" s="21">
        <v>0</v>
      </c>
      <c r="S113" s="22">
        <v>0.13047400000000001</v>
      </c>
      <c r="T113" s="22">
        <v>7.2905999999999999E-2</v>
      </c>
      <c r="U113" s="22">
        <v>4.2856999999999999E-2</v>
      </c>
      <c r="V113" s="22">
        <v>1</v>
      </c>
      <c r="W113" s="22">
        <v>1</v>
      </c>
      <c r="X113" s="22">
        <v>0.45500000000000002</v>
      </c>
      <c r="Y113" s="22">
        <v>0.52500000000000002</v>
      </c>
      <c r="Z113" s="22"/>
      <c r="AA113" s="16">
        <v>999</v>
      </c>
      <c r="AB113" s="16" t="s">
        <v>104</v>
      </c>
      <c r="AC113" s="18" t="s">
        <v>86</v>
      </c>
      <c r="AD113" s="16" t="s">
        <v>47</v>
      </c>
    </row>
    <row r="114" spans="1:31" s="16" customFormat="1" ht="13.8">
      <c r="A114" s="15" t="s">
        <v>208</v>
      </c>
      <c r="B114" s="16" t="s">
        <v>91</v>
      </c>
      <c r="D114" s="16" t="s">
        <v>27</v>
      </c>
      <c r="E114" s="22">
        <v>0.12371699999999999</v>
      </c>
      <c r="F114" s="22">
        <v>0.17549999999999999</v>
      </c>
      <c r="G114" s="22">
        <v>0.22850000000000001</v>
      </c>
      <c r="H114" s="16" t="s">
        <v>83</v>
      </c>
      <c r="I114" s="16" t="s">
        <v>84</v>
      </c>
      <c r="J114" s="16">
        <v>1</v>
      </c>
      <c r="K114" s="16">
        <v>20</v>
      </c>
      <c r="L114" s="20">
        <v>0</v>
      </c>
      <c r="M114" s="20">
        <v>0</v>
      </c>
      <c r="N114" s="20">
        <v>0</v>
      </c>
      <c r="O114" s="16" t="s">
        <v>30</v>
      </c>
      <c r="P114" s="16" t="s">
        <v>30</v>
      </c>
      <c r="Q114" s="21">
        <v>0</v>
      </c>
      <c r="R114" s="21">
        <v>0</v>
      </c>
      <c r="S114" s="22">
        <v>6.5725000000000006E-2</v>
      </c>
      <c r="T114" s="22">
        <v>0.10125199999999999</v>
      </c>
      <c r="U114" s="22">
        <v>2.7075</v>
      </c>
      <c r="V114" s="22">
        <v>1</v>
      </c>
      <c r="W114" s="22">
        <v>1</v>
      </c>
      <c r="X114" s="22">
        <v>0.45500000000000002</v>
      </c>
      <c r="Y114" s="22">
        <v>0.52500000000000002</v>
      </c>
      <c r="Z114" s="22"/>
      <c r="AA114" s="16">
        <v>999</v>
      </c>
      <c r="AB114" s="16" t="s">
        <v>104</v>
      </c>
      <c r="AC114" s="18" t="s">
        <v>86</v>
      </c>
      <c r="AD114" s="16" t="s">
        <v>92</v>
      </c>
    </row>
    <row r="115" spans="1:31" s="16" customFormat="1" ht="13.8">
      <c r="A115" s="15" t="s">
        <v>208</v>
      </c>
      <c r="B115" s="16" t="s">
        <v>231</v>
      </c>
      <c r="D115" s="16" t="s">
        <v>27</v>
      </c>
      <c r="E115" s="20">
        <v>0</v>
      </c>
      <c r="F115" s="20">
        <v>0</v>
      </c>
      <c r="G115" s="20">
        <v>0</v>
      </c>
      <c r="H115" s="16" t="s">
        <v>30</v>
      </c>
      <c r="I115" s="16" t="s">
        <v>30</v>
      </c>
      <c r="J115" s="16">
        <v>0</v>
      </c>
      <c r="K115" s="16">
        <v>0</v>
      </c>
      <c r="L115" s="20">
        <v>0</v>
      </c>
      <c r="M115" s="20">
        <v>0</v>
      </c>
      <c r="N115" s="20">
        <v>0</v>
      </c>
      <c r="O115" s="16" t="s">
        <v>30</v>
      </c>
      <c r="P115" s="16" t="s">
        <v>30</v>
      </c>
      <c r="Q115" s="21">
        <v>0</v>
      </c>
      <c r="R115" s="21">
        <v>0</v>
      </c>
      <c r="S115" s="22">
        <v>0.377</v>
      </c>
      <c r="T115" s="22">
        <v>0.48614583333333333</v>
      </c>
      <c r="U115" s="22">
        <v>0.71500000000000086</v>
      </c>
      <c r="V115" s="22">
        <v>2</v>
      </c>
      <c r="W115" s="22">
        <v>2.1842105263157894</v>
      </c>
      <c r="X115" s="22">
        <v>0</v>
      </c>
      <c r="Y115" s="22">
        <v>0</v>
      </c>
      <c r="Z115" s="22"/>
      <c r="AA115" s="16">
        <v>11</v>
      </c>
      <c r="AB115" s="16" t="s">
        <v>85</v>
      </c>
      <c r="AC115" s="18" t="s">
        <v>223</v>
      </c>
      <c r="AD115" s="16" t="s">
        <v>232</v>
      </c>
    </row>
    <row r="116" spans="1:31" s="16" customFormat="1" ht="13.8">
      <c r="A116" s="15" t="s">
        <v>208</v>
      </c>
      <c r="B116" s="16" t="s">
        <v>233</v>
      </c>
      <c r="D116" s="16" t="s">
        <v>27</v>
      </c>
      <c r="E116" s="20">
        <v>0</v>
      </c>
      <c r="F116" s="20">
        <v>0</v>
      </c>
      <c r="G116" s="20">
        <v>0</v>
      </c>
      <c r="H116" s="16" t="s">
        <v>30</v>
      </c>
      <c r="I116" s="16" t="s">
        <v>30</v>
      </c>
      <c r="J116" s="16">
        <v>0</v>
      </c>
      <c r="K116" s="16">
        <v>0</v>
      </c>
      <c r="L116" s="20">
        <v>0</v>
      </c>
      <c r="M116" s="20">
        <v>0</v>
      </c>
      <c r="N116" s="20">
        <v>0</v>
      </c>
      <c r="O116" s="16" t="s">
        <v>30</v>
      </c>
      <c r="P116" s="16" t="s">
        <v>30</v>
      </c>
      <c r="Q116" s="21">
        <v>0</v>
      </c>
      <c r="R116" s="21">
        <v>0</v>
      </c>
      <c r="S116" s="22">
        <v>0.61499999999999999</v>
      </c>
      <c r="T116" s="22">
        <v>0.78</v>
      </c>
      <c r="U116" s="22">
        <v>1.0415650818182129</v>
      </c>
      <c r="V116" s="22">
        <v>2</v>
      </c>
      <c r="W116" s="22">
        <v>2.8209459459459461</v>
      </c>
      <c r="X116" s="22">
        <v>0</v>
      </c>
      <c r="Y116" s="22">
        <v>0</v>
      </c>
      <c r="Z116" s="22"/>
      <c r="AA116" s="16">
        <v>11</v>
      </c>
      <c r="AB116" s="16" t="s">
        <v>85</v>
      </c>
      <c r="AC116" s="18" t="s">
        <v>223</v>
      </c>
      <c r="AD116" s="16" t="s">
        <v>232</v>
      </c>
    </row>
    <row r="117" spans="1:31" s="16" customFormat="1" ht="13.8">
      <c r="A117" s="15" t="s">
        <v>208</v>
      </c>
      <c r="B117" s="16" t="s">
        <v>234</v>
      </c>
      <c r="D117" s="16" t="s">
        <v>27</v>
      </c>
      <c r="E117" s="20">
        <v>0</v>
      </c>
      <c r="F117" s="20">
        <v>0</v>
      </c>
      <c r="G117" s="20">
        <v>0</v>
      </c>
      <c r="H117" s="16" t="s">
        <v>30</v>
      </c>
      <c r="I117" s="16" t="s">
        <v>30</v>
      </c>
      <c r="J117" s="16">
        <v>0</v>
      </c>
      <c r="K117" s="16">
        <v>0</v>
      </c>
      <c r="L117" s="20">
        <v>0</v>
      </c>
      <c r="M117" s="20">
        <v>0</v>
      </c>
      <c r="N117" s="20">
        <v>0</v>
      </c>
      <c r="O117" s="16" t="s">
        <v>30</v>
      </c>
      <c r="P117" s="16" t="s">
        <v>30</v>
      </c>
      <c r="Q117" s="21">
        <v>0</v>
      </c>
      <c r="R117" s="21">
        <v>0</v>
      </c>
      <c r="S117" s="22">
        <v>0.70625000000000004</v>
      </c>
      <c r="T117" s="22">
        <v>2.1131250000000001</v>
      </c>
      <c r="U117" s="22">
        <v>4.3724999999999996</v>
      </c>
      <c r="V117" s="22">
        <v>2</v>
      </c>
      <c r="W117" s="22">
        <v>2.6764091858037578</v>
      </c>
      <c r="X117" s="22">
        <v>0</v>
      </c>
      <c r="Y117" s="22">
        <v>0</v>
      </c>
      <c r="Z117" s="22"/>
      <c r="AA117" s="16">
        <v>11</v>
      </c>
      <c r="AB117" s="16" t="s">
        <v>85</v>
      </c>
      <c r="AC117" s="18" t="s">
        <v>223</v>
      </c>
      <c r="AD117" s="16" t="s">
        <v>155</v>
      </c>
    </row>
    <row r="118" spans="1:31" s="16" customFormat="1" ht="13.8">
      <c r="A118" s="15" t="s">
        <v>208</v>
      </c>
      <c r="B118" s="16" t="s">
        <v>213</v>
      </c>
      <c r="D118" s="16" t="s">
        <v>27</v>
      </c>
      <c r="E118" s="22">
        <v>2.6870999999999999E-2</v>
      </c>
      <c r="F118" s="22">
        <v>0.101739</v>
      </c>
      <c r="G118" s="22">
        <v>0.144589</v>
      </c>
      <c r="H118" s="16" t="s">
        <v>83</v>
      </c>
      <c r="I118" s="16" t="s">
        <v>84</v>
      </c>
      <c r="J118" s="16">
        <v>2.7</v>
      </c>
      <c r="K118" s="16">
        <v>31</v>
      </c>
      <c r="L118" s="20">
        <v>0</v>
      </c>
      <c r="M118" s="20">
        <v>0</v>
      </c>
      <c r="N118" s="20">
        <v>0</v>
      </c>
      <c r="O118" s="16" t="s">
        <v>30</v>
      </c>
      <c r="P118" s="16" t="s">
        <v>30</v>
      </c>
      <c r="Q118" s="21">
        <v>0</v>
      </c>
      <c r="R118" s="21">
        <v>0</v>
      </c>
      <c r="S118" s="22">
        <v>0.53651300000000002</v>
      </c>
      <c r="T118" s="22">
        <v>0.49099100000000001</v>
      </c>
      <c r="U118" s="22">
        <v>0.67023500000000003</v>
      </c>
      <c r="V118" s="22">
        <v>1</v>
      </c>
      <c r="W118" s="22">
        <v>1</v>
      </c>
      <c r="X118" s="22">
        <v>0.40875</v>
      </c>
      <c r="Y118" s="22">
        <v>0.47875000000000001</v>
      </c>
      <c r="Z118" s="22"/>
      <c r="AA118" s="16">
        <v>999</v>
      </c>
      <c r="AB118" s="16" t="s">
        <v>255</v>
      </c>
      <c r="AC118" s="18" t="s">
        <v>86</v>
      </c>
      <c r="AD118" s="16" t="s">
        <v>136</v>
      </c>
    </row>
    <row r="119" spans="1:31" s="16" customFormat="1" ht="13.8">
      <c r="A119" s="15" t="s">
        <v>235</v>
      </c>
      <c r="B119" s="16" t="s">
        <v>236</v>
      </c>
      <c r="D119" s="16" t="s">
        <v>36</v>
      </c>
      <c r="E119" s="22">
        <v>250.00001900000001</v>
      </c>
      <c r="F119" s="22">
        <v>353.54964899999999</v>
      </c>
      <c r="G119" s="22">
        <v>2133.3333299999999</v>
      </c>
      <c r="H119" s="18" t="s">
        <v>237</v>
      </c>
      <c r="I119" s="18" t="s">
        <v>39</v>
      </c>
      <c r="J119" s="16">
        <v>0.84</v>
      </c>
      <c r="K119" s="16">
        <v>0.998</v>
      </c>
      <c r="L119" s="20">
        <v>0</v>
      </c>
      <c r="M119" s="20">
        <v>0</v>
      </c>
      <c r="N119" s="20">
        <v>0</v>
      </c>
      <c r="O119" s="18" t="s">
        <v>30</v>
      </c>
      <c r="P119" s="18" t="s">
        <v>30</v>
      </c>
      <c r="Q119" s="21">
        <v>0</v>
      </c>
      <c r="R119" s="21">
        <v>0</v>
      </c>
      <c r="S119" s="22">
        <v>21.499983</v>
      </c>
      <c r="T119" s="22">
        <v>103.991708</v>
      </c>
      <c r="U119" s="22">
        <v>-1312.999998</v>
      </c>
      <c r="V119" s="22">
        <v>1</v>
      </c>
      <c r="W119" s="22">
        <v>1</v>
      </c>
      <c r="X119" s="22">
        <v>788.25</v>
      </c>
      <c r="Y119" s="22">
        <v>913.1</v>
      </c>
      <c r="Z119" s="22"/>
      <c r="AA119" s="23">
        <v>20</v>
      </c>
      <c r="AB119" s="23" t="s">
        <v>238</v>
      </c>
      <c r="AC119" s="18" t="s">
        <v>239</v>
      </c>
      <c r="AD119" s="16" t="s">
        <v>125</v>
      </c>
    </row>
    <row r="120" spans="1:31" s="16" customFormat="1" ht="13.8">
      <c r="A120" s="15" t="s">
        <v>235</v>
      </c>
      <c r="B120" s="16" t="s">
        <v>240</v>
      </c>
      <c r="D120" s="16" t="s">
        <v>36</v>
      </c>
      <c r="E120" s="22">
        <v>571.42348500000003</v>
      </c>
      <c r="F120" s="22">
        <v>10549.499565</v>
      </c>
      <c r="G120" s="22">
        <v>19231.034497000001</v>
      </c>
      <c r="H120" s="18" t="s">
        <v>237</v>
      </c>
      <c r="I120" s="18" t="s">
        <v>39</v>
      </c>
      <c r="J120" s="16">
        <v>0.92</v>
      </c>
      <c r="K120" s="16">
        <v>0.95</v>
      </c>
      <c r="L120" s="22">
        <v>12.857143000000001</v>
      </c>
      <c r="M120" s="22">
        <v>17.057105</v>
      </c>
      <c r="N120" s="22">
        <v>22.275862</v>
      </c>
      <c r="O120" s="18" t="s">
        <v>241</v>
      </c>
      <c r="P120" s="18" t="s">
        <v>242</v>
      </c>
      <c r="Q120" s="16">
        <v>27</v>
      </c>
      <c r="R120" s="16">
        <v>55</v>
      </c>
      <c r="S120" s="22">
        <v>-425.28102899999999</v>
      </c>
      <c r="T120" s="22">
        <v>-9666.0903720000006</v>
      </c>
      <c r="U120" s="22">
        <v>-17743.206910000001</v>
      </c>
      <c r="V120" s="22">
        <v>1</v>
      </c>
      <c r="W120" s="22">
        <v>1</v>
      </c>
      <c r="X120" s="22">
        <v>364.11509853168468</v>
      </c>
      <c r="Y120" s="22">
        <v>864.11509853168468</v>
      </c>
      <c r="Z120" s="22"/>
      <c r="AA120" s="23">
        <v>14.8</v>
      </c>
      <c r="AB120" s="23" t="s">
        <v>238</v>
      </c>
      <c r="AC120" s="18" t="s">
        <v>239</v>
      </c>
      <c r="AD120" s="16" t="s">
        <v>243</v>
      </c>
    </row>
    <row r="121" spans="1:31" s="16" customFormat="1" ht="13.8">
      <c r="A121" s="15" t="s">
        <v>235</v>
      </c>
      <c r="B121" s="16" t="s">
        <v>244</v>
      </c>
      <c r="D121" s="16" t="s">
        <v>36</v>
      </c>
      <c r="E121" s="22">
        <v>102.32558299999999</v>
      </c>
      <c r="F121" s="22">
        <v>248.32645199999999</v>
      </c>
      <c r="G121" s="22">
        <v>888.75496699999997</v>
      </c>
      <c r="H121" s="18" t="s">
        <v>237</v>
      </c>
      <c r="I121" s="18" t="s">
        <v>39</v>
      </c>
      <c r="J121" s="16">
        <v>3</v>
      </c>
      <c r="K121" s="16">
        <v>4.07</v>
      </c>
      <c r="L121" s="22">
        <v>28.81362</v>
      </c>
      <c r="M121" s="22">
        <v>19.331395000000001</v>
      </c>
      <c r="N121" s="22">
        <v>8.3905630000000002</v>
      </c>
      <c r="O121" s="18" t="s">
        <v>241</v>
      </c>
      <c r="P121" s="18" t="s">
        <v>242</v>
      </c>
      <c r="Q121" s="16">
        <v>40</v>
      </c>
      <c r="R121" s="16">
        <v>80</v>
      </c>
      <c r="S121" s="22">
        <v>5.2957320000000001</v>
      </c>
      <c r="T121" s="22">
        <v>286.45087799999999</v>
      </c>
      <c r="U121" s="22">
        <v>-801.89741900000001</v>
      </c>
      <c r="V121" s="22">
        <v>1</v>
      </c>
      <c r="W121" s="22">
        <v>1</v>
      </c>
      <c r="X121" s="22">
        <v>518.19204018547146</v>
      </c>
      <c r="Y121" s="22">
        <v>1018.1920401854715</v>
      </c>
      <c r="Z121" s="22"/>
      <c r="AA121" s="23">
        <v>14.8</v>
      </c>
      <c r="AB121" s="23" t="s">
        <v>238</v>
      </c>
      <c r="AC121" s="18" t="s">
        <v>239</v>
      </c>
      <c r="AD121" s="16" t="s">
        <v>136</v>
      </c>
    </row>
    <row r="122" spans="1:31" s="16" customFormat="1" ht="13.8">
      <c r="A122" s="15" t="s">
        <v>235</v>
      </c>
      <c r="B122" s="16" t="s">
        <v>245</v>
      </c>
      <c r="D122" s="16" t="s">
        <v>36</v>
      </c>
      <c r="E122" s="22">
        <v>102.32558299999999</v>
      </c>
      <c r="F122" s="22">
        <v>248.32645199999999</v>
      </c>
      <c r="G122" s="22">
        <v>888.75496699999997</v>
      </c>
      <c r="H122" s="18" t="s">
        <v>237</v>
      </c>
      <c r="I122" s="18" t="s">
        <v>39</v>
      </c>
      <c r="J122" s="16">
        <v>3</v>
      </c>
      <c r="K122" s="16">
        <v>4.07</v>
      </c>
      <c r="L122" s="22">
        <v>28.81362</v>
      </c>
      <c r="M122" s="22">
        <v>19.331395000000001</v>
      </c>
      <c r="N122" s="22">
        <v>8.3905630000000002</v>
      </c>
      <c r="O122" s="18" t="s">
        <v>241</v>
      </c>
      <c r="P122" s="18" t="s">
        <v>242</v>
      </c>
      <c r="Q122" s="16">
        <v>40</v>
      </c>
      <c r="R122" s="16">
        <v>80</v>
      </c>
      <c r="S122" s="22">
        <v>155.29573199999999</v>
      </c>
      <c r="T122" s="22">
        <v>436.45087799999999</v>
      </c>
      <c r="U122" s="22">
        <v>-651.89741900000001</v>
      </c>
      <c r="V122" s="22">
        <v>1</v>
      </c>
      <c r="W122" s="22">
        <v>1</v>
      </c>
      <c r="X122" s="22">
        <v>518.19204018547146</v>
      </c>
      <c r="Y122" s="22">
        <v>1018.1920401854715</v>
      </c>
      <c r="Z122" s="22"/>
      <c r="AA122" s="23">
        <v>14.8</v>
      </c>
      <c r="AB122" s="23" t="s">
        <v>238</v>
      </c>
      <c r="AC122" s="18" t="s">
        <v>239</v>
      </c>
      <c r="AD122" s="16" t="s">
        <v>136</v>
      </c>
      <c r="AE122" s="16" t="s">
        <v>246</v>
      </c>
    </row>
    <row r="123" spans="1:31" s="16" customFormat="1" ht="13.8">
      <c r="A123" s="15" t="s">
        <v>235</v>
      </c>
      <c r="B123" s="16" t="s">
        <v>247</v>
      </c>
      <c r="D123" s="16" t="s">
        <v>36</v>
      </c>
      <c r="E123" s="22">
        <v>102.32558299999999</v>
      </c>
      <c r="F123" s="22">
        <v>248.32645199999999</v>
      </c>
      <c r="G123" s="22">
        <v>888.75496699999997</v>
      </c>
      <c r="H123" s="18" t="s">
        <v>237</v>
      </c>
      <c r="I123" s="18" t="s">
        <v>39</v>
      </c>
      <c r="J123" s="16">
        <v>3</v>
      </c>
      <c r="K123" s="16">
        <v>4.07</v>
      </c>
      <c r="L123" s="22">
        <v>28.81362</v>
      </c>
      <c r="M123" s="22">
        <v>19.331395000000001</v>
      </c>
      <c r="N123" s="22">
        <v>8.3905630000000002</v>
      </c>
      <c r="O123" s="18" t="s">
        <v>241</v>
      </c>
      <c r="P123" s="18" t="s">
        <v>242</v>
      </c>
      <c r="Q123" s="16">
        <v>40</v>
      </c>
      <c r="R123" s="16">
        <v>80</v>
      </c>
      <c r="S123" s="22">
        <v>455.29573199999999</v>
      </c>
      <c r="T123" s="22">
        <v>736.45087799999999</v>
      </c>
      <c r="U123" s="22">
        <v>-351.89741900000001</v>
      </c>
      <c r="V123" s="22">
        <v>1</v>
      </c>
      <c r="W123" s="22">
        <v>1</v>
      </c>
      <c r="X123" s="22">
        <v>518.19204018547146</v>
      </c>
      <c r="Y123" s="22">
        <v>1018.1920401854715</v>
      </c>
      <c r="Z123" s="22"/>
      <c r="AA123" s="23">
        <v>14.8</v>
      </c>
      <c r="AB123" s="23" t="s">
        <v>238</v>
      </c>
      <c r="AC123" s="18" t="s">
        <v>239</v>
      </c>
      <c r="AD123" s="16" t="s">
        <v>136</v>
      </c>
      <c r="AE123" s="16" t="s">
        <v>248</v>
      </c>
    </row>
    <row r="124" spans="1:31" s="16" customFormat="1" ht="13.8">
      <c r="A124" s="15" t="s">
        <v>235</v>
      </c>
      <c r="B124" s="16" t="s">
        <v>249</v>
      </c>
      <c r="D124" s="16" t="s">
        <v>36</v>
      </c>
      <c r="E124" s="22">
        <v>4192.3333689999999</v>
      </c>
      <c r="F124" s="22">
        <v>3885.5833259999999</v>
      </c>
      <c r="G124" s="22">
        <v>4904.9999989999997</v>
      </c>
      <c r="H124" s="18" t="s">
        <v>237</v>
      </c>
      <c r="I124" s="18" t="s">
        <v>39</v>
      </c>
      <c r="J124" s="16">
        <v>0.81</v>
      </c>
      <c r="K124" s="16">
        <v>0.99</v>
      </c>
      <c r="L124" s="20">
        <v>0</v>
      </c>
      <c r="M124" s="20">
        <v>0</v>
      </c>
      <c r="N124" s="20">
        <v>0</v>
      </c>
      <c r="O124" s="18" t="s">
        <v>30</v>
      </c>
      <c r="P124" s="18" t="s">
        <v>30</v>
      </c>
      <c r="Q124" s="21">
        <v>0</v>
      </c>
      <c r="R124" s="21">
        <v>0</v>
      </c>
      <c r="S124" s="22">
        <v>-2720.853368</v>
      </c>
      <c r="T124" s="22">
        <v>-2098.322494</v>
      </c>
      <c r="U124" s="22">
        <v>-2467.37</v>
      </c>
      <c r="V124" s="22">
        <v>1</v>
      </c>
      <c r="W124" s="22">
        <v>1</v>
      </c>
      <c r="X124" s="22">
        <v>722.56000383530818</v>
      </c>
      <c r="Y124" s="22">
        <v>847.01000383530823</v>
      </c>
      <c r="Z124" s="22"/>
      <c r="AA124" s="23">
        <v>20</v>
      </c>
      <c r="AB124" s="23" t="s">
        <v>238</v>
      </c>
      <c r="AC124" s="18" t="s">
        <v>239</v>
      </c>
      <c r="AD124" s="16" t="s">
        <v>47</v>
      </c>
    </row>
    <row r="125" spans="1:31" s="16" customFormat="1" ht="13.8">
      <c r="A125" s="15" t="s">
        <v>235</v>
      </c>
      <c r="B125" s="16" t="s">
        <v>250</v>
      </c>
      <c r="D125" s="16" t="s">
        <v>36</v>
      </c>
      <c r="E125" s="22">
        <v>5190.1403270000001</v>
      </c>
      <c r="F125" s="22">
        <v>8799.4248750000006</v>
      </c>
      <c r="G125" s="22">
        <v>13355.313398</v>
      </c>
      <c r="H125" s="18" t="s">
        <v>237</v>
      </c>
      <c r="I125" s="18" t="s">
        <v>39</v>
      </c>
      <c r="J125" s="16">
        <v>0.57999999999999996</v>
      </c>
      <c r="K125" s="16">
        <v>0.75</v>
      </c>
      <c r="L125" s="22">
        <v>13.093508999999999</v>
      </c>
      <c r="M125" s="22">
        <v>13.652049</v>
      </c>
      <c r="N125" s="22">
        <v>32.710627000000002</v>
      </c>
      <c r="O125" s="18" t="s">
        <v>241</v>
      </c>
      <c r="P125" s="18" t="s">
        <v>242</v>
      </c>
      <c r="Q125" s="16">
        <v>38</v>
      </c>
      <c r="R125" s="16">
        <v>98</v>
      </c>
      <c r="S125" s="22">
        <v>-3147.3652440000001</v>
      </c>
      <c r="T125" s="22">
        <v>-5066.5643440000003</v>
      </c>
      <c r="U125" s="22">
        <v>-8122.7962159999997</v>
      </c>
      <c r="V125" s="22">
        <v>1</v>
      </c>
      <c r="W125" s="22">
        <v>1</v>
      </c>
      <c r="X125" s="22">
        <v>589.77539412673877</v>
      </c>
      <c r="Y125" s="22">
        <v>800.92924028058496</v>
      </c>
      <c r="Z125" s="22"/>
      <c r="AA125" s="23">
        <v>14</v>
      </c>
      <c r="AB125" s="23" t="s">
        <v>238</v>
      </c>
      <c r="AC125" s="18" t="s">
        <v>239</v>
      </c>
      <c r="AD125" s="16" t="s">
        <v>92</v>
      </c>
    </row>
    <row r="126" spans="1:31" s="16" customFormat="1" ht="13.8">
      <c r="A126" s="15" t="s">
        <v>276</v>
      </c>
      <c r="B126" s="16" t="s">
        <v>156</v>
      </c>
      <c r="D126" s="16" t="s">
        <v>27</v>
      </c>
      <c r="E126" s="20">
        <v>0</v>
      </c>
      <c r="F126" s="20">
        <v>0</v>
      </c>
      <c r="G126" s="20">
        <v>0</v>
      </c>
      <c r="H126" s="16" t="s">
        <v>30</v>
      </c>
      <c r="I126" s="16" t="s">
        <v>30</v>
      </c>
      <c r="J126" s="16">
        <v>0</v>
      </c>
      <c r="K126" s="16">
        <v>0</v>
      </c>
      <c r="L126" s="20">
        <v>0</v>
      </c>
      <c r="M126" s="20">
        <v>0</v>
      </c>
      <c r="N126" s="20">
        <v>0</v>
      </c>
      <c r="O126" s="16" t="s">
        <v>30</v>
      </c>
      <c r="P126" s="16" t="s">
        <v>30</v>
      </c>
      <c r="Q126" s="21">
        <v>0</v>
      </c>
      <c r="R126" s="21">
        <v>0</v>
      </c>
      <c r="S126" s="22">
        <v>24.954681440443213</v>
      </c>
      <c r="T126" s="22">
        <v>54.113275397063234</v>
      </c>
      <c r="U126" s="22">
        <v>113.34530109053355</v>
      </c>
      <c r="V126" s="22">
        <v>1.3137878070264744</v>
      </c>
      <c r="W126" s="22">
        <v>1.6725950404784211</v>
      </c>
      <c r="X126" s="22">
        <v>0</v>
      </c>
      <c r="Y126" s="22">
        <v>0</v>
      </c>
      <c r="Z126" s="22"/>
      <c r="AA126" s="16">
        <v>20</v>
      </c>
      <c r="AB126" s="16" t="s">
        <v>251</v>
      </c>
      <c r="AC126" s="18" t="s">
        <v>252</v>
      </c>
      <c r="AD126" s="16" t="s">
        <v>118</v>
      </c>
      <c r="AE126" s="16" t="s">
        <v>277</v>
      </c>
    </row>
    <row r="127" spans="1:31" s="16" customFormat="1" ht="13.8">
      <c r="A127" s="15" t="s">
        <v>276</v>
      </c>
      <c r="B127" s="16" t="s">
        <v>253</v>
      </c>
      <c r="D127" s="16" t="s">
        <v>27</v>
      </c>
      <c r="E127" s="20">
        <v>0</v>
      </c>
      <c r="F127" s="20">
        <v>0</v>
      </c>
      <c r="G127" s="20">
        <v>0</v>
      </c>
      <c r="H127" s="16" t="s">
        <v>30</v>
      </c>
      <c r="I127" s="16" t="s">
        <v>30</v>
      </c>
      <c r="J127" s="16">
        <v>0</v>
      </c>
      <c r="K127" s="16">
        <v>0</v>
      </c>
      <c r="L127" s="20">
        <v>0</v>
      </c>
      <c r="M127" s="20">
        <v>0</v>
      </c>
      <c r="N127" s="20">
        <v>0</v>
      </c>
      <c r="O127" s="16" t="s">
        <v>30</v>
      </c>
      <c r="P127" s="16" t="s">
        <v>30</v>
      </c>
      <c r="Q127" s="21">
        <v>0</v>
      </c>
      <c r="R127" s="21">
        <v>0</v>
      </c>
      <c r="S127" s="22">
        <v>112.075</v>
      </c>
      <c r="T127" s="22">
        <v>206.565</v>
      </c>
      <c r="U127" s="22">
        <v>401.50000000000006</v>
      </c>
      <c r="V127" s="22">
        <v>1.3137878070264744</v>
      </c>
      <c r="W127" s="22">
        <v>1.6725950404784211</v>
      </c>
      <c r="X127" s="22">
        <v>0</v>
      </c>
      <c r="Y127" s="22">
        <v>0</v>
      </c>
      <c r="Z127" s="22"/>
      <c r="AA127" s="16">
        <v>20</v>
      </c>
      <c r="AB127" s="16" t="s">
        <v>251</v>
      </c>
      <c r="AC127" s="18" t="s">
        <v>252</v>
      </c>
      <c r="AD127" s="16" t="s">
        <v>118</v>
      </c>
      <c r="AE127" s="16" t="s">
        <v>277</v>
      </c>
    </row>
    <row r="128" spans="1:31" s="16" customFormat="1" ht="13.8">
      <c r="A128" s="15" t="s">
        <v>276</v>
      </c>
      <c r="B128" s="16" t="s">
        <v>254</v>
      </c>
      <c r="D128" s="16" t="s">
        <v>27</v>
      </c>
      <c r="E128" s="20">
        <v>0</v>
      </c>
      <c r="F128" s="20">
        <v>0</v>
      </c>
      <c r="G128" s="20">
        <v>0</v>
      </c>
      <c r="H128" s="16" t="s">
        <v>30</v>
      </c>
      <c r="I128" s="16" t="s">
        <v>30</v>
      </c>
      <c r="J128" s="16">
        <v>0</v>
      </c>
      <c r="K128" s="16">
        <v>0</v>
      </c>
      <c r="L128" s="20">
        <v>0</v>
      </c>
      <c r="M128" s="20">
        <v>0</v>
      </c>
      <c r="N128" s="20">
        <v>0</v>
      </c>
      <c r="O128" s="16" t="s">
        <v>30</v>
      </c>
      <c r="P128" s="16" t="s">
        <v>30</v>
      </c>
      <c r="Q128" s="21">
        <v>0</v>
      </c>
      <c r="R128" s="21">
        <v>0</v>
      </c>
      <c r="S128" s="22">
        <v>8.9700000000000006</v>
      </c>
      <c r="T128" s="22">
        <v>21.041666666666664</v>
      </c>
      <c r="U128" s="22">
        <v>26.540487804878051</v>
      </c>
      <c r="V128" s="22">
        <v>1.1456873315363882</v>
      </c>
      <c r="W128" s="22">
        <v>1.2228370223542624</v>
      </c>
      <c r="X128" s="22">
        <v>0</v>
      </c>
      <c r="Y128" s="22">
        <v>0</v>
      </c>
      <c r="Z128" s="22"/>
      <c r="AA128" s="16">
        <v>20</v>
      </c>
      <c r="AB128" s="16" t="s">
        <v>251</v>
      </c>
      <c r="AC128" s="18" t="s">
        <v>252</v>
      </c>
      <c r="AD128" s="16" t="s">
        <v>120</v>
      </c>
      <c r="AE128" s="16" t="s">
        <v>277</v>
      </c>
    </row>
    <row r="129" spans="1:30" s="16" customFormat="1" ht="13.8">
      <c r="A129" s="15" t="s">
        <v>209</v>
      </c>
      <c r="B129" s="16" t="s">
        <v>88</v>
      </c>
      <c r="D129" s="16" t="s">
        <v>27</v>
      </c>
      <c r="E129" s="22">
        <v>6.8807999999999994E-2</v>
      </c>
      <c r="F129" s="22">
        <v>0.13142799999999999</v>
      </c>
      <c r="G129" s="22">
        <v>0.29178500000000002</v>
      </c>
      <c r="H129" s="16" t="s">
        <v>83</v>
      </c>
      <c r="I129" s="16" t="s">
        <v>84</v>
      </c>
      <c r="J129" s="16">
        <v>1.44</v>
      </c>
      <c r="K129" s="16">
        <v>10</v>
      </c>
      <c r="L129" s="20">
        <v>0</v>
      </c>
      <c r="M129" s="20">
        <v>0</v>
      </c>
      <c r="N129" s="20">
        <v>0</v>
      </c>
      <c r="O129" s="16" t="s">
        <v>30</v>
      </c>
      <c r="P129" s="16" t="s">
        <v>30</v>
      </c>
      <c r="Q129" s="21">
        <v>0</v>
      </c>
      <c r="R129" s="21">
        <v>0</v>
      </c>
      <c r="S129" s="22">
        <v>0.13047400000000001</v>
      </c>
      <c r="T129" s="22">
        <v>7.2905999999999999E-2</v>
      </c>
      <c r="U129" s="22">
        <v>4.2856999999999999E-2</v>
      </c>
      <c r="V129" s="22">
        <v>1</v>
      </c>
      <c r="W129" s="22">
        <v>1</v>
      </c>
      <c r="X129" s="22">
        <v>0.45500000000000002</v>
      </c>
      <c r="Y129" s="22">
        <v>0.52500000000000002</v>
      </c>
      <c r="Z129" s="22"/>
      <c r="AA129" s="16">
        <v>999</v>
      </c>
      <c r="AB129" s="16" t="s">
        <v>104</v>
      </c>
      <c r="AC129" s="18" t="s">
        <v>86</v>
      </c>
      <c r="AD129" s="16" t="s">
        <v>47</v>
      </c>
    </row>
    <row r="130" spans="1:30" s="16" customFormat="1" ht="13.8">
      <c r="A130" s="15" t="s">
        <v>209</v>
      </c>
      <c r="B130" s="16" t="s">
        <v>82</v>
      </c>
      <c r="D130" s="16" t="s">
        <v>27</v>
      </c>
      <c r="E130" s="22">
        <v>3.1667000000000001E-2</v>
      </c>
      <c r="F130" s="22">
        <v>4.1599999999999998E-2</v>
      </c>
      <c r="G130" s="22">
        <v>4.9167000000000002E-2</v>
      </c>
      <c r="H130" s="16" t="s">
        <v>83</v>
      </c>
      <c r="I130" s="16" t="s">
        <v>84</v>
      </c>
      <c r="J130" s="16">
        <v>6</v>
      </c>
      <c r="K130" s="16">
        <v>49</v>
      </c>
      <c r="L130" s="20">
        <v>0</v>
      </c>
      <c r="M130" s="20">
        <v>0</v>
      </c>
      <c r="N130" s="20">
        <v>0</v>
      </c>
      <c r="O130" s="16" t="s">
        <v>30</v>
      </c>
      <c r="P130" s="16" t="s">
        <v>30</v>
      </c>
      <c r="Q130" s="21">
        <v>0</v>
      </c>
      <c r="R130" s="21">
        <v>0</v>
      </c>
      <c r="S130" s="22">
        <v>0.158332</v>
      </c>
      <c r="T130" s="22">
        <v>0.2392</v>
      </c>
      <c r="U130" s="22">
        <v>1.5749979999999999</v>
      </c>
      <c r="V130" s="22">
        <v>1</v>
      </c>
      <c r="W130" s="22">
        <v>1</v>
      </c>
      <c r="X130" s="22">
        <v>0.58609756097560994</v>
      </c>
      <c r="Y130" s="22">
        <v>0.75609756097560998</v>
      </c>
      <c r="Z130" s="22"/>
      <c r="AA130" s="16">
        <v>999</v>
      </c>
      <c r="AB130" s="16" t="s">
        <v>255</v>
      </c>
      <c r="AC130" s="18" t="s">
        <v>86</v>
      </c>
      <c r="AD130" s="16" t="s">
        <v>87</v>
      </c>
    </row>
    <row r="131" spans="1:30" s="16" customFormat="1" ht="13.8">
      <c r="A131" s="15" t="s">
        <v>209</v>
      </c>
      <c r="B131" s="16" t="s">
        <v>124</v>
      </c>
      <c r="D131" s="16" t="s">
        <v>27</v>
      </c>
      <c r="E131" s="22">
        <v>3.6189999999999998E-3</v>
      </c>
      <c r="F131" s="22">
        <v>7.0400000000000003E-3</v>
      </c>
      <c r="G131" s="22">
        <v>1.0169999999999999E-3</v>
      </c>
      <c r="H131" s="16" t="s">
        <v>83</v>
      </c>
      <c r="I131" s="16" t="s">
        <v>84</v>
      </c>
      <c r="J131" s="16">
        <v>2.78</v>
      </c>
      <c r="K131" s="16">
        <v>38</v>
      </c>
      <c r="L131" s="20">
        <v>0</v>
      </c>
      <c r="M131" s="20">
        <v>0</v>
      </c>
      <c r="N131" s="20">
        <v>0</v>
      </c>
      <c r="O131" s="16" t="s">
        <v>30</v>
      </c>
      <c r="P131" s="16" t="s">
        <v>30</v>
      </c>
      <c r="Q131" s="21">
        <v>0</v>
      </c>
      <c r="R131" s="21">
        <v>0</v>
      </c>
      <c r="S131" s="22">
        <v>0.156253</v>
      </c>
      <c r="T131" s="22">
        <v>0.27888200000000002</v>
      </c>
      <c r="U131" s="22">
        <v>0.95593399999999995</v>
      </c>
      <c r="V131" s="22">
        <v>1.7305785123966939</v>
      </c>
      <c r="W131" s="22">
        <v>1.8099173553719006</v>
      </c>
      <c r="X131" s="22">
        <v>0</v>
      </c>
      <c r="Y131" s="22">
        <v>0</v>
      </c>
      <c r="Z131" s="22"/>
      <c r="AA131" s="16">
        <v>999</v>
      </c>
      <c r="AB131" s="16" t="s">
        <v>255</v>
      </c>
      <c r="AC131" s="18" t="s">
        <v>86</v>
      </c>
      <c r="AD131" s="16" t="s">
        <v>125</v>
      </c>
    </row>
    <row r="132" spans="1:30" s="16" customFormat="1" ht="13.8">
      <c r="A132" s="15" t="s">
        <v>209</v>
      </c>
      <c r="B132" s="16" t="s">
        <v>213</v>
      </c>
      <c r="D132" s="16" t="s">
        <v>27</v>
      </c>
      <c r="E132" s="22">
        <v>2.6870999999999999E-2</v>
      </c>
      <c r="F132" s="22">
        <v>0.101739</v>
      </c>
      <c r="G132" s="22">
        <v>0.144589</v>
      </c>
      <c r="H132" s="16" t="s">
        <v>83</v>
      </c>
      <c r="I132" s="16" t="s">
        <v>84</v>
      </c>
      <c r="J132" s="16">
        <v>2.7</v>
      </c>
      <c r="K132" s="16">
        <v>31</v>
      </c>
      <c r="L132" s="20">
        <v>0</v>
      </c>
      <c r="M132" s="20">
        <v>0</v>
      </c>
      <c r="N132" s="20">
        <v>0</v>
      </c>
      <c r="O132" s="16" t="s">
        <v>30</v>
      </c>
      <c r="P132" s="16" t="s">
        <v>30</v>
      </c>
      <c r="Q132" s="21">
        <v>0</v>
      </c>
      <c r="R132" s="21">
        <v>0</v>
      </c>
      <c r="S132" s="22">
        <v>0.53651300000000002</v>
      </c>
      <c r="T132" s="22">
        <v>0.49099100000000001</v>
      </c>
      <c r="U132" s="22">
        <v>0.67023500000000003</v>
      </c>
      <c r="V132" s="22">
        <v>1</v>
      </c>
      <c r="W132" s="22">
        <v>1</v>
      </c>
      <c r="X132" s="22">
        <v>0.40875</v>
      </c>
      <c r="Y132" s="22">
        <v>0.47875000000000001</v>
      </c>
      <c r="Z132" s="22"/>
      <c r="AA132" s="16">
        <v>999</v>
      </c>
      <c r="AB132" s="16" t="s">
        <v>255</v>
      </c>
      <c r="AC132" s="18" t="s">
        <v>86</v>
      </c>
      <c r="AD132" s="16" t="s">
        <v>136</v>
      </c>
    </row>
    <row r="133" spans="1:30" s="16" customFormat="1" ht="13.8">
      <c r="A133" s="15" t="s">
        <v>209</v>
      </c>
      <c r="B133" s="16" t="s">
        <v>91</v>
      </c>
      <c r="D133" s="16" t="s">
        <v>27</v>
      </c>
      <c r="E133" s="22">
        <v>0.12371699999999999</v>
      </c>
      <c r="F133" s="22">
        <v>0.17549999999999999</v>
      </c>
      <c r="G133" s="22">
        <v>0.22850000000000001</v>
      </c>
      <c r="H133" s="16" t="s">
        <v>83</v>
      </c>
      <c r="I133" s="16" t="s">
        <v>84</v>
      </c>
      <c r="J133" s="16">
        <v>1</v>
      </c>
      <c r="K133" s="16">
        <v>20</v>
      </c>
      <c r="L133" s="20">
        <v>0</v>
      </c>
      <c r="M133" s="20">
        <v>0</v>
      </c>
      <c r="N133" s="20">
        <v>0</v>
      </c>
      <c r="O133" s="16" t="s">
        <v>30</v>
      </c>
      <c r="P133" s="16" t="s">
        <v>30</v>
      </c>
      <c r="Q133" s="21">
        <v>0</v>
      </c>
      <c r="R133" s="21">
        <v>0</v>
      </c>
      <c r="S133" s="22">
        <v>6.5725000000000006E-2</v>
      </c>
      <c r="T133" s="22">
        <v>0.10125199999999999</v>
      </c>
      <c r="U133" s="22">
        <v>2.7075</v>
      </c>
      <c r="V133" s="22">
        <v>1</v>
      </c>
      <c r="W133" s="22">
        <v>1</v>
      </c>
      <c r="X133" s="22">
        <v>0.45500000000000002</v>
      </c>
      <c r="Y133" s="22">
        <v>0.52500000000000002</v>
      </c>
      <c r="Z133" s="22"/>
      <c r="AA133" s="16">
        <v>999</v>
      </c>
      <c r="AB133" s="16" t="s">
        <v>255</v>
      </c>
      <c r="AC133" s="18" t="s">
        <v>86</v>
      </c>
      <c r="AD133" s="16" t="s">
        <v>92</v>
      </c>
    </row>
    <row r="134" spans="1:30" s="16" customFormat="1" ht="13.8">
      <c r="A134" s="15" t="s">
        <v>209</v>
      </c>
      <c r="B134" s="16" t="s">
        <v>101</v>
      </c>
      <c r="D134" s="16" t="s">
        <v>27</v>
      </c>
      <c r="E134" s="22">
        <v>0.209286</v>
      </c>
      <c r="F134" s="22">
        <v>0.30105500000000002</v>
      </c>
      <c r="G134" s="22">
        <v>0.61853499999999995</v>
      </c>
      <c r="H134" s="16" t="s">
        <v>83</v>
      </c>
      <c r="I134" s="16" t="s">
        <v>84</v>
      </c>
      <c r="J134" s="16">
        <v>5.5</v>
      </c>
      <c r="K134" s="16">
        <v>42</v>
      </c>
      <c r="L134" s="20">
        <v>0</v>
      </c>
      <c r="M134" s="20">
        <v>0</v>
      </c>
      <c r="N134" s="20">
        <v>0</v>
      </c>
      <c r="O134" s="16" t="s">
        <v>30</v>
      </c>
      <c r="P134" s="16" t="s">
        <v>30</v>
      </c>
      <c r="Q134" s="21">
        <v>0</v>
      </c>
      <c r="R134" s="21">
        <v>0</v>
      </c>
      <c r="S134" s="22">
        <v>3.9999999999999998E-6</v>
      </c>
      <c r="T134" s="22">
        <v>3.1016999999999999E-2</v>
      </c>
      <c r="U134" s="22">
        <v>-3.0620000000000001E-3</v>
      </c>
      <c r="V134" s="22">
        <v>1.1366795366795368</v>
      </c>
      <c r="W134" s="22">
        <v>1.2849420849420852</v>
      </c>
      <c r="X134" s="22">
        <v>0</v>
      </c>
      <c r="Y134" s="22">
        <v>0</v>
      </c>
      <c r="Z134" s="22"/>
      <c r="AA134" s="16">
        <v>999</v>
      </c>
      <c r="AB134" s="16" t="s">
        <v>255</v>
      </c>
      <c r="AC134" s="18" t="s">
        <v>86</v>
      </c>
      <c r="AD134" s="16" t="s">
        <v>87</v>
      </c>
    </row>
    <row r="135" spans="1:30" s="16" customFormat="1" ht="13.8">
      <c r="A135" s="15" t="s">
        <v>209</v>
      </c>
      <c r="B135" s="16" t="s">
        <v>102</v>
      </c>
      <c r="D135" s="16" t="s">
        <v>27</v>
      </c>
      <c r="E135" s="22">
        <v>0.146427</v>
      </c>
      <c r="F135" s="22">
        <v>0.27345000000000003</v>
      </c>
      <c r="G135" s="22">
        <v>0.42841000000000001</v>
      </c>
      <c r="H135" s="16" t="s">
        <v>83</v>
      </c>
      <c r="I135" s="16" t="s">
        <v>84</v>
      </c>
      <c r="J135" s="16">
        <v>3.7</v>
      </c>
      <c r="K135" s="16">
        <v>25.8</v>
      </c>
      <c r="L135" s="20">
        <v>0</v>
      </c>
      <c r="M135" s="20">
        <v>0</v>
      </c>
      <c r="N135" s="20">
        <v>0</v>
      </c>
      <c r="O135" s="16" t="s">
        <v>30</v>
      </c>
      <c r="P135" s="16" t="s">
        <v>30</v>
      </c>
      <c r="Q135" s="21">
        <v>0</v>
      </c>
      <c r="R135" s="21">
        <v>0</v>
      </c>
      <c r="S135" s="22">
        <v>0.10636900000000001</v>
      </c>
      <c r="T135" s="22">
        <v>-5.6141999999999997E-2</v>
      </c>
      <c r="U135" s="22">
        <v>-0.192549</v>
      </c>
      <c r="V135" s="22">
        <v>1.1366795366795368</v>
      </c>
      <c r="W135" s="22">
        <v>1.2853438804658319</v>
      </c>
      <c r="X135" s="22">
        <v>0</v>
      </c>
      <c r="Y135" s="22">
        <v>0</v>
      </c>
      <c r="Z135" s="22"/>
      <c r="AA135" s="16">
        <v>999</v>
      </c>
      <c r="AB135" s="16" t="s">
        <v>255</v>
      </c>
      <c r="AC135" s="18" t="s">
        <v>86</v>
      </c>
      <c r="AD135" s="16" t="s">
        <v>41</v>
      </c>
    </row>
    <row r="137" spans="1:30">
      <c r="E137" s="40"/>
      <c r="G137" s="41"/>
      <c r="S137" s="41"/>
      <c r="T137" s="41"/>
      <c r="U137" s="41"/>
      <c r="X137" s="13"/>
      <c r="Y137" s="13"/>
      <c r="Z137" s="13"/>
    </row>
    <row r="138" spans="1:30">
      <c r="E138" s="40"/>
      <c r="F138" s="41"/>
      <c r="G138" s="41"/>
    </row>
    <row r="139" spans="1:30">
      <c r="E139" s="40"/>
      <c r="F139" s="40"/>
      <c r="G139" s="40"/>
    </row>
    <row r="140" spans="1:30">
      <c r="E140" s="40"/>
      <c r="F140" s="40"/>
      <c r="G140" s="40"/>
    </row>
    <row r="141" spans="1:30">
      <c r="D141" s="4"/>
      <c r="E141" s="40"/>
      <c r="F141" s="40"/>
      <c r="G141" s="40"/>
    </row>
    <row r="142" spans="1:30">
      <c r="D142" s="4"/>
      <c r="E142" s="40"/>
      <c r="F142" s="40"/>
      <c r="G142" s="40"/>
    </row>
    <row r="144" spans="1:30">
      <c r="D144" s="4"/>
    </row>
  </sheetData>
  <autoFilter ref="A2:AF135" xr:uid="{56B74241-91F9-48C0-AAFB-3138257C3A12}">
    <sortState xmlns:xlrd2="http://schemas.microsoft.com/office/spreadsheetml/2017/richdata2" ref="A3:AF135">
      <sortCondition ref="A2:A135"/>
    </sortState>
  </autoFilter>
  <mergeCells count="7">
    <mergeCell ref="A1:D1"/>
    <mergeCell ref="AA1:AE1"/>
    <mergeCell ref="E1:K1"/>
    <mergeCell ref="L1:R1"/>
    <mergeCell ref="S1:U1"/>
    <mergeCell ref="V1:W1"/>
    <mergeCell ref="X1:Y1"/>
  </mergeCells>
  <phoneticPr fontId="6"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EB4C6-937E-4F35-BD10-3AD7ADD756AF}">
  <sheetPr codeName="Sheet2">
    <tabColor theme="4" tint="0.59999389629810485"/>
  </sheetPr>
  <dimension ref="A1:B16"/>
  <sheetViews>
    <sheetView workbookViewId="0"/>
  </sheetViews>
  <sheetFormatPr defaultColWidth="8.77734375" defaultRowHeight="14.4"/>
  <cols>
    <col min="1" max="1" width="8.109375" bestFit="1" customWidth="1"/>
    <col min="2" max="2" width="25.109375" bestFit="1" customWidth="1"/>
  </cols>
  <sheetData>
    <row r="1" spans="1:2">
      <c r="A1" s="1" t="s">
        <v>256</v>
      </c>
      <c r="B1" s="1" t="s">
        <v>257</v>
      </c>
    </row>
    <row r="2" spans="1:2">
      <c r="A2">
        <v>1</v>
      </c>
      <c r="B2" t="s">
        <v>258</v>
      </c>
    </row>
    <row r="3" spans="1:2">
      <c r="A3">
        <v>2</v>
      </c>
      <c r="B3" t="s">
        <v>259</v>
      </c>
    </row>
    <row r="4" spans="1:2">
      <c r="A4">
        <v>3</v>
      </c>
      <c r="B4" t="s">
        <v>260</v>
      </c>
    </row>
    <row r="5" spans="1:2">
      <c r="A5">
        <v>4</v>
      </c>
      <c r="B5" t="s">
        <v>261</v>
      </c>
    </row>
    <row r="6" spans="1:2">
      <c r="A6">
        <v>6</v>
      </c>
      <c r="B6" t="s">
        <v>262</v>
      </c>
    </row>
    <row r="7" spans="1:2">
      <c r="A7">
        <v>7</v>
      </c>
      <c r="B7" t="s">
        <v>263</v>
      </c>
    </row>
    <row r="8" spans="1:2">
      <c r="A8">
        <v>9</v>
      </c>
      <c r="B8" t="s">
        <v>264</v>
      </c>
    </row>
    <row r="9" spans="1:2">
      <c r="A9">
        <v>10</v>
      </c>
      <c r="B9" t="s">
        <v>265</v>
      </c>
    </row>
    <row r="10" spans="1:2">
      <c r="A10">
        <v>11</v>
      </c>
      <c r="B10" t="s">
        <v>266</v>
      </c>
    </row>
    <row r="11" spans="1:2">
      <c r="A11">
        <v>12</v>
      </c>
      <c r="B11" t="s">
        <v>267</v>
      </c>
    </row>
    <row r="12" spans="1:2">
      <c r="A12">
        <v>13</v>
      </c>
      <c r="B12" t="s">
        <v>268</v>
      </c>
    </row>
    <row r="13" spans="1:2">
      <c r="A13">
        <v>14</v>
      </c>
      <c r="B13" t="s">
        <v>278</v>
      </c>
    </row>
    <row r="14" spans="1:2">
      <c r="A14">
        <v>15</v>
      </c>
      <c r="B14" t="s">
        <v>280</v>
      </c>
    </row>
    <row r="15" spans="1:2">
      <c r="A15">
        <v>16</v>
      </c>
      <c r="B15" t="s">
        <v>281</v>
      </c>
    </row>
    <row r="16" spans="1:2">
      <c r="A16">
        <v>17</v>
      </c>
      <c r="B16" s="14" t="s">
        <v>282</v>
      </c>
    </row>
  </sheetData>
  <hyperlinks>
    <hyperlink ref="B16" r:id="rId1" xr:uid="{00A7A119-3B96-8F47-B289-3780E122C47F}"/>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F850A1559E724CAD00C081F2D04BAF" ma:contentTypeVersion="6" ma:contentTypeDescription="Create a new document." ma:contentTypeScope="" ma:versionID="75349a5e85931e37bb9df400c30ba415">
  <xsd:schema xmlns:xsd="http://www.w3.org/2001/XMLSchema" xmlns:xs="http://www.w3.org/2001/XMLSchema" xmlns:p="http://schemas.microsoft.com/office/2006/metadata/properties" xmlns:ns2="bad925ed-4220-44c3-9a7c-0046cc550845" xmlns:ns3="b014a33d-1a21-47b2-af41-942c97684f74" targetNamespace="http://schemas.microsoft.com/office/2006/metadata/properties" ma:root="true" ma:fieldsID="c75db39d9a7086a78fe4af6fe45d5ee8" ns2:_="" ns3:_="">
    <xsd:import namespace="bad925ed-4220-44c3-9a7c-0046cc550845"/>
    <xsd:import namespace="b014a33d-1a21-47b2-af41-942c97684f7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d925ed-4220-44c3-9a7c-0046cc5508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014a33d-1a21-47b2-af41-942c97684f7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2FEA9FB-B25C-4D88-9A46-0509487909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d925ed-4220-44c3-9a7c-0046cc550845"/>
    <ds:schemaRef ds:uri="b014a33d-1a21-47b2-af41-942c97684f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8ADA4AB-CB82-4EF8-B5D0-0F27BCB1B227}">
  <ds:schemaRefs>
    <ds:schemaRef ds:uri="http://schemas.microsoft.com/sharepoint/v3/contenttype/forms"/>
  </ds:schemaRefs>
</ds:datastoreItem>
</file>

<file path=customXml/itemProps3.xml><?xml version="1.0" encoding="utf-8"?>
<ds:datastoreItem xmlns:ds="http://schemas.openxmlformats.org/officeDocument/2006/customXml" ds:itemID="{B40EB417-4426-4274-AEB7-116F0DC39708}">
  <ds:schemaRefs>
    <ds:schemaRef ds:uri="http://schemas.microsoft.com/office/2006/documentManagement/types"/>
    <ds:schemaRef ds:uri="http://schemas.microsoft.com/office/2006/metadata/properties"/>
    <ds:schemaRef ds:uri="http://www.w3.org/XML/1998/namespace"/>
    <ds:schemaRef ds:uri="http://purl.org/dc/terms/"/>
    <ds:schemaRef ds:uri="http://schemas.microsoft.com/office/infopath/2007/PartnerControls"/>
    <ds:schemaRef ds:uri="b014a33d-1a21-47b2-af41-942c97684f74"/>
    <ds:schemaRef ds:uri="http://purl.org/dc/elements/1.1/"/>
    <ds:schemaRef ds:uri="http://schemas.openxmlformats.org/package/2006/metadata/core-properties"/>
    <ds:schemaRef ds:uri="bad925ed-4220-44c3-9a7c-0046cc550845"/>
    <ds:schemaRef ds:uri="http://purl.org/dc/dcmitype/"/>
  </ds:schemaRefs>
</ds:datastoreItem>
</file>

<file path=docMetadata/LabelInfo.xml><?xml version="1.0" encoding="utf-8"?>
<clbl:labelList xmlns:clbl="http://schemas.microsoft.com/office/2020/mipLabelMetadata">
  <clbl:label id="{95965d95-ecc0-4720-b759-1f33c42ed7da}" enabled="1" method="Privileged" siteId="{a0f29d7e-28cd-4f54-8442-7885aee7c08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Machine Read</vt:lpstr>
      <vt:lpstr>Data Sources</vt:lpstr>
      <vt:lpstr>range_mult</vt:lpstr>
      <vt:lpstr>range_mult2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Kyung Lee</dc:creator>
  <cp:keywords/>
  <dc:description/>
  <cp:lastModifiedBy>Jordan Malique Joseph</cp:lastModifiedBy>
  <cp:revision/>
  <dcterms:created xsi:type="dcterms:W3CDTF">2023-03-07T18:07:37Z</dcterms:created>
  <dcterms:modified xsi:type="dcterms:W3CDTF">2025-12-02T01:54:04Z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0x01010077F850A1559E724CAD00C081F2D04BAF</vt:lpwstr>
  </property>
  <property fmtid="{D5CDD505-2E9C-101B-9397-08002B2CF9AE}" pid="3" name="MediaServiceImageTags">
    <vt:lpwstr/>
  </property>
  <property fmtid="{D5CDD505-2E9C-101B-9397-08002B2CF9AE}" pid="4" name="MSIP_Label_95965d95-ecc0-4720-b759-1f33c42ed7da_Enabled">
    <vt:lpwstr>true</vt:lpwstr>
  </property>
  <property fmtid="{D5CDD505-2E9C-101B-9397-08002B2CF9AE}" pid="5" name="MSIP_Label_95965d95-ecc0-4720-b759-1f33c42ed7da_SetDate">
    <vt:lpwstr>2024-09-06T15:26:14Z</vt:lpwstr>
  </property>
  <property fmtid="{D5CDD505-2E9C-101B-9397-08002B2CF9AE}" pid="6" name="MSIP_Label_95965d95-ecc0-4720-b759-1f33c42ed7da_Method">
    <vt:lpwstr>Privileged</vt:lpwstr>
  </property>
  <property fmtid="{D5CDD505-2E9C-101B-9397-08002B2CF9AE}" pid="7" name="MSIP_Label_95965d95-ecc0-4720-b759-1f33c42ed7da_Name">
    <vt:lpwstr>General</vt:lpwstr>
  </property>
  <property fmtid="{D5CDD505-2E9C-101B-9397-08002B2CF9AE}" pid="8" name="MSIP_Label_95965d95-ecc0-4720-b759-1f33c42ed7da_SiteId">
    <vt:lpwstr>a0f29d7e-28cd-4f54-8442-7885aee7c080</vt:lpwstr>
  </property>
  <property fmtid="{D5CDD505-2E9C-101B-9397-08002B2CF9AE}" pid="9" name="MSIP_Label_95965d95-ecc0-4720-b759-1f33c42ed7da_ActionId">
    <vt:lpwstr>e3e7c5f3-9571-4fee-b05f-31996387fc5e</vt:lpwstr>
  </property>
  <property fmtid="{D5CDD505-2E9C-101B-9397-08002B2CF9AE}" pid="10" name="MSIP_Label_95965d95-ecc0-4720-b759-1f33c42ed7da_ContentBits">
    <vt:lpwstr>0</vt:lpwstr>
  </property>
</Properties>
</file>