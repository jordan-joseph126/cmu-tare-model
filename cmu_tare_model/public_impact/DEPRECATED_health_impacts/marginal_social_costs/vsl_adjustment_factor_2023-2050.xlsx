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cmu_tare_model\public_impact\data_processing\"/>
    </mc:Choice>
  </mc:AlternateContent>
  <xr:revisionPtr revIDLastSave="0" documentId="13_ncr:1_{4539A0C7-8504-4FA2-B20A-FA9031A91FDF}" xr6:coauthVersionLast="47" xr6:coauthVersionMax="47" xr10:uidLastSave="{00000000-0000-0000-0000-000000000000}"/>
  <bookViews>
    <workbookView xWindow="-108" yWindow="-108" windowWidth="23256" windowHeight="13896" firstSheet="1" activeTab="3" xr2:uid="{8E4D09D5-148A-4DF6-8896-0844C65459A2}"/>
  </bookViews>
  <sheets>
    <sheet name="CPSC_VSL_Guidance" sheetId="2" r:id="rId1"/>
    <sheet name="CBO_Table_C1" sheetId="1" r:id="rId2"/>
    <sheet name="CPSC_HHS_VSL_Guidelines" sheetId="3" r:id="rId3"/>
    <sheet name="vsl_adjustment_fact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" i="4"/>
  <c r="F29" i="4"/>
  <c r="F24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5" i="4"/>
  <c r="F26" i="4"/>
  <c r="F27" i="4"/>
  <c r="F28" i="4"/>
  <c r="F3" i="4"/>
  <c r="A2" i="3"/>
  <c r="B2" i="3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2" i="4"/>
  <c r="D24" i="4" l="1"/>
  <c r="D11" i="4"/>
  <c r="D19" i="4"/>
  <c r="D5" i="4"/>
  <c r="D14" i="4"/>
  <c r="D22" i="4"/>
  <c r="D15" i="4"/>
  <c r="E15" i="4" s="1"/>
  <c r="D23" i="4"/>
  <c r="E23" i="4" s="1"/>
  <c r="D9" i="4"/>
  <c r="E9" i="4" s="1"/>
  <c r="D16" i="4"/>
  <c r="E16" i="4" s="1"/>
  <c r="D3" i="4"/>
  <c r="E3" i="4" s="1"/>
  <c r="D10" i="4"/>
  <c r="D17" i="4"/>
  <c r="E17" i="4" s="1"/>
  <c r="D26" i="4"/>
  <c r="E26" i="4" s="1"/>
  <c r="D12" i="4"/>
  <c r="D27" i="4"/>
  <c r="D20" i="4"/>
  <c r="D6" i="4"/>
  <c r="D13" i="4"/>
  <c r="D28" i="4"/>
  <c r="D21" i="4"/>
  <c r="D7" i="4"/>
  <c r="D29" i="4"/>
  <c r="D8" i="4"/>
  <c r="E8" i="4" s="1"/>
  <c r="D2" i="4"/>
  <c r="E24" i="4"/>
  <c r="E11" i="4"/>
  <c r="E27" i="4"/>
  <c r="D25" i="4"/>
  <c r="D18" i="4"/>
  <c r="E18" i="4" s="1"/>
  <c r="D4" i="4"/>
  <c r="E4" i="4" s="1"/>
  <c r="E25" i="4"/>
  <c r="E29" i="4"/>
  <c r="E22" i="4"/>
  <c r="E10" i="4"/>
  <c r="E19" i="4"/>
  <c r="E5" i="4"/>
  <c r="E20" i="4"/>
  <c r="E28" i="4"/>
  <c r="E14" i="4"/>
  <c r="E21" i="4"/>
  <c r="E6" i="4"/>
  <c r="E13" i="4"/>
  <c r="E7" i="4"/>
  <c r="E12" i="4"/>
</calcChain>
</file>

<file path=xl/sharedStrings.xml><?xml version="1.0" encoding="utf-8"?>
<sst xmlns="http://schemas.openxmlformats.org/spreadsheetml/2006/main" count="42" uniqueCount="37">
  <si>
    <r>
      <t xml:space="preserve">This file presents the data from the tables and figures in CBO’s June 2023 report </t>
    </r>
    <r>
      <rPr>
        <i/>
        <sz val="11"/>
        <color theme="1"/>
        <rFont val="Arial"/>
        <family val="2"/>
      </rPr>
      <t>The 2023 Long-Term Budget Outlook</t>
    </r>
    <r>
      <rPr>
        <sz val="11"/>
        <color theme="1"/>
        <rFont val="Arial"/>
        <family val="2"/>
      </rPr>
      <t>.</t>
    </r>
  </si>
  <si>
    <t>www.cbo.gov/publication/59014</t>
  </si>
  <si>
    <t>Table C-1. 
Average Annual Values for Additional Economic Variables That Underlie CBO’s Extended Baseline Projections</t>
  </si>
  <si>
    <t>Percent</t>
  </si>
  <si>
    <t>1993–2022</t>
  </si>
  <si>
    <t>2023–2033</t>
  </si>
  <si>
    <t>2034–2043</t>
  </si>
  <si>
    <t>2044–2053</t>
  </si>
  <si>
    <t>Overall, 2023–2053</t>
  </si>
  <si>
    <t xml:space="preserve">Unemployment </t>
  </si>
  <si>
    <t>Unemployment rate</t>
  </si>
  <si>
    <t>Noncyclical Rate of Unemployment</t>
  </si>
  <si>
    <t>Growth of Average Weekly Hours Worked</t>
  </si>
  <si>
    <t>Growth of Total Hours Worked</t>
  </si>
  <si>
    <t xml:space="preserve">Earnings as a Share of Compensation </t>
  </si>
  <si>
    <t>Growth of Real Earnings per Worker</t>
  </si>
  <si>
    <t>Growth of Total Factor Productivity</t>
  </si>
  <si>
    <t>Growth of Labor Productivity (Real GDP per hour worked) </t>
  </si>
  <si>
    <t>Back to Table of Contents</t>
  </si>
  <si>
    <t>Data Year</t>
  </si>
  <si>
    <t>Source</t>
  </si>
  <si>
    <t>VSL_USD2022</t>
  </si>
  <si>
    <t>Agency</t>
  </si>
  <si>
    <t>EPA</t>
  </si>
  <si>
    <t>DOT</t>
  </si>
  <si>
    <t>HHS</t>
  </si>
  <si>
    <t>Citation</t>
  </si>
  <si>
    <t>https://www.federalregister.gov/documents/2024/04/18/2024-08300/notice-of-availability-of-final-guidance-for-estimating-value-per-statistical-life</t>
  </si>
  <si>
    <r>
      <t xml:space="preserve">Consumer Product Safety Commission (CPSC) 2024 Notice of Availability of Final Guidance for Estimating Value per Statistical Life </t>
    </r>
    <r>
      <rPr>
        <i/>
        <sz val="12"/>
        <color theme="1"/>
        <rFont val="Aptos"/>
        <family val="2"/>
      </rPr>
      <t>Fed. Regist.</t>
    </r>
    <r>
      <rPr>
        <sz val="12"/>
        <color theme="1"/>
        <rFont val="Aptos"/>
        <family val="2"/>
      </rPr>
      <t xml:space="preserve"> Online: https://www.federalregister.gov/documents/2024/04/18/2024-08300/notice-of-availability-of-final-guidance-for-estimating-value-per-statistical-life</t>
    </r>
  </si>
  <si>
    <t>income_elasticity</t>
  </si>
  <si>
    <t>https://aspe.hhs.gov/sites/default/files/documents/cd2a1348ea0777b1aa918089e4965b8c/standard-ria-values.pdf</t>
  </si>
  <si>
    <t>year</t>
  </si>
  <si>
    <t>cpi_ratio_2023_2022</t>
  </si>
  <si>
    <t>epa_vsl_usd2023</t>
  </si>
  <si>
    <t>vsl_adjustment_factor</t>
  </si>
  <si>
    <t>epa_vsl_usd2022</t>
  </si>
  <si>
    <t>cbo_real_growth_rate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</si>
</sst>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70C0"/>
      <name val="Arial"/>
      <family val="2"/>
    </font>
    <font>
      <sz val="11"/>
      <color rgb="FF000000"/>
      <name val="Arial"/>
      <family val="2"/>
    </font>
    <font>
      <sz val="12"/>
      <color theme="1"/>
      <name val="Aptos"/>
      <family val="2"/>
    </font>
    <font>
      <i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1" applyAlignment="1" applyProtection="1">
      <alignment vertical="top"/>
      <protection locked="0"/>
    </xf>
    <xf numFmtId="0" fontId="5" fillId="0" borderId="0" xfId="0" applyFont="1" applyAlignment="1">
      <alignment wrapText="1"/>
    </xf>
    <xf numFmtId="0" fontId="3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/>
    </xf>
    <xf numFmtId="49" fontId="3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1"/>
    </xf>
    <xf numFmtId="164" fontId="7" fillId="0" borderId="0" xfId="0" applyNumberFormat="1" applyFont="1" applyAlignment="1">
      <alignment horizontal="center"/>
    </xf>
    <xf numFmtId="0" fontId="3" fillId="0" borderId="2" xfId="0" applyFont="1" applyBorder="1"/>
    <xf numFmtId="0" fontId="1" fillId="0" borderId="0" xfId="0" applyFont="1"/>
    <xf numFmtId="0" fontId="0" fillId="2" borderId="0" xfId="0" applyFill="1"/>
    <xf numFmtId="0" fontId="3" fillId="2" borderId="0" xfId="0" applyFont="1" applyFill="1"/>
    <xf numFmtId="164" fontId="7" fillId="2" borderId="0" xfId="0" applyNumberFormat="1" applyFont="1" applyFill="1" applyAlignment="1">
      <alignment horizontal="center"/>
    </xf>
    <xf numFmtId="0" fontId="2" fillId="0" borderId="0" xfId="1"/>
    <xf numFmtId="0" fontId="8" fillId="0" borderId="0" xfId="0" applyFont="1" applyAlignment="1">
      <alignment vertical="center"/>
    </xf>
    <xf numFmtId="2" fontId="0" fillId="0" borderId="0" xfId="0" applyNumberFormat="1"/>
    <xf numFmtId="2" fontId="0" fillId="2" borderId="0" xfId="0" applyNumberFormat="1" applyFill="1"/>
    <xf numFmtId="0" fontId="5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1">
    <dxf>
      <numFmt numFmtId="165" formatCode="&quot;*&quot;;&quot;*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</xdr:colOff>
      <xdr:row>3</xdr:row>
      <xdr:rowOff>160020</xdr:rowOff>
    </xdr:from>
    <xdr:to>
      <xdr:col>13</xdr:col>
      <xdr:colOff>267197</xdr:colOff>
      <xdr:row>27</xdr:row>
      <xdr:rowOff>122297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259308-9B09-C93D-FCB8-2EFCDA72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7060" y="708660"/>
          <a:ext cx="5730737" cy="4351397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533400</xdr:colOff>
      <xdr:row>4</xdr:row>
      <xdr:rowOff>53340</xdr:rowOff>
    </xdr:from>
    <xdr:to>
      <xdr:col>23</xdr:col>
      <xdr:colOff>206240</xdr:colOff>
      <xdr:row>40</xdr:row>
      <xdr:rowOff>160600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15DA00-A888-3410-05E4-EF7EA647D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784860"/>
          <a:ext cx="5768840" cy="6690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10160</xdr:colOff>
      <xdr:row>4</xdr:row>
      <xdr:rowOff>7620</xdr:rowOff>
    </xdr:from>
    <xdr:to>
      <xdr:col>18</xdr:col>
      <xdr:colOff>185420</xdr:colOff>
      <xdr:row>29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59D2F-E63B-49BC-8D7B-E0A6C4204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8400" y="739140"/>
          <a:ext cx="6880860" cy="4577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</xdr:colOff>
      <xdr:row>3</xdr:row>
      <xdr:rowOff>152400</xdr:rowOff>
    </xdr:from>
    <xdr:to>
      <xdr:col>12</xdr:col>
      <xdr:colOff>152833</xdr:colOff>
      <xdr:row>39</xdr:row>
      <xdr:rowOff>137729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83D094-2598-A00D-CDB0-23DC7DCF2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" y="716280"/>
          <a:ext cx="4999153" cy="6569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ederalregister.gov/documents/2024/04/18/2024-08300/notice-of-availability-of-final-guidance-for-estimating-value-per-statistical-lif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cbo.gov/publication/5901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D82A-BF74-4689-8CA0-8910CBC2C0FC}">
  <dimension ref="A1:F4"/>
  <sheetViews>
    <sheetView workbookViewId="0"/>
  </sheetViews>
  <sheetFormatPr defaultRowHeight="14.4" x14ac:dyDescent="0.3"/>
  <cols>
    <col min="2" max="2" width="11" customWidth="1"/>
    <col min="3" max="3" width="16.77734375" customWidth="1"/>
  </cols>
  <sheetData>
    <row r="1" spans="1:6" x14ac:dyDescent="0.3">
      <c r="A1" t="s">
        <v>19</v>
      </c>
      <c r="B1" t="s">
        <v>22</v>
      </c>
      <c r="C1" t="s">
        <v>21</v>
      </c>
    </row>
    <row r="2" spans="1:6" x14ac:dyDescent="0.3">
      <c r="A2" s="17">
        <v>2024</v>
      </c>
      <c r="B2" s="17" t="s">
        <v>23</v>
      </c>
      <c r="C2" s="17">
        <v>11</v>
      </c>
      <c r="E2" s="16" t="s">
        <v>20</v>
      </c>
      <c r="F2" s="20" t="s">
        <v>27</v>
      </c>
    </row>
    <row r="3" spans="1:6" ht="15.6" x14ac:dyDescent="0.3">
      <c r="A3">
        <v>2024</v>
      </c>
      <c r="B3" t="s">
        <v>24</v>
      </c>
      <c r="C3">
        <v>12.5</v>
      </c>
      <c r="E3" s="16" t="s">
        <v>26</v>
      </c>
      <c r="F3" s="21" t="s">
        <v>28</v>
      </c>
    </row>
    <row r="4" spans="1:6" x14ac:dyDescent="0.3">
      <c r="A4">
        <v>2024</v>
      </c>
      <c r="B4" t="s">
        <v>25</v>
      </c>
      <c r="C4">
        <v>12.3</v>
      </c>
    </row>
  </sheetData>
  <hyperlinks>
    <hyperlink ref="F2" r:id="rId1" xr:uid="{35F4607C-026E-4974-A5FC-E252A3CC4C4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B8BC-C307-471D-8A2E-E647B8322A8A}">
  <dimension ref="A1:I20"/>
  <sheetViews>
    <sheetView zoomScale="110" zoomScaleNormal="110" workbookViewId="0">
      <selection activeCell="F15" sqref="F15"/>
    </sheetView>
  </sheetViews>
  <sheetFormatPr defaultColWidth="8.6640625" defaultRowHeight="14.4" x14ac:dyDescent="0.3"/>
  <cols>
    <col min="1" max="1" width="56" style="2" customWidth="1"/>
    <col min="2" max="6" width="12.6640625" style="2" customWidth="1"/>
  </cols>
  <sheetData>
    <row r="1" spans="1:9" x14ac:dyDescent="0.3">
      <c r="A1" s="1" t="s">
        <v>0</v>
      </c>
    </row>
    <row r="2" spans="1:9" x14ac:dyDescent="0.3">
      <c r="A2" s="3" t="s">
        <v>1</v>
      </c>
    </row>
    <row r="5" spans="1:9" ht="30" customHeight="1" x14ac:dyDescent="0.3">
      <c r="A5" s="24" t="s">
        <v>2</v>
      </c>
      <c r="B5" s="24"/>
      <c r="C5" s="24"/>
      <c r="D5" s="24"/>
      <c r="E5" s="24"/>
      <c r="F5" s="24"/>
      <c r="G5" s="4"/>
      <c r="H5" s="4"/>
      <c r="I5" s="4"/>
    </row>
    <row r="6" spans="1:9" x14ac:dyDescent="0.3">
      <c r="A6" s="5" t="s">
        <v>3</v>
      </c>
      <c r="B6" s="5"/>
      <c r="C6" s="5"/>
      <c r="D6" s="5"/>
      <c r="E6" s="5"/>
      <c r="F6" s="5"/>
    </row>
    <row r="7" spans="1:9" x14ac:dyDescent="0.3">
      <c r="A7" s="6"/>
      <c r="B7" s="6"/>
      <c r="C7" s="6"/>
      <c r="D7" s="6"/>
      <c r="E7" s="7"/>
      <c r="F7" s="6"/>
    </row>
    <row r="8" spans="1:9" ht="28.2" x14ac:dyDescent="0.3">
      <c r="A8" s="8"/>
      <c r="B8" s="9" t="s">
        <v>4</v>
      </c>
      <c r="C8" s="9" t="s">
        <v>5</v>
      </c>
      <c r="D8" s="10" t="s">
        <v>6</v>
      </c>
      <c r="E8" s="10" t="s">
        <v>7</v>
      </c>
      <c r="F8" s="11" t="s">
        <v>8</v>
      </c>
    </row>
    <row r="9" spans="1:9" x14ac:dyDescent="0.3">
      <c r="A9" s="2" t="s">
        <v>9</v>
      </c>
      <c r="B9" s="12"/>
      <c r="C9" s="12"/>
      <c r="D9" s="12"/>
      <c r="E9" s="12"/>
      <c r="F9" s="12"/>
    </row>
    <row r="10" spans="1:9" x14ac:dyDescent="0.3">
      <c r="A10" s="13" t="s">
        <v>10</v>
      </c>
      <c r="B10" s="14">
        <v>5.7469999999999999</v>
      </c>
      <c r="C10" s="14">
        <v>4.5819999999999999</v>
      </c>
      <c r="D10" s="14">
        <v>4.327</v>
      </c>
      <c r="E10" s="14">
        <v>4.1390000000000002</v>
      </c>
      <c r="F10" s="14">
        <v>4.3570000000000002</v>
      </c>
    </row>
    <row r="11" spans="1:9" x14ac:dyDescent="0.3">
      <c r="A11" s="13" t="s">
        <v>11</v>
      </c>
      <c r="B11" s="14">
        <v>4.9390000000000001</v>
      </c>
      <c r="C11" s="14">
        <v>4.34</v>
      </c>
      <c r="D11" s="14">
        <v>4.0990000000000002</v>
      </c>
      <c r="E11" s="14">
        <v>3.9340000000000002</v>
      </c>
      <c r="F11" s="14">
        <v>4.1310000000000002</v>
      </c>
    </row>
    <row r="12" spans="1:9" x14ac:dyDescent="0.3">
      <c r="A12" s="2" t="s">
        <v>12</v>
      </c>
      <c r="B12" s="14">
        <v>-3.7999999999999999E-2</v>
      </c>
      <c r="C12" s="14">
        <v>2.9000000000000001E-2</v>
      </c>
      <c r="D12" s="14">
        <v>-1.7000000000000001E-2</v>
      </c>
      <c r="E12" s="14">
        <v>-1.7000000000000001E-2</v>
      </c>
      <c r="F12" s="14">
        <v>0</v>
      </c>
    </row>
    <row r="13" spans="1:9" x14ac:dyDescent="0.3">
      <c r="A13" s="2" t="s">
        <v>13</v>
      </c>
      <c r="B13" s="14">
        <v>0.89700000000000002</v>
      </c>
      <c r="C13" s="14">
        <v>0.45100000000000001</v>
      </c>
      <c r="D13" s="14">
        <v>0.28499999999999998</v>
      </c>
      <c r="E13" s="14">
        <v>0.214</v>
      </c>
      <c r="F13" s="14">
        <v>0.32100000000000001</v>
      </c>
    </row>
    <row r="14" spans="1:9" x14ac:dyDescent="0.3">
      <c r="A14" s="2" t="s">
        <v>14</v>
      </c>
      <c r="B14" s="14">
        <v>81.311999999999998</v>
      </c>
      <c r="C14" s="14">
        <v>81.837999999999994</v>
      </c>
      <c r="D14" s="14">
        <v>80.897000000000006</v>
      </c>
      <c r="E14" s="14">
        <v>80.123000000000005</v>
      </c>
      <c r="F14" s="14">
        <v>80.980999999999995</v>
      </c>
    </row>
    <row r="15" spans="1:9" x14ac:dyDescent="0.3">
      <c r="A15" s="18" t="s">
        <v>15</v>
      </c>
      <c r="B15" s="19">
        <v>1.127</v>
      </c>
      <c r="C15" s="19">
        <v>1.1579999999999999</v>
      </c>
      <c r="D15" s="19">
        <v>0.93799999999999994</v>
      </c>
      <c r="E15" s="19">
        <v>0.96499999999999997</v>
      </c>
      <c r="F15" s="19">
        <v>1.0249999999999999</v>
      </c>
    </row>
    <row r="16" spans="1:9" x14ac:dyDescent="0.3">
      <c r="A16" s="2" t="s">
        <v>16</v>
      </c>
      <c r="B16" s="14">
        <v>1.1919999999999999</v>
      </c>
      <c r="C16" s="14">
        <v>1.1160000000000001</v>
      </c>
      <c r="D16" s="14">
        <v>1.0920000000000001</v>
      </c>
      <c r="E16" s="14">
        <v>1.093</v>
      </c>
      <c r="F16" s="14">
        <v>1.101</v>
      </c>
    </row>
    <row r="17" spans="1:6" x14ac:dyDescent="0.3">
      <c r="A17" s="1" t="s">
        <v>17</v>
      </c>
      <c r="B17" s="14">
        <v>1.5309999999999999</v>
      </c>
      <c r="C17" s="14">
        <v>1.409</v>
      </c>
      <c r="D17" s="14">
        <v>1.3140000000000001</v>
      </c>
      <c r="E17" s="14">
        <v>1.286</v>
      </c>
      <c r="F17" s="14">
        <v>1.339</v>
      </c>
    </row>
    <row r="18" spans="1:6" x14ac:dyDescent="0.3">
      <c r="A18" s="15"/>
      <c r="B18" s="15"/>
      <c r="C18" s="15"/>
      <c r="D18" s="15"/>
      <c r="E18" s="15"/>
      <c r="F18" s="15"/>
    </row>
    <row r="20" spans="1:6" x14ac:dyDescent="0.3">
      <c r="A20" s="3" t="s">
        <v>18</v>
      </c>
    </row>
  </sheetData>
  <mergeCells count="1">
    <mergeCell ref="A5:F5"/>
  </mergeCells>
  <conditionalFormatting sqref="A1:XFD1048576">
    <cfRule type="cellIs" dxfId="0" priority="1" operator="between">
      <formula>-0.0449</formula>
      <formula>0.0449</formula>
    </cfRule>
  </conditionalFormatting>
  <hyperlinks>
    <hyperlink ref="A2" r:id="rId1" display="http://www.cbo.gov/publication/59014" xr:uid="{2DF4E2AE-08A4-4C6D-A5AE-677341A50D5A}"/>
    <hyperlink ref="A20" location="Contents!A1" display="Back to Table of Contents" xr:uid="{F7B1D183-4AA1-4828-8494-5D084F704BC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47EB-F7DC-455C-916C-B53FE4B0D41D}">
  <dimension ref="A1:F3"/>
  <sheetViews>
    <sheetView workbookViewId="0">
      <selection activeCell="C15" sqref="C15"/>
    </sheetView>
  </sheetViews>
  <sheetFormatPr defaultRowHeight="14.4" x14ac:dyDescent="0.3"/>
  <cols>
    <col min="1" max="1" width="18.88671875" customWidth="1"/>
    <col min="2" max="2" width="18.44140625" customWidth="1"/>
    <col min="3" max="3" width="18.21875" customWidth="1"/>
  </cols>
  <sheetData>
    <row r="1" spans="1:6" x14ac:dyDescent="0.3">
      <c r="A1" t="s">
        <v>36</v>
      </c>
      <c r="B1" s="17" t="s">
        <v>29</v>
      </c>
      <c r="C1" s="17" t="s">
        <v>32</v>
      </c>
    </row>
    <row r="2" spans="1:6" x14ac:dyDescent="0.3">
      <c r="A2">
        <f>ROUND(CBO_Table_C1!$F$15,1)</f>
        <v>1</v>
      </c>
      <c r="B2" s="23">
        <f>1+($A$2/100)</f>
        <v>1.01</v>
      </c>
      <c r="C2" s="17">
        <v>1.04116451111376</v>
      </c>
      <c r="E2" s="16" t="s">
        <v>20</v>
      </c>
      <c r="F2" s="20" t="s">
        <v>30</v>
      </c>
    </row>
    <row r="3" spans="1:6" ht="15.6" x14ac:dyDescent="0.3">
      <c r="E3" s="16" t="s">
        <v>26</v>
      </c>
      <c r="F3" s="21" t="s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7A19-43E1-4172-AE78-5DDF07147FDE}">
  <dimension ref="A1:F29"/>
  <sheetViews>
    <sheetView tabSelected="1" workbookViewId="0">
      <selection sqref="A1:F1"/>
    </sheetView>
  </sheetViews>
  <sheetFormatPr defaultRowHeight="14.4" x14ac:dyDescent="0.3"/>
  <cols>
    <col min="2" max="2" width="17.21875" customWidth="1"/>
    <col min="3" max="3" width="20.33203125" customWidth="1"/>
    <col min="4" max="4" width="17.6640625" customWidth="1"/>
    <col min="5" max="5" width="18.21875" customWidth="1"/>
    <col min="6" max="6" width="20.21875" customWidth="1"/>
  </cols>
  <sheetData>
    <row r="1" spans="1:6" x14ac:dyDescent="0.3">
      <c r="A1" t="s">
        <v>31</v>
      </c>
      <c r="B1" t="s">
        <v>35</v>
      </c>
      <c r="C1" t="s">
        <v>32</v>
      </c>
      <c r="D1" t="s">
        <v>29</v>
      </c>
      <c r="E1" t="s">
        <v>33</v>
      </c>
      <c r="F1" t="s">
        <v>34</v>
      </c>
    </row>
    <row r="2" spans="1:6" x14ac:dyDescent="0.3">
      <c r="A2">
        <v>2023</v>
      </c>
      <c r="B2">
        <f>CPSC_VSL_Guidance!$C$2</f>
        <v>11</v>
      </c>
      <c r="C2">
        <f>CPSC_HHS_VSL_Guidelines!$C$2</f>
        <v>1.04116451111376</v>
      </c>
      <c r="D2">
        <f>CPSC_HHS_VSL_Guidelines!$B$2</f>
        <v>1.01</v>
      </c>
      <c r="E2" s="22">
        <f>(B2*C2)*D2^(A2-$A$2)</f>
        <v>11.45280962225136</v>
      </c>
      <c r="F2" s="22">
        <f>E2/$E$3</f>
        <v>0.99009900990098998</v>
      </c>
    </row>
    <row r="3" spans="1:6" x14ac:dyDescent="0.3">
      <c r="A3">
        <v>2024</v>
      </c>
      <c r="B3">
        <f>CPSC_VSL_Guidance!$C$2</f>
        <v>11</v>
      </c>
      <c r="C3">
        <f>CPSC_HHS_VSL_Guidelines!$C$2</f>
        <v>1.04116451111376</v>
      </c>
      <c r="D3">
        <f>CPSC_HHS_VSL_Guidelines!$B$2</f>
        <v>1.01</v>
      </c>
      <c r="E3" s="22">
        <f t="shared" ref="E2:E29" si="0">(B3*C3)*D3^(A3-$A$2)</f>
        <v>11.567337718473874</v>
      </c>
      <c r="F3" s="22">
        <f>E3/$E$3</f>
        <v>1</v>
      </c>
    </row>
    <row r="4" spans="1:6" x14ac:dyDescent="0.3">
      <c r="A4">
        <v>2025</v>
      </c>
      <c r="B4">
        <f>CPSC_VSL_Guidance!$C$2</f>
        <v>11</v>
      </c>
      <c r="C4">
        <f>CPSC_HHS_VSL_Guidelines!$C$2</f>
        <v>1.04116451111376</v>
      </c>
      <c r="D4">
        <f>CPSC_HHS_VSL_Guidelines!$B$2</f>
        <v>1.01</v>
      </c>
      <c r="E4" s="22">
        <f t="shared" si="0"/>
        <v>11.683011095658612</v>
      </c>
      <c r="F4" s="22">
        <f t="shared" ref="F4:F29" si="1">E4/$E$3</f>
        <v>1.01</v>
      </c>
    </row>
    <row r="5" spans="1:6" x14ac:dyDescent="0.3">
      <c r="A5">
        <v>2026</v>
      </c>
      <c r="B5">
        <f>CPSC_VSL_Guidance!$C$2</f>
        <v>11</v>
      </c>
      <c r="C5">
        <f>CPSC_HHS_VSL_Guidelines!$C$2</f>
        <v>1.04116451111376</v>
      </c>
      <c r="D5">
        <f>CPSC_HHS_VSL_Guidelines!$B$2</f>
        <v>1.01</v>
      </c>
      <c r="E5" s="22">
        <f t="shared" si="0"/>
        <v>11.799841206615197</v>
      </c>
      <c r="F5" s="22">
        <f t="shared" si="1"/>
        <v>1.0200999999999998</v>
      </c>
    </row>
    <row r="6" spans="1:6" x14ac:dyDescent="0.3">
      <c r="A6">
        <v>2027</v>
      </c>
      <c r="B6">
        <f>CPSC_VSL_Guidance!$C$2</f>
        <v>11</v>
      </c>
      <c r="C6">
        <f>CPSC_HHS_VSL_Guidelines!$C$2</f>
        <v>1.04116451111376</v>
      </c>
      <c r="D6">
        <f>CPSC_HHS_VSL_Guidelines!$B$2</f>
        <v>1.01</v>
      </c>
      <c r="E6" s="22">
        <f t="shared" si="0"/>
        <v>11.91783961868135</v>
      </c>
      <c r="F6" s="22">
        <f t="shared" si="1"/>
        <v>1.0303009999999999</v>
      </c>
    </row>
    <row r="7" spans="1:6" x14ac:dyDescent="0.3">
      <c r="A7">
        <v>2028</v>
      </c>
      <c r="B7">
        <f>CPSC_VSL_Guidance!$C$2</f>
        <v>11</v>
      </c>
      <c r="C7">
        <f>CPSC_HHS_VSL_Guidelines!$C$2</f>
        <v>1.04116451111376</v>
      </c>
      <c r="D7">
        <f>CPSC_HHS_VSL_Guidelines!$B$2</f>
        <v>1.01</v>
      </c>
      <c r="E7" s="22">
        <f t="shared" si="0"/>
        <v>12.037018014868163</v>
      </c>
      <c r="F7" s="22">
        <f t="shared" si="1"/>
        <v>1.0406040099999998</v>
      </c>
    </row>
    <row r="8" spans="1:6" x14ac:dyDescent="0.3">
      <c r="A8">
        <v>2029</v>
      </c>
      <c r="B8">
        <f>CPSC_VSL_Guidance!$C$2</f>
        <v>11</v>
      </c>
      <c r="C8">
        <f>CPSC_HHS_VSL_Guidelines!$C$2</f>
        <v>1.04116451111376</v>
      </c>
      <c r="D8">
        <f>CPSC_HHS_VSL_Guidelines!$B$2</f>
        <v>1.01</v>
      </c>
      <c r="E8" s="22">
        <f t="shared" si="0"/>
        <v>12.157388195016846</v>
      </c>
      <c r="F8" s="22">
        <f t="shared" si="1"/>
        <v>1.0510100500999999</v>
      </c>
    </row>
    <row r="9" spans="1:6" x14ac:dyDescent="0.3">
      <c r="A9">
        <v>2030</v>
      </c>
      <c r="B9">
        <f>CPSC_VSL_Guidance!$C$2</f>
        <v>11</v>
      </c>
      <c r="C9">
        <f>CPSC_HHS_VSL_Guidelines!$C$2</f>
        <v>1.04116451111376</v>
      </c>
      <c r="D9">
        <f>CPSC_HHS_VSL_Guidelines!$B$2</f>
        <v>1.01</v>
      </c>
      <c r="E9" s="22">
        <f t="shared" si="0"/>
        <v>12.278962076967012</v>
      </c>
      <c r="F9" s="22">
        <f t="shared" si="1"/>
        <v>1.0615201506009997</v>
      </c>
    </row>
    <row r="10" spans="1:6" x14ac:dyDescent="0.3">
      <c r="A10">
        <v>2031</v>
      </c>
      <c r="B10">
        <f>CPSC_VSL_Guidance!$C$2</f>
        <v>11</v>
      </c>
      <c r="C10">
        <f>CPSC_HHS_VSL_Guidelines!$C$2</f>
        <v>1.04116451111376</v>
      </c>
      <c r="D10">
        <f>CPSC_HHS_VSL_Guidelines!$B$2</f>
        <v>1.01</v>
      </c>
      <c r="E10" s="22">
        <f t="shared" si="0"/>
        <v>12.401751697736685</v>
      </c>
      <c r="F10" s="22">
        <f t="shared" si="1"/>
        <v>1.0721353521070101</v>
      </c>
    </row>
    <row r="11" spans="1:6" x14ac:dyDescent="0.3">
      <c r="A11">
        <v>2032</v>
      </c>
      <c r="B11">
        <f>CPSC_VSL_Guidance!$C$2</f>
        <v>11</v>
      </c>
      <c r="C11">
        <f>CPSC_HHS_VSL_Guidelines!$C$2</f>
        <v>1.04116451111376</v>
      </c>
      <c r="D11">
        <f>CPSC_HHS_VSL_Guidelines!$B$2</f>
        <v>1.01</v>
      </c>
      <c r="E11" s="22">
        <f t="shared" si="0"/>
        <v>12.525769214714053</v>
      </c>
      <c r="F11" s="22">
        <f t="shared" si="1"/>
        <v>1.0828567056280802</v>
      </c>
    </row>
    <row r="12" spans="1:6" x14ac:dyDescent="0.3">
      <c r="A12">
        <v>2033</v>
      </c>
      <c r="B12">
        <f>CPSC_VSL_Guidance!$C$2</f>
        <v>11</v>
      </c>
      <c r="C12">
        <f>CPSC_HHS_VSL_Guidelines!$C$2</f>
        <v>1.04116451111376</v>
      </c>
      <c r="D12">
        <f>CPSC_HHS_VSL_Guidelines!$B$2</f>
        <v>1.01</v>
      </c>
      <c r="E12" s="22">
        <f t="shared" si="0"/>
        <v>12.651026906861194</v>
      </c>
      <c r="F12" s="22">
        <f t="shared" si="1"/>
        <v>1.0936852726843611</v>
      </c>
    </row>
    <row r="13" spans="1:6" x14ac:dyDescent="0.3">
      <c r="A13">
        <v>2034</v>
      </c>
      <c r="B13">
        <f>CPSC_VSL_Guidance!$C$2</f>
        <v>11</v>
      </c>
      <c r="C13">
        <f>CPSC_HHS_VSL_Guidelines!$C$2</f>
        <v>1.04116451111376</v>
      </c>
      <c r="D13">
        <f>CPSC_HHS_VSL_Guidelines!$B$2</f>
        <v>1.01</v>
      </c>
      <c r="E13" s="22">
        <f t="shared" si="0"/>
        <v>12.777537175929803</v>
      </c>
      <c r="F13" s="22">
        <f t="shared" si="1"/>
        <v>1.1046221254112043</v>
      </c>
    </row>
    <row r="14" spans="1:6" x14ac:dyDescent="0.3">
      <c r="A14">
        <v>2035</v>
      </c>
      <c r="B14">
        <f>CPSC_VSL_Guidance!$C$2</f>
        <v>11</v>
      </c>
      <c r="C14">
        <f>CPSC_HHS_VSL_Guidelines!$C$2</f>
        <v>1.04116451111376</v>
      </c>
      <c r="D14">
        <f>CPSC_HHS_VSL_Guidelines!$B$2</f>
        <v>1.01</v>
      </c>
      <c r="E14" s="22">
        <f t="shared" si="0"/>
        <v>12.905312547689102</v>
      </c>
      <c r="F14" s="22">
        <f t="shared" si="1"/>
        <v>1.1156683466653166</v>
      </c>
    </row>
    <row r="15" spans="1:6" x14ac:dyDescent="0.3">
      <c r="A15">
        <v>2036</v>
      </c>
      <c r="B15">
        <f>CPSC_VSL_Guidance!$C$2</f>
        <v>11</v>
      </c>
      <c r="C15">
        <f>CPSC_HHS_VSL_Guidelines!$C$2</f>
        <v>1.04116451111376</v>
      </c>
      <c r="D15">
        <f>CPSC_HHS_VSL_Guidelines!$B$2</f>
        <v>1.01</v>
      </c>
      <c r="E15" s="22">
        <f t="shared" si="0"/>
        <v>13.034365673165993</v>
      </c>
      <c r="F15" s="22">
        <f t="shared" si="1"/>
        <v>1.1268250301319698</v>
      </c>
    </row>
    <row r="16" spans="1:6" x14ac:dyDescent="0.3">
      <c r="A16">
        <v>2037</v>
      </c>
      <c r="B16">
        <f>CPSC_VSL_Guidance!$C$2</f>
        <v>11</v>
      </c>
      <c r="C16">
        <f>CPSC_HHS_VSL_Guidelines!$C$2</f>
        <v>1.04116451111376</v>
      </c>
      <c r="D16">
        <f>CPSC_HHS_VSL_Guidelines!$B$2</f>
        <v>1.01</v>
      </c>
      <c r="E16" s="22">
        <f t="shared" si="0"/>
        <v>13.164709329897656</v>
      </c>
      <c r="F16" s="22">
        <f t="shared" si="1"/>
        <v>1.1380932804332897</v>
      </c>
    </row>
    <row r="17" spans="1:6" x14ac:dyDescent="0.3">
      <c r="A17">
        <v>2038</v>
      </c>
      <c r="B17">
        <f>CPSC_VSL_Guidance!$C$2</f>
        <v>11</v>
      </c>
      <c r="C17">
        <f>CPSC_HHS_VSL_Guidelines!$C$2</f>
        <v>1.04116451111376</v>
      </c>
      <c r="D17">
        <f>CPSC_HHS_VSL_Guidelines!$B$2</f>
        <v>1.01</v>
      </c>
      <c r="E17" s="22">
        <f t="shared" si="0"/>
        <v>13.296356423196627</v>
      </c>
      <c r="F17" s="22">
        <f t="shared" si="1"/>
        <v>1.1494742132376221</v>
      </c>
    </row>
    <row r="18" spans="1:6" x14ac:dyDescent="0.3">
      <c r="A18">
        <v>2039</v>
      </c>
      <c r="B18">
        <f>CPSC_VSL_Guidance!$C$2</f>
        <v>11</v>
      </c>
      <c r="C18">
        <f>CPSC_HHS_VSL_Guidelines!$C$2</f>
        <v>1.04116451111376</v>
      </c>
      <c r="D18">
        <f>CPSC_HHS_VSL_Guidelines!$B$2</f>
        <v>1.01</v>
      </c>
      <c r="E18" s="22">
        <f t="shared" si="0"/>
        <v>13.429319987428599</v>
      </c>
      <c r="F18" s="22">
        <f t="shared" si="1"/>
        <v>1.1609689553699987</v>
      </c>
    </row>
    <row r="19" spans="1:6" x14ac:dyDescent="0.3">
      <c r="A19">
        <v>2040</v>
      </c>
      <c r="B19">
        <f>CPSC_VSL_Guidance!$C$2</f>
        <v>11</v>
      </c>
      <c r="C19">
        <f>CPSC_HHS_VSL_Guidelines!$C$2</f>
        <v>1.04116451111376</v>
      </c>
      <c r="D19">
        <f>CPSC_HHS_VSL_Guidelines!$B$2</f>
        <v>1.01</v>
      </c>
      <c r="E19" s="22">
        <f t="shared" si="0"/>
        <v>13.563613187302884</v>
      </c>
      <c r="F19" s="22">
        <f t="shared" si="1"/>
        <v>1.1725786449236988</v>
      </c>
    </row>
    <row r="20" spans="1:6" x14ac:dyDescent="0.3">
      <c r="A20">
        <v>2041</v>
      </c>
      <c r="B20">
        <f>CPSC_VSL_Guidance!$C$2</f>
        <v>11</v>
      </c>
      <c r="C20">
        <f>CPSC_HHS_VSL_Guidelines!$C$2</f>
        <v>1.04116451111376</v>
      </c>
      <c r="D20">
        <f>CPSC_HHS_VSL_Guidelines!$B$2</f>
        <v>1.01</v>
      </c>
      <c r="E20" s="22">
        <f t="shared" si="0"/>
        <v>13.699249319175914</v>
      </c>
      <c r="F20" s="22">
        <f t="shared" si="1"/>
        <v>1.1843044313729358</v>
      </c>
    </row>
    <row r="21" spans="1:6" x14ac:dyDescent="0.3">
      <c r="A21">
        <v>2042</v>
      </c>
      <c r="B21">
        <f>CPSC_VSL_Guidance!$C$2</f>
        <v>11</v>
      </c>
      <c r="C21">
        <f>CPSC_HHS_VSL_Guidelines!$C$2</f>
        <v>1.04116451111376</v>
      </c>
      <c r="D21">
        <f>CPSC_HHS_VSL_Guidelines!$B$2</f>
        <v>1.01</v>
      </c>
      <c r="E21" s="22">
        <f t="shared" si="0"/>
        <v>13.836241812367671</v>
      </c>
      <c r="F21" s="22">
        <f t="shared" si="1"/>
        <v>1.196147475686665</v>
      </c>
    </row>
    <row r="22" spans="1:6" x14ac:dyDescent="0.3">
      <c r="A22">
        <v>2043</v>
      </c>
      <c r="B22">
        <f>CPSC_VSL_Guidance!$C$2</f>
        <v>11</v>
      </c>
      <c r="C22">
        <f>CPSC_HHS_VSL_Guidelines!$C$2</f>
        <v>1.04116451111376</v>
      </c>
      <c r="D22">
        <f>CPSC_HHS_VSL_Guidelines!$B$2</f>
        <v>1.01</v>
      </c>
      <c r="E22" s="22">
        <f t="shared" si="0"/>
        <v>13.974604230491348</v>
      </c>
      <c r="F22" s="22">
        <f t="shared" si="1"/>
        <v>1.2081089504435316</v>
      </c>
    </row>
    <row r="23" spans="1:6" x14ac:dyDescent="0.3">
      <c r="A23">
        <v>2044</v>
      </c>
      <c r="B23">
        <f>CPSC_VSL_Guidance!$C$2</f>
        <v>11</v>
      </c>
      <c r="C23">
        <f>CPSC_HHS_VSL_Guidelines!$C$2</f>
        <v>1.04116451111376</v>
      </c>
      <c r="D23">
        <f>CPSC_HHS_VSL_Guidelines!$B$2</f>
        <v>1.01</v>
      </c>
      <c r="E23" s="22">
        <f t="shared" si="0"/>
        <v>14.11435027279626</v>
      </c>
      <c r="F23" s="22">
        <f t="shared" si="1"/>
        <v>1.2201900399479668</v>
      </c>
    </row>
    <row r="24" spans="1:6" x14ac:dyDescent="0.3">
      <c r="A24">
        <v>2045</v>
      </c>
      <c r="B24">
        <f>CPSC_VSL_Guidance!$C$2</f>
        <v>11</v>
      </c>
      <c r="C24">
        <f>CPSC_HHS_VSL_Guidelines!$C$2</f>
        <v>1.04116451111376</v>
      </c>
      <c r="D24">
        <f>CPSC_HHS_VSL_Guidelines!$B$2</f>
        <v>1.01</v>
      </c>
      <c r="E24" s="22">
        <f t="shared" si="0"/>
        <v>14.255493775524226</v>
      </c>
      <c r="F24" s="22">
        <f>E24/$E$3</f>
        <v>1.2323919403474468</v>
      </c>
    </row>
    <row r="25" spans="1:6" x14ac:dyDescent="0.3">
      <c r="A25">
        <v>2046</v>
      </c>
      <c r="B25">
        <f>CPSC_VSL_Guidance!$C$2</f>
        <v>11</v>
      </c>
      <c r="C25">
        <f>CPSC_HHS_VSL_Guidelines!$C$2</f>
        <v>1.04116451111376</v>
      </c>
      <c r="D25">
        <f>CPSC_HHS_VSL_Guidelines!$B$2</f>
        <v>1.01</v>
      </c>
      <c r="E25" s="22">
        <f t="shared" si="0"/>
        <v>14.398048713279467</v>
      </c>
      <c r="F25" s="22">
        <f t="shared" si="1"/>
        <v>1.2447158597509211</v>
      </c>
    </row>
    <row r="26" spans="1:6" x14ac:dyDescent="0.3">
      <c r="A26">
        <v>2047</v>
      </c>
      <c r="B26">
        <f>CPSC_VSL_Guidance!$C$2</f>
        <v>11</v>
      </c>
      <c r="C26">
        <f>CPSC_HHS_VSL_Guidelines!$C$2</f>
        <v>1.04116451111376</v>
      </c>
      <c r="D26">
        <f>CPSC_HHS_VSL_Guidelines!$B$2</f>
        <v>1.01</v>
      </c>
      <c r="E26" s="22">
        <f t="shared" si="0"/>
        <v>14.542029200412264</v>
      </c>
      <c r="F26" s="22">
        <f t="shared" si="1"/>
        <v>1.2571630183484306</v>
      </c>
    </row>
    <row r="27" spans="1:6" x14ac:dyDescent="0.3">
      <c r="A27">
        <v>2048</v>
      </c>
      <c r="B27">
        <f>CPSC_VSL_Guidance!$C$2</f>
        <v>11</v>
      </c>
      <c r="C27">
        <f>CPSC_HHS_VSL_Guidelines!$C$2</f>
        <v>1.04116451111376</v>
      </c>
      <c r="D27">
        <f>CPSC_HHS_VSL_Guidelines!$B$2</f>
        <v>1.01</v>
      </c>
      <c r="E27" s="22">
        <f t="shared" si="0"/>
        <v>14.687449492416389</v>
      </c>
      <c r="F27" s="22">
        <f t="shared" si="1"/>
        <v>1.269734648531915</v>
      </c>
    </row>
    <row r="28" spans="1:6" x14ac:dyDescent="0.3">
      <c r="A28">
        <v>2049</v>
      </c>
      <c r="B28">
        <f>CPSC_VSL_Guidance!$C$2</f>
        <v>11</v>
      </c>
      <c r="C28">
        <f>CPSC_HHS_VSL_Guidelines!$C$2</f>
        <v>1.04116451111376</v>
      </c>
      <c r="D28">
        <f>CPSC_HHS_VSL_Guidelines!$B$2</f>
        <v>1.01</v>
      </c>
      <c r="E28" s="22">
        <f t="shared" si="0"/>
        <v>14.834323987340552</v>
      </c>
      <c r="F28" s="22">
        <f t="shared" si="1"/>
        <v>1.282431995017234</v>
      </c>
    </row>
    <row r="29" spans="1:6" x14ac:dyDescent="0.3">
      <c r="A29">
        <v>2050</v>
      </c>
      <c r="B29">
        <f>CPSC_VSL_Guidance!$C$2</f>
        <v>11</v>
      </c>
      <c r="C29">
        <f>CPSC_HHS_VSL_Guidelines!$C$2</f>
        <v>1.04116451111376</v>
      </c>
      <c r="D29">
        <f>CPSC_HHS_VSL_Guidelines!$B$2</f>
        <v>1.01</v>
      </c>
      <c r="E29" s="22">
        <f t="shared" si="0"/>
        <v>14.982667227213954</v>
      </c>
      <c r="F29" s="22">
        <f>E29/$E$3</f>
        <v>1.2952563149674061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CPSC_VSL_Guidance</vt:lpstr>
      <vt:lpstr>CBO_Table_C1</vt:lpstr>
      <vt:lpstr>CPSC_HHS_VSL_Guidelines</vt:lpstr>
      <vt:lpstr>vsl_adjustment_factor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Malique Joseph</dc:creator>
  <cp:lastModifiedBy>Jordan Malique Joseph</cp:lastModifiedBy>
  <dcterms:created xsi:type="dcterms:W3CDTF">2025-04-01T21:14:33Z</dcterms:created>
  <dcterms:modified xsi:type="dcterms:W3CDTF">2025-04-04T20:26:37Z</dcterms:modified>
</cp:coreProperties>
</file>